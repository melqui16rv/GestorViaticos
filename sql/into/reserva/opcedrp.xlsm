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melquiromero/Documents/GitHub/viaticosApp/sql/into/"/>
    </mc:Choice>
  </mc:AlternateContent>
  <xr:revisionPtr revIDLastSave="0" documentId="13_ncr:1_{1FA831AC-482C-D34F-A37D-CF3136CC93DC}" xr6:coauthVersionLast="47" xr6:coauthVersionMax="47" xr10:uidLastSave="{00000000-0000-0000-0000-000000000000}"/>
  <bookViews>
    <workbookView xWindow="3800" yWindow="500" windowWidth="46760" windowHeight="28300" xr2:uid="{2B881990-385B-43CF-B01E-1DF144E68E6F}"/>
  </bookViews>
  <sheets>
    <sheet name="CDP" sheetId="18" r:id="rId1"/>
    <sheet name="CRP" sheetId="16" r:id="rId2"/>
    <sheet name="ORDENES_DE_PAGO" sheetId="17" r:id="rId3"/>
    <sheet name="CDP-Convertido" sheetId="20" r:id="rId4"/>
    <sheet name="TABLA FINAL" sheetId="22" state="hidden" r:id="rId5"/>
    <sheet name="CRP-Convertido" sheetId="23" r:id="rId6"/>
    <sheet name="Orden_Pago-Convertido" sheetId="24" r:id="rId7"/>
    <sheet name="Reporte_Viaticos" sheetId="28" r:id="rId8"/>
    <sheet name="TablasGraficas" sheetId="25" r:id="rId9"/>
    <sheet name="Tabla_Total_CRP" sheetId="29" r:id="rId10"/>
    <sheet name="INSERTCDP" sheetId="26" r:id="rId11"/>
    <sheet name="INSERTCRP" sheetId="27" r:id="rId12"/>
    <sheet name="CATALOGOS" sheetId="21" r:id="rId13"/>
  </sheets>
  <functionGroups builtInGroupCount="19"/>
  <definedNames>
    <definedName name="_xlnm._FilterDatabase" localSheetId="3" hidden="1">'CDP-Convertido'!$A$1:$S$77</definedName>
    <definedName name="_xlnm._FilterDatabase" localSheetId="5" hidden="1">'CRP-Convertido'!$A$1:$AH$22</definedName>
    <definedName name="_xlnm._FilterDatabase" localSheetId="6" hidden="1">'Orden_Pago-Convertido'!$A$1:$AK$1</definedName>
    <definedName name="_xleta.DATE" hidden="1" xlm="1">#NAME?</definedName>
    <definedName name="_xleta.LEFT" hidden="1" xlm="1">#NAME?</definedName>
    <definedName name="_xleta.MID" hidden="1" xlm="1">#NAME?</definedName>
    <definedName name="_xleta.RIGHT" hidden="1" xlm="1">#NAME?</definedName>
    <definedName name="_xleta.SUBSTITUTE" hidden="1" xlm="1">#NAME?</definedName>
    <definedName name="_xleta.VALUE" hidden="1" xlm="1">#NAME?</definedName>
    <definedName name="_xlpm.codigos" hidden="1" xlm="1">#NAME?</definedName>
    <definedName name="_xlpm.codigos_unicos" hidden="1" xlm="1">#NAME?</definedName>
    <definedName name="_xlpm.suma" hidden="1" xlm="1">#NAME?</definedName>
    <definedName name="_xlpm.valores" hidden="1" xlm="1">#NAME?</definedName>
    <definedName name="datosReferencia">#REF!</definedName>
    <definedName name="insertarCredenciales">#REF!</definedName>
    <definedName name="insertarCredenciales2">#REF!</definedName>
    <definedName name="llenarFormulario">#REF!</definedName>
    <definedName name="reportesDatos">#REF!</definedName>
    <definedName name="Tabla">#REF!</definedName>
    <definedName name="Tabla_De_prueba">#REF!</definedName>
    <definedName name="validarSesion">#REF!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8" l="1"/>
  <c r="H2" i="28"/>
  <c r="I47" i="28"/>
  <c r="I46" i="28"/>
  <c r="G2" i="29" a="1"/>
  <c r="G2" i="29" s="1"/>
  <c r="H2" i="29" s="1"/>
  <c r="H3" i="29"/>
  <c r="H4" i="29"/>
  <c r="H5" i="29"/>
  <c r="H6" i="29"/>
  <c r="D15" i="25" a="1"/>
  <c r="D15" i="25"/>
  <c r="D14" i="25" a="1"/>
  <c r="D14" i="25"/>
  <c r="D7" i="25" a="1"/>
  <c r="D7" i="25"/>
  <c r="D8" i="25" a="1"/>
  <c r="D8" i="25"/>
  <c r="D12" i="25"/>
  <c r="D5" i="25"/>
  <c r="F10" i="22"/>
  <c r="F11" i="22"/>
  <c r="F12" i="22"/>
  <c r="F13" i="22"/>
  <c r="E14" i="22"/>
  <c r="F14" i="22" s="1"/>
  <c r="E15" i="22"/>
  <c r="F15" i="22" s="1"/>
  <c r="D2" i="21" a="1"/>
  <c r="D2" i="21" s="1"/>
  <c r="A2" i="21" a="1"/>
  <c r="A2" i="21" s="1"/>
  <c r="I2" i="28" a="1"/>
  <c r="I48" i="28" l="1"/>
  <c r="E15" i="25"/>
  <c r="E14" i="25"/>
  <c r="H3" i="28"/>
  <c r="H4" i="28"/>
  <c r="K4" i="28"/>
  <c r="K2" i="28"/>
  <c r="I2" i="28"/>
  <c r="J2" i="28" s="1"/>
  <c r="E7" i="25"/>
  <c r="E8" i="25"/>
  <c r="I3" i="28" a="1"/>
  <c r="I4" i="28" a="1"/>
  <c r="E16" i="25" l="1"/>
  <c r="I4" i="28"/>
  <c r="J4" i="28" s="1"/>
  <c r="E9" i="25"/>
  <c r="I3" i="28"/>
  <c r="J3" i="2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<sst xmlns="http://schemas.openxmlformats.org/spreadsheetml/2006/main" count="46692" uniqueCount="5309">
  <si>
    <t>Numero Documento</t>
  </si>
  <si>
    <t>Fecha de Registro</t>
  </si>
  <si>
    <t>Fecha de Creacion</t>
  </si>
  <si>
    <t>Tipo de CDP</t>
  </si>
  <si>
    <t>Estado</t>
  </si>
  <si>
    <t>Dependencia</t>
  </si>
  <si>
    <t>Dependencia Descripcion</t>
  </si>
  <si>
    <t>Rubro</t>
  </si>
  <si>
    <t>Descripcion</t>
  </si>
  <si>
    <t>Fuente</t>
  </si>
  <si>
    <t>Recurso</t>
  </si>
  <si>
    <t>Sit</t>
  </si>
  <si>
    <t>Valor Inicial</t>
  </si>
  <si>
    <t>Valor Operaciones</t>
  </si>
  <si>
    <t>Valor Actual</t>
  </si>
  <si>
    <t>Saldo por Comprometer</t>
  </si>
  <si>
    <t>Objeto</t>
  </si>
  <si>
    <t>Solicitud CDP</t>
  </si>
  <si>
    <t>Compromisos</t>
  </si>
  <si>
    <t>Cuentas por Pagar</t>
  </si>
  <si>
    <t>Obligaciones</t>
  </si>
  <si>
    <t>Ordenes de Pago</t>
  </si>
  <si>
    <t>Reintegros</t>
  </si>
  <si>
    <t>125</t>
  </si>
  <si>
    <t>2025-01-10 00:00:00</t>
  </si>
  <si>
    <t>2025-01-10 11:06:00</t>
  </si>
  <si>
    <t>Gasto</t>
  </si>
  <si>
    <t>Generado</t>
  </si>
  <si>
    <t>923238</t>
  </si>
  <si>
    <t>C-3603-1300-20-20305C-3603025-02</t>
  </si>
  <si>
    <t>ADQUIS. DE BYS - SERVICIO DE FORMACIÓN PROFESIONAL INTEGRAL - FORTALECIMIENTO DE LA PRESTACIÓN DEL SERVICIO DE FORMACIÓN PROFESIONAL Y EL RECONOCIMIENTO DE SABERES PREVIOS CON ÉNFASIS EN POBLACIONES CAMPESINAS Y POPULARES EN COLOMBIA NACIONAL</t>
  </si>
  <si>
    <t>Nación</t>
  </si>
  <si>
    <t>RECURSOS CORRIENTES</t>
  </si>
  <si>
    <t>CSF</t>
  </si>
  <si>
    <t>0.00</t>
  </si>
  <si>
    <t>INSTRUCTOR. Contratar servicios profesionales y de apoyo a la gestión como instructor para el programa CampeSENA del centro industrial y de desarrollo empresarial de Soacha</t>
  </si>
  <si>
    <t>-0</t>
  </si>
  <si>
    <t>225</t>
  </si>
  <si>
    <t>2025-01-10 11:10:00</t>
  </si>
  <si>
    <t>MATERIALES FORMACION. Compra materiales para la formación programa CampeSENA</t>
  </si>
  <si>
    <t>325</t>
  </si>
  <si>
    <t>2025-01-10 11:14:00</t>
  </si>
  <si>
    <t>VIATICOS. Desplazamiento para impartir formación del programa campeSENA</t>
  </si>
  <si>
    <t>425</t>
  </si>
  <si>
    <t>2025-01-10 11:27:00</t>
  </si>
  <si>
    <t>923209</t>
  </si>
  <si>
    <t>CENTRO INDUSTRIAL Y DESARROLLO EMPRESARIAL DE SOACHA-CUNDINAMARCA - SALUD OCUPACIONAL.</t>
  </si>
  <si>
    <t>Propios</t>
  </si>
  <si>
    <t>INGRESOS CORRIENTES</t>
  </si>
  <si>
    <t>DOTACION. Contratar a monto agotable la compra de elementos de protección personal para funcionarios, trabajador oficial y brigada de emergencias del Centro Industrial y de Desarrollo Empresarial de Soacha</t>
  </si>
  <si>
    <t>525</t>
  </si>
  <si>
    <t>2025-01-10 11:31:00</t>
  </si>
  <si>
    <t>VIATICOS. Gastos de transporte de los apoyos para el encuentro de seguridad y salud en el trabajo</t>
  </si>
  <si>
    <t>625</t>
  </si>
  <si>
    <t>2025-01-10 11:39:00</t>
  </si>
  <si>
    <t>923210</t>
  </si>
  <si>
    <t>CENTRO INDUSTRIAL Y DESARROLLO DE SOACHA-CUNDINAMRCA</t>
  </si>
  <si>
    <t>C-3602-1300-11-20305C-3602031-02</t>
  </si>
  <si>
    <t>ADQUIS. DE BYS - SERVICIO DE FORMACIÓN PARA EL TRABAJO EN COMPETENCIAS PARA LA INSERCIÓN LABORAL - MEJORAMIENTO DE LAS COMPETENCIAS PARA LA EMPLEABILIDAD DE LA POBLACIÓN VÍCTIMA DEL DESPLAZAMIENTO FORZADO POR EL CONFLICTO ARMADO A NIVEL NACIONAL</t>
  </si>
  <si>
    <t>VIATICOS. Viáticos y gastos de viaje de instructores y equipo regional de Víctimas</t>
  </si>
  <si>
    <t>725</t>
  </si>
  <si>
    <t>2025-01-10 11:46:00</t>
  </si>
  <si>
    <t>MATERIALES FORMACION. Contratara monto agotable el suministro de materiales de formación para los programas de poblaciones vulnerables del Centro Industrial y Desarrollo Empresarial de Soacha</t>
  </si>
  <si>
    <t>825</t>
  </si>
  <si>
    <t>2025-01-10 11:54:00</t>
  </si>
  <si>
    <t>INSTRUCTOR. Contratar servicios profesionales y de apoyo a la gestión como instructor para el área de Desplazados del centro industrial y de desarrollo empresarial de Soacha</t>
  </si>
  <si>
    <t>925</t>
  </si>
  <si>
    <t>2025-01-10 11:56:00</t>
  </si>
  <si>
    <t>923211</t>
  </si>
  <si>
    <t>INTEGRACION CON LA MEDIA-CUND</t>
  </si>
  <si>
    <t>VIATICOS. Viáticos para atender las acciones de formación de articulación con la media</t>
  </si>
  <si>
    <t>1025</t>
  </si>
  <si>
    <t>2025-01-10 12:08:00</t>
  </si>
  <si>
    <t>SERVICIOS PERSONALES. Contratar la prestación de servicios profesionales carácter temporal para dirigir, controlar y evaluar las acciones de formación profesional integral que se ejecuten mediante alianzas y convenios con instituciones educativas del</t>
  </si>
  <si>
    <t>1125</t>
  </si>
  <si>
    <t>2025-01-10 12:34:00</t>
  </si>
  <si>
    <t>RENTAS PARAFISCALES</t>
  </si>
  <si>
    <t>MONITORES. Monitorias como estímulo a aprendices destacados según normativa de monitorias vigente.</t>
  </si>
  <si>
    <t>1225</t>
  </si>
  <si>
    <t>2025-01-10 13:07:00</t>
  </si>
  <si>
    <t>Con Compromiso</t>
  </si>
  <si>
    <t>SERVICIOS PUBLICOS. Pago de servicios públicos.</t>
  </si>
  <si>
    <t>1325</t>
  </si>
  <si>
    <t>2025-01-10 13:19:00</t>
  </si>
  <si>
    <t>C-3603-1300-20-20305C-3603025-08</t>
  </si>
  <si>
    <t>GTOS. POR TRIB., MULT., SANC. - SERVICIO DE FORMACIÓN PROFESIONAL INTEGRAL - FORTALECIMIENTO DE LA PRESTACIÓN DEL SERVICIO DE FORMACIÓN PROFESIONAL Y EL RECONOCIMIENTO DE SABERES PREVIOS CON ÉNFASIS EN POBLACIONES CAMPESINAS Y POPULARES EN COLOMBIA</t>
  </si>
  <si>
    <t>IMPUESTOS. Pago impuesto predial, impuesto de vehículo, otros impuestos.</t>
  </si>
  <si>
    <t>1425</t>
  </si>
  <si>
    <t>2025-01-10 13:39:00</t>
  </si>
  <si>
    <t>PAPELERIA. Contratar a monto agotable la compra de elementos de oficina y consumibles de impresión para el Centro Industrial y de Desarrollo Empresarial de Soacha</t>
  </si>
  <si>
    <t>1525</t>
  </si>
  <si>
    <t>2025-01-10 13:43:00</t>
  </si>
  <si>
    <t>OTROS MATERIALES Y SUMINISTROS. Contratar la Compra de tarjeta recargable canjeable por combustible (gasolina y diésel) en estaciones de servicio a nivel nacional en las denominaciones requeridas por la entidad para el aprovisionamiento de combustibl</t>
  </si>
  <si>
    <t>1625</t>
  </si>
  <si>
    <t>2025-01-10 13:48:00</t>
  </si>
  <si>
    <t>VIATICOS. Viáticos de funcionarios, gastos de viaje de contratistas y gastos de transporte (aeropuertos - intermunicipal)</t>
  </si>
  <si>
    <t>1725</t>
  </si>
  <si>
    <t>2025-01-10 13:52:00</t>
  </si>
  <si>
    <t>PROTECCION APRENDICES. Contratar a monto agotable la compra de elementos de protección personal para los aprendices del Centro Industrial y de Desarrollo Empresarial de Soacha</t>
  </si>
  <si>
    <t>1825</t>
  </si>
  <si>
    <t>2025-01-10 13:56:00</t>
  </si>
  <si>
    <t>OTROS RECURSOS DE TESORERIA</t>
  </si>
  <si>
    <t>NOMINA. Contratar la compra de tarjeta de consumo para la alimentación del trabajador oficial del Centro Industrial y de Desarrollo Empresarial de Soacha</t>
  </si>
  <si>
    <t>1925</t>
  </si>
  <si>
    <t>2025-01-10 14:01:00</t>
  </si>
  <si>
    <t>SERVICIOS PERSONALES. Contratar servicios profesionales y de apoyo a la gestión del área administrativa para el Centro Industrial y de Desarrollo Empresarial de Soacha.</t>
  </si>
  <si>
    <t>2025</t>
  </si>
  <si>
    <t>2025-01-10 14:05:00</t>
  </si>
  <si>
    <t>BIENESTAR APRENDICES. Vacunas aprendices.</t>
  </si>
  <si>
    <t>2125</t>
  </si>
  <si>
    <t>2025-01-10 14:54:00</t>
  </si>
  <si>
    <t>INSTRUCTOR. Contratar servicios profesionales y de apoyo a la gestión como instructor para el programa de articulación con la media del centro industrial y de desarrollo empresarial de Soacha.</t>
  </si>
  <si>
    <t>2225</t>
  </si>
  <si>
    <t>2025-01-10 14:58:00</t>
  </si>
  <si>
    <t>MATERIALES FORMACION. Compra de materiales para la formación programa articulación con la educación media.</t>
  </si>
  <si>
    <t>2325</t>
  </si>
  <si>
    <t>2025-01-10 15:49:00</t>
  </si>
  <si>
    <t>923218</t>
  </si>
  <si>
    <t>FONDO INDTRIA Y DE LA CONSTR FIC-CUND</t>
  </si>
  <si>
    <t>C-3603-1300-20-20305C-3603025-01</t>
  </si>
  <si>
    <t>GTOS. DE PERS. - SERVICIO DE FORMACIÓN PROFESIONAL INTEGRAL - FORTALECIMIENTO DE LA PRESTACIÓN DEL SERVICIO DE FORMACIÓN PROFESIONAL Y EL RECONOCIMIENTO DE SABERES PREVIOS CON ÉNFASIS EN POBLACIONES CAMPESINAS Y POPULARES EN COLOMBIA NACIONAL</t>
  </si>
  <si>
    <t>FONDOS ESPECIALES</t>
  </si>
  <si>
    <t>APOYO APRENDICES. Atender apoyos de sostenimiento FIC regular para los aprendices que cumplen con los requisitos de acuerdo con la normatividad vigente</t>
  </si>
  <si>
    <t>2425</t>
  </si>
  <si>
    <t>2025-01-10 15:54:00</t>
  </si>
  <si>
    <t>BIENESTAR APRENDICES. Gastos bienestar alumnos para la ejecución de las actividades del PNIBA de programas de FIC</t>
  </si>
  <si>
    <t>2525</t>
  </si>
  <si>
    <t>2025-01-10 16:01:00</t>
  </si>
  <si>
    <t>MATERIALES FORMACION. Compra materiales para la formación programa Placa Huella FIC</t>
  </si>
  <si>
    <t>2625</t>
  </si>
  <si>
    <t>2025-01-10 16:07:00</t>
  </si>
  <si>
    <t>MATERIALES FORMACION. Compra materiales para la formación programas FIC</t>
  </si>
  <si>
    <t>2725</t>
  </si>
  <si>
    <t>2025-01-10 16:19:00</t>
  </si>
  <si>
    <t>PROTECCION APRENDICES. Contratar a monto agotable la compra de elementos de protección para los aprendices del Centro Industrial y de Desarrollo Empresarial de Soacha.</t>
  </si>
  <si>
    <t>2825</t>
  </si>
  <si>
    <t>2025-01-10 16:24:00</t>
  </si>
  <si>
    <t>INSTRUCTOR. Contratar servicios profesionales y de apoyo a la gestión como instructor para el área de FIC-Fondo de la industria de la construcción del centro industrial y de desarrollo empresarial de Soacha.</t>
  </si>
  <si>
    <t>2925</t>
  </si>
  <si>
    <t>2025-01-10 17:09:00</t>
  </si>
  <si>
    <t>923227</t>
  </si>
  <si>
    <t>CENTRO INDUSTRIAL Y DESARROLLO EMPRESARIAL DE SOACHA-CUNDINAMARCA - MODERNIZACION AMBIENTES</t>
  </si>
  <si>
    <t>C-3603-1300-20-20305C-3603024-02</t>
  </si>
  <si>
    <t>ADQUIS. DE BYS - AMBIENTES DE FORMACIÓN MODERNIZADOS - FORTALECIMIENTO DE LA PRESTACIÓN DEL SERVICIO DE FORMACIÓN PROFESIONAL Y EL RECONOCIMIENTO DE SABERES PREVIOS CON ÉNFASIS EN POBLACIONES CAMPESINAS Y POPULARES EN COLOMBIA NACIONAL</t>
  </si>
  <si>
    <t>MANTENIMIENTO BIENES. Contratar el servicio de mantenimiento preventivo y correctivo a todo costo (con suministros, repuestos y mano de obra) para el parque automotor del Centro Industrial y de Desarrollo Empresarial de Soacha.</t>
  </si>
  <si>
    <t>3025</t>
  </si>
  <si>
    <t>2025-01-10 17:12:00</t>
  </si>
  <si>
    <t>MOBILIARIO. Compra de mobiliario que incluye mesas, sillas, armarios, bancos de trabajo, archivadores, escritorios, tableros, entre otros</t>
  </si>
  <si>
    <t>3125</t>
  </si>
  <si>
    <t>2025-01-10 17:17:00</t>
  </si>
  <si>
    <t>OTROS EQUIPOS. Compra de básculas para el pesaje de residuos</t>
  </si>
  <si>
    <t>3225</t>
  </si>
  <si>
    <t>2025-01-10 17:20:00</t>
  </si>
  <si>
    <t>SERVICIOS PERSONALES. Contratar la prestación de servicios profesionales y de apoyo a la gestión para el área de Tecnologías de la Información y las Comunicaciones (TIC) del centro industrial y de desarrollo empresarial de Soacha.</t>
  </si>
  <si>
    <t>3325</t>
  </si>
  <si>
    <t>2025-01-11 00:00:00</t>
  </si>
  <si>
    <t>2025-01-11 07:52:00</t>
  </si>
  <si>
    <t>923228</t>
  </si>
  <si>
    <t>CERTIFICACION COMPETENCIAS LABORALES-CENTRO INDUSTRIAL Y DE DESARROLLO EMPRESARIAL SOACHA</t>
  </si>
  <si>
    <t>C-3603-1300-20-20305C-3603033-02</t>
  </si>
  <si>
    <t>ADQUIS. DE BYS - SERVICIO DE EVALUACIÓN DE COMPETENCIAS LABORALES - FORTALECIMIENTO DE LA PRESTACIÓN DEL SERVICIO DE FORMACIÓN PROFESIONAL Y EL RECONOCIMIENTO DE SABERES PREVIOS CON ÉNFASIS EN POBLACIONES CAMPESINAS Y POPULARES EN COLOMBIA NACIONA</t>
  </si>
  <si>
    <t>ECCL SERVICIOS PERSONALES. Contratar la prestación de servicios de evaluadores que ejecutan el proceso de gestión de evaluación y certificación de competencias laborales en el Centro Industrial y de Desarrollo Empresarial de Soacha</t>
  </si>
  <si>
    <t>923284</t>
  </si>
  <si>
    <t>CENTRO INDUSTRIAL Y DESARROLLO EMPRESARIAL DE SOACHA-CUND, SENA EMPRENDE RURAL -ECONOMIA POPULAR</t>
  </si>
  <si>
    <t>923286</t>
  </si>
  <si>
    <t>CENTRO INDUSTRIAL Y DESARROLLO EMPRESAR DE SOACHA-CUND, CERTIFICAC COMPETENC LABORAL -ECONOM POPULAR</t>
  </si>
  <si>
    <t>3425</t>
  </si>
  <si>
    <t>2025-01-11 08:03:00</t>
  </si>
  <si>
    <t>VIATICOS. Viáticos y gastos de viaje para el desplazamiento de los actores que ejecutan el proceso de gestión de evaluación y certificación de competencias laborales del Centro Industrial y de Desarrollo Empresarial de Soacha</t>
  </si>
  <si>
    <t>3525</t>
  </si>
  <si>
    <t>2025-01-11 08:28:00</t>
  </si>
  <si>
    <t>SERVICIOS PERSONALES. Contratar la prestación de servicios profesionales /o de apoyo a la gestión de carácter temporal, para contribuir con el cumplimiento de las metas establecidas para el proceso de Evaluación y Certificación de Competencias Labora</t>
  </si>
  <si>
    <t>3625</t>
  </si>
  <si>
    <t>2025-01-11 08:44:00</t>
  </si>
  <si>
    <t>923242</t>
  </si>
  <si>
    <t>CENTRO INDUSTRIAL Y DESARROLLO EMPRESARIAL DE SOACHA-CUNDINAMARCA - BIENESTAR APRENDICES</t>
  </si>
  <si>
    <t>SERVICIOS PERSONALES. Contratar la prestación de servicios profesionales y de apoyo a la gestión para la implementación del plan de bienestar del centro industrial y de desarrollo empresarial de Soacha.</t>
  </si>
  <si>
    <t>3725</t>
  </si>
  <si>
    <t>2025-01-11 08:53:00</t>
  </si>
  <si>
    <t>923245</t>
  </si>
  <si>
    <t>CENTRO INDUSTRIAL Y DESARROLLO EMPRESARIAL DE SOACHA-CUNDINAMARCA - SERVICIOS PRESTADOS A LA FORMACI</t>
  </si>
  <si>
    <t>MATERIALES FORMACION. Contratar a monto agotable el suministro de materiales de formación y elementos de programas y estrategias misionales del Centro Industrial y de Desarrollo Empresarial de Soacha</t>
  </si>
  <si>
    <t>3825</t>
  </si>
  <si>
    <t>2025-01-11 09:03:00</t>
  </si>
  <si>
    <t>INSTRUCTOR. Contratar servicios profesionales y de apoyo a la gestión como instructor en las modalidades virtual y presencial de formación titulada y complementaria del centro industrial y de desarrollo empresarial de Soacha.</t>
  </si>
  <si>
    <t>3925</t>
  </si>
  <si>
    <t>2025-01-11 09:09:00</t>
  </si>
  <si>
    <t>923244</t>
  </si>
  <si>
    <t>CENTRO INDUSTRIAL Y DESARROLLO EMPRESARIAL DE SOACHA-CUNDINAMARCA - APOYOS DE SOSTENIMIENTO</t>
  </si>
  <si>
    <t>APOYO APRENDICES. Atender apoyos de sostenimiento regular para los aprendices que cumplen con los requisitos de acuerdo con la normatividad vigente</t>
  </si>
  <si>
    <t>4025</t>
  </si>
  <si>
    <t>2025-01-11 09:15:00</t>
  </si>
  <si>
    <t>4125</t>
  </si>
  <si>
    <t>2025-01-11 09:25:00</t>
  </si>
  <si>
    <t>VIATICOS. Viáticos de instructores para atender las acciones de formación de acuerdo con el comportamiento presupuestal del centro de formación.</t>
  </si>
  <si>
    <t>4225</t>
  </si>
  <si>
    <t>2025-01-11 09:38:00</t>
  </si>
  <si>
    <t>923285</t>
  </si>
  <si>
    <t>INSTRUCTOR. Contratar servicios profesionales y de apoyo a la gestión como instructor en formación titulada y complementaria ECONOMIA POPULAR del centro industrial y de desarrollo empresarial de Soacha.</t>
  </si>
  <si>
    <t>4325</t>
  </si>
  <si>
    <t>2025-01-11 09:46:00</t>
  </si>
  <si>
    <t>MATERIALES FORMACION. Contratar a monto agotable el suministro de materiales de formación y elementos de programas de Economía Popular del Centro Industrial y de Desarrollo Empresarial de Soacha</t>
  </si>
  <si>
    <t>4425</t>
  </si>
  <si>
    <t>2025-01-11 09:51:00</t>
  </si>
  <si>
    <t>VIATICOS. DFP - Viáticos y gastos de viaje para el cumplimiento de la formación titulada y complementaria de ECONOMIA POPULAR considerando los cupos totales.</t>
  </si>
  <si>
    <t>4525</t>
  </si>
  <si>
    <t>2025-01-11 10:10:00</t>
  </si>
  <si>
    <t>923290</t>
  </si>
  <si>
    <t>CENTRO INDUSTRIAL Y DESARROLLO EMPRESARIAL DE SOACHA-CUND., ACCIONES REGUL -ECONOM POPUL Y CAMPESINA</t>
  </si>
  <si>
    <t>SERVICIOS PERSONALES. Prestar los servicios de apoyo a la gestión como conductor del Aula Móvil, atendiendo los desplazamientos programados por la subdirección Centro Industrial y de Desarrollo Empresarial de Soacha y sus Coordinaciones.</t>
  </si>
  <si>
    <t>4625</t>
  </si>
  <si>
    <t>2025-01-11 10:18:00</t>
  </si>
  <si>
    <t>OTROS MATERIALES Y SUMINISTROS. Contratar la adquisición de materiales, insumos y servicios (con suministro de combustible, lubricantes, llantas, baterías, filtros, así como la cobertura de gastos asociados a parqueadero, lavado de vehículos, pago de</t>
  </si>
  <si>
    <t>4725</t>
  </si>
  <si>
    <t>2025-01-11 10:24:00</t>
  </si>
  <si>
    <t>MANTENIMIENTO BIENES. Contratar el servicio de mantenimiento preventivo y correctivo a todo costo (con suministros, repuestos y mano de obra), incluyendo la gestión de revisión técnico-mecánica, infraestructura y adecuación, la actualización o cambio</t>
  </si>
  <si>
    <t>4825</t>
  </si>
  <si>
    <t>2025-01-11 10:31:00</t>
  </si>
  <si>
    <t>VIATICOS FORMACION. Viáticos para conductor aula móvil.</t>
  </si>
  <si>
    <t>4925</t>
  </si>
  <si>
    <t>2025-01-11 10:36:00</t>
  </si>
  <si>
    <t>VIATICOS. Viáticos y gastos de viaje para Dinamizadores de oferta CampeSENA y Full Popular</t>
  </si>
  <si>
    <t>5025</t>
  </si>
  <si>
    <t>2025-01-11 10:45:00</t>
  </si>
  <si>
    <t>SERVICIOS PERSONALES. Contratar la prestación de servicios profesionales y de apoyo a la gestión para el programa de Economía Campesina</t>
  </si>
  <si>
    <t>5125</t>
  </si>
  <si>
    <t>2025-01-11 10:57:00</t>
  </si>
  <si>
    <t>BIENESTAR APRENDICES. Gastos bienestar alumnos para la ejecución de las actividades del PNIBA del Centro Industrial y de Desarrollo Empresarial de Soacha</t>
  </si>
  <si>
    <t>5225</t>
  </si>
  <si>
    <t>2025-01-11 11:04:00</t>
  </si>
  <si>
    <t>923234</t>
  </si>
  <si>
    <t>CENTRO INDUSTRIAL Y DESARROLLO EMPRESARIAL DE SOACHA-CUNDINAMARCA - PRODUCCION CENTROS</t>
  </si>
  <si>
    <t>MANTENIMIENTO BIENES. Mantenimiento de bienes muebles, enseres, maquinaria, equipo, transportes y software para atención de proyectos de Producción de Centros</t>
  </si>
  <si>
    <t>5325</t>
  </si>
  <si>
    <t>2025-01-11 11:09:00</t>
  </si>
  <si>
    <t>MATERIALES FORMACIÓN. Materiales e insumo para atención de proyectos de Producción de Centros.</t>
  </si>
  <si>
    <t>5425</t>
  </si>
  <si>
    <t>2025-01-11 11:53:00</t>
  </si>
  <si>
    <t>923224</t>
  </si>
  <si>
    <t>C INDUSTRIAL Y DESARROLLO EMPRESARIAL DE SOACHA - CONSTRUCCIONES Y ADECUACIONES</t>
  </si>
  <si>
    <t>C-3699-1300-15-53105B-3699009-02</t>
  </si>
  <si>
    <t>ADQUIS. DE BYS - SEDES CONSTRUIDAS - FORTALECIMIENTO DE LA INFRAESTRUCTURA FISICA DEL SENA A NIVEL NACIONAL</t>
  </si>
  <si>
    <t>SERVICIOS PERSONALES. Contratar servicios profesionales y de apoyo a la gestión del área de infraestructura para el Centro Industrial y de Desarrollo Empresarial de Soacha.</t>
  </si>
  <si>
    <t>825, 1125, 1425</t>
  </si>
  <si>
    <t>5525</t>
  </si>
  <si>
    <t>2025-01-11 12:01:00</t>
  </si>
  <si>
    <t>C-3699-1300-15-53105B-3699011-02</t>
  </si>
  <si>
    <t>ADQUIS. DE BYS - SEDES ADECUADAS - FORTALECIMIENTO DE LA INFRAESTRUCTURA FISICA DEL SENA A NIVEL NACIONAL</t>
  </si>
  <si>
    <t>ADECUACIONES. REALIZAR ADECUACIONES A TODO COSTO, INCLUYENDO SUMINISTRO DE MATERIALES, MANO DE OBRA Y SERVICIOS TÉCNICOS, PARA LAS ADECUACIONES DE ESPACIOS EN LA INFRAESTRUCTURA DE LA SEDE “CIUDAD VERDE” DEL CENTRO INDUSTRIAL Y DE DESARROLLO EMPRESAR</t>
  </si>
  <si>
    <t>5625</t>
  </si>
  <si>
    <t>2025-01-11 13:26:00</t>
  </si>
  <si>
    <t>C-3699-1300-15-53105B-3699016-02</t>
  </si>
  <si>
    <t>ADQUIS. DE BYS - SEDES MANTENIDAS - FORTALECIMIENTO DE LA INFRAESTRUCTURA FISICA DEL SENA A NIVEL NACIONAL</t>
  </si>
  <si>
    <t>MANTENIMIENTO INMUEBLES. Contratar el mantenimiento preventivo y correctivo de las motobombas y de la red hidráulica, red sanitaria, y de alcantarillado, redes hidráulicas y redes de acueducto, que incluya la limpieza, inspección, reparación de tuber</t>
  </si>
  <si>
    <t>5725</t>
  </si>
  <si>
    <t>2025-01-11 13:49:00</t>
  </si>
  <si>
    <t>MANTENIMIENTO INMUEBLES. CONTRATAR A MONTO AGOTABLE EL SUMINISTRO DE MATERIALES DE FERRETERÍA PARA EL CENTRO INDUSTRIAL Y DE DESARROLLO EMPRESARIAL DE SOACHA</t>
  </si>
  <si>
    <t>5825</t>
  </si>
  <si>
    <t>2025-01-11 14:23:00</t>
  </si>
  <si>
    <t>MANTENIMIENTO INMUEBLES. Contratar a todo costo el servicio de mantenimiento preventivo y correctivo de las plantas eléctricas y redes, asegurando el adecuado funcionamiento durante los cortes de energía, incluyendo pruebas de carga, limpieza de comp</t>
  </si>
  <si>
    <t>5925</t>
  </si>
  <si>
    <t>2025-01-11 14:38:00</t>
  </si>
  <si>
    <t>MANTENIMIENTO INMUEBLES. Contratar el servicio de mantenimiento preventivo y correctivo de las instalaciones solares fotovoltaicas, que incluye la limpieza de paneles solares, revisión de inversores, conexiones y baterías, asegurando el óptimo rendim</t>
  </si>
  <si>
    <t>6025</t>
  </si>
  <si>
    <t>2025-01-11 14:53:00</t>
  </si>
  <si>
    <t>MANTENIMIENTO INMUEBLES. CONTRATAR A MONTO AGOTABLE EL SERVICIO INTEGRAL DE SANEAMIENTO AMBIENTAL (FUMIGACIÓN, CONTROL DE ROEDORES, MANTENIMIENTO Y LAVADO DE TANQUE DE ALMACENAMIENTO DE AGUA POTABLE, PODA Y TALA SANITARIA DE ÁRBOLES) PARA LAS SEDES D</t>
  </si>
  <si>
    <t>6125</t>
  </si>
  <si>
    <t>2025-01-11 14:58:00</t>
  </si>
  <si>
    <t>MANTENIMIENTO INMUEBLES. Contratar a todo costo la impermeabilización y la construcción de cárcamos para el piso del cuarto de residuos</t>
  </si>
  <si>
    <t>6225</t>
  </si>
  <si>
    <t>2025-01-11 15:04:00</t>
  </si>
  <si>
    <t>MANTENIMIENTO INMUEBLES. Contratar a todo costo el mantenimiento y reparación de las cubiertas del Centro Industrial y de Desarrollo Empresarial de Soacha.</t>
  </si>
  <si>
    <t>6325</t>
  </si>
  <si>
    <t>2025-01-11 15:11:00</t>
  </si>
  <si>
    <t>MANTENIMIENTO INMUEBLES. Contratar el servicio de mantenimiento preventivo y correctivo de ascensores, incluyendo la revisión de componentes eléctricos y mecánicos, lubricación, ajustes, y reparación o reemplazo de piezas necesarias, con el fin de ga</t>
  </si>
  <si>
    <t>6425</t>
  </si>
  <si>
    <t>2025-01-11 15:17:00</t>
  </si>
  <si>
    <t>MANTENIMIENTO INMUEBLES. Contratación del servicio de mantenimiento preventivo y correctivo de los sistemas de extracción de humos, que incluye la limpieza de ductos, ventiladores y filtros, así como la inspección de motores y controladores, para gar</t>
  </si>
  <si>
    <t>6525</t>
  </si>
  <si>
    <t>2025-01-11 15:24:00</t>
  </si>
  <si>
    <t>MANTENIMIENTO INMUEBLES. Contratar a todo costo el servicio de mantenimiento preventivo y correctivo de las redes contra incendios, incluyendo la inspección y reparación de sistemas de tuberías, válvulas, rociadores y equipos relacionados, para garan</t>
  </si>
  <si>
    <t>6625</t>
  </si>
  <si>
    <t>2025-01-11 15:31:00</t>
  </si>
  <si>
    <t>MANTENIMIENTO INMUEBLES. Contratar el servicio de mantenimiento de cuarto de almacenamiento para las sedes del Centro Industrial y de Desarrollo Empresarial de Soacha</t>
  </si>
  <si>
    <t>6725</t>
  </si>
  <si>
    <t>2025-01-11 15:40:00</t>
  </si>
  <si>
    <t>MANTENIMIENTO INMUEBLES. Contratar el servicio integral para el cumplimiento del Plan de Emergencias del Centro Industrial y de Desarrollo Empresarial de Soacha</t>
  </si>
  <si>
    <t>6825</t>
  </si>
  <si>
    <t>2025-01-11 15:52:00</t>
  </si>
  <si>
    <t>ADECUACIONES. Pago del permiso requerido para la instalación y mantenimiento de publicidad exterior visual en las instalaciones del Centro Industrial y de Desarrollo Empresarial de Soacha</t>
  </si>
  <si>
    <t>6925</t>
  </si>
  <si>
    <t>2025-01-24 00:00:00</t>
  </si>
  <si>
    <t>2025-01-24 15:13:00</t>
  </si>
  <si>
    <t>OTROS EQUIPOS. Asignación de recursos para dotación de ambientes convencionales de formación, áreas administrativas y de bienestar de la subsede de Guachetá-Cundinamarca</t>
  </si>
  <si>
    <t>Situacion</t>
  </si>
  <si>
    <t>Saldo por Utilizar</t>
  </si>
  <si>
    <t>Tipo Identificacion</t>
  </si>
  <si>
    <t>Identificacion</t>
  </si>
  <si>
    <t>Nombre Razon Social</t>
  </si>
  <si>
    <t>Medio de Pago</t>
  </si>
  <si>
    <t>Tipo Cuenta</t>
  </si>
  <si>
    <t>Numero Cuenta</t>
  </si>
  <si>
    <t>Estado Cuenta</t>
  </si>
  <si>
    <t>Entidad Nit</t>
  </si>
  <si>
    <t>Entidad Descripcion</t>
  </si>
  <si>
    <t>CDP</t>
  </si>
  <si>
    <t>Fecha Documento Soporte</t>
  </si>
  <si>
    <t>Tipo Documento Soporte</t>
  </si>
  <si>
    <t>Numero Documento Soporte</t>
  </si>
  <si>
    <t>Observaciones</t>
  </si>
  <si>
    <t>2025-01-14 00:00:00</t>
  </si>
  <si>
    <t>2025-01-14 19:48:33</t>
  </si>
  <si>
    <t>Con Obligacion</t>
  </si>
  <si>
    <t>695,250.00</t>
  </si>
  <si>
    <t>NIT</t>
  </si>
  <si>
    <t>ENEL COLOMBIA S.A E.S.P</t>
  </si>
  <si>
    <t>Abono en cuenta</t>
  </si>
  <si>
    <t>Ahorro</t>
  </si>
  <si>
    <t>90060000410</t>
  </si>
  <si>
    <t>Activa</t>
  </si>
  <si>
    <t>860050750</t>
  </si>
  <si>
    <t>BANCO GNB SUDAMERIS S A</t>
  </si>
  <si>
    <t>10192925</t>
  </si>
  <si>
    <t>FACTURA</t>
  </si>
  <si>
    <t>0281635-0</t>
  </si>
  <si>
    <t>SERVICIOS PUBLICOS: pago de servicio de ENERGIA del Altico del Centro Industrial y Desarrollo Empresarial ubicada en la calle 3 # 3-20 bodega 2, periodo facturado 1 de diciembre 2024 al 2 de enero de 2025, Fecha Límite de Pago 16 de Enero de 2025.</t>
  </si>
  <si>
    <t>2025-01-14 20:06:27</t>
  </si>
  <si>
    <t>EMPRESA DE TELECOMUNICACIONES DE BOGOTA SA ESP PUDIENDO IDENTIFICARSE PARA TODOS LOS EFECTOS CON LA SIGLA ETB S.A. E.S.P.</t>
  </si>
  <si>
    <t>Corriente</t>
  </si>
  <si>
    <t>0020936509</t>
  </si>
  <si>
    <t>860051135</t>
  </si>
  <si>
    <t>CITIBANK COLOMBIA</t>
  </si>
  <si>
    <t>FC 001000143343</t>
  </si>
  <si>
    <t>SERVICIOS PUBLICOS: Pago de servicio de Telefonía de la sede el Altico del Centro Industrial y Desarrollo Empresarial de Soacha ubicada en la calle 3 # 3-20 Bodega 2, periodo facturado 1 a 31 DICIEMBRE de 2024 Fecha Límite de Pago 27 de Enero de 2025</t>
  </si>
  <si>
    <t>2025-01-14 20:16:54</t>
  </si>
  <si>
    <t>FC 001000133451</t>
  </si>
  <si>
    <t>SERVICIOS PUBLICOS: Pago de servicio de Telefonía de la sede Soacha del Centro Industrial y Desarrollo Empresarial de Soacha ubicada en la calle 13 # 10-63 periodo facturado 1 al 31 de DICIEMBRE, Fecha Límite de Pago: 27 de Enero de 2025</t>
  </si>
  <si>
    <t>2025-01-14 20:24:20</t>
  </si>
  <si>
    <t>4,390.00</t>
  </si>
  <si>
    <t>VANTI S.A ESP</t>
  </si>
  <si>
    <t>17800000434</t>
  </si>
  <si>
    <t>890903938</t>
  </si>
  <si>
    <t>BANCOLOMBIA S.A.</t>
  </si>
  <si>
    <t>F15B24227517</t>
  </si>
  <si>
    <t>SERVICIOS PUBLICOS: Pago del servicio de GAS NATURAL de la sede Soacha del Centro Industrial y Desarrollo Empresarial de Soacha ubicada en la calle 13 # 10-63, Periodo facturado NOVIEMBRE – DICIEMBRE 2024, Fecha Límite de Pago: 30 de Enero de 2025</t>
  </si>
  <si>
    <t>2025-01-14 20:36:03</t>
  </si>
  <si>
    <t>2,262,280.00</t>
  </si>
  <si>
    <t>7833669-1</t>
  </si>
  <si>
    <t>SERVICIOS PUBLICOS: Pago del servicio de ENERGIA de la sede Ciudad Verde del Centro Industrial y Desarrollo Empresarial de Soacha ubicada en la carrera 36 #17-186, Periodo facturado 5 Dic 2024 a 4 Ene de 2025, Fecha Límite de Pago: 20 de Ene 2025</t>
  </si>
  <si>
    <t>2025-01-16 00:00:00</t>
  </si>
  <si>
    <t>2025-01-16 17:37:58</t>
  </si>
  <si>
    <t>Cédula de Ciudadanía</t>
  </si>
  <si>
    <t>BELLO MORERA LEONELA</t>
  </si>
  <si>
    <t>266000310711</t>
  </si>
  <si>
    <t>860034313</t>
  </si>
  <si>
    <t>BANCO DAVIVIENDA S.A.</t>
  </si>
  <si>
    <t>CONTRATO DE PRESTACION DE SERVICIOS - PROFESIONALES</t>
  </si>
  <si>
    <t>CO1.PCCNTR.7257116</t>
  </si>
  <si>
    <t>Prestar servicios profesionales especializados en derecho, para el desarrollo y apoyo integral en la gestión contractual y convencional del Centro Industrial y de Desarrollo Empresarial de Soacha, incluyendo la proyección, revisión, y seguimiento de</t>
  </si>
  <si>
    <t>2025-01-16 18:30:11</t>
  </si>
  <si>
    <t>SANCHEZE MUNOZ NICOL VALENTINA</t>
  </si>
  <si>
    <t>466670012908</t>
  </si>
  <si>
    <t>CONTRATO DE PRESTACION DE SERVICIOS</t>
  </si>
  <si>
    <t>CO1.PCCNTR.7257912</t>
  </si>
  <si>
    <t>Prestación de servicios personales como apoyo en las actividades asistenciales/operativas, que implica la gestión contractual y convencional del Centro de Formacion</t>
  </si>
  <si>
    <t>2025-01-16 18:57:15</t>
  </si>
  <si>
    <t>NUÑEZ LAVERDE OSCAR DANIEL</t>
  </si>
  <si>
    <t>65902598981</t>
  </si>
  <si>
    <t>CO1.PCCNTR.7257408</t>
  </si>
  <si>
    <t>PRESTAR LOS SERVICIOS PROFESIONALES, APOYANDO LOS PROCESOS ADMINISTRATIVOS DE LAS ACTIVIDADES RELACIONADAS CON EL MANTENIMIENTO, ADECUACIÓN, AMPLIACIÓN Y MODERNIZACIÓN DE LAS EDIFICACIONES DEL SENA A CARGO DE LOS CENTROS DE FORMACIÓN Y DESPACHOS DE D</t>
  </si>
  <si>
    <t>2025-01-16 19:04:04</t>
  </si>
  <si>
    <t>LOPEZ RODRIGUEZ LAURA</t>
  </si>
  <si>
    <t>1562044056</t>
  </si>
  <si>
    <t>860034594</t>
  </si>
  <si>
    <t>SCOTIABANK COLPATRIA SA</t>
  </si>
  <si>
    <t>CO1.PCCNTR.7257612</t>
  </si>
  <si>
    <t>Prestar los servicios profesionales para apoyar la formulación, gestión y seguimiento de las políticas, estrategias, procesos, planes, programas y proyectos del centro de formación, en cumplimiento de las funciones que competen al Centro de formación</t>
  </si>
  <si>
    <t>2025-01-16 19:19:32</t>
  </si>
  <si>
    <t>CASTRO CORTINA MANUEL FERNANDO</t>
  </si>
  <si>
    <t>24130898971</t>
  </si>
  <si>
    <t>860007335</t>
  </si>
  <si>
    <t>BANCO CAJA SOCIAL S.A.</t>
  </si>
  <si>
    <t>CO1.PCCNTR.7257465</t>
  </si>
  <si>
    <t>Prestar los servicios profesionales para la implementación, mantenimiento, seguimiento y mejora del Modelo de Operación del SIGA compuesto por el Modelo integrado de Planeación y Gestión- MIPG, Modelo Estándar de Control Interno-MECI, Sistema de Gest</t>
  </si>
  <si>
    <t>2025-01-16 19:34:35</t>
  </si>
  <si>
    <t>PEDROZA CACERES ERIKA LILIANA</t>
  </si>
  <si>
    <t>005000237445</t>
  </si>
  <si>
    <t>CO1.PCCNTR.7257685</t>
  </si>
  <si>
    <t>Prestar servicios para apoyar el monitoreo, gestión y fortalecimiento de los Sistemas de Gestión Ambiental (ISO 14001) y de Eficiencia Energética (ISO 50001) como Dinamizador Ambiental y Energético, en el Centro Industrial y de Desarrollo Empresarial</t>
  </si>
  <si>
    <t>2025-01-16 21:25:08</t>
  </si>
  <si>
    <t>BELTRAN RODRIGUEZ LAURA TATIANA</t>
  </si>
  <si>
    <t>0883150385</t>
  </si>
  <si>
    <t>860003020</t>
  </si>
  <si>
    <t>BANCO BILBAO VIZCAYA ARGENTARIA COLOMBIA S.A. BBVA</t>
  </si>
  <si>
    <t>CO1.PCCNTR.7258341</t>
  </si>
  <si>
    <t>Prestar los servicios profesionales de carácter temporal contribuyendo con su gestión en la articulación institucional de los servicios dirigidos a las poblaciones campesinas y trabajadores de la economía popular, en los municipios, corregimientos y</t>
  </si>
  <si>
    <t>2025-01-16 21:58:49</t>
  </si>
  <si>
    <t>GRANADOS ROMERO JULIE ASTRID</t>
  </si>
  <si>
    <t>111160363399</t>
  </si>
  <si>
    <t>BANCO FALABELLA S A</t>
  </si>
  <si>
    <t>CO1.PCCNTR.7258701</t>
  </si>
  <si>
    <t>Prestar servicios profesionales para apoyar y optimizar las actividades de planificación, diseño, ejecución, gestión, integración, operación, monitoreo y mejora continua de los servicios tecnológicos en el ámbito de las TIC.</t>
  </si>
  <si>
    <t>2025-01-16 22:07:08</t>
  </si>
  <si>
    <t>DIAZ BURITICA LEIDY MARCELA</t>
  </si>
  <si>
    <t>63440868349</t>
  </si>
  <si>
    <t>PRESTAR LOS SERVICIOS PROFESIONALES, APOYANDO LA ESTRUCTURACIÓN, FORMULACIÓN, EJECUCIÓN Y SEGUIMIENTO DE LOS PROYECTOS RELACIONADOS CON EL MANTENIMIENTO, ADECUACIÓN, AMPLIACIÓN Y MODERNIZACIÓN DE LAS EDIFICACIONES DE LA ENTIDAD, ASI COMO DE LAS NUEVA</t>
  </si>
  <si>
    <t>2025-01-16 22:12:22</t>
  </si>
  <si>
    <t>CALIXTO PABON DANIEL STIVEN</t>
  </si>
  <si>
    <t>24082422615</t>
  </si>
  <si>
    <t>CO1.PCCNTR.7259431</t>
  </si>
  <si>
    <t>Prestar servicios personales de apoyo a la gestión, facilitando la ejecución de actividades técnicas, así como la implementación y configuración de soluciones tecnológicas para los usuarios de la infraestructura tecnológica de la entidad.</t>
  </si>
  <si>
    <t>2025-01-16 22:20:28</t>
  </si>
  <si>
    <t>SANCHEZ BEJARANO ANDRES CAMILO</t>
  </si>
  <si>
    <t>488423979498</t>
  </si>
  <si>
    <t>CO1.PCCNTR.7259146</t>
  </si>
  <si>
    <t>2025-01-16 22:28:00</t>
  </si>
  <si>
    <t>VELANDIA CIFUENTES JOSE EDICSON</t>
  </si>
  <si>
    <t>009548892</t>
  </si>
  <si>
    <t>860002964</t>
  </si>
  <si>
    <t>BANCO DE BOGOTA</t>
  </si>
  <si>
    <t>CO1.PCCNTR.7259168</t>
  </si>
  <si>
    <t>2025-01-22 00:00:00</t>
  </si>
  <si>
    <t>2025-01-22 13:27:29</t>
  </si>
  <si>
    <t>BOLIVAR LATORRE DIANA YADIRA</t>
  </si>
  <si>
    <t>272245820</t>
  </si>
  <si>
    <t>CO1.PCCNTR.7296146</t>
  </si>
  <si>
    <t>SERVICIOS PERSONALES. Prestar servicios de apoyo a la gestión de carácter temporal y con plena autonomía para apoyar la gestión de la Coordinación de Formación Profesional Integral del Centro Industrial y de Desarrollo Empresarial de Soacha, garantiz</t>
  </si>
  <si>
    <t>2025-01-24 15:56:48</t>
  </si>
  <si>
    <t>F15B24227272</t>
  </si>
  <si>
    <t>SERVICIOS PUBLICOS: Pago de servicio de GAS NATURAL sede La Colonia del Centro Industrial y de Desarrollo Empresarial ubicada en el municipio de Sibaté, periodo de pago 20 de NOVIEMBRE a 24 de DICIEMBRE, Fecha Límite de Pago: 30 de enero de 2025</t>
  </si>
  <si>
    <t>2025-01-24 16:14:47</t>
  </si>
  <si>
    <t>26,070.00</t>
  </si>
  <si>
    <t>EMPRESA DE ACUEDUCTO Y ALCANTARILLADO DE BOGOTA - ESP</t>
  </si>
  <si>
    <t>007900287975</t>
  </si>
  <si>
    <t>000011329825</t>
  </si>
  <si>
    <t>SERVICIOS PUBLICOS: Pago de servicios de ACUEDUCTO Y ALCANTARILLADO en la sede ALTICO del Centro Industrial y de Desarrollo Empresarial ubicada en el municipio de Soacha, periodo facturado 27 de NOVIEMBRE a 26 de DICIEMBRE de 2024. Pago: 5 de Febrero</t>
  </si>
  <si>
    <t>2025-01-24 16:20:44</t>
  </si>
  <si>
    <t>1,327,160.00</t>
  </si>
  <si>
    <t>40687493318</t>
  </si>
  <si>
    <t>SERVICIOS PUBLICOS: Pago de servicios de ACUEDUCTO Y ALCANTARILLADO en la sede PRINCIPAL del Centro Industrial y de Desarrollo Empresarial ubicada en el municipio de Soacha, periodo facturado 27 de NOV al 26 de DIC de 2024, Fecha pago: Inmediato</t>
  </si>
  <si>
    <t>Fecha de pago</t>
  </si>
  <si>
    <t>Valor Bruto</t>
  </si>
  <si>
    <t>Valor Deducciones</t>
  </si>
  <si>
    <t>Valor Neto</t>
  </si>
  <si>
    <t>Vigencia Presupuestal</t>
  </si>
  <si>
    <t>Valor Pesos</t>
  </si>
  <si>
    <t>Valor Moneda</t>
  </si>
  <si>
    <t>Valor Reintegrado Pesos</t>
  </si>
  <si>
    <t>Valor Reintegrado Moneda</t>
  </si>
  <si>
    <t>Tesoreria Pagadora</t>
  </si>
  <si>
    <t>Identificacion Pagaduria</t>
  </si>
  <si>
    <t>Cuenta Pagaduria</t>
  </si>
  <si>
    <t>Endosada</t>
  </si>
  <si>
    <t>Razon social</t>
  </si>
  <si>
    <t>Concepto Pago</t>
  </si>
  <si>
    <t>Fecha Cuentas por Pagar</t>
  </si>
  <si>
    <t>Fecha Doc Soporte Compromiso</t>
  </si>
  <si>
    <t>Tipo Doc Soporte Compromiso</t>
  </si>
  <si>
    <t>Num Doc Soporte Compromiso</t>
  </si>
  <si>
    <t>Objeto del Compromiso</t>
  </si>
  <si>
    <t>Pagada</t>
  </si>
  <si>
    <t>Actual</t>
  </si>
  <si>
    <t>13-01-01-DT</t>
  </si>
  <si>
    <t>No</t>
  </si>
  <si>
    <t>PAGO CORRESPONDIENTE AL SERVICIO DE ENERGÍA ELÉCTRICA DE LA SEDE "EL ALTICO" SOACHA, POR EL PERÍODO COMPRENDIDO ENTRE EL 01 DE DICIEMBRE DE 2024 AL 02 DE ENERO DE 2025.</t>
  </si>
  <si>
    <t>Anulada</t>
  </si>
  <si>
    <t>PAGO CORRESPONDIENTE AL SERVICIO DE ENERGÍA ELÉCTRICA DE LA SEDE PRINCIPAL DEL MUNICIPIO DE SOACHA, POR EL PERÍODO COMPRENDIDO ENTRE EL 05 DE DICIEMBRE DE 2024 Y EL 4 DE ENERO DE 2025</t>
  </si>
  <si>
    <t>PAGO CORRESPONDIENTE AL SERVICIO DE ENERGÍA ELÉCTRICA DE LA SEDE CIUDAD VERDE SOACHA, POR EL PERÍODO COMPRENDIDO ENTRE EL 5 DE DICIEMBRE DE 2024 Y EL 4 DE ENERO DE 2025.</t>
  </si>
  <si>
    <t>CODIGO CDP</t>
  </si>
  <si>
    <t>VALOR ACTUAL</t>
  </si>
  <si>
    <t>125-923238-N</t>
  </si>
  <si>
    <t>225-923238-N</t>
  </si>
  <si>
    <t>325-923238-N</t>
  </si>
  <si>
    <t>825-923210-N</t>
  </si>
  <si>
    <t>925-923211-N</t>
  </si>
  <si>
    <t>1025-923211-N</t>
  </si>
  <si>
    <t>1225-923210-P</t>
  </si>
  <si>
    <t>1625-923210-N</t>
  </si>
  <si>
    <t>1925-923210-N</t>
  </si>
  <si>
    <t>2125-923211-N</t>
  </si>
  <si>
    <t>3225-923227-N</t>
  </si>
  <si>
    <t>3325-923228-N</t>
  </si>
  <si>
    <t>3425-923228-N</t>
  </si>
  <si>
    <t>3525-923228-N</t>
  </si>
  <si>
    <t>3625-923242-N</t>
  </si>
  <si>
    <t>3825-923245-N</t>
  </si>
  <si>
    <t>4225-923285-N</t>
  </si>
  <si>
    <t>4425-923285-N</t>
  </si>
  <si>
    <t>4525-923290-N</t>
  </si>
  <si>
    <t>4925-923290-N</t>
  </si>
  <si>
    <t>5025-923290-N</t>
  </si>
  <si>
    <t>5425-923224-P</t>
  </si>
  <si>
    <t>LLAVE (cdp, crp, op)</t>
  </si>
  <si>
    <t>CRPs</t>
  </si>
  <si>
    <t>##########</t>
  </si>
  <si>
    <t>Disponible</t>
  </si>
  <si>
    <t>Restante</t>
  </si>
  <si>
    <t>Total gastos</t>
  </si>
  <si>
    <t>Total</t>
  </si>
  <si>
    <t>CODIGO CRP</t>
  </si>
  <si>
    <t>125-10-P</t>
  </si>
  <si>
    <t>225-10-P</t>
  </si>
  <si>
    <t>325-10-P</t>
  </si>
  <si>
    <t>425-10-P</t>
  </si>
  <si>
    <t>525-10-P</t>
  </si>
  <si>
    <t>625-10-N</t>
  </si>
  <si>
    <t>725-10-N</t>
  </si>
  <si>
    <t>825-24-P</t>
  </si>
  <si>
    <t>925-10-N</t>
  </si>
  <si>
    <t>1025-10-N</t>
  </si>
  <si>
    <t>1125-24-P</t>
  </si>
  <si>
    <t>1225-90-N</t>
  </si>
  <si>
    <t>1325-27-N</t>
  </si>
  <si>
    <t>1425-24-P</t>
  </si>
  <si>
    <t>1525-27-N</t>
  </si>
  <si>
    <t>1625-27-N</t>
  </si>
  <si>
    <t>1725-27-N</t>
  </si>
  <si>
    <t>1825-10-N</t>
  </si>
  <si>
    <t>1925-10-P</t>
  </si>
  <si>
    <t>2025-10-P</t>
  </si>
  <si>
    <t>2125-10-P</t>
  </si>
  <si>
    <t>CODIGO OP</t>
  </si>
  <si>
    <t>Fecha de Consumo</t>
  </si>
  <si>
    <t>Valor Consumo</t>
  </si>
  <si>
    <t>Total Actual Aprobado</t>
  </si>
  <si>
    <t>Saldo Disponible Antes</t>
  </si>
  <si>
    <t>Saldo Disponible despues</t>
  </si>
  <si>
    <t>CRP</t>
  </si>
  <si>
    <t>__PowerAppsId__</t>
  </si>
  <si>
    <t>12/02/2025</t>
  </si>
  <si>
    <t>2d6e8ebc-c9f3-4cbf-acb4-97c648bc3ad8</t>
  </si>
  <si>
    <t>c8df3013-be3a-4738-a368-a76a0dc01846</t>
  </si>
  <si>
    <t>c2cad55a-edb2-446d-bf21-30086cd41bfd</t>
  </si>
  <si>
    <t>apps</t>
  </si>
  <si>
    <t>user</t>
  </si>
  <si>
    <t>Grafica 1</t>
  </si>
  <si>
    <t>VALOR TOTAL ASIGANADO AL CENTRO</t>
  </si>
  <si>
    <t>se refiere al valor total que se aprobo para el centro, ademas de mostrar el disponible que no se asignado a ningun CDP</t>
  </si>
  <si>
    <t>Grafica 2</t>
  </si>
  <si>
    <t>DISPONIBLE PARA COMPROMETER CDP</t>
  </si>
  <si>
    <t>Se refiere a el valor total que queda actualmente sin comprometer</t>
  </si>
  <si>
    <t>Grafica 3</t>
  </si>
  <si>
    <t>RESTANTE DE CRP</t>
  </si>
  <si>
    <t>Se refiere a el valor que aun no se ha utilizado de el valor asignado inicialmente</t>
  </si>
  <si>
    <t>Label</t>
  </si>
  <si>
    <t>valor actual cdp</t>
  </si>
  <si>
    <t>Valor Acual CDP</t>
  </si>
  <si>
    <t>aa163e20-4136-4fc0-922c-e63c95c4544e</t>
  </si>
  <si>
    <t>valor actual crp</t>
  </si>
  <si>
    <t>Valor Acual CRPS</t>
  </si>
  <si>
    <t>1ee1cecd-a79f-435e-bf43-2c2e7d94f801</t>
  </si>
  <si>
    <t>saldo por utilizar</t>
  </si>
  <si>
    <t>Columna1</t>
  </si>
  <si>
    <t>Valor Acual CRP</t>
  </si>
  <si>
    <t>c64ac04f-18bc-4113-b9a2-f827f193e3b7</t>
  </si>
  <si>
    <t>ORDENES PAGO</t>
  </si>
  <si>
    <t>409c67c0-7bcc-4f0d-8f1e-6f40543b6ce9</t>
  </si>
  <si>
    <t>SUMA</t>
  </si>
  <si>
    <t>CDP USUARIO</t>
  </si>
  <si>
    <t>eca1ffd7-d1cb-418b-b1a8-1aaff306e82c</t>
  </si>
  <si>
    <t>f0ee69a6-1945-4772-99d9-222c189883ad</t>
  </si>
  <si>
    <t>f0ee69a6-1836-4772-99d9-112c182343ad</t>
  </si>
  <si>
    <t>CRP USUARIO</t>
  </si>
  <si>
    <t>9918040f-c797-45ba-b1ab-c9d3587882f3</t>
  </si>
  <si>
    <t>NUMERO DEPENDENCIA</t>
  </si>
  <si>
    <t>DESCRIPCION</t>
  </si>
  <si>
    <t>CÓDIGO RUBRO</t>
  </si>
  <si>
    <t>DESCRIPCIÓN RUBRO</t>
  </si>
  <si>
    <t/>
  </si>
  <si>
    <t>CENTRO INDUSTRIAL Y DESARROLLO EMPRESARIAL DE SOACHA-CUNDINAMARCA - ECONOMIA CAMPESINA Y SER</t>
  </si>
  <si>
    <t>3425, 3525</t>
  </si>
  <si>
    <t>30825</t>
  </si>
  <si>
    <t>CENTRO INDUSTRIAL Y DESARROLLO EMPRESARIAL DE SOACHA-CUNDINAMARCA -ECONOMIA POPULAR</t>
  </si>
  <si>
    <t>29225</t>
  </si>
  <si>
    <t>27725</t>
  </si>
  <si>
    <t>28925</t>
  </si>
  <si>
    <t>1225, 3625</t>
  </si>
  <si>
    <t>7025</t>
  </si>
  <si>
    <t>2025-02-07 00:00:00</t>
  </si>
  <si>
    <t>2025-02-07 10:58:00</t>
  </si>
  <si>
    <t>923269</t>
  </si>
  <si>
    <t>TECNOPARQUE-CUND</t>
  </si>
  <si>
    <t>C-3605-1300-3-40402A-3605007-02</t>
  </si>
  <si>
    <t>ADQUIS. DE BYS - SERVICIO DE INVESTIGACIÓN, DESARROLLO E INNOVACIÓN TECNOLÓGICA ORIENTADOS A LA COMPETITIVIDAD DEL MERCADO DEL TRABAJO - IMPLANTACIÓN SISTEMA DE INVESTIGACIÓN APLICADA, DESARROLLO TECNOLÓGICO Y COMPETITIVIDAD</t>
  </si>
  <si>
    <t>SERVICIOS PERSONALES. Contratar la prestación de servicios profesionales y de apoyo a la gestión para la ejecución del proyecto formulado y aprobado de Tecnoparque en el centro industrial y de desarrollo empresarial de Soacha.</t>
  </si>
  <si>
    <t>32625, 33225, 33325, 33425, 33525</t>
  </si>
  <si>
    <t>7125</t>
  </si>
  <si>
    <t>2025-02-07 11:06:00</t>
  </si>
  <si>
    <t>923270</t>
  </si>
  <si>
    <t>CENTRO INDUSTRIAL Y DESARROLLO EMPRESARIAL DE SOACHA-TECNOACADEMIA</t>
  </si>
  <si>
    <t>C-3605-1300-3-40402A-3605019-02</t>
  </si>
  <si>
    <t>ADQUIS. DE BYS - SERVICIO DE EDUCACIÓN INFORMAL - IMPLANTACIÓN SISTEMA DE INVESTIGACIÓN APLICADA, DESARROLLO TECNOLÓGICO Y COMPETITIVIDAD</t>
  </si>
  <si>
    <t>SERVICIOS PERSONALES. Contratar la prestación de servicios profesionales y de apoyo a la gestión para la ejecución del proyecto formulado y aprobado de Tecnoacademia en el centro industrial y de desarrollo empresarial de Soacha.</t>
  </si>
  <si>
    <t>32525, 32825, 32925, 33025, 33125</t>
  </si>
  <si>
    <t>425, 525, 625</t>
  </si>
  <si>
    <t>425, 525</t>
  </si>
  <si>
    <t>19278925, 19282825</t>
  </si>
  <si>
    <t>1025, 1125</t>
  </si>
  <si>
    <t>925, 1025</t>
  </si>
  <si>
    <t>19869525, 19879525</t>
  </si>
  <si>
    <t>19247825</t>
  </si>
  <si>
    <t>10196125, 12073225, 19229625</t>
  </si>
  <si>
    <t>CO1.PCCNTR.7258713</t>
  </si>
  <si>
    <t>19256425</t>
  </si>
  <si>
    <t>19268525</t>
  </si>
  <si>
    <t>19274025</t>
  </si>
  <si>
    <t>2025-01-29 00:00:00</t>
  </si>
  <si>
    <t>2025-01-29 14:46:47</t>
  </si>
  <si>
    <t>PINEROS ZUBIETA JULIAN CAMILO</t>
  </si>
  <si>
    <t>488417369508</t>
  </si>
  <si>
    <t>CO1.PCCNTR.7321589</t>
  </si>
  <si>
    <t>SERVICIOS PERSONALES. Prestar servicios de apoyo a la gestión de carácter temporal y con plena autonomía para la gestión de información y el monitoreo de datos de la Coordinación de Formación Profesional del Centro Industrial y de Desarrollo Empresar</t>
  </si>
  <si>
    <t>2025-01-29 14:53:13</t>
  </si>
  <si>
    <t>ROMERO VERU MELQUI ALEXANDER</t>
  </si>
  <si>
    <t>24124665253</t>
  </si>
  <si>
    <t>CO1.PCCNTR.7321732</t>
  </si>
  <si>
    <t>SERVICIOS PERSONALES. Prestar servicios de apoyo a la gestión de carácter temporal y con plena autonomía para el manejo, análisis y seguimiento de información en la Coordinación de Formación Profesional del Centro Industrial y de Desarrollo Empresari</t>
  </si>
  <si>
    <t>2025-01-29 15:01:34</t>
  </si>
  <si>
    <t>GONZALEZ YANGUMA ANYI LISETH</t>
  </si>
  <si>
    <t>23789958866</t>
  </si>
  <si>
    <t>CO1.PCCNTR.7321788</t>
  </si>
  <si>
    <t>SERVICIOS PERSONALES. Prestar servicios de apoyo a la gestión de carácter temporal y con plena autonomía para el seguimiento a los contratos a cargo de la Coordinación de Formación Titulada del Centro Industrial y de Desarrollo Empresarial de Soacha,</t>
  </si>
  <si>
    <t>2025-01-29 15:08:32</t>
  </si>
  <si>
    <t>MUÑOZ DIAZ JENYFER ISLENI</t>
  </si>
  <si>
    <t>17475264495</t>
  </si>
  <si>
    <t>CO1.PCCNTR.7322218</t>
  </si>
  <si>
    <t>SERVICIOS PERSONALES. Prestar servicios de apoyo a la gestión de carácter temporal y con plena autonomía para la gestión administrativa de la Coordinación Académica Titulada del Centro Industrial y de Desarrollo Empresarial de Soacha, garantizando la</t>
  </si>
  <si>
    <t>2025-01-29 15:13:39</t>
  </si>
  <si>
    <t>SANCHEZ RODRIGUEZ FRANCY JHOANNA</t>
  </si>
  <si>
    <t>406070120125</t>
  </si>
  <si>
    <t>CO1.PCCNTR.7322246</t>
  </si>
  <si>
    <t>SERVICIOS PERSONALES. Prestar servicios profesionales de carácter temporal y con plena autonomía para apoyar la gestión integral contractual y jurídica del Centro Industrial y de Desarrollo Empresarial de Soacha, asegurando el cumplimiento de las dis</t>
  </si>
  <si>
    <t>2025-01-29 15:26:53</t>
  </si>
  <si>
    <t>158,900.00</t>
  </si>
  <si>
    <t>EMPRESAS PUBLICAS MUNICIPALES DE SIBATE S.C.A. E.S.P.</t>
  </si>
  <si>
    <t>Cheque</t>
  </si>
  <si>
    <t>30154525</t>
  </si>
  <si>
    <t>1525329</t>
  </si>
  <si>
    <t>SERVICIOS PUBLICOS: Pago de servicio de ACUEDUCTO en la sede la colonia del Centro Industrial y Desarrollo Empresarial ubicado en el municipio de Sibate, periodo facturado ENERO 2025 fecha límite de pago: 17 de febrero de 2025.</t>
  </si>
  <si>
    <t>2025-01-31 00:00:00</t>
  </si>
  <si>
    <t>2025-01-31 13:41:47</t>
  </si>
  <si>
    <t>SANTACOLOMA ZABALA CARLOS ARTURO</t>
  </si>
  <si>
    <t>24061350744</t>
  </si>
  <si>
    <t>CO1.PCCNTR.7366039</t>
  </si>
  <si>
    <t>Prestar servicios profesionales, de carácter temporal y con plena autonomía, como instructor del programa “Articulación con la Educación Media”, con el propósito de atender las necesidades de formación técnica, de acuerdo con el perfil profesional</t>
  </si>
  <si>
    <t>2025-01-31 13:46:53</t>
  </si>
  <si>
    <t>TOQUICA GOMEZ FLORESMINDA</t>
  </si>
  <si>
    <t>65941737549</t>
  </si>
  <si>
    <t>CO1.PCCNTR.7366059</t>
  </si>
  <si>
    <t>2025-01-31 13:50:51</t>
  </si>
  <si>
    <t>PINEDA LEON NOHORA EMILIA</t>
  </si>
  <si>
    <t>185845968</t>
  </si>
  <si>
    <t>860035827</t>
  </si>
  <si>
    <t>BANCO COMERCIAL AV VILLAS S.A.</t>
  </si>
  <si>
    <t>CO1.PCCNTR.7366079</t>
  </si>
  <si>
    <t>Prestar servicios profesionales, de carácter temporal y con plena autonomía, como instructor del programa “Articulación con la Educación Media”, con el propósito de atender las necesidades de formación técnica, de acuerdo con el perfil profesional re</t>
  </si>
  <si>
    <t>2025-01-31 13:54:52</t>
  </si>
  <si>
    <t>OSPINA VERA RODOLFO</t>
  </si>
  <si>
    <t>402300056981</t>
  </si>
  <si>
    <t>800037800</t>
  </si>
  <si>
    <t>BANCO AGRARIO DE COLOMBIA S.A.</t>
  </si>
  <si>
    <t>CO1.PCCNTR.7366097</t>
  </si>
  <si>
    <t>2025-01-31 13:58:41</t>
  </si>
  <si>
    <t>DURAN MARTINEZ JHON JAIRO</t>
  </si>
  <si>
    <t>82869397829</t>
  </si>
  <si>
    <t>CO1.PCCNTR.7359362</t>
  </si>
  <si>
    <t>2025-01-31 14:02:53</t>
  </si>
  <si>
    <t>APONTE NAVARRETE NELSON ANDRES</t>
  </si>
  <si>
    <t>001470048743</t>
  </si>
  <si>
    <t>CO1.PCCNTR.7359808</t>
  </si>
  <si>
    <t>2025-01-31 14:07:26</t>
  </si>
  <si>
    <t>HOYOS VALLE ADRIAN ADOLFO</t>
  </si>
  <si>
    <t>26470274475</t>
  </si>
  <si>
    <t>CO1.PCCNTR.7368337</t>
  </si>
  <si>
    <t>Prestar servicios profesionales de carácter temporal y con plena autonomía para apoyar la coordinación, control y evaluación de las acciones de formación profesional integral ejecutadas mediante alianzas y convenios con instituciones de educación me</t>
  </si>
  <si>
    <t>2025-01-31 14:10:46</t>
  </si>
  <si>
    <t>RODRIGUEZ ALVAREZ JOSE LUIS</t>
  </si>
  <si>
    <t>CO1.PCCNTR.7368372</t>
  </si>
  <si>
    <t>Prestar servicios profesionales de carácter temporal y con plena autonomía para apoyar la coordinación, control y evaluación de las acciones de formación profesional integral ejecutadas mediante alianzas y convenios con instituciones de educación</t>
  </si>
  <si>
    <t>2025-01-31 16:49:26</t>
  </si>
  <si>
    <t>ORTIZ VARGAS SANDY MARGARITA</t>
  </si>
  <si>
    <t>24103513463</t>
  </si>
  <si>
    <t>CO1.PCCNTR.7364492</t>
  </si>
  <si>
    <t>Prestar servicios de apoyo administrativo al Centro Industrial y de Desarrollo empresarial de Soacha en la gestión de las actividades relacionadas con la operación de las estrategias CAMPESENA Y FULL POPULAR, en coordinación con la Subdirección de</t>
  </si>
  <si>
    <t>2025-01-31 16:51:56</t>
  </si>
  <si>
    <t>SOLANO SAAVEDRA HEIDY KATHERIN</t>
  </si>
  <si>
    <t>24132750549</t>
  </si>
  <si>
    <t>CO1.PCCNTR.7365044</t>
  </si>
  <si>
    <t>Prestar servicios de apoyo a la gestión de carácter temporal y con plena autonomía para la asistencia integral de los procesos administrativos y el ordenamiento logístico en la Coordinación de Formación Titulada del Centro Industrial y de Desarrollo</t>
  </si>
  <si>
    <t>2025-01-31 16:57:04</t>
  </si>
  <si>
    <t>BETANCURT RAMIREZ SONIA FERNANDA</t>
  </si>
  <si>
    <t>52528682073</t>
  </si>
  <si>
    <t>CO1.PCCNTR.7369499</t>
  </si>
  <si>
    <t>Prestar servicios de apoyo a la gestión de carácter temporal y con plena autonomía como apoyo a la gestión de aplicativos institucionales y al proceso de precertificación en el área de Administración Educativa del Centro Industrial y de Desarrollo</t>
  </si>
  <si>
    <t>2025-01-31 16:59:50</t>
  </si>
  <si>
    <t>MUNAR PARRAGA JOHNATAN</t>
  </si>
  <si>
    <t>123063455</t>
  </si>
  <si>
    <t>CO1.PCCNTR.7370080</t>
  </si>
  <si>
    <t>Prestar servicios de apoyo a la gestión de carácter temporal y con plena autonomía para apoyar el tratamiento (corrección y actualización) de datos básicos y garantizar la idoneidad de los registros de los usuarios en Sofía Plus, en la Oficina de A</t>
  </si>
  <si>
    <t>2025-02-01 00:00:00</t>
  </si>
  <si>
    <t>2025-02-01 06:31:13</t>
  </si>
  <si>
    <t>RICO MONROY JULIANA</t>
  </si>
  <si>
    <t>22147154244</t>
  </si>
  <si>
    <t>CO1.PCCNTR.7379639</t>
  </si>
  <si>
    <t>Prestar temporalmente los servicios de apoyo administrativo, gestión documental, registros y atención de usuarios del proceso Gestión de Evaluación y Certificación de Competencias Laborales del SENA, en sus diferentes fases, en el Centro Industrial</t>
  </si>
  <si>
    <t>2025-02-01 06:35:24</t>
  </si>
  <si>
    <t>BOHORQUEZ ORDOÑEZ ALEJANDRO</t>
  </si>
  <si>
    <t>111050129696</t>
  </si>
  <si>
    <t>CO1.PCCNTR.7380013</t>
  </si>
  <si>
    <t>Prestar servicios de apoyo a la gestión de carácter temporal y con plena autonomía para fomentar y ejecutar acciones de prevención de enfermedades y actividades de promoción de la salud, dirigidas a los aprendices del Centro Industrial y de Desarr</t>
  </si>
  <si>
    <t>2025-02-01 06:38:11</t>
  </si>
  <si>
    <t>FIGUEROA POLO STEPHANIA</t>
  </si>
  <si>
    <t>456870075029</t>
  </si>
  <si>
    <t>CO1.PCCNTR.7379733</t>
  </si>
  <si>
    <t>Prestar servicios de apoyo a la gestión de carácter temporal y con plena autonomía para materializar la planeación, control y seguimiento de la distribución de los beneficios socioeconómicos y/o incentivos otorgados en el marco del Plan Nacional</t>
  </si>
  <si>
    <t>2025-02-01 06:41:06</t>
  </si>
  <si>
    <t>VASQUEZ BARRIGA MARIA CRISTINA</t>
  </si>
  <si>
    <t>24075674209</t>
  </si>
  <si>
    <t>CO1.PCCNTR.7380091</t>
  </si>
  <si>
    <t>Prestar servicios de apoyo a la gestión de carácter temporal y con plena autonomía para los procesos administrativos necesarios en la implementación del Plan Nacional Integral de Bienestar al Aprendiz, incluyendo la atención al cliente, la organi</t>
  </si>
  <si>
    <t>2025-02-01 06:46:22</t>
  </si>
  <si>
    <t>FERNANDEZ GALINDO YENI PAOLA</t>
  </si>
  <si>
    <t>91202398117</t>
  </si>
  <si>
    <t>CO1.PCCNTR.7380356</t>
  </si>
  <si>
    <t>Prestar servicios profesionales de carácter temporal y con plena autonomía como instructor de Formación Titulada con el propósito de atender las necesidades de formación regular para los programas ofertados por el Centro Industrial y de Desarrollo</t>
  </si>
  <si>
    <t>2025-02-01 06:49:49</t>
  </si>
  <si>
    <t>NOY BOSIGA YURY CAROLINA</t>
  </si>
  <si>
    <t>542008883</t>
  </si>
  <si>
    <t>CO1.PCCNTR.7380402</t>
  </si>
  <si>
    <t>2025-02-01 06:53:08</t>
  </si>
  <si>
    <t>BARON MORA DARLYN JULIETH</t>
  </si>
  <si>
    <t>0570257170026070</t>
  </si>
  <si>
    <t>CO1.PCCNTR.7379647</t>
  </si>
  <si>
    <t>2025-02-01 06:55:51</t>
  </si>
  <si>
    <t>GOMEZ CAMELO ANA RAQUEL</t>
  </si>
  <si>
    <t>488436761537</t>
  </si>
  <si>
    <t>CO1.PCCNTR.7379670</t>
  </si>
  <si>
    <t>2025-02-03 00:00:00</t>
  </si>
  <si>
    <t>2025-02-03 22:48:37</t>
  </si>
  <si>
    <t>ESCOBAR CASTILLO CAROLINA DEL PILAR</t>
  </si>
  <si>
    <t>22100018156</t>
  </si>
  <si>
    <t>CO1.PCCNTR.7393624</t>
  </si>
  <si>
    <t>INSTRUCTOR. Prestar servicios profesionales y/o de apoyo a la gestión, en la planeación y ejecución de la formación, así como la evaluación de los resultados de aprendizaje definidos en los diseños curriculares asignados, para el desarrollo de habili</t>
  </si>
  <si>
    <t>2025-02-04 00:00:00</t>
  </si>
  <si>
    <t>2025-02-04 14:41:19</t>
  </si>
  <si>
    <t>PERAZA RODRIGUEZ MARIBEL</t>
  </si>
  <si>
    <t>20567071264</t>
  </si>
  <si>
    <t>CO1.PCCNTR.7389088</t>
  </si>
  <si>
    <t>INSTRUCTOR. Prestar servicios profesionales de carácter temporal y con plena autonomía como instructor de Formación Titulada con el propósito de atender las necesidades de formación regular para los programas ofertados por el Centro Industrial y de D</t>
  </si>
  <si>
    <t>2025-02-04 14:53:34</t>
  </si>
  <si>
    <t>HERRERA FRANCO ELVIRA</t>
  </si>
  <si>
    <t>474900022382</t>
  </si>
  <si>
    <t>CO1.PCCNTR.7389617</t>
  </si>
  <si>
    <t>2025-02-04 14:59:15</t>
  </si>
  <si>
    <t>QUINTERO GONZALEZ DIANA PAOLA</t>
  </si>
  <si>
    <t>004000184103</t>
  </si>
  <si>
    <t>CO1.PCCNTR.7389622</t>
  </si>
  <si>
    <t>2025-02-04 15:09:59</t>
  </si>
  <si>
    <t>HERNANDEZ LADINO LIZETH DAIHAN</t>
  </si>
  <si>
    <t>0550005300548293</t>
  </si>
  <si>
    <t>CO1.PCCNTR.7389624</t>
  </si>
  <si>
    <t>2025-02-04 15:18:10</t>
  </si>
  <si>
    <t>ALVARADO CORDOBA LAURA CAROLINA</t>
  </si>
  <si>
    <t>008870426015</t>
  </si>
  <si>
    <t>CO1.PCCNTR.7389628</t>
  </si>
  <si>
    <t>2025-02-04 15:29:40</t>
  </si>
  <si>
    <t>ZAPATA CIFUENTES DIANA</t>
  </si>
  <si>
    <t>143083624</t>
  </si>
  <si>
    <t>CO1.PCCNTR.7389635</t>
  </si>
  <si>
    <t>2025-02-04 15:40:17</t>
  </si>
  <si>
    <t>GUZMAN NEIRA MARISOL</t>
  </si>
  <si>
    <t>480870015041</t>
  </si>
  <si>
    <t>CO1.PCCNTR.7389638</t>
  </si>
  <si>
    <t>2025-02-04 15:50:20</t>
  </si>
  <si>
    <t>PEÑA PINZON NATHALY EMILCE</t>
  </si>
  <si>
    <t>67357087608</t>
  </si>
  <si>
    <t>CO1.PCCNTR.7389642</t>
  </si>
  <si>
    <t>2025-02-04 16:08:32</t>
  </si>
  <si>
    <t>DONOSO CARLOS EDUARDO</t>
  </si>
  <si>
    <t>476100010224</t>
  </si>
  <si>
    <t>CO1.PCCNTR.7389648</t>
  </si>
  <si>
    <t>2025-02-04 16:25:58</t>
  </si>
  <si>
    <t>ARIAS NUÑEZ URIEL</t>
  </si>
  <si>
    <t>860007738</t>
  </si>
  <si>
    <t>BANCO POPULAR S. A.</t>
  </si>
  <si>
    <t>CO1.PCCNTR.7399907</t>
  </si>
  <si>
    <t>2025-02-05 00:00:00</t>
  </si>
  <si>
    <t>2025-02-05 11:12:34</t>
  </si>
  <si>
    <t>CAÑAS LOPEZ MAURICIO</t>
  </si>
  <si>
    <t>24086223771</t>
  </si>
  <si>
    <t>CO1.PCCNTR.7399943</t>
  </si>
  <si>
    <t>2025-02-05 11:21:38</t>
  </si>
  <si>
    <t>MENJURA SAAVEDRA HECTOR ELISEO</t>
  </si>
  <si>
    <t>116040148863</t>
  </si>
  <si>
    <t>CO1.PCCNTR.7399955</t>
  </si>
  <si>
    <t>2025-02-05 11:49:58</t>
  </si>
  <si>
    <t>URUEÑA ORTIZ PEDRO FERNANDO</t>
  </si>
  <si>
    <t>402745363</t>
  </si>
  <si>
    <t>CO1.PCCNTR.7399991</t>
  </si>
  <si>
    <t>2025-02-05 12:43:44</t>
  </si>
  <si>
    <t>3,096,240.00</t>
  </si>
  <si>
    <t>26953325</t>
  </si>
  <si>
    <t>0764027-3</t>
  </si>
  <si>
    <t>SERVICIOS PUBLICOS: Pago de servicio ENERGIA de la sede Soacha del Centro Industrial y Desarrollo Empresarial de Soacha ubicada en la calle 13 # 10-63, del 28 de noviembre al 27 de diciembre de 2024, Fecha Límite de Pago: 14 de enero de 2025</t>
  </si>
  <si>
    <t>2025-02-05 13:20:27</t>
  </si>
  <si>
    <t>HURTADO MARTINEZ JEISSON ALEXANDER</t>
  </si>
  <si>
    <t>669797115</t>
  </si>
  <si>
    <t>CO1.PCCNTR.7389645</t>
  </si>
  <si>
    <t>2025-02-05 13:55:35</t>
  </si>
  <si>
    <t>GARZON BUSTOS ANGELA YULIED</t>
  </si>
  <si>
    <t>76388992791</t>
  </si>
  <si>
    <t>CO1.PCCNTR.7389619</t>
  </si>
  <si>
    <t>2025-02-05 14:03:39</t>
  </si>
  <si>
    <t>DE CASTRO HERRERA LEYLA VIVIANA</t>
  </si>
  <si>
    <t>488446490713</t>
  </si>
  <si>
    <t>CO1.PCCNTR.7389623</t>
  </si>
  <si>
    <t>2025-02-05 14:07:55</t>
  </si>
  <si>
    <t>CHICUASUQUE ALARCON MARTHA LILIANA</t>
  </si>
  <si>
    <t>0550466600045838</t>
  </si>
  <si>
    <t>CO1.PCCNTR.7382139</t>
  </si>
  <si>
    <t>2025-02-05 14:15:01</t>
  </si>
  <si>
    <t>BARRERA AVILA EVELIA DEL CARMEN</t>
  </si>
  <si>
    <t>028925845</t>
  </si>
  <si>
    <t>CO1.PCCNTR.7399930</t>
  </si>
  <si>
    <t>2025-02-05 14:22:35</t>
  </si>
  <si>
    <t>ROZO BARRAGAN JOHANNA MARCELA</t>
  </si>
  <si>
    <t>41115531512</t>
  </si>
  <si>
    <t>CO1.PCCNTR.7383210</t>
  </si>
  <si>
    <t>2025-02-05 14:32:40</t>
  </si>
  <si>
    <t>ROJAS ROJAS SANDRA PATRICIA</t>
  </si>
  <si>
    <t>42841109389</t>
  </si>
  <si>
    <t>CO1.PCCNTR.7383214</t>
  </si>
  <si>
    <t>2025-02-05 14:37:45</t>
  </si>
  <si>
    <t>GONGORA GALVIS NIDIA</t>
  </si>
  <si>
    <t>24725231071</t>
  </si>
  <si>
    <t>CO1.PCCNTR.7383217</t>
  </si>
  <si>
    <t>2025-02-05 14:44:06</t>
  </si>
  <si>
    <t>SALAMANCA VALENCIA OSCAR EDUARDO</t>
  </si>
  <si>
    <t>488401341877</t>
  </si>
  <si>
    <t>CO1.PCCNTR.7383224</t>
  </si>
  <si>
    <t>INSTRUCTOR.Prestar servicios profesionales de carácter temporal y con plena autonomía como instructor de Formación Titulada con el propósito de atender las necesidades de formación regular para los programas ofertados por el Centro Industrial y de De</t>
  </si>
  <si>
    <t>2025-02-05 14:53:09</t>
  </si>
  <si>
    <t>CRUZ ROMERO LEIDY MAGALLY</t>
  </si>
  <si>
    <t>24016880485</t>
  </si>
  <si>
    <t>7225</t>
  </si>
  <si>
    <t>CO1.PCCNTR.7388042</t>
  </si>
  <si>
    <t>2025-02-05 14:57:15</t>
  </si>
  <si>
    <t>MOSCOSO ORTIZ CATERINE</t>
  </si>
  <si>
    <t>24090763773</t>
  </si>
  <si>
    <t>7325</t>
  </si>
  <si>
    <t>CO1.PCCNTR.7383221</t>
  </si>
  <si>
    <t>2025-02-05 15:09:37</t>
  </si>
  <si>
    <t>MEJIA LUQUEZ GUILLERMO JOSE</t>
  </si>
  <si>
    <t>52384891829</t>
  </si>
  <si>
    <t>7425</t>
  </si>
  <si>
    <t>CO1.PCCNTR.7405167</t>
  </si>
  <si>
    <t>2025-02-05 15:27:23</t>
  </si>
  <si>
    <t>THOMPSON RIVERA MARIA CATALINA</t>
  </si>
  <si>
    <t>03020081456</t>
  </si>
  <si>
    <t>7525</t>
  </si>
  <si>
    <t>CO1.PCCNTR.7408921</t>
  </si>
  <si>
    <t>SERVICIOS PERSONALES. Prestar servicios de apoyo a la gestión de carácter temporal y con plena autonomía en la asistencia administrativa para la Coordinación de Articulación con la Media del Centro Industrial y de Desarrollo Empresarial de Soacha en</t>
  </si>
  <si>
    <t>2025-02-05 15:50:56</t>
  </si>
  <si>
    <t>GOMEZ RIVERA LEIDY PAOLA</t>
  </si>
  <si>
    <t>000486480</t>
  </si>
  <si>
    <t>7625</t>
  </si>
  <si>
    <t>CO1.PCCNTR.7382807</t>
  </si>
  <si>
    <t>2025-02-05 15:59:20</t>
  </si>
  <si>
    <t>GUZMAN LEON EDWARD ALFONSO</t>
  </si>
  <si>
    <t>7725</t>
  </si>
  <si>
    <t>CO1.PCCNTR.7388024</t>
  </si>
  <si>
    <t>2025-02-05 16:04:51</t>
  </si>
  <si>
    <t>VARGAS DAVID SANTIAGO</t>
  </si>
  <si>
    <t>111150308222</t>
  </si>
  <si>
    <t>7825</t>
  </si>
  <si>
    <t>CO1.PCCNTR.7388026</t>
  </si>
  <si>
    <t>2025-02-05 16:14:55</t>
  </si>
  <si>
    <t>ESTUPIÑAN CORREDOR HARRY</t>
  </si>
  <si>
    <t>488414407293</t>
  </si>
  <si>
    <t>7925</t>
  </si>
  <si>
    <t>CO1.PCCNTR.7388033</t>
  </si>
  <si>
    <t>2025-02-05 16:20:30</t>
  </si>
  <si>
    <t>BELTRAN SANTOFIMIO FERNEY ANDRES</t>
  </si>
  <si>
    <t>64690127545</t>
  </si>
  <si>
    <t>8025</t>
  </si>
  <si>
    <t>CO1.PCCNTR.7388034</t>
  </si>
  <si>
    <t>2025-02-05 16:38:54</t>
  </si>
  <si>
    <t>Pasaporte</t>
  </si>
  <si>
    <t>PARRA CAMPOS LEIDY CAROLINA</t>
  </si>
  <si>
    <t>472970078730</t>
  </si>
  <si>
    <t>8125</t>
  </si>
  <si>
    <t>CO1.PCCNTR.7388012</t>
  </si>
  <si>
    <t>2025-02-05 16:48:31</t>
  </si>
  <si>
    <t>TACHE VEGA DIANA CATERINE</t>
  </si>
  <si>
    <t>456800122107</t>
  </si>
  <si>
    <t>8225</t>
  </si>
  <si>
    <t>CO1.PCCNTR.7388008</t>
  </si>
  <si>
    <t>2025-02-05 17:03:36</t>
  </si>
  <si>
    <t>MORALES CORTES JONATHAN GERMAN</t>
  </si>
  <si>
    <t>52546562026</t>
  </si>
  <si>
    <t>8325</t>
  </si>
  <si>
    <t>CO1.PCCNTR.7389060</t>
  </si>
  <si>
    <t>2025-02-05 17:07:08</t>
  </si>
  <si>
    <t>BARRERA MENDEZ SEGUNDO LEONARDO</t>
  </si>
  <si>
    <t>19247280971</t>
  </si>
  <si>
    <t>8425</t>
  </si>
  <si>
    <t>CO1.PCCNTR.7389049</t>
  </si>
  <si>
    <t>2025-02-05 17:11:34</t>
  </si>
  <si>
    <t>GOMEZ URIBE OMAR ALEXANDER</t>
  </si>
  <si>
    <t>20323621200</t>
  </si>
  <si>
    <t>8525</t>
  </si>
  <si>
    <t>CO1.PCCNTR.7389055</t>
  </si>
  <si>
    <t>2025-02-05 17:22:13</t>
  </si>
  <si>
    <t>CUERVO TORO BYRON</t>
  </si>
  <si>
    <t>477900060849</t>
  </si>
  <si>
    <t>8625</t>
  </si>
  <si>
    <t>CO1.PCCNTR.7389034</t>
  </si>
  <si>
    <t>2025-02-05 17:47:15</t>
  </si>
  <si>
    <t>LEON PINTO MARY LUZ</t>
  </si>
  <si>
    <t>20334661542</t>
  </si>
  <si>
    <t>8725</t>
  </si>
  <si>
    <t>CO1.PCCNTR.7389038</t>
  </si>
  <si>
    <t>2025-02-05 19:50:09</t>
  </si>
  <si>
    <t>CASTILLO LEON JHON ALEXANDER</t>
  </si>
  <si>
    <t>083227454</t>
  </si>
  <si>
    <t>8825</t>
  </si>
  <si>
    <t>CO1.PCCNTR.7388062</t>
  </si>
  <si>
    <t>2025-02-05 19:58:30</t>
  </si>
  <si>
    <t>ALAPE HURTADO CARLOS WILMINTON</t>
  </si>
  <si>
    <t>22191626668</t>
  </si>
  <si>
    <t>8925</t>
  </si>
  <si>
    <t>CO1.PCCNTR.7382897</t>
  </si>
  <si>
    <t>2025-02-05 20:11:57</t>
  </si>
  <si>
    <t>RENDON LOAIZA MIRYAM ASTRID</t>
  </si>
  <si>
    <t>24073326535</t>
  </si>
  <si>
    <t>9025</t>
  </si>
  <si>
    <t>CO1.PCCNTR.7383202</t>
  </si>
  <si>
    <t>2025-02-05 20:20:33</t>
  </si>
  <si>
    <t>PEREZ LUGO LEIDY ESPERANZA</t>
  </si>
  <si>
    <t>076200118156</t>
  </si>
  <si>
    <t>9125</t>
  </si>
  <si>
    <t>CO1.PCCNTR.7383206</t>
  </si>
  <si>
    <t>2025-02-05 20:25:41</t>
  </si>
  <si>
    <t>MORA QUINTERO YOHANA INES</t>
  </si>
  <si>
    <t>89292734051</t>
  </si>
  <si>
    <t>9225</t>
  </si>
  <si>
    <t>CO1.PCCNTR.7382862</t>
  </si>
  <si>
    <t>2025-02-05 20:36:44</t>
  </si>
  <si>
    <t>LOPEZ OCHOA EDGAR HERNANDO</t>
  </si>
  <si>
    <t>31791837408</t>
  </si>
  <si>
    <t>9325</t>
  </si>
  <si>
    <t>CO1.PCCNTR.7382171</t>
  </si>
  <si>
    <t>2025-02-05 20:59:34</t>
  </si>
  <si>
    <t>MANOSALVA GIRALDO GLORIA PATRICIA</t>
  </si>
  <si>
    <t>24013476724</t>
  </si>
  <si>
    <t>9425</t>
  </si>
  <si>
    <t>CO1.PCCNTR.7389067</t>
  </si>
  <si>
    <t>2025-02-05 21:19:01</t>
  </si>
  <si>
    <t>RAMOS NAIZAQUE JAVIER ENRIQUE</t>
  </si>
  <si>
    <t>4722136409</t>
  </si>
  <si>
    <t>9525</t>
  </si>
  <si>
    <t>CO1.PCCNTR.7394222</t>
  </si>
  <si>
    <t>2025-02-05 21:29:08</t>
  </si>
  <si>
    <t>LUGO CARO MAGNOLIA</t>
  </si>
  <si>
    <t>043507656</t>
  </si>
  <si>
    <t>9625</t>
  </si>
  <si>
    <t>CO1.PCCNTR.7394261</t>
  </si>
  <si>
    <t>2025-02-05 21:43:43</t>
  </si>
  <si>
    <t>PARDO MORALES JORGE ROLANDO</t>
  </si>
  <si>
    <t>378262299</t>
  </si>
  <si>
    <t>9725</t>
  </si>
  <si>
    <t>CO1.PCCNTR.7377420</t>
  </si>
  <si>
    <t>2025-02-05 21:54:14</t>
  </si>
  <si>
    <t>RAMIREZ TRIANA CLAUDIA PATRICIA</t>
  </si>
  <si>
    <t>24514006868</t>
  </si>
  <si>
    <t>9825</t>
  </si>
  <si>
    <t>CO1.PCCNTR.7376932</t>
  </si>
  <si>
    <t>2025-02-05 22:01:47</t>
  </si>
  <si>
    <t>MENDOZA MONAGA ALEXANDER</t>
  </si>
  <si>
    <t>90120052430</t>
  </si>
  <si>
    <t>9925</t>
  </si>
  <si>
    <t>CO1.PCCNTR.7376926</t>
  </si>
  <si>
    <t>2025-02-05 22:06:35</t>
  </si>
  <si>
    <t>HERRERA URIBE LUIS HERNANDO</t>
  </si>
  <si>
    <t>272108721</t>
  </si>
  <si>
    <t>10025</t>
  </si>
  <si>
    <t>CO1.PCCNTR.7377441</t>
  </si>
  <si>
    <t>2025-02-05 22:14:09</t>
  </si>
  <si>
    <t>GUTIERREZ MENDIETA PAOLA ANDREA</t>
  </si>
  <si>
    <t>004070166642</t>
  </si>
  <si>
    <t>10125</t>
  </si>
  <si>
    <t>CO1.PCCNTR.7377464</t>
  </si>
  <si>
    <t>2025-02-05 22:20:14</t>
  </si>
  <si>
    <t>HERNANDEZ VIANCHA NAIRO</t>
  </si>
  <si>
    <t>35815143262</t>
  </si>
  <si>
    <t>10225</t>
  </si>
  <si>
    <t>CO1.PCCNTR.7377469</t>
  </si>
  <si>
    <t>2025-02-05 22:27:27</t>
  </si>
  <si>
    <t>RODRIGUEZ MEDINA MYRIAN YANETH</t>
  </si>
  <si>
    <t>473870036323</t>
  </si>
  <si>
    <t>10325</t>
  </si>
  <si>
    <t>CO1.PCCNTR.7377877</t>
  </si>
  <si>
    <t>2025-02-05 22:38:15</t>
  </si>
  <si>
    <t>LOPEZ RIAÑO MARIANA</t>
  </si>
  <si>
    <t>24046162544</t>
  </si>
  <si>
    <t>10425</t>
  </si>
  <si>
    <t>CO1.PCCNTR.7377846</t>
  </si>
  <si>
    <t>2025-02-05 22:42:39</t>
  </si>
  <si>
    <t>RAMIREZ DIAZ MARITZA CECILIA</t>
  </si>
  <si>
    <t>91200191825</t>
  </si>
  <si>
    <t>10525</t>
  </si>
  <si>
    <t>CO1.PCCNTR.7377870</t>
  </si>
  <si>
    <t>2025-02-05 22:48:15</t>
  </si>
  <si>
    <t>RODRIGUEZ JOSE ORLANDO</t>
  </si>
  <si>
    <t>447081241</t>
  </si>
  <si>
    <t>10625</t>
  </si>
  <si>
    <t>CO1.PCCNTR.7378032</t>
  </si>
  <si>
    <t>2025-02-05 22:53:27</t>
  </si>
  <si>
    <t>ESPAÑA MENDOZA DIEGO ANDRES</t>
  </si>
  <si>
    <t>07823172961</t>
  </si>
  <si>
    <t>10725</t>
  </si>
  <si>
    <t>CO1.PCCNTR.7378045</t>
  </si>
  <si>
    <t>2025-02-06 00:00:00</t>
  </si>
  <si>
    <t>2025-02-06 10:07:13</t>
  </si>
  <si>
    <t>BOHORQUEZ HERNANDEZ GUILLERMO</t>
  </si>
  <si>
    <t>009200768332</t>
  </si>
  <si>
    <t>10825</t>
  </si>
  <si>
    <t>CO1.PCCNTR.7392984</t>
  </si>
  <si>
    <t>2025-02-06 10:20:51</t>
  </si>
  <si>
    <t>CARRASCO CANTOR YAMILE</t>
  </si>
  <si>
    <t>65255560322</t>
  </si>
  <si>
    <t>10925</t>
  </si>
  <si>
    <t>CO1.PCCNTR.7394111</t>
  </si>
  <si>
    <t>2025-02-06 10:36:03</t>
  </si>
  <si>
    <t>PACHECO RAMOS FRANCISCO JAVIER</t>
  </si>
  <si>
    <t>008800691126</t>
  </si>
  <si>
    <t>11025</t>
  </si>
  <si>
    <t>CO1.PCCNTR.7394155</t>
  </si>
  <si>
    <t>2025-02-06 10:40:09</t>
  </si>
  <si>
    <t>SIERRA CACERES MIGUEL ANDRES</t>
  </si>
  <si>
    <t>24029372928</t>
  </si>
  <si>
    <t>11125</t>
  </si>
  <si>
    <t>CO1.PCCNTR.7393420</t>
  </si>
  <si>
    <t>2025-02-06 10:44:21</t>
  </si>
  <si>
    <t>ALARCON MARTINEZ ALEXANDER</t>
  </si>
  <si>
    <t>719019905</t>
  </si>
  <si>
    <t>ITAU CORPBANCA COLOMBIA S A</t>
  </si>
  <si>
    <t>11225</t>
  </si>
  <si>
    <t>CO1.PCCNTR.7393430</t>
  </si>
  <si>
    <t>2025-02-06 10:59:25</t>
  </si>
  <si>
    <t>CARDENAS GONZÁLEZ MILTHON ALEXANDER</t>
  </si>
  <si>
    <t>22138251571</t>
  </si>
  <si>
    <t>11325</t>
  </si>
  <si>
    <t>CO1.PCCNTR.7393438</t>
  </si>
  <si>
    <t>2025-02-06 11:54:03</t>
  </si>
  <si>
    <t>CARRANZA CASAS JEISSON SEBASTIAN</t>
  </si>
  <si>
    <t>01300008356</t>
  </si>
  <si>
    <t>11425</t>
  </si>
  <si>
    <t>CO1.PCCNTR.7393448</t>
  </si>
  <si>
    <t>2025-02-06 12:24:25</t>
  </si>
  <si>
    <t>RAMIREZ SUSA JOHNNY FERNANDO</t>
  </si>
  <si>
    <t>24042989684</t>
  </si>
  <si>
    <t>11525</t>
  </si>
  <si>
    <t>CO1.PCCNTR.7393460</t>
  </si>
  <si>
    <t>2025-02-06 12:30:40</t>
  </si>
  <si>
    <t>PULIDO RODRIGUEZ FLOR ANGELA</t>
  </si>
  <si>
    <t>21957392773</t>
  </si>
  <si>
    <t>11625</t>
  </si>
  <si>
    <t>CO1.PCCNTR.7393467</t>
  </si>
  <si>
    <t>2025-02-06 12:35:42</t>
  </si>
  <si>
    <t>GONZALEZ MATEUS FELIPE CAMILO</t>
  </si>
  <si>
    <t>006882035148</t>
  </si>
  <si>
    <t>11725</t>
  </si>
  <si>
    <t>CO1.PCCNTR.7394194</t>
  </si>
  <si>
    <t>2025-02-06 12:42:12</t>
  </si>
  <si>
    <t>CARDENAS SALAZAR LUZ MIREYA</t>
  </si>
  <si>
    <t>29993986290</t>
  </si>
  <si>
    <t>11825</t>
  </si>
  <si>
    <t>CO1.PCCNTR.7394708</t>
  </si>
  <si>
    <t>2025-02-06 16:48:25</t>
  </si>
  <si>
    <t>BUITRAGO RIAÑO CLAUDIA MARCELA</t>
  </si>
  <si>
    <t>668827129</t>
  </si>
  <si>
    <t>11925</t>
  </si>
  <si>
    <t>CO1.PCCNTR.7393674</t>
  </si>
  <si>
    <t>2025-02-06 19:00:38</t>
  </si>
  <si>
    <t>GIL RODRIGUEZ ELIZABETH</t>
  </si>
  <si>
    <t>24123166474</t>
  </si>
  <si>
    <t>12025</t>
  </si>
  <si>
    <t>CO1.PCCNTR.7393695</t>
  </si>
  <si>
    <t>2025-02-06 19:05:02</t>
  </si>
  <si>
    <t>VARELA CIFUENTES CARMEN JULIA</t>
  </si>
  <si>
    <t>24121119814</t>
  </si>
  <si>
    <t>12125</t>
  </si>
  <si>
    <t>CO1.PCCNTR.7393651</t>
  </si>
  <si>
    <t>2025-02-06 19:09:13</t>
  </si>
  <si>
    <t>GARZON RODRIGUEZ YURY JULIETH</t>
  </si>
  <si>
    <t>26444357818</t>
  </si>
  <si>
    <t>12225</t>
  </si>
  <si>
    <t>CO1.PCCNTR.7393843</t>
  </si>
  <si>
    <t>2025-02-06 19:13:37</t>
  </si>
  <si>
    <t>ALMENTERO TOSCANO JULIA SUSANA</t>
  </si>
  <si>
    <t>004942013216</t>
  </si>
  <si>
    <t>12325</t>
  </si>
  <si>
    <t>CO1.PCCNTR.7393813</t>
  </si>
  <si>
    <t>2025-02-06 19:18:24</t>
  </si>
  <si>
    <t>GUAQUETA DARLAN ALBERTO</t>
  </si>
  <si>
    <t>018716555</t>
  </si>
  <si>
    <t>12425</t>
  </si>
  <si>
    <t>CO1.PCCNTR.7393685</t>
  </si>
  <si>
    <t>2025-02-06 19:31:31</t>
  </si>
  <si>
    <t>CABREJO BEJARANO JORGE ENRIQUE</t>
  </si>
  <si>
    <t>20067023804</t>
  </si>
  <si>
    <t>12525</t>
  </si>
  <si>
    <t>CO1.PCCNTR.7393804</t>
  </si>
  <si>
    <t>2025-02-06 20:15:37</t>
  </si>
  <si>
    <t>VARGAS GONZALEZ YENNY CONSTANZA</t>
  </si>
  <si>
    <t>18841464237</t>
  </si>
  <si>
    <t>12625</t>
  </si>
  <si>
    <t>CO1.PCCNTR.7393834</t>
  </si>
  <si>
    <t>2025-02-06 20:59:34</t>
  </si>
  <si>
    <t>GERONIMO SALTARIN SILVIA MARIA</t>
  </si>
  <si>
    <t>570451870051195</t>
  </si>
  <si>
    <t>12725</t>
  </si>
  <si>
    <t>CO1.PCCNTR.7399740</t>
  </si>
  <si>
    <t>2025-02-06 20:59:35</t>
  </si>
  <si>
    <t>MALDONADO CARRILLO ARIBEL</t>
  </si>
  <si>
    <t>176070189343</t>
  </si>
  <si>
    <t>12825</t>
  </si>
  <si>
    <t>CO1.PCCNTR.7399749</t>
  </si>
  <si>
    <t>RAMOS BAUTISTA ROBERTO</t>
  </si>
  <si>
    <t>24078861329</t>
  </si>
  <si>
    <t>CO1.PCCNTR.7400194</t>
  </si>
  <si>
    <t>2025-02-06 20:59:36</t>
  </si>
  <si>
    <t>GRANADOS GOMEZ JOE RAUL</t>
  </si>
  <si>
    <t>0042323477</t>
  </si>
  <si>
    <t>CO1.PCCNTR.7400198</t>
  </si>
  <si>
    <t>2025-02-06 20:59:37</t>
  </si>
  <si>
    <t>MORERA CABRERA SANDRA PATRICIA</t>
  </si>
  <si>
    <t>03522938253</t>
  </si>
  <si>
    <t>CO1.PCCNTR.7400411</t>
  </si>
  <si>
    <t>2025-02-06 20:59:38</t>
  </si>
  <si>
    <t>JIMENEZ PANCHE YINA LIZET</t>
  </si>
  <si>
    <t>26499096606</t>
  </si>
  <si>
    <t>CO1.PCCNTR.7400418</t>
  </si>
  <si>
    <t>2025-02-07 11:44:38</t>
  </si>
  <si>
    <t>30175325</t>
  </si>
  <si>
    <t>F15B25803483</t>
  </si>
  <si>
    <t>SERVICIOS PUBLICOS: Pago del servicio de GAS NATURAL de la sede Soacha del Centro Industrial y Desarrollo Empresarial de Soacha ubicada en la calle 13 # 10-63, Periodo facturado DICIEMBRE 2024-ENERO 2025, Fecha Límite de Pago: 20 de Febrero de 2025</t>
  </si>
  <si>
    <t>2025-02-07 11:59:10</t>
  </si>
  <si>
    <t>491,540.00</t>
  </si>
  <si>
    <t>2725, 2825</t>
  </si>
  <si>
    <t>30588325</t>
  </si>
  <si>
    <t>40987840-0</t>
  </si>
  <si>
    <t>SERVICIOS PUBLICOS: pago de servicio de ENERGIA del Altico del Centro Industrial y Desarrollo Empresarial ubicada en la calle 3 # 3-20 bodega 2, periodo facturado 3 de ENERO 2024 al 30 de ENERO de 2025, Fecha Límite de Pago 14 de Febrero de 2025.</t>
  </si>
  <si>
    <t>2025-02-07 16:17:04</t>
  </si>
  <si>
    <t>ROBLES MORENO FABIOLA</t>
  </si>
  <si>
    <t>24110608321</t>
  </si>
  <si>
    <t>CO1.PCCNTR.7354864</t>
  </si>
  <si>
    <t>INSTRUCTOR. Prestar servicios profesionales, de carácter temporal y con plena autonomía, como instructor del programa "Articulación con la Educación Media", con el propósito de atender las necesidades de formación técnica, de acuerdo con el perfil</t>
  </si>
  <si>
    <t>2025-02-07 16:17:05</t>
  </si>
  <si>
    <t>MORALES RAMIREZ JOSE JAMES</t>
  </si>
  <si>
    <t>24070474031</t>
  </si>
  <si>
    <t>CO1.PCCNTR.7356367</t>
  </si>
  <si>
    <t>2025-02-07 16:17:06</t>
  </si>
  <si>
    <t>PRADA SARMIENTO HALINA VERONICA</t>
  </si>
  <si>
    <t>67859351112</t>
  </si>
  <si>
    <t>CO1.PCCNTR.7356360</t>
  </si>
  <si>
    <t>2025-02-07 16:17:07</t>
  </si>
  <si>
    <t>VILLAMIZAR GOMEZ ANDREA MARITZA</t>
  </si>
  <si>
    <t>462270033741</t>
  </si>
  <si>
    <t>CO1.PCCNTR.7356808</t>
  </si>
  <si>
    <t>2025-02-07 16:17:08</t>
  </si>
  <si>
    <t>HURTADO HURTADO YANED EMILCE</t>
  </si>
  <si>
    <t>24233211113</t>
  </si>
  <si>
    <t>CO1.PCCNTR.7359871</t>
  </si>
  <si>
    <t>2025-02-07 16:17:09</t>
  </si>
  <si>
    <t>GORRAIS CORREA PAULINA ANDREA</t>
  </si>
  <si>
    <t>60631247949</t>
  </si>
  <si>
    <t>CO1.PCCNTR.7359888</t>
  </si>
  <si>
    <t>2025-02-07 16:17:10</t>
  </si>
  <si>
    <t>GARAVITO CRISTANCHO JULIA VIVIANA</t>
  </si>
  <si>
    <t>24079420668</t>
  </si>
  <si>
    <t>CO1.PCCNTR.7360230</t>
  </si>
  <si>
    <t>2025-02-07 16:17:11</t>
  </si>
  <si>
    <t>ESGUERRA FABIOLA</t>
  </si>
  <si>
    <t>007500816892</t>
  </si>
  <si>
    <t>14225</t>
  </si>
  <si>
    <t>CO1.PCCNTR.7360245</t>
  </si>
  <si>
    <t>2025-02-07 16:17:12</t>
  </si>
  <si>
    <t>GUERRERO ESPITIA AMANDA YADIRA</t>
  </si>
  <si>
    <t>91200171930</t>
  </si>
  <si>
    <t>14325</t>
  </si>
  <si>
    <t>CO1.PCCNTR.7360261</t>
  </si>
  <si>
    <t>2025-02-07 16:17:13</t>
  </si>
  <si>
    <t>ROMERO SANTOS ANGELA MAYERLY</t>
  </si>
  <si>
    <t>20779954847</t>
  </si>
  <si>
    <t>14425</t>
  </si>
  <si>
    <t>CO1.PCCNTR.7360285</t>
  </si>
  <si>
    <t>2025-02-07 16:17:14</t>
  </si>
  <si>
    <t>MARIN ESTEVEZ ANGELA BRIGITTE</t>
  </si>
  <si>
    <t>007900727830</t>
  </si>
  <si>
    <t>14525</t>
  </si>
  <si>
    <t>CO1.PCCNTR.7360604</t>
  </si>
  <si>
    <t>CRUZ ROJAS ANA MILENA</t>
  </si>
  <si>
    <t>406170019987</t>
  </si>
  <si>
    <t>14625</t>
  </si>
  <si>
    <t>CO1.PCCNTR.7360649</t>
  </si>
  <si>
    <t>2025-02-07 16:17:15</t>
  </si>
  <si>
    <t>RODRIGUEZ PENA LUIS EDUARDO</t>
  </si>
  <si>
    <t>466670002263</t>
  </si>
  <si>
    <t>14725</t>
  </si>
  <si>
    <t>CO1.PCCNTR.7360676</t>
  </si>
  <si>
    <t>2025-02-07 16:17:16</t>
  </si>
  <si>
    <t>LEON GONZALEZ ILDEFONSO</t>
  </si>
  <si>
    <t>272316944</t>
  </si>
  <si>
    <t>14825</t>
  </si>
  <si>
    <t>CO1.PCCNTR.7360692</t>
  </si>
  <si>
    <t>2025-02-07 21:14:01</t>
  </si>
  <si>
    <t>ROCHA DUQUE RUBY ESPERANZA</t>
  </si>
  <si>
    <t>484900028842</t>
  </si>
  <si>
    <t>14925</t>
  </si>
  <si>
    <t>CO1.PCCNTR.7361110</t>
  </si>
  <si>
    <t>2025-02-07 21:14:02</t>
  </si>
  <si>
    <t>BERNAL BUITRAGO GLORIA YOHANA</t>
  </si>
  <si>
    <t>688862643</t>
  </si>
  <si>
    <t>15025</t>
  </si>
  <si>
    <t>CO1.PCCNTR.7363993</t>
  </si>
  <si>
    <t>2025-02-07 21:14:03</t>
  </si>
  <si>
    <t>BERMUDEZ CUCAITA VIVIANA ANDREA</t>
  </si>
  <si>
    <t>466600048121</t>
  </si>
  <si>
    <t>15125</t>
  </si>
  <si>
    <t>CO1.PCCNTR.7364683</t>
  </si>
  <si>
    <t>2025-02-07 21:14:04</t>
  </si>
  <si>
    <t>ARANGO GUTIERREZ MARTHA LILIANA</t>
  </si>
  <si>
    <t>20215888446</t>
  </si>
  <si>
    <t>15225</t>
  </si>
  <si>
    <t>CO1.PCCNTR.7365217</t>
  </si>
  <si>
    <t>.INSTRUCTOR. Prestar servicios profesionales, de carácter temporal y con plena autonomía, como instructor del programa "Articulación con la Educación Media", con el propósito de atender las necesidades de formación técnica, de acuerdo con el perfil</t>
  </si>
  <si>
    <t>2025-02-07 21:14:05</t>
  </si>
  <si>
    <t>VALENCIA RODRIGUEZ SANDRA YAMILE</t>
  </si>
  <si>
    <t>05370276072</t>
  </si>
  <si>
    <t>15325</t>
  </si>
  <si>
    <t>CO1.PCCNTR.7365332</t>
  </si>
  <si>
    <t>2025-02-07 21:14:06</t>
  </si>
  <si>
    <t>RAMIREZ PINEDA ANA TERESA</t>
  </si>
  <si>
    <t>0415064039</t>
  </si>
  <si>
    <t>15425</t>
  </si>
  <si>
    <t>CO1.PCCNTR.7365348</t>
  </si>
  <si>
    <t>2025-02-07 21:14:07</t>
  </si>
  <si>
    <t>ESCOBAR GUZMAN JACKELINE ANDREA</t>
  </si>
  <si>
    <t>004000153751</t>
  </si>
  <si>
    <t>15525</t>
  </si>
  <si>
    <t>CO1.PCCNTR.7365666</t>
  </si>
  <si>
    <t>2025-02-07 21:14:08</t>
  </si>
  <si>
    <t>CARRILLO CORREA JOSE ANTONIO</t>
  </si>
  <si>
    <t>002300102304</t>
  </si>
  <si>
    <t>15625</t>
  </si>
  <si>
    <t>CO1.PCCNTR.7366102</t>
  </si>
  <si>
    <t>2025-02-07 21:14:09</t>
  </si>
  <si>
    <t>ZARATE GONZALEZ HELBERT ANIBAL</t>
  </si>
  <si>
    <t>587067430</t>
  </si>
  <si>
    <t>15725</t>
  </si>
  <si>
    <t>CO1.PCCNTR.7366133</t>
  </si>
  <si>
    <t>2025-02-07 21:14:10</t>
  </si>
  <si>
    <t>PINZON FRANCO LUIS MAURICIO</t>
  </si>
  <si>
    <t>03300000972</t>
  </si>
  <si>
    <t>15825</t>
  </si>
  <si>
    <t>CO1.PCCNTR.7370561</t>
  </si>
  <si>
    <t>ZARATE NIÑO HAROLD ZAMIR</t>
  </si>
  <si>
    <t>488413702280</t>
  </si>
  <si>
    <t>15925</t>
  </si>
  <si>
    <t>CO1.PCCNTR.7370572</t>
  </si>
  <si>
    <t>2025-02-07 21:14:11</t>
  </si>
  <si>
    <t>CASTILLO LAZARO KRANFORD ALBERTO</t>
  </si>
  <si>
    <t>52500054026</t>
  </si>
  <si>
    <t>16025</t>
  </si>
  <si>
    <t>CO1.PCCNTR.7370598</t>
  </si>
  <si>
    <t>2025-02-07 21:14:12</t>
  </si>
  <si>
    <t>NIÑO OSPINA NELSON ALBERTO</t>
  </si>
  <si>
    <t>349187633</t>
  </si>
  <si>
    <t>16125</t>
  </si>
  <si>
    <t>CO1.PCCNTR.7372570</t>
  </si>
  <si>
    <t>2025-02-07 21:14:13</t>
  </si>
  <si>
    <t>TAMBO VANEGAS JULIO CESAR</t>
  </si>
  <si>
    <t>16225</t>
  </si>
  <si>
    <t>CO1.PCCNTR.7372581</t>
  </si>
  <si>
    <t>2025-02-07 21:14:14</t>
  </si>
  <si>
    <t>LEON RINCON SAMUEL</t>
  </si>
  <si>
    <t>005570251263</t>
  </si>
  <si>
    <t>16325</t>
  </si>
  <si>
    <t>CO1.PCCNTR.7372585</t>
  </si>
  <si>
    <t>2025-02-07 21:14:15</t>
  </si>
  <si>
    <t>HERNANDEZ MUÑOZ JUAN GABRIEL</t>
  </si>
  <si>
    <t>24143941023</t>
  </si>
  <si>
    <t>16425</t>
  </si>
  <si>
    <t>CO1.PCCNTR.7372595</t>
  </si>
  <si>
    <t>2025-02-07 21:14:16</t>
  </si>
  <si>
    <t>CASAS COTRINO DUVAN FERNANDO</t>
  </si>
  <si>
    <t>24049543298</t>
  </si>
  <si>
    <t>16525</t>
  </si>
  <si>
    <t>CO1.PCCNTR.7373106</t>
  </si>
  <si>
    <t>2025-02-07 21:14:17</t>
  </si>
  <si>
    <t>CASTIBLANCO CASTIBLANCO CARLOS JULIO</t>
  </si>
  <si>
    <t>0000000516594074</t>
  </si>
  <si>
    <t>16625</t>
  </si>
  <si>
    <t>CO1.PCCNTR.7373131</t>
  </si>
  <si>
    <t>2025-02-07 21:14:18</t>
  </si>
  <si>
    <t>BLANCO SANCHEZ ERICKA ALEXANDRA</t>
  </si>
  <si>
    <t>03191077511</t>
  </si>
  <si>
    <t>16725</t>
  </si>
  <si>
    <t>CO1.PCCNTR.7373136</t>
  </si>
  <si>
    <t>2025-02-07 21:14:19</t>
  </si>
  <si>
    <t>STREN PATIÑO DARIELA DEL ROSARIO</t>
  </si>
  <si>
    <t>0085364800</t>
  </si>
  <si>
    <t>16825</t>
  </si>
  <si>
    <t>CO1.PCCNTR.7373143</t>
  </si>
  <si>
    <t>2025-02-07 21:14:20</t>
  </si>
  <si>
    <t>FORERO PEDROZO ALBERT JULIAN</t>
  </si>
  <si>
    <t>52591567942</t>
  </si>
  <si>
    <t>16925</t>
  </si>
  <si>
    <t>CO1.PCCNTR.7373889</t>
  </si>
  <si>
    <t>2025-02-07 21:14:21</t>
  </si>
  <si>
    <t>CALLEJAS SANDOVAL IVAN DARIO</t>
  </si>
  <si>
    <t>476200055244</t>
  </si>
  <si>
    <t>17025</t>
  </si>
  <si>
    <t>CO1.PCCNTR.7373894</t>
  </si>
  <si>
    <t>2025-02-08 00:00:00</t>
  </si>
  <si>
    <t>2025-02-08 21:22:14</t>
  </si>
  <si>
    <t>QUIÑONES RAMOS BEATRIZ ALCIRA</t>
  </si>
  <si>
    <t>230520129230</t>
  </si>
  <si>
    <t>17125</t>
  </si>
  <si>
    <t>CO1.PCCNTR.7418223</t>
  </si>
  <si>
    <t>INSTRUCTOR. Prestar servicios profesionales de carácter temporal con plena autonomía como instructor de Formación Complementaria presencial con el propósito de atender los requerimientos específicos de formación en los programas ofertados por el Cent</t>
  </si>
  <si>
    <t>2025-02-08 21:22:15</t>
  </si>
  <si>
    <t>JOSE WILSON SABOGAL VELASQUEZ</t>
  </si>
  <si>
    <t>000051168359</t>
  </si>
  <si>
    <t>17225</t>
  </si>
  <si>
    <t>CO1.PCCNTR.7418291</t>
  </si>
  <si>
    <t>2025-02-08 21:22:16</t>
  </si>
  <si>
    <t>CROCKER DE LA MOTTA LOLITA MADELEINE</t>
  </si>
  <si>
    <t>14140009912</t>
  </si>
  <si>
    <t>17325</t>
  </si>
  <si>
    <t>CO1.PCCNTR.7418828</t>
  </si>
  <si>
    <t>JIMENEZ ARANGO LINA MARCELA</t>
  </si>
  <si>
    <t>0391347812</t>
  </si>
  <si>
    <t>17425</t>
  </si>
  <si>
    <t>CO1.PCCNTR.7418839</t>
  </si>
  <si>
    <t>INSTRUCTOR. Prestar servicios profesionales de carácter temporal con plena autonomía como instructor de Formación Complementaria presencial con el propósito de atender los</t>
  </si>
  <si>
    <t>2025-02-08 21:22:17</t>
  </si>
  <si>
    <t>VALENCIA CARVAJAL WILLIAM</t>
  </si>
  <si>
    <t>30415514781</t>
  </si>
  <si>
    <t>17525</t>
  </si>
  <si>
    <t>CO1.PCCNTR.7418893</t>
  </si>
  <si>
    <t>2025-02-08 21:22:18</t>
  </si>
  <si>
    <t>SANTAMARIA CASTILLO JUAN CAMILO</t>
  </si>
  <si>
    <t>24124745616</t>
  </si>
  <si>
    <t>17625</t>
  </si>
  <si>
    <t>CO1.PCCNTR.7419402</t>
  </si>
  <si>
    <t>2025-02-08 21:22:19</t>
  </si>
  <si>
    <t>TRUJILLO LUZ ANGELA</t>
  </si>
  <si>
    <t>004070239423</t>
  </si>
  <si>
    <t>17725</t>
  </si>
  <si>
    <t>CO1.PCCNTR.7423013</t>
  </si>
  <si>
    <t>2025-02-08 21:22:20</t>
  </si>
  <si>
    <t>HERNANDEZ GONZALEZ CAROLINA</t>
  </si>
  <si>
    <t>17825</t>
  </si>
  <si>
    <t>CO1.PCCNTR.7423087</t>
  </si>
  <si>
    <t>2025-02-08 21:22:21</t>
  </si>
  <si>
    <t>GARCIA CANDELA YOBANA</t>
  </si>
  <si>
    <t>94539430232</t>
  </si>
  <si>
    <t>17925</t>
  </si>
  <si>
    <t>CO1.PCCNTR.7423197</t>
  </si>
  <si>
    <t>2025-02-08 21:22:22</t>
  </si>
  <si>
    <t>MORA GUTIERREZ DORIS AMINTA</t>
  </si>
  <si>
    <t>472185420</t>
  </si>
  <si>
    <t>18025</t>
  </si>
  <si>
    <t>CO1.PCCNTR.7423720</t>
  </si>
  <si>
    <t>2025-02-08 21:22:23</t>
  </si>
  <si>
    <t>QUINTANA LUZ HELENA</t>
  </si>
  <si>
    <t>66700001972</t>
  </si>
  <si>
    <t>18125</t>
  </si>
  <si>
    <t>CO1.PCCNTR.7423782</t>
  </si>
  <si>
    <t>SOSA ROMERO ELSA MILENA</t>
  </si>
  <si>
    <t>94559109066</t>
  </si>
  <si>
    <t>18225</t>
  </si>
  <si>
    <t>CO1.PCCNTR.7424174</t>
  </si>
  <si>
    <t>2025-02-08 21:22:24</t>
  </si>
  <si>
    <t>OVIEDO DUSSAN PIER PAOLO</t>
  </si>
  <si>
    <t>111200575512</t>
  </si>
  <si>
    <t>18325</t>
  </si>
  <si>
    <t>CO1.PCCNTR.7425023</t>
  </si>
  <si>
    <t>2025-02-08 21:22:25</t>
  </si>
  <si>
    <t>QUIÑONES LARA RAFAEL ALBERTO</t>
  </si>
  <si>
    <t>18425</t>
  </si>
  <si>
    <t>CO1.PCCNTR.7426096</t>
  </si>
  <si>
    <t>2025-02-08 21:22:26</t>
  </si>
  <si>
    <t>RODRIGUEZ MATIZ SHAROL VANESSA</t>
  </si>
  <si>
    <t>001003700964</t>
  </si>
  <si>
    <t>18525</t>
  </si>
  <si>
    <t>CO1.PCCNTR.7426114</t>
  </si>
  <si>
    <t>2025-02-08 21:22:27</t>
  </si>
  <si>
    <t>RODRIGUEZ SALAMANCA ANDREA DEL PILAR</t>
  </si>
  <si>
    <t>007300720286</t>
  </si>
  <si>
    <t>18625</t>
  </si>
  <si>
    <t>CO1.PCCNTR.7426151</t>
  </si>
  <si>
    <t>INSTRUCTOR. Prestar servicios profesionales de carácter temporal con plena autonomía como instructor de Formación Complementaria presencial con el propósito de atender los requerimientos específicos de formación en los programas ofertados por</t>
  </si>
  <si>
    <t>2025-02-08 21:22:28</t>
  </si>
  <si>
    <t>TORRES ALVARADO ADRIANA</t>
  </si>
  <si>
    <t>001770130480</t>
  </si>
  <si>
    <t>18725</t>
  </si>
  <si>
    <t>CO1.PCCNTR.7424637</t>
  </si>
  <si>
    <t>2025-02-08 21:22:29</t>
  </si>
  <si>
    <t>GALVAN ZARATE EDWIN ANDRES</t>
  </si>
  <si>
    <t>157519638</t>
  </si>
  <si>
    <t>18825</t>
  </si>
  <si>
    <t>CO1.PCCNTR.7424654</t>
  </si>
  <si>
    <t>TORRES CHARRIS ALEXANDER</t>
  </si>
  <si>
    <t>04685237569</t>
  </si>
  <si>
    <t>18925</t>
  </si>
  <si>
    <t>CO1.PCCNTR.7425574</t>
  </si>
  <si>
    <t>2025-02-08 21:22:30</t>
  </si>
  <si>
    <t>arandia leyva daniel</t>
  </si>
  <si>
    <t>406170033566</t>
  </si>
  <si>
    <t>19025</t>
  </si>
  <si>
    <t>CO1.PCCNTR.7426033</t>
  </si>
  <si>
    <t>2025-02-08 21:22:31</t>
  </si>
  <si>
    <t>RIVAS VELASQUEZ EDNA KATHERINE</t>
  </si>
  <si>
    <t>007380827118</t>
  </si>
  <si>
    <t>19125</t>
  </si>
  <si>
    <t>CO1.PCCNTR.7426633</t>
  </si>
  <si>
    <t>INSTRUCTOR. Prestar servicios profesionales de carácter temporal con plena autonomía como instructor de Formación Complementaria presencial con el propósito de atender los requerimientos específicos de formación en los programas de lenguas extranjera</t>
  </si>
  <si>
    <t>2025-02-08 21:22:32</t>
  </si>
  <si>
    <t>ZAPATA RODRIGUEZ YULY ANDREA</t>
  </si>
  <si>
    <t>24065490752</t>
  </si>
  <si>
    <t>19225</t>
  </si>
  <si>
    <t>CO1.PCCNTR.7426680</t>
  </si>
  <si>
    <t>INSTRUCTOR. Prestar servicios profesionales de carácter temporal con plena autonomía como instructor de Formación Complementaria presencial con el propósito de atender los requerimientos específicos de formación en los programas de lenguas extranjer</t>
  </si>
  <si>
    <t>2025-02-08 21:22:33</t>
  </si>
  <si>
    <t>NARANJO PADILLA JUAN FRANCISCO</t>
  </si>
  <si>
    <t>26440507726</t>
  </si>
  <si>
    <t>19325</t>
  </si>
  <si>
    <t>CO1.PCCNTR.7419639</t>
  </si>
  <si>
    <t>INSTRUCTOR. Prestar servicios profesionales de carácter temporal con plena autonomía como instructor de Formación Complementaria virtual con el propósito de atender los requerimientos específicos de formación en los programas de lenguas extranjeras</t>
  </si>
  <si>
    <t>2025-02-08 21:22:34</t>
  </si>
  <si>
    <t>HERNANDEZ HIDALGO ANGIE TATIANA</t>
  </si>
  <si>
    <t>488448748274</t>
  </si>
  <si>
    <t>19425</t>
  </si>
  <si>
    <t>CO1.PCCNTR.7419652</t>
  </si>
  <si>
    <t>2025-02-08 21:22:35</t>
  </si>
  <si>
    <t>HERRERA PEREZ ALEXANDER</t>
  </si>
  <si>
    <t>21118751652</t>
  </si>
  <si>
    <t>19525</t>
  </si>
  <si>
    <t>CO1.PCCNTR.7422276</t>
  </si>
  <si>
    <t>INSTRUCTOR. Prestar servicios profesionales de carácter temporal con plena autonomía como instructor de Formación Complementaria virtual con el propósito de atender los requerimientos específicos de formación en los programas ofertados por el Centro</t>
  </si>
  <si>
    <t>CANOA ROJAS LUIS CARLOS</t>
  </si>
  <si>
    <t>081425894</t>
  </si>
  <si>
    <t>19625</t>
  </si>
  <si>
    <t>CO1.PCCNTR.7423456</t>
  </si>
  <si>
    <t>2025-02-08 21:22:36</t>
  </si>
  <si>
    <t>FLOREZ WILCHES ALEXANDER ANTONIO</t>
  </si>
  <si>
    <t>65954775610</t>
  </si>
  <si>
    <t>19725</t>
  </si>
  <si>
    <t>CO1.PCCNTR.7423475</t>
  </si>
  <si>
    <t>2025-02-08 21:22:37</t>
  </si>
  <si>
    <t>TARAZONA BOHORQUEZ ANDRES FELIPE</t>
  </si>
  <si>
    <t>001003442264</t>
  </si>
  <si>
    <t>19825</t>
  </si>
  <si>
    <t>CO1.PCCNTR.7424711</t>
  </si>
  <si>
    <t>2025-02-08 21:22:38</t>
  </si>
  <si>
    <t>ROSERO PORTILLA ANGIE CAROLINA</t>
  </si>
  <si>
    <t>94316081767</t>
  </si>
  <si>
    <t>19925</t>
  </si>
  <si>
    <t>CO1.PCCNTR.7424789</t>
  </si>
  <si>
    <t>2025-02-08 21:22:39</t>
  </si>
  <si>
    <t>RAMIREZ CAMPOS SHIRLEY</t>
  </si>
  <si>
    <t>20778547711</t>
  </si>
  <si>
    <t>20025</t>
  </si>
  <si>
    <t>CO1.PCCNTR.7424856</t>
  </si>
  <si>
    <t>2025-02-08 22:00:58</t>
  </si>
  <si>
    <t>PARDO ROBLES MARIA CRISTINA</t>
  </si>
  <si>
    <t>00053576625</t>
  </si>
  <si>
    <t>20125</t>
  </si>
  <si>
    <t>CO1.PCCNTR.7426541</t>
  </si>
  <si>
    <t>GARZON SANCHEZ EDILBERTO MELFID</t>
  </si>
  <si>
    <t>82906037471</t>
  </si>
  <si>
    <t>20225</t>
  </si>
  <si>
    <t>CO1.PCCNTR.7426955</t>
  </si>
  <si>
    <t>2025-02-08 22:00:59</t>
  </si>
  <si>
    <t>DIAZ MURCIA LUIS FABIAN</t>
  </si>
  <si>
    <t>451870040743</t>
  </si>
  <si>
    <t>20325</t>
  </si>
  <si>
    <t>CO1.PCCNTR.7427395</t>
  </si>
  <si>
    <t>2025-02-08 22:01:00</t>
  </si>
  <si>
    <t>MORENO VARON NADIA VIVIANA</t>
  </si>
  <si>
    <t>24066599861</t>
  </si>
  <si>
    <t>20425</t>
  </si>
  <si>
    <t>CO1.PCCNTR.7427963</t>
  </si>
  <si>
    <t>2025-02-08 22:01:01</t>
  </si>
  <si>
    <t>RODRIGUEZ RAMIREZ JAIRO ANDRES</t>
  </si>
  <si>
    <t>29903264568</t>
  </si>
  <si>
    <t>20525</t>
  </si>
  <si>
    <t>CO1.PCCNTR.7428502</t>
  </si>
  <si>
    <t>2025-02-08 22:01:02</t>
  </si>
  <si>
    <t>VELA PATIÑO CAMILO ANDRES</t>
  </si>
  <si>
    <t>002870560923</t>
  </si>
  <si>
    <t>20625</t>
  </si>
  <si>
    <t>CO1.PCCNTR.7428577</t>
  </si>
  <si>
    <t>2025-02-08 22:01:03</t>
  </si>
  <si>
    <t>GOMEZ RUIZ NESTOR ENRIQUE</t>
  </si>
  <si>
    <t>004841834</t>
  </si>
  <si>
    <t>20725</t>
  </si>
  <si>
    <t>CO1.PCCNTR.7418852</t>
  </si>
  <si>
    <t>2025-02-08 22:01:04</t>
  </si>
  <si>
    <t>TORRES OSPINA LUIS GERMAN</t>
  </si>
  <si>
    <t>00550002300183437</t>
  </si>
  <si>
    <t>20825</t>
  </si>
  <si>
    <t>CO1.PCCNTR.7425084</t>
  </si>
  <si>
    <t>2025-02-08 22:01:05</t>
  </si>
  <si>
    <t>BARRERO NIÑO ISABEL CRISTINA</t>
  </si>
  <si>
    <t>24059331269</t>
  </si>
  <si>
    <t>20925</t>
  </si>
  <si>
    <t>CO1.PCCNTR.7426419</t>
  </si>
  <si>
    <t>PAEZ PINEDA MERY</t>
  </si>
  <si>
    <t>176500047095</t>
  </si>
  <si>
    <t>21025</t>
  </si>
  <si>
    <t>CO1.PCCNTR.7426401</t>
  </si>
  <si>
    <t>2025-02-09 00:00:00</t>
  </si>
  <si>
    <t>2025-02-09 15:54:34</t>
  </si>
  <si>
    <t>GUTIERREZ PALACIOS YULI PAOLA</t>
  </si>
  <si>
    <t>37245096209</t>
  </si>
  <si>
    <t>21125</t>
  </si>
  <si>
    <t>CO1.PCCNTR.7368884</t>
  </si>
  <si>
    <t>INSTRUCTOR. Prestar servicios profesionales, de carácter temporal y con plena autonomía, como instructor del programa “Articulación con la Educación Media”, con el propósito de atender las necesidades de formación técnica, de acuerdo con el perfil</t>
  </si>
  <si>
    <t>2025-02-09 15:54:35</t>
  </si>
  <si>
    <t>GAITAN NUÑEZ ANGELICA MARIA</t>
  </si>
  <si>
    <t>24094321520</t>
  </si>
  <si>
    <t>21225</t>
  </si>
  <si>
    <t>CO1.PCCNTR.7368852</t>
  </si>
  <si>
    <t>2025-02-09 15:54:36</t>
  </si>
  <si>
    <t>MARTINEZ VELEZ EDUARDO LUIS</t>
  </si>
  <si>
    <t>68164362446</t>
  </si>
  <si>
    <t>21325</t>
  </si>
  <si>
    <t>CO1.PCCNTR.7373431</t>
  </si>
  <si>
    <t>2025-02-09 15:54:37</t>
  </si>
  <si>
    <t>QUINTERO SANCHEZ WILSON ORLANDO</t>
  </si>
  <si>
    <t>456870046459</t>
  </si>
  <si>
    <t>21425</t>
  </si>
  <si>
    <t>CO1.PCCNTR.7373433</t>
  </si>
  <si>
    <t>INSTRUCTOR. Prestar servicios profesionales, de carácter temporal y con plena autonomía, como instructor del programa “Articulación con la Educación Media”, con el propósito de atender las necesidades de formación técnica, de acuerdo con</t>
  </si>
  <si>
    <t>2025-02-09 15:54:38</t>
  </si>
  <si>
    <t>RUBIANO GONZALEZ MARIA ALEJANDRA</t>
  </si>
  <si>
    <t>587098120</t>
  </si>
  <si>
    <t>21525</t>
  </si>
  <si>
    <t>CO1.PCCNTR.7373436</t>
  </si>
  <si>
    <t>2025-02-09 15:54:39</t>
  </si>
  <si>
    <t>GONZALEZ FAGER POLET</t>
  </si>
  <si>
    <t>24071291626</t>
  </si>
  <si>
    <t>21625</t>
  </si>
  <si>
    <t>CO1.PCCNTR.7373437</t>
  </si>
  <si>
    <t>2025-02-09 15:54:40</t>
  </si>
  <si>
    <t>PINZON GOMEZ ANGELA VIVIANA</t>
  </si>
  <si>
    <t>37238942196</t>
  </si>
  <si>
    <t>21725</t>
  </si>
  <si>
    <t>CO1.PCCNTR.7373440</t>
  </si>
  <si>
    <t>2025-02-09 15:54:41</t>
  </si>
  <si>
    <t>GUEVARA BARRIOS SEBASTIAN RODRIGO</t>
  </si>
  <si>
    <t>488431229027</t>
  </si>
  <si>
    <t>21825</t>
  </si>
  <si>
    <t>CO1.PCCNTR.7373445</t>
  </si>
  <si>
    <t>FETECUA PEÑA FREDY ENRIQUE</t>
  </si>
  <si>
    <t>24059238144</t>
  </si>
  <si>
    <t>21925</t>
  </si>
  <si>
    <t>CO1.PCCNTR.7373453</t>
  </si>
  <si>
    <t>2025-02-09 16:25:05</t>
  </si>
  <si>
    <t>CLAVIJO CLAVIJO ANA SOFIA</t>
  </si>
  <si>
    <t>0570004070214012</t>
  </si>
  <si>
    <t>22025</t>
  </si>
  <si>
    <t>CO1.PCCNTR.7373455</t>
  </si>
  <si>
    <t>2025-02-09 16:25:06</t>
  </si>
  <si>
    <t>SANABRIA VARGAS CLAUDIA CRISTINA</t>
  </si>
  <si>
    <t>176570060390</t>
  </si>
  <si>
    <t>22125</t>
  </si>
  <si>
    <t>CO1.PCCNTR.7373456</t>
  </si>
  <si>
    <t>2025-02-09 16:25:07</t>
  </si>
  <si>
    <t>BARRERA ORDUZ MARIA DEL CARMEN</t>
  </si>
  <si>
    <t>24065752140</t>
  </si>
  <si>
    <t>22225</t>
  </si>
  <si>
    <t>CO1.PCCNTR.7373458</t>
  </si>
  <si>
    <t>2025-02-09 16:25:08</t>
  </si>
  <si>
    <t>JIMENEZ MARTINEZ YUDY ANDREA</t>
  </si>
  <si>
    <t>009670310565</t>
  </si>
  <si>
    <t>22325</t>
  </si>
  <si>
    <t>CO1.PCCNTR.7373460</t>
  </si>
  <si>
    <t>IBAÑEZ SAUMETH MARIO ALBERTO</t>
  </si>
  <si>
    <t>488430112471</t>
  </si>
  <si>
    <t>22425</t>
  </si>
  <si>
    <t>CO1.PCCNTR.7373461</t>
  </si>
  <si>
    <t>2025-02-09 16:25:09</t>
  </si>
  <si>
    <t>SANCHEZ PERDOMO DIEGO JESUS</t>
  </si>
  <si>
    <t>65955963932</t>
  </si>
  <si>
    <t>22525</t>
  </si>
  <si>
    <t>CO1.PCCNTR.7373463</t>
  </si>
  <si>
    <t>2025-02-09 16:25:10</t>
  </si>
  <si>
    <t>HERNANDEZ ROJAS EDER ALBERTO</t>
  </si>
  <si>
    <t>123251043</t>
  </si>
  <si>
    <t>22625</t>
  </si>
  <si>
    <t>CO1.PCCNTR.7373464</t>
  </si>
  <si>
    <t>2025-02-09 16:25:11</t>
  </si>
  <si>
    <t>GIL GUERRA ERIS JAVIER</t>
  </si>
  <si>
    <t>0758442297</t>
  </si>
  <si>
    <t>22725</t>
  </si>
  <si>
    <t>CO1.PCCNTR.7373465</t>
  </si>
  <si>
    <t>2025-02-09 16:25:12</t>
  </si>
  <si>
    <t>UMAÑA VELASQUEZ ALIRIO</t>
  </si>
  <si>
    <t>0083385880</t>
  </si>
  <si>
    <t>22825</t>
  </si>
  <si>
    <t>CO1.PCCNTR.7373466</t>
  </si>
  <si>
    <t>2025-02-09 16:25:13</t>
  </si>
  <si>
    <t>MUÑOZ TAPIERO JOHN FREDDY</t>
  </si>
  <si>
    <t>24076395965</t>
  </si>
  <si>
    <t>22925</t>
  </si>
  <si>
    <t>CO1.PCCNTR.7377429</t>
  </si>
  <si>
    <t>2025-02-09 16:25:14</t>
  </si>
  <si>
    <t>BARCO OTALVARO NELSON ENRIQUE</t>
  </si>
  <si>
    <t>23025</t>
  </si>
  <si>
    <t>CO1.PCCNTR.7377455</t>
  </si>
  <si>
    <t>2025-02-09 16:25:15</t>
  </si>
  <si>
    <t>HIDALGO PULISTAR FREDY HILDUARO</t>
  </si>
  <si>
    <t>007002068522</t>
  </si>
  <si>
    <t>23125</t>
  </si>
  <si>
    <t>CO1.PCCNTR.7377690</t>
  </si>
  <si>
    <t>2025-02-09 16:25:16</t>
  </si>
  <si>
    <t>TOVAR RODRIGUEZ ANGELICA PAOLA</t>
  </si>
  <si>
    <t>24051442110</t>
  </si>
  <si>
    <t>23225</t>
  </si>
  <si>
    <t>CO1.PCCNTR.7378207</t>
  </si>
  <si>
    <t>2025-02-09 16:25:17</t>
  </si>
  <si>
    <t>ROMERO VILLAMIL LADY JOHANNA</t>
  </si>
  <si>
    <t>67318748826</t>
  </si>
  <si>
    <t>23325</t>
  </si>
  <si>
    <t>CO1.PCCNTR.7378218</t>
  </si>
  <si>
    <t>2025-02-09 16:25:18</t>
  </si>
  <si>
    <t>MORENO RAMIREZ HECTOR GERMAN</t>
  </si>
  <si>
    <t>26457557816</t>
  </si>
  <si>
    <t>23425</t>
  </si>
  <si>
    <t>CO1.PCCNTR.7378233</t>
  </si>
  <si>
    <t>2025-02-09 16:25:19</t>
  </si>
  <si>
    <t>APOLINAR CRUZ CARLOS ANDRES</t>
  </si>
  <si>
    <t>466870056648</t>
  </si>
  <si>
    <t>23525</t>
  </si>
  <si>
    <t>CO1.PCCNTR.7378241</t>
  </si>
  <si>
    <t>RODRIGUEZ SULBARAN ALEXANDER ALBERTO</t>
  </si>
  <si>
    <t>24070999136</t>
  </si>
  <si>
    <t>23625</t>
  </si>
  <si>
    <t>CO1.PCCNTR.7378251</t>
  </si>
  <si>
    <t>2025-02-09 16:25:20</t>
  </si>
  <si>
    <t>BLANCO PINZON JUAN CARLOS</t>
  </si>
  <si>
    <t>666009956</t>
  </si>
  <si>
    <t>23725</t>
  </si>
  <si>
    <t>CO1.PCCNTR.7378260</t>
  </si>
  <si>
    <t>2025-02-09 16:25:21</t>
  </si>
  <si>
    <t>HOMEZ RODRIGUEZ GERMAN EDUARDO</t>
  </si>
  <si>
    <t>488443116824</t>
  </si>
  <si>
    <t>23825</t>
  </si>
  <si>
    <t>CO1.PCCNTR.7378276</t>
  </si>
  <si>
    <t>2025-02-09 16:25:22</t>
  </si>
  <si>
    <t>PIÑEROS RUIZ IVAN MAURICIO</t>
  </si>
  <si>
    <t>0570463570023002</t>
  </si>
  <si>
    <t>23925</t>
  </si>
  <si>
    <t>CO1.PCCNTR.7378902</t>
  </si>
  <si>
    <t>.INSTRUCTOR. Prestar servicios profesionales, de carácter temporal y con plena autonomía, como instructor del programa “Articulación con la Educación Media”, con el propósito de atender las necesidades de formación técnica, de acuerdo con el perfil</t>
  </si>
  <si>
    <t>2025-02-09 16:25:23</t>
  </si>
  <si>
    <t>OSPINA MIRANDA JUVENAL</t>
  </si>
  <si>
    <t>26458194113</t>
  </si>
  <si>
    <t>24025</t>
  </si>
  <si>
    <t>CO1.PCCNTR.7402742</t>
  </si>
  <si>
    <t>2025-02-09 16:25:24</t>
  </si>
  <si>
    <t>SANABRIA MEDELLIN RICARDO</t>
  </si>
  <si>
    <t>94576831441</t>
  </si>
  <si>
    <t>24125</t>
  </si>
  <si>
    <t>CO1.PCCNTR.7378972</t>
  </si>
  <si>
    <t>2025-02-09 16:25:25</t>
  </si>
  <si>
    <t>PARRA ROJAS FREDY HERNANDO</t>
  </si>
  <si>
    <t>24088387222</t>
  </si>
  <si>
    <t>24225</t>
  </si>
  <si>
    <t>CO1.PCCNTR.7378977</t>
  </si>
  <si>
    <t>2025-02-09 18:53:03</t>
  </si>
  <si>
    <t>HERNANDEZ LUIS FERNANDO</t>
  </si>
  <si>
    <t>26430709061</t>
  </si>
  <si>
    <t>24325</t>
  </si>
  <si>
    <t>CO1.PCCNTR.7418524</t>
  </si>
  <si>
    <t>2025-02-09 18:53:04</t>
  </si>
  <si>
    <t>ZAMBRANO CIFUENTES DIEGO HERNANDO</t>
  </si>
  <si>
    <t>378341564</t>
  </si>
  <si>
    <t>24425</t>
  </si>
  <si>
    <t>CO1.PCCNTR.7418146</t>
  </si>
  <si>
    <t>2025-02-09 18:53:05</t>
  </si>
  <si>
    <t>SOLORZANO CAMACHO FRANK ALEXIS</t>
  </si>
  <si>
    <t>24091399973</t>
  </si>
  <si>
    <t>24525</t>
  </si>
  <si>
    <t>CO1.PCCNTR.7418184</t>
  </si>
  <si>
    <t>2025-02-09 18:53:06</t>
  </si>
  <si>
    <t>FONSECA CARREÑO DANIEL ANDRES</t>
  </si>
  <si>
    <t>500802182095</t>
  </si>
  <si>
    <t>24625</t>
  </si>
  <si>
    <t>CO1.PCCNTR.7415105</t>
  </si>
  <si>
    <t>2025-02-09 18:53:07</t>
  </si>
  <si>
    <t>CARRILLO ROJAS LUCIA ESPERANZA</t>
  </si>
  <si>
    <t>24725</t>
  </si>
  <si>
    <t>CO1.PCCNTR.7423322</t>
  </si>
  <si>
    <t>MARTINEZ SILVA PEDRO PABLO</t>
  </si>
  <si>
    <t>473870032165</t>
  </si>
  <si>
    <t>24825</t>
  </si>
  <si>
    <t>CO1.PCCNTR.7423744</t>
  </si>
  <si>
    <t>2025-02-09 18:53:08</t>
  </si>
  <si>
    <t>VELASQUEZ CASTAÑEDA LEONARDO</t>
  </si>
  <si>
    <t>76669971547</t>
  </si>
  <si>
    <t>24925</t>
  </si>
  <si>
    <t>CO1.PCCNTR.7430804</t>
  </si>
  <si>
    <t>2025-02-09 18:53:09</t>
  </si>
  <si>
    <t>MALDONADO ROSAS MARISOL</t>
  </si>
  <si>
    <t>478170004988</t>
  </si>
  <si>
    <t>25025</t>
  </si>
  <si>
    <t>CO1.PCCNTR.7430842</t>
  </si>
  <si>
    <t>2025-02-09 18:53:10</t>
  </si>
  <si>
    <t>MARTINEZ CRESPO LUZ CATHERINE</t>
  </si>
  <si>
    <t>66845657182</t>
  </si>
  <si>
    <t>25125</t>
  </si>
  <si>
    <t>CO1.PCCNTR.7430879</t>
  </si>
  <si>
    <t>2025-02-09 18:53:11</t>
  </si>
  <si>
    <t>PACHON RODRIGUEZ NELSON ALFREDO</t>
  </si>
  <si>
    <t>34143658998</t>
  </si>
  <si>
    <t>25225</t>
  </si>
  <si>
    <t>CO1.PCCNTR.7435370</t>
  </si>
  <si>
    <t>2025-02-09 18:53:12</t>
  </si>
  <si>
    <t>DE CASTRO HERRERA HUGO</t>
  </si>
  <si>
    <t>007770234735</t>
  </si>
  <si>
    <t>25325</t>
  </si>
  <si>
    <t>CO1.PCCNTR.7436205</t>
  </si>
  <si>
    <t>2025-02-09 18:53:13</t>
  </si>
  <si>
    <t>OSPINA TOVAR DIEGO ARMANDO</t>
  </si>
  <si>
    <t>24043558014</t>
  </si>
  <si>
    <t>25425</t>
  </si>
  <si>
    <t>CO1.PCCNTR.7436230</t>
  </si>
  <si>
    <t>CASALLAS TORRES LEIDY VIVIANA</t>
  </si>
  <si>
    <t>24073845500</t>
  </si>
  <si>
    <t>25525</t>
  </si>
  <si>
    <t>CO1.PCCNTR.7436255</t>
  </si>
  <si>
    <t>2025-02-09 18:53:14</t>
  </si>
  <si>
    <t>BELLO BELLO ARGENIZ</t>
  </si>
  <si>
    <t>22100000259</t>
  </si>
  <si>
    <t>25625</t>
  </si>
  <si>
    <t>CO1.PCCNTR.7436276</t>
  </si>
  <si>
    <t>2025-02-09 18:53:15</t>
  </si>
  <si>
    <t>CANO POLO LINA MARCELA</t>
  </si>
  <si>
    <t>488417436331</t>
  </si>
  <si>
    <t>25725</t>
  </si>
  <si>
    <t>CO1.PCCNTR.7436292</t>
  </si>
  <si>
    <t>2025-02-09 18:53:16</t>
  </si>
  <si>
    <t>RAMIREZ DIAZ EDUARDO</t>
  </si>
  <si>
    <t>24119909829</t>
  </si>
  <si>
    <t>25825</t>
  </si>
  <si>
    <t>CO1.PCCNTR.7436859</t>
  </si>
  <si>
    <t>2025-02-09 22:22:18</t>
  </si>
  <si>
    <t>REINA GARZON JHON JAIRO</t>
  </si>
  <si>
    <t>488400443682</t>
  </si>
  <si>
    <t>25925</t>
  </si>
  <si>
    <t>CO1.PCCNTR.7439960</t>
  </si>
  <si>
    <t>2025-02-09 22:22:19</t>
  </si>
  <si>
    <t>GONZALEZ ROMERO ALFONSO ENRIQUE</t>
  </si>
  <si>
    <t>477900002288</t>
  </si>
  <si>
    <t>26025</t>
  </si>
  <si>
    <t>CO1.PCCNTR.7439996</t>
  </si>
  <si>
    <t>2025-02-09 22:22:20</t>
  </si>
  <si>
    <t>PABON PEÑA ALBA JAZMIN</t>
  </si>
  <si>
    <t>24115083509</t>
  </si>
  <si>
    <t>26125</t>
  </si>
  <si>
    <t>CO1.PCCNTR.7440720</t>
  </si>
  <si>
    <t>2025-02-09 22:22:21</t>
  </si>
  <si>
    <t>TORRES BURGOS YENNY ALEJANDRA</t>
  </si>
  <si>
    <t>04525906138</t>
  </si>
  <si>
    <t>26225</t>
  </si>
  <si>
    <t>CO1.PCCNTR.7440737</t>
  </si>
  <si>
    <t>2025-02-09 22:22:22</t>
  </si>
  <si>
    <t>SEGURA BALLESTEROS FLOR MARIA DEL PILAR</t>
  </si>
  <si>
    <t>42728755002</t>
  </si>
  <si>
    <t>26325</t>
  </si>
  <si>
    <t>CO1.PCCNTR.7441076</t>
  </si>
  <si>
    <t>2025-02-09 22:22:23</t>
  </si>
  <si>
    <t>SANMIGUEL CESAR AUGUSTO</t>
  </si>
  <si>
    <t>24121798572</t>
  </si>
  <si>
    <t>26425</t>
  </si>
  <si>
    <t>CO1.PCCNTR.7441441</t>
  </si>
  <si>
    <t>2025-02-09 22:22:24</t>
  </si>
  <si>
    <t>CAMACHO GONZALEZ FREDY OSCAR</t>
  </si>
  <si>
    <t>488436656117</t>
  </si>
  <si>
    <t>26525</t>
  </si>
  <si>
    <t>CO1.PCCNTR.7441458</t>
  </si>
  <si>
    <t>2025-02-09 22:22:25</t>
  </si>
  <si>
    <t>GARCIA OCHOA YENNI CAROLINA</t>
  </si>
  <si>
    <t>24163073176</t>
  </si>
  <si>
    <t>26625</t>
  </si>
  <si>
    <t>CO1.PCCNTR.7441642</t>
  </si>
  <si>
    <t>2025-02-09 22:22:26</t>
  </si>
  <si>
    <t>SANTANDER MACERY TERESA DE</t>
  </si>
  <si>
    <t>56754326382</t>
  </si>
  <si>
    <t>26725</t>
  </si>
  <si>
    <t>CO1.PCCNTR.7441658</t>
  </si>
  <si>
    <t>2025-02-09 22:36:11</t>
  </si>
  <si>
    <t>SANCHEZ ARIZA FABIO ERNESTO</t>
  </si>
  <si>
    <t>415510052604</t>
  </si>
  <si>
    <t>26825</t>
  </si>
  <si>
    <t>CO1.PCCNTR.7442105</t>
  </si>
  <si>
    <t>2025-02-09 22:40:19</t>
  </si>
  <si>
    <t>GORDILLO ORTIZ JANSON CAMILO</t>
  </si>
  <si>
    <t>688895932</t>
  </si>
  <si>
    <t>26925</t>
  </si>
  <si>
    <t>CO1.PCCNTR.7442134</t>
  </si>
  <si>
    <t>2025-02-09 22:43:32</t>
  </si>
  <si>
    <t>ANGEL JOSE HERNANDO</t>
  </si>
  <si>
    <t>24130639615</t>
  </si>
  <si>
    <t>27025</t>
  </si>
  <si>
    <t>CO1.PCCNTR.7442164</t>
  </si>
  <si>
    <t>2025-02-09 22:48:15</t>
  </si>
  <si>
    <t>CABRERA PINTO LUZ MARY</t>
  </si>
  <si>
    <t>24054166756</t>
  </si>
  <si>
    <t>27125</t>
  </si>
  <si>
    <t>CO1.PCCNTR.7442178</t>
  </si>
  <si>
    <t>2025-02-10 00:00:00</t>
  </si>
  <si>
    <t>2025-02-10 13:33:09</t>
  </si>
  <si>
    <t>CEDEÑO ROMERO KEVIN STEVEN</t>
  </si>
  <si>
    <t>24129030410</t>
  </si>
  <si>
    <t>27225</t>
  </si>
  <si>
    <t>CO1.PCCNTR.7443707</t>
  </si>
  <si>
    <t>SERVICIOS PERSONALES. Prestar servicios personales de carácter temporal y con plena autonomía como apoyo en el seguimiento a los contratos de la Coordinación de Formación Complementaria del Centro Industrial y de Desarrollo Empresarial de Soacha</t>
  </si>
  <si>
    <t>2025-02-10 13:52:13</t>
  </si>
  <si>
    <t>SALGADO ANGEL ALEJANDRA</t>
  </si>
  <si>
    <t>24104851841</t>
  </si>
  <si>
    <t>27325</t>
  </si>
  <si>
    <t>CO1.PCCNTR.7442582</t>
  </si>
  <si>
    <t>SERVICIOS PERSONALES.Prestar servicios de apoyo a la gestión de carácter temporal y con plena autonomía como Intérprete de Lengua de Señas Colombiana, con el propósito de garantizar la comunicación efectiva y el acceso a la información de los aprendi</t>
  </si>
  <si>
    <t>2025-02-10 13:52:14</t>
  </si>
  <si>
    <t>RAMIREZ SABOGAL JULIAN</t>
  </si>
  <si>
    <t>91225315570</t>
  </si>
  <si>
    <t>27425</t>
  </si>
  <si>
    <t>CO1.PCCNTR.7442576</t>
  </si>
  <si>
    <t>SERVICIOS PERSONALES. Prestar servicios de apoyo a la gestión de carácter temporal y con plena autonomía como Intérprete de Lengua de Señas Colombiana, con el propósito de garantizar la comunicación efectiva y el acceso a la información de los aprend</t>
  </si>
  <si>
    <t>2025-02-10 14:12:44</t>
  </si>
  <si>
    <t>GONZALEZ YEIMY MARIA</t>
  </si>
  <si>
    <t>0550456000048920</t>
  </si>
  <si>
    <t>27525</t>
  </si>
  <si>
    <t>CO1.PCCNTR.7443359</t>
  </si>
  <si>
    <t>SERVICIOS PERSONALES. Prestar los servicios profesionales de carácter temporal para apoyar la gestión de la biblioteca del Centro de Formación según los lineamientos del Manual de funcionamiento del Sistema de Bibliotecas</t>
  </si>
  <si>
    <t>2025-02-10 14:19:38</t>
  </si>
  <si>
    <t>ROZO GARZON JULIO ALCIDES</t>
  </si>
  <si>
    <t>24023036488</t>
  </si>
  <si>
    <t>27625</t>
  </si>
  <si>
    <t>CO1.PCCNTR.7443723</t>
  </si>
  <si>
    <t>SERVICIOS PERSONALES. Prestar servicios profesionales de carácter temporal y con plena autonomía como comunicador, para gestionar y divulgar las acciones misionales y los servicios ofrecidos por el Centro Industrial y de Desarrollo Empresarial</t>
  </si>
  <si>
    <t>2025-02-10 16:36:04</t>
  </si>
  <si>
    <t>SANCHEZ VANEGAS DANIEL</t>
  </si>
  <si>
    <t>24115675441</t>
  </si>
  <si>
    <t>CO1.PCCNTR.7444254O</t>
  </si>
  <si>
    <t>SERVICIOS PERSONALES.Prestar los servicios de apoyo a la gestión como conductor del Aula Móvil, atendiendo los desplazamientos programados por la subdirección Centro Industrial y de Desarrollo Empresarial de Soacha y sus Coordinaciones.</t>
  </si>
  <si>
    <t>2025-02-10 22:03:58</t>
  </si>
  <si>
    <t>Robayo Zapata Oscar David</t>
  </si>
  <si>
    <t>261425169</t>
  </si>
  <si>
    <t>27825</t>
  </si>
  <si>
    <t>CO1.PCCNTR.7445705</t>
  </si>
  <si>
    <t>SERVICIOS PERSONALES. Prestar servicios de apoyo a la gestión de carácter temporal y con plena autonomía técnica y administrativa para fortalecer los procesos de la oficina de Relaciones Corporativas del Centro Industrial y de Desarrollo Empresarial</t>
  </si>
  <si>
    <t>2025-02-10 22:15:21</t>
  </si>
  <si>
    <t>ORTIZ RODRIGUEZ RICARDO</t>
  </si>
  <si>
    <t>4400141166</t>
  </si>
  <si>
    <t>27925</t>
  </si>
  <si>
    <t>CO1.PCCNTR.7451475</t>
  </si>
  <si>
    <t>SERVICIOS PERSONALES. Prestar servicios de apoyo a la gestión de carácter temporal y con plena autonomía técnica y administrativa como conductor de los vehículos institucionales del Centro Industrial y de Desarrollo Empresarial de Soacha, asegurando</t>
  </si>
  <si>
    <t>2025-02-10 22:22:02</t>
  </si>
  <si>
    <t>GONZALEZ MOTTA LUIS ALBERTO</t>
  </si>
  <si>
    <t>161545264</t>
  </si>
  <si>
    <t>28025</t>
  </si>
  <si>
    <t>CO1.PCCNTR.7451455</t>
  </si>
  <si>
    <t>2025-02-10 22:40:22</t>
  </si>
  <si>
    <t>MINA MOSQUERA JONATHAN</t>
  </si>
  <si>
    <t>80600014548</t>
  </si>
  <si>
    <t>28125</t>
  </si>
  <si>
    <t>CO1.PCCNTR.7378286</t>
  </si>
  <si>
    <t>INSTRUCTOR. Prestar servicios profesionales, de carácter temporal y con plena autonomía, como instructor del programa “Articulación con la Educación Media”, con el propósito de atender las necesidades de formación técnica, de acuerdo con el perfil pr</t>
  </si>
  <si>
    <t>2025-02-10 22:46:50</t>
  </si>
  <si>
    <t>CARRILLO URREA MONICA CONSUELO</t>
  </si>
  <si>
    <t>456800259214</t>
  </si>
  <si>
    <t>28225</t>
  </si>
  <si>
    <t>CO1.PCCNTR.7445088</t>
  </si>
  <si>
    <t>SERVICIOS PERSONALES.Prestar servicios de apoyo a la gestión de carácter temporal y con plena autonomía para fortalecer los procesos administrativos y operativos del despacho de la Subdirección del Centro de Formación, garantizando la organización, s</t>
  </si>
  <si>
    <t>2025-02-10 22:54:00</t>
  </si>
  <si>
    <t>SURQUIRA INFANTE ANGI ALEJANDRA</t>
  </si>
  <si>
    <t>24052664386</t>
  </si>
  <si>
    <t>28325</t>
  </si>
  <si>
    <t>CO1.PCCNTR.7444204</t>
  </si>
  <si>
    <t>SERVICIOS PERSONALES. Prestar servicios de apoyo a la gestión de carácter temporal y con plena autonomía para desarrollar acciones orientadas a fortalecer el liderazgo y el desarrollo humano integral de los aprendices, promoviendo su permanencia en</t>
  </si>
  <si>
    <t>2025-02-10 22:56:20</t>
  </si>
  <si>
    <t>SANABRIA CRUZ JAIRO ALBERTO</t>
  </si>
  <si>
    <t>4622049045</t>
  </si>
  <si>
    <t>28425</t>
  </si>
  <si>
    <t>CO1.PCCNTR.7444644</t>
  </si>
  <si>
    <t>SERVICIOS PERSONALES. Prestar servicios de apoyo a la gestión de carácter temporal y con plena autonomía para implementar acciones que fomenten las expresiones artísticas de los aprendices en su formación profesional integral, a través de manifestaci</t>
  </si>
  <si>
    <t>2025-02-10 22:58:28</t>
  </si>
  <si>
    <t>BERMEO LUNA KATHERIN JOHANNA</t>
  </si>
  <si>
    <t>24077305352</t>
  </si>
  <si>
    <t>28525</t>
  </si>
  <si>
    <t>CO1.PCCNTR.7444289</t>
  </si>
  <si>
    <t>SERVICIOS PERSONALES. Prestar servicios de apoyo a la gestión de carácter temporal y con plena autonomía para desarrollar actividades orientadas al fortalecimiento de habilidades socioemocionales de los aprendices del Centro de Formación, en el marco</t>
  </si>
  <si>
    <t>2025-02-11 00:00:00</t>
  </si>
  <si>
    <t>2025-02-11 08:23:32</t>
  </si>
  <si>
    <t>1,797,160.00</t>
  </si>
  <si>
    <t>28625</t>
  </si>
  <si>
    <t>32050725</t>
  </si>
  <si>
    <t>41348031-7</t>
  </si>
  <si>
    <t>SERVICIOS PUBLICOS: Pago del servicio de ENERGIA de la sede Ciudad Verde del Centro Industrial y Desarrollo Empresarial de Soacha ubicada en la carrera 36 #17-186, Periodo facturado 5 Ene 2024 a 3 Feb de 2025, Fecha Límite de Pago: 18 de Feb 2025</t>
  </si>
  <si>
    <t>2025-02-11 08:37:12</t>
  </si>
  <si>
    <t>28725</t>
  </si>
  <si>
    <t>32039125</t>
  </si>
  <si>
    <t>F15B26260418</t>
  </si>
  <si>
    <t>SERVICIOS PUBLICOS: Pago de servicio de GAS NATURAL sede La Colonia del Centro Industrial y de Desarrollo Empresarial ubicada en el municipio de Sibaté, periodo de pago 25 de Diciembre a 27 de Enero, Fecha Límite de Pago: 24 de febrero de 2025</t>
  </si>
  <si>
    <t>2025-02-12 00:00:00</t>
  </si>
  <si>
    <t>2025-02-12 10:09:35</t>
  </si>
  <si>
    <t>576,929.00</t>
  </si>
  <si>
    <t>BARACALDO SANTOS JUAN CARLOS</t>
  </si>
  <si>
    <t>22127248099</t>
  </si>
  <si>
    <t>28825</t>
  </si>
  <si>
    <t>SOLICITUD</t>
  </si>
  <si>
    <t>COM 225</t>
  </si>
  <si>
    <t>VIATICOS: SOACHA – TENA – GRANADA - TEQUENDAMA 12, 13, 14 DE FEBRERO. SEGUIMIENTO DE CONCERTACIÓN Y O ACUERDOS DE FORMACIÓN CON LAS ALCALDÍAS Y LAS ADMINISTRACIONES MUNICIPALES</t>
  </si>
  <si>
    <t>2025-02-12 10:13:54</t>
  </si>
  <si>
    <t>478,585.00</t>
  </si>
  <si>
    <t>COM 325</t>
  </si>
  <si>
    <t>VIATICOS: SOACHA – TENA – GRANADA - TEQUENDAMA 12, 13, 14 DE FEBRERO. DESPLAZAMIENTO A LA ALCALDÍA DEL MUNICIPIO DE TENA, CON EL FIN DE CONCERTAR FORMACIONES DIRIGIDAS A CAMPESENA Y ECONOMÍA POPULAR.</t>
  </si>
  <si>
    <t>2025-02-12 10:20:59</t>
  </si>
  <si>
    <t>93,439.00</t>
  </si>
  <si>
    <t>29025</t>
  </si>
  <si>
    <t>COM 625</t>
  </si>
  <si>
    <t>VIATICOS: SOACHA – ZIPAQUIRA 12 DE FEBRERO. TRASLADO DEL SUBDIRECTOR</t>
  </si>
  <si>
    <t>2025-02-12 10:30:33</t>
  </si>
  <si>
    <t>252,632.00</t>
  </si>
  <si>
    <t>MEDINA BARAJAS EDWARD FABIAN</t>
  </si>
  <si>
    <t>0570451570058300</t>
  </si>
  <si>
    <t>29125</t>
  </si>
  <si>
    <t>COM 725</t>
  </si>
  <si>
    <t>VIATICOS: SOACHA – ZIPAQUIRA 12 DE FEBRERO. CONCERTAR COMPROMISOS DEL PROCESO DE EVALUACIÓN Y CERTIFICACIÓN DE COMPETENCIA LABORALES</t>
  </si>
  <si>
    <t>2025-02-12 10:39:33</t>
  </si>
  <si>
    <t>COM 425</t>
  </si>
  <si>
    <t>VIATICOS: SOACHA – TEQUENDAMA - TENA – GRANADA 14, 17, 18 DE FEBRERO. GESTIÓN PARA CONCERTAR FORMACIONES BAJO EL PROGRAMA ECONOMÍA POPULAR.</t>
  </si>
  <si>
    <t>2025-02-12 10:45:22</t>
  </si>
  <si>
    <t>372,012.00</t>
  </si>
  <si>
    <t>CASAS FONSECA ALBA CONSUELO</t>
  </si>
  <si>
    <t>24523344944</t>
  </si>
  <si>
    <t>29325</t>
  </si>
  <si>
    <t>COM 125</t>
  </si>
  <si>
    <t>VIATICOS: SOACHA – TENA - TEQUENDAMA 13,14 DE FEBRERO. CONCERTAR CON ALCALDÍA MUNICIPAL LOS PROGRAMAS DE FORMACIÓN ESTRATEGIA CAMPESENA</t>
  </si>
  <si>
    <t>2025-02-12 10:53:18</t>
  </si>
  <si>
    <t>RIVERA MURILLO JAIRO ALBERTO</t>
  </si>
  <si>
    <t>272175241</t>
  </si>
  <si>
    <t>29425</t>
  </si>
  <si>
    <t>COM 525</t>
  </si>
  <si>
    <t>VIATICOS: SOACHA – TEQUENDAMA – GRANADA - TENA 19, 20, 21 DE FEBRERO. VISITAR COLEGIOS MUNICIPIOS.</t>
  </si>
  <si>
    <t>2025-02-12 15:51:38</t>
  </si>
  <si>
    <t>MORA QUIROGA ANDRES FELIPE</t>
  </si>
  <si>
    <t>299122085</t>
  </si>
  <si>
    <t>29525</t>
  </si>
  <si>
    <t>CO1.PCCNTR.7455879</t>
  </si>
  <si>
    <t>SERVICIOS PERSONALES. Prestar servicios de apoyo a la gestión de carácter temporal y con plena autonomía para materializar las acciones de gestión administrativa y académica de la Coordinación de Formación Complementaria del Centro Industrial y de De</t>
  </si>
  <si>
    <t>2025-02-12 15:51:39</t>
  </si>
  <si>
    <t>POVEDA MENDEZ WILSON EDUARDO</t>
  </si>
  <si>
    <t>29625</t>
  </si>
  <si>
    <t>CO1.PCCNTR.7456193</t>
  </si>
  <si>
    <t>SERVICIOS PERSONALES. Prestar servicios de apoyo a la gestión de carácter temporal y con plena autonomía para apoyar los procesos de gestión de almacén e inventarios del Centro Industrial y de Desarrollo Empresarial de Soacha, garantizando la organiz</t>
  </si>
  <si>
    <t>2025-02-12 15:51:40</t>
  </si>
  <si>
    <t>CEPEDA AVILA KAREN MISLEIDY</t>
  </si>
  <si>
    <t>0550488450533549</t>
  </si>
  <si>
    <t>29725</t>
  </si>
  <si>
    <t>CO1.PCCNTR.7456653</t>
  </si>
  <si>
    <t>SERVICIOS PERSONALES. Prestar servicios de apoyo a la gestión de carácter temporal y con plena autonomía para la organización y control de los procesos del área de archivo del Centro Industrial y de Desarrollo Empresarial de Soacha, garantizando la</t>
  </si>
  <si>
    <t>2025-02-12 15:51:41</t>
  </si>
  <si>
    <t>MANTILLA CANO SANDRA YAMILE</t>
  </si>
  <si>
    <t>24092205468</t>
  </si>
  <si>
    <t>29825</t>
  </si>
  <si>
    <t>CO1.PCCNTR.7457200</t>
  </si>
  <si>
    <t>SERVICIOS PERSONALES. Prestar servicios de apoyo a la gestión de carácter temporal y con plena autonomía para la organización y optimización de los procesos administrativos y de ordenamiento logístico en la Coordinación de Formación Titulada del Cent</t>
  </si>
  <si>
    <t>2025-02-12 15:51:42</t>
  </si>
  <si>
    <t>RAMIREZ PEREZ MARIA ANGEL</t>
  </si>
  <si>
    <t>272399544</t>
  </si>
  <si>
    <t>29925</t>
  </si>
  <si>
    <t>CO1.PCCNTR.7457559</t>
  </si>
  <si>
    <t>SERVICIOS PERSONALES. Prestar servicios de apoyo a la gestión de carácter temporal y con plena autonomía técnica para el registro y actualización de información en los aplicativos de la oficina de Relacionamiento con la Ciudadanía, asegurando la gest</t>
  </si>
  <si>
    <t>2025-02-12 15:51:43</t>
  </si>
  <si>
    <t>GARZON AVILA CLAUDIA NIDIA</t>
  </si>
  <si>
    <t>24116968045</t>
  </si>
  <si>
    <t>30025</t>
  </si>
  <si>
    <t>CO1.PCCNTR.7461913</t>
  </si>
  <si>
    <t>SERVICIOS PERSONALES. Prestar servicios de apoyo a la gestión de carácter temporal y con plena autonomía para la gestión administrativa de la Coordinación de Formación Complementaria del Centro Industrial y de Desarrollo Empresarial de Soacha</t>
  </si>
  <si>
    <t>2025-02-12 17:25:15</t>
  </si>
  <si>
    <t>LAVERDE MARTINEZ MARIA ROSA</t>
  </si>
  <si>
    <t>22140037510</t>
  </si>
  <si>
    <t>30125</t>
  </si>
  <si>
    <t>CO1.PCCNTR.7468987</t>
  </si>
  <si>
    <t>SERVICIOS PERSONALES. Prestar servicios de apoyo a la gestión de carácter temporal y con plena autonomía para desarrollar acciones de prevención de enfermedades y actividades de promoción de la salud dirigidas a los aprendices del Centro de Formación</t>
  </si>
  <si>
    <t>2025-02-13 00:00:00</t>
  </si>
  <si>
    <t>2025-02-13 07:10:50</t>
  </si>
  <si>
    <t>465,641.00</t>
  </si>
  <si>
    <t>30225</t>
  </si>
  <si>
    <t>COM 925</t>
  </si>
  <si>
    <t>VIATICOS: SOACHA – TENA - TEQUENDAMA 13,14 DE FEBRERO. CONCERTAR CON ALCALDÍA MUNICIPAL LOS PROGRAMAS DE FORMACIÓN ESTRATEGIA CAMPESENA.</t>
  </si>
  <si>
    <t>2025-02-13 07:16:06</t>
  </si>
  <si>
    <t>35,200.00</t>
  </si>
  <si>
    <t>30325</t>
  </si>
  <si>
    <t>COM 825</t>
  </si>
  <si>
    <t>VIATICOS: SOACHA – TENA 13 DE FEBRERO. TRASLADO DEL SUBDIRECTOR</t>
  </si>
  <si>
    <t>2025-02-14 00:00:00</t>
  </si>
  <si>
    <t>2025-02-14 07:49:48</t>
  </si>
  <si>
    <t>136,200.00</t>
  </si>
  <si>
    <t>30425</t>
  </si>
  <si>
    <t>COM 1025</t>
  </si>
  <si>
    <t>VIATICOS: SOACHA – TEQUENDAMA – TENA - GRANADA14, 26, 27, 28 DE FEBRERO. TRASLADO DEL SUBDIRECTOR</t>
  </si>
  <si>
    <t>2025-02-14 09:56:48</t>
  </si>
  <si>
    <t>2,112,083.00</t>
  </si>
  <si>
    <t>30525</t>
  </si>
  <si>
    <t>15883496</t>
  </si>
  <si>
    <t>SERVICIOS PUBLICOS: Pago de servicio ENERGIA de la sede Soacha del Centro Industrial y Desarrollo Empresarial de Soacha ubicada en la calle 13 # 10-63, del 28 de diciembre al 27 de Enero de 2024, Fecha de Pago:14 de febrero de 2025</t>
  </si>
  <si>
    <t>2025-02-14 10:07:04</t>
  </si>
  <si>
    <t>30625</t>
  </si>
  <si>
    <t>3625, 3725</t>
  </si>
  <si>
    <t>2425, 2525</t>
  </si>
  <si>
    <t>38246325, 38265525</t>
  </si>
  <si>
    <t>FC 001000156399</t>
  </si>
  <si>
    <t>SERVICIOS PUBLICOS: Pago de servicio de Telefonía de la sede Soacha del Centro Industrial y Desarrollo Empresarial de Soacha ubicada en la calle 13 # 10-63 periodo facturado 1 al 31 de ENERO, Fecha de Pago: 27 de Febrero de 2025</t>
  </si>
  <si>
    <t>2025-02-17 00:00:00</t>
  </si>
  <si>
    <t>2025-02-17 11:23:39</t>
  </si>
  <si>
    <t>222,632.00</t>
  </si>
  <si>
    <t>CELIS CASTRO ARGEMIRO</t>
  </si>
  <si>
    <t>20505880851</t>
  </si>
  <si>
    <t>30725</t>
  </si>
  <si>
    <t>COM 1425</t>
  </si>
  <si>
    <t>VIATICOS: SOACHA – ZIPAQUIRA 19 DE FEBRERO. VISITA EMPRESA LÁCTEOS LA GRAN VÍA. CONCERTAR COMPROMISOS DEL PROCESO DE EVALUACIÓN Y CERTIFICACIÓN DE COMPETENCIA LABORALES.</t>
  </si>
  <si>
    <t>2025-02-17 11:28:57</t>
  </si>
  <si>
    <t>354,493.00</t>
  </si>
  <si>
    <t>SUAREZ FIGUEROA LILIANA ANDREA</t>
  </si>
  <si>
    <t>0378001057</t>
  </si>
  <si>
    <t>COM 1125</t>
  </si>
  <si>
    <t>VIATICOS: SOACHA – BOGOTA 19, 21 DE FEBRERO. PARTICIPAR EN LA TRANSFERENCIA DE CONOCIMIENTO SOBRE PROCESOS DE VERIFICACIÓN DE PROYECTOS Y CONSTRUCCIÓN DE INSTRUMENTOS DE EVALUACIÓN Y CERTIFICACIÓN DE COMPETENCIAS LABORALES</t>
  </si>
  <si>
    <t>2025-02-17 12:20:04</t>
  </si>
  <si>
    <t>YANTEN PEREZ LAURA ALEJANDRA</t>
  </si>
  <si>
    <t>24113487927</t>
  </si>
  <si>
    <t>30925</t>
  </si>
  <si>
    <t>CO1.PCCNTR.7482092</t>
  </si>
  <si>
    <t>2025-02-17 12:53:36</t>
  </si>
  <si>
    <t>POLANIA RIVERA STEPHANY</t>
  </si>
  <si>
    <t>24118937427</t>
  </si>
  <si>
    <t>31025</t>
  </si>
  <si>
    <t>CO1.PCCNTR.7482168</t>
  </si>
  <si>
    <t>2025-02-17 13:34:41</t>
  </si>
  <si>
    <t>GELVES GIRALDO MILDRED ANDREA DEL PILAR</t>
  </si>
  <si>
    <t>24055278715</t>
  </si>
  <si>
    <t>31125</t>
  </si>
  <si>
    <t>CO1.PCCNTR.7483169</t>
  </si>
  <si>
    <t>SERVICIOS PERSONALES. Prestar servicios profesionales de carácter temporal y con plena autonomía para el acompañamiento en la ejecución del Plan Nacional Integral de Bienestar al Aprendiz (PNIBA), a través de los programas asociados a Economía Popula</t>
  </si>
  <si>
    <t>2025-02-17 14:03:17</t>
  </si>
  <si>
    <t>PEÑALOZA PEÑALOZA YENNY VIVIANA</t>
  </si>
  <si>
    <t>001900270156</t>
  </si>
  <si>
    <t>31225</t>
  </si>
  <si>
    <t>CO1.PCCNTR.7494057</t>
  </si>
  <si>
    <t>ECCL SERVICIOS PERSONALES. Prestar temporalmente los servicios profesionales en la Evaluación y Certificación de Competencias Laborales del SENA, y construcción y revisión de instrumentos de evaluación, en la(s) función(es) productiva(s) o área(s) cl</t>
  </si>
  <si>
    <t>2025-02-17 14:13:48</t>
  </si>
  <si>
    <t>ROMERO DURAN JORGE EDUARDO</t>
  </si>
  <si>
    <t>008480273344</t>
  </si>
  <si>
    <t>31325</t>
  </si>
  <si>
    <t>CO1.PCCNTR.7494531</t>
  </si>
  <si>
    <t>2025-02-17 15:08:08</t>
  </si>
  <si>
    <t>HERRERA PALACIOS GUILLERMO ANDRES</t>
  </si>
  <si>
    <t>378001287</t>
  </si>
  <si>
    <t>31425</t>
  </si>
  <si>
    <t>CO1.PCCNTR.7493334</t>
  </si>
  <si>
    <t>2025-02-17 15:20:49</t>
  </si>
  <si>
    <t>RODRIGUEZ GONZALEZ FRANCISCO LUIS</t>
  </si>
  <si>
    <t>256800051037</t>
  </si>
  <si>
    <t>31525</t>
  </si>
  <si>
    <t>CO1.PCCNTR.7493825</t>
  </si>
  <si>
    <t>2025-02-17 15:50:51</t>
  </si>
  <si>
    <t>AMAYA VELASQUEZ LUISA FERNANDA</t>
  </si>
  <si>
    <t>22118601134</t>
  </si>
  <si>
    <t>31625</t>
  </si>
  <si>
    <t>CO1.PCCNTR.7485096</t>
  </si>
  <si>
    <t>SERVICIOS PERSONALES. Prestar servicios de apoyo a la gestión de carácter temporal y con plena autonomía para realizar la organización y preparación física de colecciones y apoyar los servicios de información en las bibliotecas del Centro Industrial</t>
  </si>
  <si>
    <t>2025-02-17 16:07:24</t>
  </si>
  <si>
    <t>APONTE ROJAS ALVARO</t>
  </si>
  <si>
    <t>19287282861</t>
  </si>
  <si>
    <t>31725</t>
  </si>
  <si>
    <t>CO1.PCCNTR.7493290</t>
  </si>
  <si>
    <t>2025-02-17 22:37:58</t>
  </si>
  <si>
    <t>SERNA FUENTES JOAQUIN ALDO</t>
  </si>
  <si>
    <t>24745808464</t>
  </si>
  <si>
    <t>31825</t>
  </si>
  <si>
    <t>CO1.PCCNTR.7493965</t>
  </si>
  <si>
    <t>ECCL SERVICIOS PERSONALES. Prestar temporalmente los servicios de apoyo a la gestión en la Evaluación y Certificación de Competencias Laborales del SENA, y construcción y revisión de instrumentos de evaluación, en la(s) función(es) productiva(s) o ár</t>
  </si>
  <si>
    <t>2025-02-17 22:49:21</t>
  </si>
  <si>
    <t>QUIROGA MAYORGA EDWIN SEBASTIAN</t>
  </si>
  <si>
    <t>24076030383</t>
  </si>
  <si>
    <t>31925</t>
  </si>
  <si>
    <t>CO1.PCCNTR.7494474</t>
  </si>
  <si>
    <t>SERVICIOS PERSONALES. Prestar servicios de apoyo a la gestión de carácter temporal y con plena autonomía para fomentar el deporte, la actividad física y el aprovechamiento del tiempo libre entre los aprendices del Centro de Formación, en el marco del</t>
  </si>
  <si>
    <t>2025-02-17 22:57:53</t>
  </si>
  <si>
    <t>AGUAS GUERRERO RAFAEL ANTONIO</t>
  </si>
  <si>
    <t>0378467807</t>
  </si>
  <si>
    <t>32025</t>
  </si>
  <si>
    <t>CO1.PCCNTR.7493104</t>
  </si>
  <si>
    <t>2025-02-18 00:00:00</t>
  </si>
  <si>
    <t>2025-02-18 16:46:43</t>
  </si>
  <si>
    <t>32125</t>
  </si>
  <si>
    <t>3825, 3925</t>
  </si>
  <si>
    <t>2625, 2725</t>
  </si>
  <si>
    <t>40449025, 40453425</t>
  </si>
  <si>
    <t>FC 001000156894</t>
  </si>
  <si>
    <t>SERVICIOS PUBLICOS: Pago de servicio de Telefonía de la sede el Altico del Centro Industrial y Desarrollo Empresarial de Soacha ubicada en la calle 3 # 3-20 Bodega 2, periodo facturado 1 a 31 ENERO de 2025 Fecha Límite de Pago 27 de Febrero de 2025</t>
  </si>
  <si>
    <t>2025-02-19 00:00:00</t>
  </si>
  <si>
    <t>2025-02-19 08:58:08</t>
  </si>
  <si>
    <t>52564652261</t>
  </si>
  <si>
    <t>32225</t>
  </si>
  <si>
    <t>COM 1225</t>
  </si>
  <si>
    <t>VIATICOS: SOACHA – TEQUENDAMA – GRANANDA - TENA 19, 20, 21 DE FEBRERO. VISITA COLEGIOS MUNICIPIOS</t>
  </si>
  <si>
    <t>2025-02-19 09:01:58</t>
  </si>
  <si>
    <t>32325</t>
  </si>
  <si>
    <t>COM 1325</t>
  </si>
  <si>
    <t>2025-02-19 10:21:39</t>
  </si>
  <si>
    <t>32425</t>
  </si>
  <si>
    <t>COM 1525</t>
  </si>
  <si>
    <t>VIATICOS: SOACHA – TENA - TEQUENDAMA 20, 21 DE FEBRERO. CONCERTAR CON ALCALDÍA MUNICIPAL LOS PROGRAMAS DE FORMACIÓN ESTRATEGIA CAMPESENA</t>
  </si>
  <si>
    <t>2025-02-19 22:18:25</t>
  </si>
  <si>
    <t>CANTOR CUERVO MARTHA LUCY</t>
  </si>
  <si>
    <t>24613606510</t>
  </si>
  <si>
    <t>32525</t>
  </si>
  <si>
    <t>CO1.PCCNTR.7516415</t>
  </si>
  <si>
    <t>SERVICIOS PERSONALES. Prestar servicios profesionales de carácter temporal y con plena autonomía como orientador vocacional en la TecnoAcademia Cazucá, gestionando y acompañando procesos pedagógicos, de orientación vocacional y formación transversal,</t>
  </si>
  <si>
    <t>2025-02-19 22:22:31</t>
  </si>
  <si>
    <t>GONZALEZ CADAVID NATALIA ROCIO</t>
  </si>
  <si>
    <t>4682035807</t>
  </si>
  <si>
    <t>32625</t>
  </si>
  <si>
    <t>CO1.PCCNTR.7517222</t>
  </si>
  <si>
    <t>SERVICIOS PERSONALES. Prestar servicios de apoyo a la gestión de carácter temporal y con plena autonomía como gestor administrativo y operativo del Tecnoparque Cazucá en el marco del acompañamiento y fortalecimiento de los procesos de innovación, des</t>
  </si>
  <si>
    <t>2025-02-19 22:32:57</t>
  </si>
  <si>
    <t>CARRERO SALINAS MALORY CAMILA</t>
  </si>
  <si>
    <t>32725</t>
  </si>
  <si>
    <t>CO1.PCCNTR.7518687</t>
  </si>
  <si>
    <t>2025-02-19 22:40:15</t>
  </si>
  <si>
    <t>UBAQUE BUITRAGO LINA ANGELICA</t>
  </si>
  <si>
    <t>36414836903</t>
  </si>
  <si>
    <t>32825</t>
  </si>
  <si>
    <t>CO1.PCCNTR.7516076</t>
  </si>
  <si>
    <t>SERVICIOS PERSONALES. Prestar servicios profesionales de carácter temporal y con plena autonomía como Facilitador de la Tecnoacademia Cundinamarca, orientando y ejecutando actividades de formación y desarrollo de competencias en aprendices según las</t>
  </si>
  <si>
    <t>2025-02-19 22:43:00</t>
  </si>
  <si>
    <t>ZABALETA NIÑO JEFFERSON DANIEL</t>
  </si>
  <si>
    <t>72682161788</t>
  </si>
  <si>
    <t>32925</t>
  </si>
  <si>
    <t>CO1.PCCNTR.7515579</t>
  </si>
  <si>
    <t>2025-02-19 22:45:37</t>
  </si>
  <si>
    <t>NIETOTO ESPINOSA JUAN PABLO</t>
  </si>
  <si>
    <t>05940624632</t>
  </si>
  <si>
    <t>33025</t>
  </si>
  <si>
    <t>CO1.PCCNTR.7516162</t>
  </si>
  <si>
    <t>2025-02-19 22:48:23</t>
  </si>
  <si>
    <t>GIL NOVOA HECTOR GERMAN</t>
  </si>
  <si>
    <t>33125</t>
  </si>
  <si>
    <t>CO1.PCCNTR.7516417</t>
  </si>
  <si>
    <t>2025-02-19 22:50:49</t>
  </si>
  <si>
    <t>CHARRY PRADA MAURICIO</t>
  </si>
  <si>
    <t>29987983432</t>
  </si>
  <si>
    <t>33225</t>
  </si>
  <si>
    <t>CO1.PCCNTR.7517527</t>
  </si>
  <si>
    <t>SERVICIOS PERSONALES. Prestar servicios profesionales de carácter temporal y con plena autonomía como experto del Tecnoparque Cazucá para el acompañamiento y fortalecimiento de los procesos de innovación, desarrollo tecnológico y transferencia de con</t>
  </si>
  <si>
    <t>2025-02-19 22:53:55</t>
  </si>
  <si>
    <t>GUERRERO CORDOBA CARLOS ALBERTO</t>
  </si>
  <si>
    <t>33325</t>
  </si>
  <si>
    <t>CO1.PCCNTR.7517355</t>
  </si>
  <si>
    <t>2025-02-19 22:56:03</t>
  </si>
  <si>
    <t>QUINTERO CORDOBA WILSON</t>
  </si>
  <si>
    <t>17712912561</t>
  </si>
  <si>
    <t>33425</t>
  </si>
  <si>
    <t>CO1.PCCNTR.7517813</t>
  </si>
  <si>
    <t>2025-02-19 22:58:12</t>
  </si>
  <si>
    <t>CORONEL SEGRERA CESAR AUGUSTO</t>
  </si>
  <si>
    <t>007270663490</t>
  </si>
  <si>
    <t>33525</t>
  </si>
  <si>
    <t>CO1.PCCNTR.7518113</t>
  </si>
  <si>
    <t>2025-01-27 00:00:00</t>
  </si>
  <si>
    <t>2025-01-28 00:00:00</t>
  </si>
  <si>
    <t>PAGO CORRESPONDIENTE AL SERVICIO DE ENERGÍA ELÉCTRICA EN LA SEDE "CIUDAD VERDE" DE SOACHA, POR EL PERÍODO COMPRENDIDO ENTRE EL 05 DE DICIEMBRE DE 2024 Y EL 4 DE ENERO DE 2025.</t>
  </si>
  <si>
    <t>PAGO CORRESPONDIENTE AL SERVICIO DE GAS NATURAL EN LA SEDE PRINCIPAL DEL CIDE SOACHA, POR LOS MESES DE NOVIEMBRE Y DICIEMBRE DE 2024.</t>
  </si>
  <si>
    <t>PAGO CORRESPONDIENTE AL SERVICIO DE GAS NATURAL DE LA SEDE "LA COLONIA" SIBATÉ, POR EL PERÍODO COMPRENDIDO ENTRE EL 20 DE NOVIEMBRE AL 24 DE DICIEMBRE DE 2024.</t>
  </si>
  <si>
    <t>PAGO CORRESPONDIENTE AL SERVICIO DE ACUEDUCTO Y ALCANTARILLADO DE LA SEDE "EL ALTICO" SOACHA, POR EL PERÍODO COMPRENDIDO ENTRE EL 27 DE NOVIEMBRE Y EL 26 DE DICIEMBRE DE 2024.</t>
  </si>
  <si>
    <t>PAGO CORRESPONDIENTE AL SERVICIO DE ACUEDUCTO Y ALCANTARILLADO DE LA SEDE PRINCIPAL CIDE SOACHA, POR EL PERÍODO COMPRENDIDO ENTRE EL 27 DE NOVIEMBRE Y EL 26 DE DICIEMBRE DE 2024.</t>
  </si>
  <si>
    <t>146,035.22</t>
  </si>
  <si>
    <t>PAGO CORRESPONDIENTE AL SERVICIO DE TELECOMUNICACIONES DE LA SEDE "EL ALTICO" SOACHA, POR EL PERÍODO COMPRENDIDO ENTRE EL 1 Y EL 31 DE DICIEMBRE DE 2024.</t>
  </si>
  <si>
    <t>27,557.13</t>
  </si>
  <si>
    <t>PAGO CORRESPONDIENTE AL I.V.A. DE LA FACTURA No. FC 001000143343, POR EL SERVICIO DE TELECOMUNICACIONES DE LA SEDE "EL ALTICO" SOACHA EN EL PERÍODO COMPRENDIDO ENTRE EL 1 Y EL 31 DE DICIEMBRE DE 2024.</t>
  </si>
  <si>
    <t>2,506,950.43</t>
  </si>
  <si>
    <t>PAGO CORRESPONDIENTE AL SERVICIO DE TELECOMUNCIACIONES DE LA SEDE PRINCIPAL CIDE SOACHA, POR EL PERÍODO COMPRENDIDO ENTRE EL 1 Y EL 31 DE ENERO DE 2024.</t>
  </si>
  <si>
    <t>215,499.57</t>
  </si>
  <si>
    <t>PAGO CORRESPONDIENTE AL I.V.A. DE LA FACTURA No. FC 001000133451, POR EL SERVICIO DE TELECOMUNICACIONES DE LA SEDE PRINCIPAL CIDE SOACHA, DURANTE EL PERÍODO COMPRENDIDO ENTRE EL 1 Y EL 31 DE DICIEMBRE DE 2024.</t>
  </si>
  <si>
    <t>PAGO CORRESPONDIENTE AL SERVICIO DE ENERGÍA ELÉCTRICA DE LA SEDE CIDE SOACHA POR EL PERÍODO COMPRENDIDO ENTRE EL 28 DE NOVIEMBRE Y EL 27 DE DICIEMBRE DE 2024.</t>
  </si>
  <si>
    <t>12602546076</t>
  </si>
  <si>
    <t>36-02-00-025-923210</t>
  </si>
  <si>
    <t>PAGO CORRESPONDIENTE AL SERVICIO DE ACUEDUCTO Y ALCANTARILLADO DE LA SEDE "LA COLONIA" DEL MUNICIPIO DE SIBATÉ POR EL MES DE ENERO DE 2025.</t>
  </si>
  <si>
    <t>PAGO CORRESPONDIENTE AL SERVICIO DE GAS NATURAL EN LA SEDE PRINCIPAL DEL CIDE EN EL MUNICIPIO DE SOACHA, POR EL PERÍODO COMPRENDIDO ENTRE DICIEMBRE DE 2024 Y ENERO DE 2025.</t>
  </si>
  <si>
    <t>PAGO CORRESPONDIENTE AL SERVICIO DE ENERGÍA ELÉCTRICA DE LA SEDE "EL ALTICO" SOACHA, POR EL PERÍODO COMPRENDIDO ENTRE EL 3 Y EL 30 DE ENERO DE 2024.</t>
  </si>
  <si>
    <t>PAGO CORRESPONDIENTE AL SERVICIO DE GAS NATURAL DE LA SEDE "LA COLONIA" DEL MUNICIPIO DE SIBATÉ, POR EL PERÍODO COMPRENDIDO ENTRE EL 25 DE DICIEMBRE DE 2024 HASTA EL 27 DE ENERO DE 2025.</t>
  </si>
  <si>
    <t>PAGO CORRESPONDIENTE AL SERVICIO DE ENERGÍA ELÉCTRICA DE LA SEDE CIUDAD VERDE EN EL MUNICIPIO DE SOACHA, POR EL PERÍODO COMPRENDIDO ENTRE EL 5 DE ENERO Y EL 3 DE FEBRERO DE 2025.</t>
  </si>
  <si>
    <t>PAGO CORRESPONDIENTE AL SERVICIO DE ENERGÍA ELÉCTRICA DE LA SEDE PRINCIPAL CIDE SOACHA, POR EL PERÍODO COMPRENDIDO ENTRE EL 28 DE DICIEMBRE DE 2024 Y EL 27 DE ENERO DE 2025.</t>
  </si>
  <si>
    <t>1,221,615.00</t>
  </si>
  <si>
    <t>PAGO CORRESPONDIENTE AL SERVICIO DE TELECOMUNICACIONES DE LA SEDE PRINCIPAL CIDE SOACHA POR EL MES DE ENERO DE 2025.</t>
  </si>
  <si>
    <t>230,605.00</t>
  </si>
  <si>
    <t>PAGO CORRESPONDIENTE AL I.V.A. DE LA FACTURA No. FC 001000156399, POR EL SERVICIO DE TELECOMUNICACIONES DE LA SEDE PRINCIPAL CIDE SOACHA , DURANTE EL MES DE ENERO DE 2025</t>
  </si>
  <si>
    <t>PAGO CORRESPONDIENTE AL SERVICIO DE ENERGÍA ELÉCTRICA DE LA SEDE PRINCIPAL CIDE SOACHA, POR EL PERÍODO COMPRENDIDO ENTRE EL 28 DE DICIEMBRE DE 2024 Y EL 27 DE ENERO DE 2025. SE REALIZÓ CAMBIO DE FACTURA POR CUPÓN DE PAGO, DEBIDO A QUE EN LA FACTURA ORIGINAL SE INCLUYÓ UN VALOR QUE YA SE HABÍA CANCELADO.</t>
  </si>
  <si>
    <t>154,319.00</t>
  </si>
  <si>
    <t>VALOR CORRESPONDIENTE AL SERVICIO DE TELECOMUNICACIONES DE LA SEDE "EL ALTICO" DE SOACHA, POR EL PERÍODO COMPRENDIDO ENTRE EL 01 Y EL 31 DE ENERO DE 2025.</t>
  </si>
  <si>
    <t>29,131.00</t>
  </si>
  <si>
    <t>PAGO CORRESPONDIENTE AL I.V.A. DE LA FACTURA No. FC 001000156894, POR EL SERVICIO DE TELECOMUNICACIONES DE LA SEDE "EL ALTICO" DE SOACHA, EN EL PERÍODO COMPRENDIDO ENTRE EL 1 Y EL 31 DE ENERO DE 2024.</t>
  </si>
  <si>
    <t>1125-10-P</t>
  </si>
  <si>
    <t>6225-10-P</t>
  </si>
  <si>
    <t>1225-10-P</t>
  </si>
  <si>
    <t>2725-10-P</t>
  </si>
  <si>
    <t>13325-10-P</t>
  </si>
  <si>
    <t>13425-10-P</t>
  </si>
  <si>
    <t>28725-10-P</t>
  </si>
  <si>
    <t>28625-10-P</t>
  </si>
  <si>
    <t>30525-10-P</t>
  </si>
  <si>
    <t>30625-10-P</t>
  </si>
  <si>
    <t>32125-10-P</t>
  </si>
  <si>
    <t>2225-10-N</t>
  </si>
  <si>
    <t>2325-10-N</t>
  </si>
  <si>
    <t>2425-10-N</t>
  </si>
  <si>
    <t>2525-10-N</t>
  </si>
  <si>
    <t>2625-10-N</t>
  </si>
  <si>
    <t>2825-11-N</t>
  </si>
  <si>
    <t>2925-11-N</t>
  </si>
  <si>
    <t>3025-11-N</t>
  </si>
  <si>
    <t>3125-11-N</t>
  </si>
  <si>
    <t>3225-11-N</t>
  </si>
  <si>
    <t>3325-11-N</t>
  </si>
  <si>
    <t>3425-11-N</t>
  </si>
  <si>
    <t>3525-11-N</t>
  </si>
  <si>
    <t>3625-90-N</t>
  </si>
  <si>
    <t>3725-10-N</t>
  </si>
  <si>
    <t>3825-10-N</t>
  </si>
  <si>
    <t>3925-10-N</t>
  </si>
  <si>
    <t>4025-28-N</t>
  </si>
  <si>
    <t>4125-42-N</t>
  </si>
  <si>
    <t>4225-42-N</t>
  </si>
  <si>
    <t>4325-42-N</t>
  </si>
  <si>
    <t>4425-45-N</t>
  </si>
  <si>
    <t>4525-45-N</t>
  </si>
  <si>
    <t>4625-45-N</t>
  </si>
  <si>
    <t>4725-45-N</t>
  </si>
  <si>
    <t>4825-85-N</t>
  </si>
  <si>
    <t>4925-45-N</t>
  </si>
  <si>
    <t>5025-45-N</t>
  </si>
  <si>
    <t>5125-45-N</t>
  </si>
  <si>
    <t>5225-45-N</t>
  </si>
  <si>
    <t>5325-45-N</t>
  </si>
  <si>
    <t>5425-45-N</t>
  </si>
  <si>
    <t>5525-45-N</t>
  </si>
  <si>
    <t>5625-45-N</t>
  </si>
  <si>
    <t>5725-45-N</t>
  </si>
  <si>
    <t>5825-45-N</t>
  </si>
  <si>
    <t>5925-45-N</t>
  </si>
  <si>
    <t>6025-45-N</t>
  </si>
  <si>
    <t>6125-45-N</t>
  </si>
  <si>
    <t>6325-45-N</t>
  </si>
  <si>
    <t>6425-45-N</t>
  </si>
  <si>
    <t>6525-45-N</t>
  </si>
  <si>
    <t>6625-45-N</t>
  </si>
  <si>
    <t>6725-45-N</t>
  </si>
  <si>
    <t>6825-45-N</t>
  </si>
  <si>
    <t>6925-45-N</t>
  </si>
  <si>
    <t>7025-45-N</t>
  </si>
  <si>
    <t>7125-45-N</t>
  </si>
  <si>
    <t>7225-45-N</t>
  </si>
  <si>
    <t>7325-45-N</t>
  </si>
  <si>
    <t>7425-45-N</t>
  </si>
  <si>
    <t>7525-10-N</t>
  </si>
  <si>
    <t>7625-45-N</t>
  </si>
  <si>
    <t>7725-45-N</t>
  </si>
  <si>
    <t>7825-45-N</t>
  </si>
  <si>
    <t>7925-45-N</t>
  </si>
  <si>
    <t>8025-45-N</t>
  </si>
  <si>
    <t>8125-45-N</t>
  </si>
  <si>
    <t>8225-45-N</t>
  </si>
  <si>
    <t>8325-45-N</t>
  </si>
  <si>
    <t>8425-45-N</t>
  </si>
  <si>
    <t>8525-45-N</t>
  </si>
  <si>
    <t>8625-45-N</t>
  </si>
  <si>
    <t>8725-45-N</t>
  </si>
  <si>
    <t>8825-45-N</t>
  </si>
  <si>
    <t>8925-45-N</t>
  </si>
  <si>
    <t>9025-45-N</t>
  </si>
  <si>
    <t>9125-45-N</t>
  </si>
  <si>
    <t>9225-45-N</t>
  </si>
  <si>
    <t>9325-45-N</t>
  </si>
  <si>
    <t>9425-45-N</t>
  </si>
  <si>
    <t>9525-45-N</t>
  </si>
  <si>
    <t>9625-45-N</t>
  </si>
  <si>
    <t>9725-45-N</t>
  </si>
  <si>
    <t>9825-45-N</t>
  </si>
  <si>
    <t>9925-45-N</t>
  </si>
  <si>
    <t>10025-45-N</t>
  </si>
  <si>
    <t>10125-45-N</t>
  </si>
  <si>
    <t>10225-45-N</t>
  </si>
  <si>
    <t>10325-45-N</t>
  </si>
  <si>
    <t>10425-45-N</t>
  </si>
  <si>
    <t>10525-45-N</t>
  </si>
  <si>
    <t>10625-45-N</t>
  </si>
  <si>
    <t>10725-45-N</t>
  </si>
  <si>
    <t>10825-45-N</t>
  </si>
  <si>
    <t>10925-45-N</t>
  </si>
  <si>
    <t>11025-45-N</t>
  </si>
  <si>
    <t>11125-45-N</t>
  </si>
  <si>
    <t>11225-45-N</t>
  </si>
  <si>
    <t>11325-45-N</t>
  </si>
  <si>
    <t>11425-45-N</t>
  </si>
  <si>
    <t>11525-45-N</t>
  </si>
  <si>
    <t>11625-45-N</t>
  </si>
  <si>
    <t>11725-45-N</t>
  </si>
  <si>
    <t>11825-45-N</t>
  </si>
  <si>
    <t>11925-45-N</t>
  </si>
  <si>
    <t>12025-45-N</t>
  </si>
  <si>
    <t>12125-45-N</t>
  </si>
  <si>
    <t>12225-45-N</t>
  </si>
  <si>
    <t>12325-45-N</t>
  </si>
  <si>
    <t>12425-45-N</t>
  </si>
  <si>
    <t>12525-45-N</t>
  </si>
  <si>
    <t>12625-45-N</t>
  </si>
  <si>
    <t>12725-45-N</t>
  </si>
  <si>
    <t>12825-45-N</t>
  </si>
  <si>
    <t>12925-45-N</t>
  </si>
  <si>
    <t>13025-45-N</t>
  </si>
  <si>
    <t>13125-45-N</t>
  </si>
  <si>
    <t>13225-45-N</t>
  </si>
  <si>
    <t>13525-11-N</t>
  </si>
  <si>
    <t>13625-11-N</t>
  </si>
  <si>
    <t>13725-11-N</t>
  </si>
  <si>
    <t>13825-11-N</t>
  </si>
  <si>
    <t>13925-11-N</t>
  </si>
  <si>
    <t>14025-11-N</t>
  </si>
  <si>
    <t>14125-11-N</t>
  </si>
  <si>
    <t>14225-11-N</t>
  </si>
  <si>
    <t>14325-11-N</t>
  </si>
  <si>
    <t>14425-11-N</t>
  </si>
  <si>
    <t>14525-11-N</t>
  </si>
  <si>
    <t>14625-11-N</t>
  </si>
  <si>
    <t>14725-11-N</t>
  </si>
  <si>
    <t>14825-11-N</t>
  </si>
  <si>
    <t>14925-11-N</t>
  </si>
  <si>
    <t>15025-11-N</t>
  </si>
  <si>
    <t>15125-11-N</t>
  </si>
  <si>
    <t>15225-11-N</t>
  </si>
  <si>
    <t>15325-11-N</t>
  </si>
  <si>
    <t>15425-11-N</t>
  </si>
  <si>
    <t>15525-11-N</t>
  </si>
  <si>
    <t>15625-11-N</t>
  </si>
  <si>
    <t>15725-11-N</t>
  </si>
  <si>
    <t>15825-11-N</t>
  </si>
  <si>
    <t>15925-11-N</t>
  </si>
  <si>
    <t>16025-11-N</t>
  </si>
  <si>
    <t>16125-11-N</t>
  </si>
  <si>
    <t>16225-11-N</t>
  </si>
  <si>
    <t>16325-11-N</t>
  </si>
  <si>
    <t>16425-11-N</t>
  </si>
  <si>
    <t>16525-11-N</t>
  </si>
  <si>
    <t>16625-11-N</t>
  </si>
  <si>
    <t>16725-11-N</t>
  </si>
  <si>
    <t>16825-11-N</t>
  </si>
  <si>
    <t>16925-11-N</t>
  </si>
  <si>
    <t>17025-11-N</t>
  </si>
  <si>
    <t>17125-45-N</t>
  </si>
  <si>
    <t>17225-45-N</t>
  </si>
  <si>
    <t>17325-45-N</t>
  </si>
  <si>
    <t>17425-45-N</t>
  </si>
  <si>
    <t>17525-45-N</t>
  </si>
  <si>
    <t>17625-45-N</t>
  </si>
  <si>
    <t>17725-45-N</t>
  </si>
  <si>
    <t>17825-45-N</t>
  </si>
  <si>
    <t>17925-45-N</t>
  </si>
  <si>
    <t>18025-45-N</t>
  </si>
  <si>
    <t>18125-45-N</t>
  </si>
  <si>
    <t>18225-45-N</t>
  </si>
  <si>
    <t>18325-45-N</t>
  </si>
  <si>
    <t>18425-45-N</t>
  </si>
  <si>
    <t>18525-45-N</t>
  </si>
  <si>
    <t>18625-45-N</t>
  </si>
  <si>
    <t>18725-45-N</t>
  </si>
  <si>
    <t>18825-45-N</t>
  </si>
  <si>
    <t>18925-45-N</t>
  </si>
  <si>
    <t>19025-45-N</t>
  </si>
  <si>
    <t>19125-45-N</t>
  </si>
  <si>
    <t>19225-45-N</t>
  </si>
  <si>
    <t>19325-45-N</t>
  </si>
  <si>
    <t>19425-45-N</t>
  </si>
  <si>
    <t>19525-45-N</t>
  </si>
  <si>
    <t>19625-45-N</t>
  </si>
  <si>
    <t>19725-45-N</t>
  </si>
  <si>
    <t>19825-45-N</t>
  </si>
  <si>
    <t>19925-45-N</t>
  </si>
  <si>
    <t>20025-45-N</t>
  </si>
  <si>
    <t>20125-45-N</t>
  </si>
  <si>
    <t>20225-45-N</t>
  </si>
  <si>
    <t>20325-45-N</t>
  </si>
  <si>
    <t>20425-45-N</t>
  </si>
  <si>
    <t>20525-45-N</t>
  </si>
  <si>
    <t>20625-45-N</t>
  </si>
  <si>
    <t>20725-45-N</t>
  </si>
  <si>
    <t>20825-45-N</t>
  </si>
  <si>
    <t>20925-45-N</t>
  </si>
  <si>
    <t>21025-45-N</t>
  </si>
  <si>
    <t>21125-11-N</t>
  </si>
  <si>
    <t>21225-11-N</t>
  </si>
  <si>
    <t>21325-11-N</t>
  </si>
  <si>
    <t>21425-11-N</t>
  </si>
  <si>
    <t>21525-11-N</t>
  </si>
  <si>
    <t>21625-11-N</t>
  </si>
  <si>
    <t>21725-11-N</t>
  </si>
  <si>
    <t>21825-11-N</t>
  </si>
  <si>
    <t>21925-11-N</t>
  </si>
  <si>
    <t>22025-11-N</t>
  </si>
  <si>
    <t>22125-11-N</t>
  </si>
  <si>
    <t>22225-11-N</t>
  </si>
  <si>
    <t>22325-11-N</t>
  </si>
  <si>
    <t>22425-11-N</t>
  </si>
  <si>
    <t>22525-11-N</t>
  </si>
  <si>
    <t>22625-11-N</t>
  </si>
  <si>
    <t>22725-11-N</t>
  </si>
  <si>
    <t>22825-11-N</t>
  </si>
  <si>
    <t>22925-11-N</t>
  </si>
  <si>
    <t>23025-11-N</t>
  </si>
  <si>
    <t>23125-11-N</t>
  </si>
  <si>
    <t>23225-11-N</t>
  </si>
  <si>
    <t>23325-11-N</t>
  </si>
  <si>
    <t>23425-11-N</t>
  </si>
  <si>
    <t>23525-11-N</t>
  </si>
  <si>
    <t>23625-11-N</t>
  </si>
  <si>
    <t>23725-11-N</t>
  </si>
  <si>
    <t>23825-11-N</t>
  </si>
  <si>
    <t>23925-11-N</t>
  </si>
  <si>
    <t>24025-11-N</t>
  </si>
  <si>
    <t>24125-11-N</t>
  </si>
  <si>
    <t>24225-11-N</t>
  </si>
  <si>
    <t>24325-38-N</t>
  </si>
  <si>
    <t>24425-38-N</t>
  </si>
  <si>
    <t>24525-38-N</t>
  </si>
  <si>
    <t>24625-38-N</t>
  </si>
  <si>
    <t>24725-38-N</t>
  </si>
  <si>
    <t>24825-38-N</t>
  </si>
  <si>
    <t>24925-38-N</t>
  </si>
  <si>
    <t>25025-38-N</t>
  </si>
  <si>
    <t>25125-38-N</t>
  </si>
  <si>
    <t>25225-38-N</t>
  </si>
  <si>
    <t>25325-38-N</t>
  </si>
  <si>
    <t>25425-38-N</t>
  </si>
  <si>
    <t>25525-38-N</t>
  </si>
  <si>
    <t>25625-38-N</t>
  </si>
  <si>
    <t>25725-38-N</t>
  </si>
  <si>
    <t>25825-38-N</t>
  </si>
  <si>
    <t>25925-38-N</t>
  </si>
  <si>
    <t>26025-38-N</t>
  </si>
  <si>
    <t>26125-38-N</t>
  </si>
  <si>
    <t>26225-38-N</t>
  </si>
  <si>
    <t>26325-10-N</t>
  </si>
  <si>
    <t>26425-10-N</t>
  </si>
  <si>
    <t>26525-10-N</t>
  </si>
  <si>
    <t>26625-10-N</t>
  </si>
  <si>
    <t>26725-10-N</t>
  </si>
  <si>
    <t>26825-10-N</t>
  </si>
  <si>
    <t>26925-10-N</t>
  </si>
  <si>
    <t>27025-10-N</t>
  </si>
  <si>
    <t>27125-10-N</t>
  </si>
  <si>
    <t>27225-10-N</t>
  </si>
  <si>
    <t>27325-10-N</t>
  </si>
  <si>
    <t>27425-10-N</t>
  </si>
  <si>
    <t>27525-10-N</t>
  </si>
  <si>
    <t>27625-10-N</t>
  </si>
  <si>
    <t>27725-90-N</t>
  </si>
  <si>
    <t>27825-10-N</t>
  </si>
  <si>
    <t>27925-10-N</t>
  </si>
  <si>
    <t>28025-10-N</t>
  </si>
  <si>
    <t>28125-11-N</t>
  </si>
  <si>
    <t>28225-10-N</t>
  </si>
  <si>
    <t>28325-42-N</t>
  </si>
  <si>
    <t>28425-42-N</t>
  </si>
  <si>
    <t>28525-42-N</t>
  </si>
  <si>
    <t>28825-38-N</t>
  </si>
  <si>
    <t>28925-90-N</t>
  </si>
  <si>
    <t>29025-10-N</t>
  </si>
  <si>
    <t>29125-10-N</t>
  </si>
  <si>
    <t>29225-85-N</t>
  </si>
  <si>
    <t>29325-38-N</t>
  </si>
  <si>
    <t>29425-10-N</t>
  </si>
  <si>
    <t>29525-10-N</t>
  </si>
  <si>
    <t>29625-10-N</t>
  </si>
  <si>
    <t>29725-10-N</t>
  </si>
  <si>
    <t>29825-10-N</t>
  </si>
  <si>
    <t>29925-10-N</t>
  </si>
  <si>
    <t>30025-10-N</t>
  </si>
  <si>
    <t>30125-42-N</t>
  </si>
  <si>
    <t>30225-38-N</t>
  </si>
  <si>
    <t>30325-10-N</t>
  </si>
  <si>
    <t>30425-10-N</t>
  </si>
  <si>
    <t>30725-10-N</t>
  </si>
  <si>
    <t>30825-28-N</t>
  </si>
  <si>
    <t>30925-42-N</t>
  </si>
  <si>
    <t>31025-42-N</t>
  </si>
  <si>
    <t>31125-42-N</t>
  </si>
  <si>
    <t>31225-28-N</t>
  </si>
  <si>
    <t>31325-28-N</t>
  </si>
  <si>
    <t>31425-28-N</t>
  </si>
  <si>
    <t>31525-28-N</t>
  </si>
  <si>
    <t>31625-10-N</t>
  </si>
  <si>
    <t>31725-28-N</t>
  </si>
  <si>
    <t>31825-28-N</t>
  </si>
  <si>
    <t>31925-42-N</t>
  </si>
  <si>
    <t>32025-28-N</t>
  </si>
  <si>
    <t>32225-11-N</t>
  </si>
  <si>
    <t>32325-11-N</t>
  </si>
  <si>
    <t>32425-38-N</t>
  </si>
  <si>
    <t>32525-70-P</t>
  </si>
  <si>
    <t>7125-923270-P</t>
  </si>
  <si>
    <t>32625-69-P</t>
  </si>
  <si>
    <t>7025-923269-P</t>
  </si>
  <si>
    <t>32725-11-N</t>
  </si>
  <si>
    <t>32825-70-P</t>
  </si>
  <si>
    <t>32925-70-P</t>
  </si>
  <si>
    <t>33025-70-P</t>
  </si>
  <si>
    <t>33125-70-P</t>
  </si>
  <si>
    <t>33225-69-P</t>
  </si>
  <si>
    <t>33325-69-P</t>
  </si>
  <si>
    <t>33425-69-P</t>
  </si>
  <si>
    <t>33525-69-P</t>
  </si>
  <si>
    <t>125-38-N</t>
  </si>
  <si>
    <t>225-38-N</t>
  </si>
  <si>
    <t>325-38-N</t>
  </si>
  <si>
    <t>425-09-P</t>
  </si>
  <si>
    <t>525-09-N</t>
  </si>
  <si>
    <t>825-10-N</t>
  </si>
  <si>
    <t>925-11-N</t>
  </si>
  <si>
    <t>1025-11-N</t>
  </si>
  <si>
    <t>1325-10-P</t>
  </si>
  <si>
    <t>1425-10-N</t>
  </si>
  <si>
    <t>1525-10-N</t>
  </si>
  <si>
    <t>1625-10-N</t>
  </si>
  <si>
    <t>1725-10-P</t>
  </si>
  <si>
    <t>1825-10-P</t>
  </si>
  <si>
    <t>1925-10-N</t>
  </si>
  <si>
    <t>2025-10-N</t>
  </si>
  <si>
    <t>2125-11-N</t>
  </si>
  <si>
    <t>2225-11-N</t>
  </si>
  <si>
    <t>2325-18-P</t>
  </si>
  <si>
    <t>2425-18-P</t>
  </si>
  <si>
    <t>2525-18-P</t>
  </si>
  <si>
    <t>2625-18-P</t>
  </si>
  <si>
    <t>2725-18-P</t>
  </si>
  <si>
    <t>2825-18-P</t>
  </si>
  <si>
    <t>2925-27-N</t>
  </si>
  <si>
    <t>3025-27-N</t>
  </si>
  <si>
    <t>3125-27-N</t>
  </si>
  <si>
    <t>3225-27-N</t>
  </si>
  <si>
    <t>3325-28-N</t>
  </si>
  <si>
    <t>3325-86-N</t>
  </si>
  <si>
    <t>3325-84-N</t>
  </si>
  <si>
    <t>3425-84-N</t>
  </si>
  <si>
    <t>3425-28-N</t>
  </si>
  <si>
    <t>3525-28-N</t>
  </si>
  <si>
    <t>3625-42-N</t>
  </si>
  <si>
    <t>3725-45-N</t>
  </si>
  <si>
    <t>3825-45-N</t>
  </si>
  <si>
    <t>3925-44-P</t>
  </si>
  <si>
    <t>4025-44-P</t>
  </si>
  <si>
    <t>4125-45-N</t>
  </si>
  <si>
    <t>4225-85-N</t>
  </si>
  <si>
    <t>4325-85-N</t>
  </si>
  <si>
    <t>4425-85-N</t>
  </si>
  <si>
    <t>4525-90-N</t>
  </si>
  <si>
    <t>4625-90-N</t>
  </si>
  <si>
    <t>4725-90-P</t>
  </si>
  <si>
    <t>4825-90-N</t>
  </si>
  <si>
    <t>4925-90-N</t>
  </si>
  <si>
    <t>5025-90-N</t>
  </si>
  <si>
    <t>5125-42-P</t>
  </si>
  <si>
    <t>5225-34-P</t>
  </si>
  <si>
    <t>5325-34-P</t>
  </si>
  <si>
    <t>5425-24-P</t>
  </si>
  <si>
    <t>5525-24-P</t>
  </si>
  <si>
    <t>5625-24-P</t>
  </si>
  <si>
    <t>5725-24-P</t>
  </si>
  <si>
    <t>5825-24-P</t>
  </si>
  <si>
    <t>5925-24-P</t>
  </si>
  <si>
    <t>6025-24-P</t>
  </si>
  <si>
    <t>6125-24-P</t>
  </si>
  <si>
    <t>6225-24-P</t>
  </si>
  <si>
    <t>6325-24-P</t>
  </si>
  <si>
    <t>6425-24-P</t>
  </si>
  <si>
    <t>6525-24-P</t>
  </si>
  <si>
    <t>6625-24-P</t>
  </si>
  <si>
    <t>6725-24-P</t>
  </si>
  <si>
    <t>6825-24-P</t>
  </si>
  <si>
    <t>6925-27-N</t>
  </si>
  <si>
    <t>6925-10-N</t>
  </si>
  <si>
    <t>7025-69-P</t>
  </si>
  <si>
    <t>7125-70-P</t>
  </si>
  <si>
    <t>Tipo Beneficiario</t>
  </si>
  <si>
    <t>2025-01-23 00:00:00</t>
  </si>
  <si>
    <t>2025-01-27 01:20:55</t>
  </si>
  <si>
    <t>Beneficiario final</t>
  </si>
  <si>
    <t>2025-01-30 01:48:32</t>
  </si>
  <si>
    <t>2025-01-30 01:48:20</t>
  </si>
  <si>
    <t>2025-01-30 01:48:39</t>
  </si>
  <si>
    <t>2025-01-30 01:48:40</t>
  </si>
  <si>
    <t>2025-01-30 01:48:27</t>
  </si>
  <si>
    <t>2025-01-30 01:48:26</t>
  </si>
  <si>
    <t>2025-01-30 01:48:23</t>
  </si>
  <si>
    <t>2025-02-07 01:37:36</t>
  </si>
  <si>
    <t>2025-02-11 01:27:02</t>
  </si>
  <si>
    <t>Traspaso a Pagaduria</t>
  </si>
  <si>
    <t>2025-02-11 01:02:40</t>
  </si>
  <si>
    <t>2025-02-12 01:45:38</t>
  </si>
  <si>
    <t>2025-02-13 01:07:02</t>
  </si>
  <si>
    <t>2025-02-13 01:07:12</t>
  </si>
  <si>
    <t>2025-02-19 02:01:01</t>
  </si>
  <si>
    <t>2025-02-20 00:00:00</t>
  </si>
  <si>
    <t>2025-02-21 00:00:00</t>
  </si>
  <si>
    <t>2025-02-21 01:01:28</t>
  </si>
  <si>
    <t>2025-02-21 01:01:29</t>
  </si>
  <si>
    <t>2025-02-24 02:11:34</t>
  </si>
  <si>
    <t>3,090,000.00</t>
  </si>
  <si>
    <t>2025-02-24 02:29:30</t>
  </si>
  <si>
    <t>1,184,500.00</t>
  </si>
  <si>
    <t>2025-02-24 02:04:27</t>
  </si>
  <si>
    <t>2,516,800.00</t>
  </si>
  <si>
    <t>2025-02-24 02:07:47</t>
  </si>
  <si>
    <t>2,317,500.00</t>
  </si>
  <si>
    <t>2025-02-24 02:09:16</t>
  </si>
  <si>
    <t>2,273,838.00</t>
  </si>
  <si>
    <t>2025-02-24 02:29:31</t>
  </si>
  <si>
    <t>1,512,056.00</t>
  </si>
  <si>
    <t>2025-02-24 02:07:16</t>
  </si>
  <si>
    <t>2,650,000.00</t>
  </si>
  <si>
    <t>2025-02-24 02:14:05</t>
  </si>
  <si>
    <t>2,575,000.00</t>
  </si>
  <si>
    <t>2025-02-24 02:28:23</t>
  </si>
  <si>
    <t>1,521,825.00</t>
  </si>
  <si>
    <t>2025-02-24 02:29:29</t>
  </si>
  <si>
    <t>2025-02-24 02:15:40</t>
  </si>
  <si>
    <t>1,060,096.00</t>
  </si>
  <si>
    <t>2025-02-25 01:37:17</t>
  </si>
  <si>
    <t>VALOR CORRESPONDIENTE AL SERVICIO DE ENERGÍA ELÉCTRICA DE LA SEDE PRINCIPAL CIDE SOACHA, POR EL PERÍODO COMPRENDIDO ENTRE EL 28 DE DICIEMBRE DE 2024 Y EL 27 DE ENERO DE 2025.</t>
  </si>
  <si>
    <t>47481725</t>
  </si>
  <si>
    <t>2025-02-25 00:00:00</t>
  </si>
  <si>
    <t>2025-02-27 02:02:59</t>
  </si>
  <si>
    <t>47481825</t>
  </si>
  <si>
    <t>2025-02-27 02:08:04</t>
  </si>
  <si>
    <t>47481925</t>
  </si>
  <si>
    <t>2025-02-27 02:10:55</t>
  </si>
  <si>
    <t>47482025</t>
  </si>
  <si>
    <t>2025-02-27 02:11:53</t>
  </si>
  <si>
    <t>47482125</t>
  </si>
  <si>
    <t>2025-02-27 02:02:43</t>
  </si>
  <si>
    <t>47482225</t>
  </si>
  <si>
    <t>2025-02-27 02:10:11</t>
  </si>
  <si>
    <t>47482425</t>
  </si>
  <si>
    <t>2025-02-27 02:00:22</t>
  </si>
  <si>
    <t>47482625</t>
  </si>
  <si>
    <t>2025-02-27 02:12:15</t>
  </si>
  <si>
    <t>47482825</t>
  </si>
  <si>
    <t>2025-02-27 02:13:36</t>
  </si>
  <si>
    <t>47483125</t>
  </si>
  <si>
    <t>2025-02-27 02:11:12</t>
  </si>
  <si>
    <t>47483225</t>
  </si>
  <si>
    <t>2025-02-27 02:02:23</t>
  </si>
  <si>
    <t>47483325</t>
  </si>
  <si>
    <t>2025-02-27 02:08:14</t>
  </si>
  <si>
    <t>47483425</t>
  </si>
  <si>
    <t>47483525</t>
  </si>
  <si>
    <t>47483625</t>
  </si>
  <si>
    <t>2025-02-27 02:02:39</t>
  </si>
  <si>
    <t>47483825</t>
  </si>
  <si>
    <t>2025-02-27 02:06:30</t>
  </si>
  <si>
    <t>156,195.00</t>
  </si>
  <si>
    <t>33725</t>
  </si>
  <si>
    <t>COM 2325</t>
  </si>
  <si>
    <t>VIATICOS: SOACHA – GRANADA 20 DE FEBRERO. DESPLAZAMIENTO ALCALDIA MUNICIPIO TENA PARA CONCERTAR COMISIONES CAMPESENA Y ECONOMIA POPULAR</t>
  </si>
  <si>
    <t>47483925</t>
  </si>
  <si>
    <t>2025-02-27 02:03:29</t>
  </si>
  <si>
    <t>322,390.00</t>
  </si>
  <si>
    <t>33825</t>
  </si>
  <si>
    <t>COM 2425</t>
  </si>
  <si>
    <t>VIATICOS: SOACHA – GRANADA TENA 20 Y 21 DE FEBRERO. SEGUIMIENTO FORMACION CON LAS ALCALDIAS Y ADMINISTRACIONES MUNICIPALES</t>
  </si>
  <si>
    <t>47484025</t>
  </si>
  <si>
    <t>2025-02-27 02:02:36</t>
  </si>
  <si>
    <t>404,493.00</t>
  </si>
  <si>
    <t>33925</t>
  </si>
  <si>
    <t>COM 2525</t>
  </si>
  <si>
    <t>VIATICOS: SOACHA – GRANADA TENA 20 Y 21 DE FEBRERO. SEGUIMIENTO DE CONCERTACION CON LAS ALCALDIAS Y ADMINISTRACIONES MUNICIPALES</t>
  </si>
  <si>
    <t>47484125</t>
  </si>
  <si>
    <t>2025-02-27 02:10:04</t>
  </si>
  <si>
    <t>119,839.00</t>
  </si>
  <si>
    <t>34025</t>
  </si>
  <si>
    <t>COM 2625</t>
  </si>
  <si>
    <t>VIATICOS: SOACHA – TEQUENDAMA 22 DE FEBRERO. TRASLADO SOLICITADO POR EL SUBDIRECTOR PARA FORMACION</t>
  </si>
  <si>
    <t>47484325</t>
  </si>
  <si>
    <t>2025-02-27 02:12:40</t>
  </si>
  <si>
    <t>801,659.00</t>
  </si>
  <si>
    <t>34125</t>
  </si>
  <si>
    <t>COM 2725</t>
  </si>
  <si>
    <t>VIATICOS: SOACHA – GIRARDOT 20 Y 21 DE FEBRERO. CONCERTAR CON LA SUBDIRECCION DE CENTRO LA ARTICULACION DE ACTIVIDADES CAMPESENA, AULA MOVIL Y PUESTA EN ACCION DE LAS MOTOS PARA LA ESTRATEGIA CAMPESENA</t>
  </si>
  <si>
    <t>47484425</t>
  </si>
  <si>
    <t>2025-02-27 02:11:15</t>
  </si>
  <si>
    <t>38125</t>
  </si>
  <si>
    <t>2025-02-22 00:00:00</t>
  </si>
  <si>
    <t>COM 1625</t>
  </si>
  <si>
    <t>VIATICOS: SOACHA – GRANADA 23 DE FEBRERO. IMPARTIR FORMACIÓN PROFESIONAL INTEGRAL DE LA COMPETENCIA ELABORAR DOCUMENTOS ORGANIZACIONES SEGÚN NORMATIVIDAD A LA FICHA 3105232 DEL PROGRAMA DE ASISTENCIA ADMINSITRATIVA</t>
  </si>
  <si>
    <t>47484525</t>
  </si>
  <si>
    <t>2025-02-27 02:03:38</t>
  </si>
  <si>
    <t>312,390.00</t>
  </si>
  <si>
    <t>38225</t>
  </si>
  <si>
    <t>COM 1825</t>
  </si>
  <si>
    <t>VIATICOS: SOACHA – GRANADA 21, 28 DE FEBRERO. IMPARTIR FORMACIÓN</t>
  </si>
  <si>
    <t>47484625</t>
  </si>
  <si>
    <t>2025-02-27 02:12:16</t>
  </si>
  <si>
    <t>468,585.00</t>
  </si>
  <si>
    <t>38325</t>
  </si>
  <si>
    <t>COM 1725</t>
  </si>
  <si>
    <t>VIATICOS: SOACHA – TEQUENDAMA GRANADA 21, 22, 28 DE FEBRERO. IMPARTIR FORMACIÓN</t>
  </si>
  <si>
    <t>47484725</t>
  </si>
  <si>
    <t>2025-02-27 02:13:45</t>
  </si>
  <si>
    <t>624,780.00</t>
  </si>
  <si>
    <t>38425</t>
  </si>
  <si>
    <t>COM 1925</t>
  </si>
  <si>
    <t>VIATICOS: SOACHA – TEQUENDAMA 20, 21, 25, 26 DE FEBRERO. IMPLEMENTAR COMPONENTES DE LAS HERRAMIENTAS TECNOLÓGICAS SEGÚN PROCEDIMIENTOS DE LA ORGANIZACIÓN</t>
  </si>
  <si>
    <t>47484825</t>
  </si>
  <si>
    <t>2025-02-27 02:11:45</t>
  </si>
  <si>
    <t>LOPEZ RODRIGUEZ JOSE FERNANDO</t>
  </si>
  <si>
    <t>475700002748</t>
  </si>
  <si>
    <t>232,058.00</t>
  </si>
  <si>
    <t>38525</t>
  </si>
  <si>
    <t>COM 2025</t>
  </si>
  <si>
    <t>VIATICOS: SOACHA – TENA 22 DE FEBRERO. SOCIALIZAR LOS CURSOS COMPLEMENTARIOS DE LA ESTRATEGIA CAMPESENA ENFOCADOS EN ENERGÍA SOLAR FOTOVOLTAICA</t>
  </si>
  <si>
    <t>47484925</t>
  </si>
  <si>
    <t>2025-02-27 02:02:02</t>
  </si>
  <si>
    <t>166,195.00</t>
  </si>
  <si>
    <t>38625</t>
  </si>
  <si>
    <t>COM 2125</t>
  </si>
  <si>
    <t>VIATICOS: SOACHA – TENA 22 DE FEBRERO. SOCIALIZAR CURSOS ESTRATEGIA CAMPESENA ENFOCADO EN ENERGEIA FOTOVOLCANICA</t>
  </si>
  <si>
    <t>47485025</t>
  </si>
  <si>
    <t>2025-02-27 02:10:16</t>
  </si>
  <si>
    <t>528,207.00</t>
  </si>
  <si>
    <t>38725</t>
  </si>
  <si>
    <t>COM 2225</t>
  </si>
  <si>
    <t>VIATICOS: SOACHA – TEQUENDAMA, TENA, GRANADA 21, 24, 28 DE FEBRERO. PROYECTAR FORMACION 2025 PARA PROGRAMAS ESTRATEGIAS CAMPESENA</t>
  </si>
  <si>
    <t>47485125</t>
  </si>
  <si>
    <t>2025-02-27 02:12:28</t>
  </si>
  <si>
    <t>668,651.00</t>
  </si>
  <si>
    <t>38825</t>
  </si>
  <si>
    <t>COM 2925</t>
  </si>
  <si>
    <t>VIATICOS: SOACHA – TENA, TEQUENDAMA, GRANADA 26, 27, 28 DE FEBRERO. SEGUIMIENTO A FORMACIÓN CURSOS COMPLEMENTARIOS CAMPESENA</t>
  </si>
  <si>
    <t>47485225</t>
  </si>
  <si>
    <t>2025-02-27 02:10:39</t>
  </si>
  <si>
    <t>HERRERA PALACIOS LILIANA MARCELA</t>
  </si>
  <si>
    <t>451786714</t>
  </si>
  <si>
    <t>199,914.00</t>
  </si>
  <si>
    <t>38925</t>
  </si>
  <si>
    <t>COM 3025</t>
  </si>
  <si>
    <t>VIATICOS: SOACHA – BOGOTA 24 DE FEBRERO. II REUNIÓN DE DINAMIZADORES BIENESTAR – PLAN REGIONAL</t>
  </si>
  <si>
    <t>47485325</t>
  </si>
  <si>
    <t>2025-02-27 02:01:48</t>
  </si>
  <si>
    <t>BARRIOS SIMANCA AURY BANESSA</t>
  </si>
  <si>
    <t>16600001742</t>
  </si>
  <si>
    <t>139,896.00</t>
  </si>
  <si>
    <t>39025</t>
  </si>
  <si>
    <t>COM 3125</t>
  </si>
  <si>
    <t>VIATICOS: BOGOTA – GRANADA 22 DE FEBRERO. BRINDAR ORIENTACIÓN OCUPACIONAL SOBRE OFERTA ACADÉMICA, A LA POBLACIÓN VÍCTIMA Y VULNERABLE DE GRANADA, CUNDINAMARCA.</t>
  </si>
  <si>
    <t>50237825</t>
  </si>
  <si>
    <t>2025-02-26 00:00:00</t>
  </si>
  <si>
    <t>2025-02-28 03:07:43</t>
  </si>
  <si>
    <t>PAGO CORRESPONDIENTE AL DESPLAZAMIENTO SOACHA - TENA - SAN ANTONIO DEL TEQUENDAMA - GRANADA, LOS DÍAS 26, 27, 28 DE FEBRERO DE 2025, PARA REALIZAR SEGUIMIENTO A FORMACIÓN EN LOS PROGRAMAS DE FORMACIÓN CAMPESENA</t>
  </si>
  <si>
    <t>39125</t>
  </si>
  <si>
    <t>COM 2825</t>
  </si>
  <si>
    <t>VIATICOS: SOACHA – TENA - TEQUENDAMA – GRANADA 26, 27, 28 DE FEBRERO. SEGUIMIENTO A FORMACIÓN PROGRAMAS DE FORMACIÓN CAMPESENA</t>
  </si>
  <si>
    <t>50245825</t>
  </si>
  <si>
    <t>2025-02-28 01:43:51</t>
  </si>
  <si>
    <t>PAGO CORRESPONDIENTE AL SERVICIO DE ACUEDUCTO Y ALCANTARILLADO DE LA SEDE "EL ALTICO" SOACHA, POR EL PERÍODO COMPRENDIDO ENTRE EL 27 DE DICIEMBRE DE 2024 Y EL 24 DE ENERO DE 2025.</t>
  </si>
  <si>
    <t>34325</t>
  </si>
  <si>
    <t>39363192111</t>
  </si>
  <si>
    <t>SERVICIOS PUBLICOS: Pago de servicios de ACUEDUCTO Y ALCANTARILLADO en la sede ALTICO del Centro Industrial y de Desarrollo Empresarial ubicada en el municipio de Soacha, periodo facturado 27 de DICIEMBRE de 2024 a 24 de ENERO de 2025. Pago: 5 de Mar</t>
  </si>
  <si>
    <t>50281325</t>
  </si>
  <si>
    <t>2025-02-28 01:43:47</t>
  </si>
  <si>
    <t>244,110.00</t>
  </si>
  <si>
    <t>PAGO CORRESPONDIENTE AL SERVICIO DE ACUEDUCTO Y ALCANTARILLADO DE LA SEDE PRINICIPAL CIDE SOACHA POR EL PERÍODO COMPRENDIDO ENTRE EL 27 DE DICIEMBRE DE 2024 Y EL 24 DE ENERO DE 2025.</t>
  </si>
  <si>
    <t>34225</t>
  </si>
  <si>
    <t>39363192012</t>
  </si>
  <si>
    <t>SERVICIOS PUBLICOS: Pago de servicios de ACUEDUCTO Y ALCANTARILLADO en la sede PRINCIPAL del Centro Industrial y de Desarrollo Empresarial ubicada en el municipio de Soacha, periodo facturado 27 de DIC de 2024 a 24 de ENE de 2025. Pago: 5 de Marzo</t>
  </si>
  <si>
    <t>64519025</t>
  </si>
  <si>
    <t>2025-03-10 00:00:00</t>
  </si>
  <si>
    <t>2025-03-12 01:33:13</t>
  </si>
  <si>
    <t>4,292,876.00</t>
  </si>
  <si>
    <t>64519225</t>
  </si>
  <si>
    <t>2025-03-12 01:53:29</t>
  </si>
  <si>
    <t>64519325</t>
  </si>
  <si>
    <t>2025-03-12 01:53:26</t>
  </si>
  <si>
    <t>64519425</t>
  </si>
  <si>
    <t>2025-03-12 01:36:25</t>
  </si>
  <si>
    <t>4,292,877.00</t>
  </si>
  <si>
    <t>64519525</t>
  </si>
  <si>
    <t>2025-03-12 01:37:57</t>
  </si>
  <si>
    <t>3,986,243.00</t>
  </si>
  <si>
    <t>64519625</t>
  </si>
  <si>
    <t>2025-03-12 01:54:35</t>
  </si>
  <si>
    <t>64519725</t>
  </si>
  <si>
    <t>2025-03-12 01:54:22</t>
  </si>
  <si>
    <t>64519825</t>
  </si>
  <si>
    <t>2025-03-12 01:54:26</t>
  </si>
  <si>
    <t>64519925</t>
  </si>
  <si>
    <t>64520025</t>
  </si>
  <si>
    <t>2025-03-12 01:33:09</t>
  </si>
  <si>
    <t>64520125</t>
  </si>
  <si>
    <t>2025-03-12 01:54:21</t>
  </si>
  <si>
    <t>64520225</t>
  </si>
  <si>
    <t>2025-03-12 01:37:53</t>
  </si>
  <si>
    <t>64520325</t>
  </si>
  <si>
    <t>2025-03-12 01:57:36</t>
  </si>
  <si>
    <t>64520425</t>
  </si>
  <si>
    <t>2025-03-12 01:49:18</t>
  </si>
  <si>
    <t>0070416714</t>
  </si>
  <si>
    <t>64520525</t>
  </si>
  <si>
    <t>2025-03-12 01:51:13</t>
  </si>
  <si>
    <t>64520625</t>
  </si>
  <si>
    <t>2025-03-12 01:58:18</t>
  </si>
  <si>
    <t>64520725</t>
  </si>
  <si>
    <t>2025-03-12 01:52:26</t>
  </si>
  <si>
    <t>64520825</t>
  </si>
  <si>
    <t>2025-03-12 01:52:25</t>
  </si>
  <si>
    <t>64520925</t>
  </si>
  <si>
    <t>64521025</t>
  </si>
  <si>
    <t>2025-03-12 01:54:23</t>
  </si>
  <si>
    <t>64521125</t>
  </si>
  <si>
    <t>2025-03-12 01:54:33</t>
  </si>
  <si>
    <t>64521225</t>
  </si>
  <si>
    <t>64521325</t>
  </si>
  <si>
    <t>2025-03-12 01:37:41</t>
  </si>
  <si>
    <t>64521425</t>
  </si>
  <si>
    <t>64521525</t>
  </si>
  <si>
    <t>64521625</t>
  </si>
  <si>
    <t>64521725</t>
  </si>
  <si>
    <t>2025-03-12 01:51:09</t>
  </si>
  <si>
    <t>64521925</t>
  </si>
  <si>
    <t>2025-03-12 01:51:12</t>
  </si>
  <si>
    <t>64522025</t>
  </si>
  <si>
    <t>2025-03-12 01:37:51</t>
  </si>
  <si>
    <t>64522125</t>
  </si>
  <si>
    <t>2025-03-12 02:02:20</t>
  </si>
  <si>
    <t>2,009,233.00</t>
  </si>
  <si>
    <t>64522225</t>
  </si>
  <si>
    <t>2025-03-12 01:33:10</t>
  </si>
  <si>
    <t>64522325</t>
  </si>
  <si>
    <t>2025-03-12 01:58:09</t>
  </si>
  <si>
    <t>9900597467</t>
  </si>
  <si>
    <t>BANCO FINANDINA S A O FINANDINA ESTABLECIMIENTO BANCARIO</t>
  </si>
  <si>
    <t>64522425</t>
  </si>
  <si>
    <t>64522525</t>
  </si>
  <si>
    <t>64522625</t>
  </si>
  <si>
    <t>64522725</t>
  </si>
  <si>
    <t>64522825</t>
  </si>
  <si>
    <t>2025-03-12 01:54:24</t>
  </si>
  <si>
    <t>64522925</t>
  </si>
  <si>
    <t>2025-03-12 01:37:58</t>
  </si>
  <si>
    <t>64523025</t>
  </si>
  <si>
    <t>64523125</t>
  </si>
  <si>
    <t>2025-03-12 01:37:52</t>
  </si>
  <si>
    <t>64523225</t>
  </si>
  <si>
    <t>2025-03-12 01:57:35</t>
  </si>
  <si>
    <t>64523325</t>
  </si>
  <si>
    <t>64523425</t>
  </si>
  <si>
    <t>2025-03-12 01:46:54</t>
  </si>
  <si>
    <t>64523525</t>
  </si>
  <si>
    <t>2025-03-12 01:37:42</t>
  </si>
  <si>
    <t>64523625</t>
  </si>
  <si>
    <t>64523725</t>
  </si>
  <si>
    <t>64523825</t>
  </si>
  <si>
    <t>64523925</t>
  </si>
  <si>
    <t>64524025</t>
  </si>
  <si>
    <t>2025-03-12 02:18:37</t>
  </si>
  <si>
    <t>3,081,756.00</t>
  </si>
  <si>
    <t>64524125</t>
  </si>
  <si>
    <t>2025-03-12 01:49:51</t>
  </si>
  <si>
    <t>64524225</t>
  </si>
  <si>
    <t>64524325</t>
  </si>
  <si>
    <t>2025-03-12 01:49:16</t>
  </si>
  <si>
    <t>2025-03-12 01:28:51</t>
  </si>
  <si>
    <t>6,180,000.00</t>
  </si>
  <si>
    <t>2025-03-12 02:21:34</t>
  </si>
  <si>
    <t>2,369,000.00</t>
  </si>
  <si>
    <t>2025-03-12 01:43:39</t>
  </si>
  <si>
    <t>5,033,600.00</t>
  </si>
  <si>
    <t>2025-03-12 01:49:46</t>
  </si>
  <si>
    <t>4,635,000.00</t>
  </si>
  <si>
    <t>2025-03-12 01:50:57</t>
  </si>
  <si>
    <t>4,547,675.00</t>
  </si>
  <si>
    <t>2025-03-12 02:23:11</t>
  </si>
  <si>
    <t>3,024,111.00</t>
  </si>
  <si>
    <t>2025-03-12 01:48:59</t>
  </si>
  <si>
    <t>5,300,000.00</t>
  </si>
  <si>
    <t>2025-03-12 01:58:16</t>
  </si>
  <si>
    <t>5,150,000.00</t>
  </si>
  <si>
    <t>2025-03-12 01:43:40</t>
  </si>
  <si>
    <t>2025-03-12 02:18:41</t>
  </si>
  <si>
    <t>3,043,650.00</t>
  </si>
  <si>
    <t>2025-03-12 02:23:10</t>
  </si>
  <si>
    <t>2025-03-12 02:00:38</t>
  </si>
  <si>
    <t>2025-03-12 02:00:46</t>
  </si>
  <si>
    <t>3,180,288.00</t>
  </si>
  <si>
    <t>64541225</t>
  </si>
  <si>
    <t>2025-03-12 02:23:00</t>
  </si>
  <si>
    <t>2,692,045.00</t>
  </si>
  <si>
    <t>64541325</t>
  </si>
  <si>
    <t>2025-03-12 02:17:52</t>
  </si>
  <si>
    <t>2,300,000.00</t>
  </si>
  <si>
    <t>64541425</t>
  </si>
  <si>
    <t>2025-03-12 02:10:59</t>
  </si>
  <si>
    <t>64541525</t>
  </si>
  <si>
    <t>2025-03-12 02:11:00</t>
  </si>
  <si>
    <t>64541625</t>
  </si>
  <si>
    <t>2025-03-12 01:55:59</t>
  </si>
  <si>
    <t>5,333,238.00</t>
  </si>
  <si>
    <t>64541725</t>
  </si>
  <si>
    <t>2025-03-12 02:18:58</t>
  </si>
  <si>
    <t>3,219,658.00</t>
  </si>
  <si>
    <t>64541825</t>
  </si>
  <si>
    <t>2025-03-12 02:08:52</t>
  </si>
  <si>
    <t>64541925</t>
  </si>
  <si>
    <t>2025-03-12 02:19:32</t>
  </si>
  <si>
    <t>64542025</t>
  </si>
  <si>
    <t>2025-03-12 01:59:26</t>
  </si>
  <si>
    <t>64542125</t>
  </si>
  <si>
    <t>2025-03-12 02:08:57</t>
  </si>
  <si>
    <t>64542225</t>
  </si>
  <si>
    <t>2025-03-12 02:23:42</t>
  </si>
  <si>
    <t>64542325</t>
  </si>
  <si>
    <t>2025-03-12 01:37:36</t>
  </si>
  <si>
    <t>4,671,695.00</t>
  </si>
  <si>
    <t>64542425</t>
  </si>
  <si>
    <t>2025-03-12 02:18:40</t>
  </si>
  <si>
    <t>3,040,000.00</t>
  </si>
  <si>
    <t>64542525</t>
  </si>
  <si>
    <t>2025-03-12 02:17:10</t>
  </si>
  <si>
    <t>1,923,999.00</t>
  </si>
  <si>
    <t>64542625</t>
  </si>
  <si>
    <t>2025-03-12 02:02:11</t>
  </si>
  <si>
    <t>2,050,000.00</t>
  </si>
  <si>
    <t>64542725</t>
  </si>
  <si>
    <t>2025-03-12 02:00:09</t>
  </si>
  <si>
    <t>64542825</t>
  </si>
  <si>
    <t>2025-03-12 02:06:24</t>
  </si>
  <si>
    <t>2,680,000.00</t>
  </si>
  <si>
    <t>64542925</t>
  </si>
  <si>
    <t>2025-03-12 02:24:58</t>
  </si>
  <si>
    <t>64543025</t>
  </si>
  <si>
    <t>2025-03-12 02:22:06</t>
  </si>
  <si>
    <t>64543125</t>
  </si>
  <si>
    <t>2025-03-12 02:18:06</t>
  </si>
  <si>
    <t>64543225</t>
  </si>
  <si>
    <t>2025-03-12 01:36:22</t>
  </si>
  <si>
    <t>64543325</t>
  </si>
  <si>
    <t>2025-03-12 01:46:51</t>
  </si>
  <si>
    <t>64543425</t>
  </si>
  <si>
    <t>64543525</t>
  </si>
  <si>
    <t>2025-03-12 01:54:25</t>
  </si>
  <si>
    <t>64543625</t>
  </si>
  <si>
    <t>2025-03-12 01:37:54</t>
  </si>
  <si>
    <t>64543725</t>
  </si>
  <si>
    <t>64543825</t>
  </si>
  <si>
    <t>64543925</t>
  </si>
  <si>
    <t>2025-03-12 01:37:59</t>
  </si>
  <si>
    <t>64544025</t>
  </si>
  <si>
    <t>64544125</t>
  </si>
  <si>
    <t>64544225</t>
  </si>
  <si>
    <t>2025-03-12 01:54:27</t>
  </si>
  <si>
    <t>64544325</t>
  </si>
  <si>
    <t>2025-03-12 02:08:46</t>
  </si>
  <si>
    <t>64544525</t>
  </si>
  <si>
    <t>64544625</t>
  </si>
  <si>
    <t>2025-03-12 01:51:10</t>
  </si>
  <si>
    <t>64544725</t>
  </si>
  <si>
    <t>2025-03-12 01:35:54</t>
  </si>
  <si>
    <t>64548625</t>
  </si>
  <si>
    <t>2025-03-12 01:37:55</t>
  </si>
  <si>
    <t>64549825</t>
  </si>
  <si>
    <t>2025-03-12 01:46:02</t>
  </si>
  <si>
    <t>64549925</t>
  </si>
  <si>
    <t>2025-03-12 01:51:11</t>
  </si>
  <si>
    <t>64550025</t>
  </si>
  <si>
    <t>2025-03-12 01:37:40</t>
  </si>
  <si>
    <t>64550125</t>
  </si>
  <si>
    <t>2025-03-12 01:49:50</t>
  </si>
  <si>
    <t>64550325</t>
  </si>
  <si>
    <t>2025-03-12 01:37:56</t>
  </si>
  <si>
    <t>64550425</t>
  </si>
  <si>
    <t>64550525</t>
  </si>
  <si>
    <t>64550625</t>
  </si>
  <si>
    <t>64550725</t>
  </si>
  <si>
    <t>64550825</t>
  </si>
  <si>
    <t>64550925</t>
  </si>
  <si>
    <t>2025-03-12 01:54:36</t>
  </si>
  <si>
    <t>64551025</t>
  </si>
  <si>
    <t>64551125</t>
  </si>
  <si>
    <t>64551225</t>
  </si>
  <si>
    <t>64551325</t>
  </si>
  <si>
    <t>64551425</t>
  </si>
  <si>
    <t>64551525</t>
  </si>
  <si>
    <t>2025-03-12 01:46:53</t>
  </si>
  <si>
    <t>64551625</t>
  </si>
  <si>
    <t>2025-03-12 01:46:03</t>
  </si>
  <si>
    <t>64551725</t>
  </si>
  <si>
    <t>64551825</t>
  </si>
  <si>
    <t>64551925</t>
  </si>
  <si>
    <t>2025-03-12 02:19:00</t>
  </si>
  <si>
    <t>64552025</t>
  </si>
  <si>
    <t>2025-03-12 02:08:51</t>
  </si>
  <si>
    <t>64552125</t>
  </si>
  <si>
    <t>2025-03-12 02:23:40</t>
  </si>
  <si>
    <t>64552225</t>
  </si>
  <si>
    <t>64552325</t>
  </si>
  <si>
    <t>2025-03-12 02:08:53</t>
  </si>
  <si>
    <t>64552425</t>
  </si>
  <si>
    <t>64552525</t>
  </si>
  <si>
    <t>2025-03-12 02:23:51</t>
  </si>
  <si>
    <t>64552625</t>
  </si>
  <si>
    <t>2025-03-12 02:08:49</t>
  </si>
  <si>
    <t>64552825</t>
  </si>
  <si>
    <t>2025-03-12 02:08:55</t>
  </si>
  <si>
    <t>64568525</t>
  </si>
  <si>
    <t>2025-03-12 02:23:37</t>
  </si>
  <si>
    <t>64568625</t>
  </si>
  <si>
    <t>2025-03-12 02:23:45</t>
  </si>
  <si>
    <t>64568725</t>
  </si>
  <si>
    <t>64568825</t>
  </si>
  <si>
    <t>2025-03-12 02:00:48</t>
  </si>
  <si>
    <t>64568925</t>
  </si>
  <si>
    <t>2025-03-12 02:23:46</t>
  </si>
  <si>
    <t>64569025</t>
  </si>
  <si>
    <t>64569125</t>
  </si>
  <si>
    <t>2025-03-12 02:23:43</t>
  </si>
  <si>
    <t>64569225</t>
  </si>
  <si>
    <t>2025-03-12 02:09:04</t>
  </si>
  <si>
    <t>64569325</t>
  </si>
  <si>
    <t>64569425</t>
  </si>
  <si>
    <t>2025-03-12 02:15:04</t>
  </si>
  <si>
    <t>64569525</t>
  </si>
  <si>
    <t>64569625</t>
  </si>
  <si>
    <t>64569725</t>
  </si>
  <si>
    <t>64569825</t>
  </si>
  <si>
    <t>2025-03-12 02:08:59</t>
  </si>
  <si>
    <t>64569925</t>
  </si>
  <si>
    <t>64570025</t>
  </si>
  <si>
    <t>64570125</t>
  </si>
  <si>
    <t>2025-03-12 02:15:05</t>
  </si>
  <si>
    <t>64570225</t>
  </si>
  <si>
    <t>2025-03-12 02:18:53</t>
  </si>
  <si>
    <t>24131820111</t>
  </si>
  <si>
    <t>64570325</t>
  </si>
  <si>
    <t>2025-03-12 02:23:39</t>
  </si>
  <si>
    <t>64570425</t>
  </si>
  <si>
    <t>2025-03-12 02:09:05</t>
  </si>
  <si>
    <t>64570525</t>
  </si>
  <si>
    <t>64570625</t>
  </si>
  <si>
    <t>2025-03-12 02:23:44</t>
  </si>
  <si>
    <t>64570825</t>
  </si>
  <si>
    <t>2025-03-12 02:08:54</t>
  </si>
  <si>
    <t>64570925</t>
  </si>
  <si>
    <t>64571025</t>
  </si>
  <si>
    <t>64571125</t>
  </si>
  <si>
    <t>2025-03-12 02:23:41</t>
  </si>
  <si>
    <t>64571225</t>
  </si>
  <si>
    <t>2025-03-12 02:01:23</t>
  </si>
  <si>
    <t>2,489,112.00</t>
  </si>
  <si>
    <t>64571325</t>
  </si>
  <si>
    <t>64571425</t>
  </si>
  <si>
    <t>64571525</t>
  </si>
  <si>
    <t>2025-03-12 02:15:03</t>
  </si>
  <si>
    <t>64571625</t>
  </si>
  <si>
    <t>2025-03-12 02:09:06</t>
  </si>
  <si>
    <t>64571725</t>
  </si>
  <si>
    <t>2025-03-12 02:18:56</t>
  </si>
  <si>
    <t>64571825</t>
  </si>
  <si>
    <t>64571925</t>
  </si>
  <si>
    <t>2025-03-12 02:18:54</t>
  </si>
  <si>
    <t>24106059557</t>
  </si>
  <si>
    <t>64572025</t>
  </si>
  <si>
    <t>64572125</t>
  </si>
  <si>
    <t>2025-03-12 02:15:06</t>
  </si>
  <si>
    <t>64572225</t>
  </si>
  <si>
    <t>2025-03-12 02:08:58</t>
  </si>
  <si>
    <t>64572325</t>
  </si>
  <si>
    <t>64572425</t>
  </si>
  <si>
    <t>2025-03-12 02:25:00</t>
  </si>
  <si>
    <t>64572525</t>
  </si>
  <si>
    <t>2025-03-12 02:16:48</t>
  </si>
  <si>
    <t>64572625</t>
  </si>
  <si>
    <t>64572725</t>
  </si>
  <si>
    <t>2025-03-12 02:23:47</t>
  </si>
  <si>
    <t>64572825</t>
  </si>
  <si>
    <t>2025-03-12 02:00:47</t>
  </si>
  <si>
    <t>64572925</t>
  </si>
  <si>
    <t>64573025</t>
  </si>
  <si>
    <t>2025-03-12 02:23:48</t>
  </si>
  <si>
    <t>64573125</t>
  </si>
  <si>
    <t>64573225</t>
  </si>
  <si>
    <t>2025-03-12 02:18:52</t>
  </si>
  <si>
    <t>64573325</t>
  </si>
  <si>
    <t>64573425</t>
  </si>
  <si>
    <t>64573525</t>
  </si>
  <si>
    <t>64573625</t>
  </si>
  <si>
    <t>2025-03-12 02:09:07</t>
  </si>
  <si>
    <t>64573725</t>
  </si>
  <si>
    <t>64573825</t>
  </si>
  <si>
    <t>64573925</t>
  </si>
  <si>
    <t>64574025</t>
  </si>
  <si>
    <t>64574125</t>
  </si>
  <si>
    <t>2025-03-12 02:09:08</t>
  </si>
  <si>
    <t>64574225</t>
  </si>
  <si>
    <t>64574325</t>
  </si>
  <si>
    <t>64574425</t>
  </si>
  <si>
    <t>2025-03-12 02:08:56</t>
  </si>
  <si>
    <t>64574525</t>
  </si>
  <si>
    <t>2025-03-12 02:23:38</t>
  </si>
  <si>
    <t>64574625</t>
  </si>
  <si>
    <t>2025-03-12 02:19:33</t>
  </si>
  <si>
    <t>64574725</t>
  </si>
  <si>
    <t>2025-03-12 02:18:04</t>
  </si>
  <si>
    <t>64574825</t>
  </si>
  <si>
    <t>2025-03-12 02:22:00</t>
  </si>
  <si>
    <t>64574925</t>
  </si>
  <si>
    <t>64575025</t>
  </si>
  <si>
    <t>64582325</t>
  </si>
  <si>
    <t>64582425</t>
  </si>
  <si>
    <t>64582525</t>
  </si>
  <si>
    <t>64582625</t>
  </si>
  <si>
    <t>2025-03-12 02:18:59</t>
  </si>
  <si>
    <t>64582725</t>
  </si>
  <si>
    <t>64582825</t>
  </si>
  <si>
    <t>2025-03-12 02:23:49</t>
  </si>
  <si>
    <t>64582925</t>
  </si>
  <si>
    <t>2025-03-12 02:18:55</t>
  </si>
  <si>
    <t>64583025</t>
  </si>
  <si>
    <t>64583125</t>
  </si>
  <si>
    <t>64583225</t>
  </si>
  <si>
    <t>64583425</t>
  </si>
  <si>
    <t>2025-03-12 02:23:50</t>
  </si>
  <si>
    <t>64583525</t>
  </si>
  <si>
    <t>64583625</t>
  </si>
  <si>
    <t>64583725</t>
  </si>
  <si>
    <t>64583825</t>
  </si>
  <si>
    <t>64583925</t>
  </si>
  <si>
    <t>64584025</t>
  </si>
  <si>
    <t>2025-03-12 02:18:57</t>
  </si>
  <si>
    <t>64584125</t>
  </si>
  <si>
    <t>488437713362</t>
  </si>
  <si>
    <t>64584225</t>
  </si>
  <si>
    <t>2025-03-12 02:16:49</t>
  </si>
  <si>
    <t>64584325</t>
  </si>
  <si>
    <t>64584425</t>
  </si>
  <si>
    <t>64584525</t>
  </si>
  <si>
    <t>64584625</t>
  </si>
  <si>
    <t>64584725</t>
  </si>
  <si>
    <t>2025-03-12 02:19:31</t>
  </si>
  <si>
    <t>64584825</t>
  </si>
  <si>
    <t>64584925</t>
  </si>
  <si>
    <t>64585025</t>
  </si>
  <si>
    <t>64585125</t>
  </si>
  <si>
    <t>2025-03-12 02:09:09</t>
  </si>
  <si>
    <t>64585225</t>
  </si>
  <si>
    <t>64585325</t>
  </si>
  <si>
    <t>64585425</t>
  </si>
  <si>
    <t>64585525</t>
  </si>
  <si>
    <t>64585625</t>
  </si>
  <si>
    <t>2025-03-12 02:01:27</t>
  </si>
  <si>
    <t>64599325</t>
  </si>
  <si>
    <t>64599425</t>
  </si>
  <si>
    <t>2025-03-12 02:08:48</t>
  </si>
  <si>
    <t>64599525</t>
  </si>
  <si>
    <t>64599625</t>
  </si>
  <si>
    <t>64599725</t>
  </si>
  <si>
    <t>2025-03-12 02:08:50</t>
  </si>
  <si>
    <t>64599825</t>
  </si>
  <si>
    <t>64599925</t>
  </si>
  <si>
    <t>2025-03-12 02:05:12</t>
  </si>
  <si>
    <t>64600025</t>
  </si>
  <si>
    <t>64600125</t>
  </si>
  <si>
    <t>64600225</t>
  </si>
  <si>
    <t>64600325</t>
  </si>
  <si>
    <t>64600425</t>
  </si>
  <si>
    <t>2025-03-12 01:59:27</t>
  </si>
  <si>
    <t>64600525</t>
  </si>
  <si>
    <t>64600625</t>
  </si>
  <si>
    <t>64600725</t>
  </si>
  <si>
    <t>2025-03-12 02:18:03</t>
  </si>
  <si>
    <t>64600825</t>
  </si>
  <si>
    <t>2025-03-12 02:17:38</t>
  </si>
  <si>
    <t>2,170,000.00</t>
  </si>
  <si>
    <t>64600925</t>
  </si>
  <si>
    <t>2025-03-12 02:17:32</t>
  </si>
  <si>
    <t>1,794,713.00</t>
  </si>
  <si>
    <t>64601025</t>
  </si>
  <si>
    <t>2025-03-12 02:04:29</t>
  </si>
  <si>
    <t>64601125</t>
  </si>
  <si>
    <t>2025-03-12 02:22:09</t>
  </si>
  <si>
    <t>2,660,000.00</t>
  </si>
  <si>
    <t>64601225</t>
  </si>
  <si>
    <t>2025-03-12 02:18:05</t>
  </si>
  <si>
    <t>2,597,334.00</t>
  </si>
  <si>
    <t>64601325</t>
  </si>
  <si>
    <t>2025-03-12 02:17:28</t>
  </si>
  <si>
    <t>1,672,605.00</t>
  </si>
  <si>
    <t>64601425</t>
  </si>
  <si>
    <t>2025-03-12 01:59:37</t>
  </si>
  <si>
    <t>1,626,194.00</t>
  </si>
  <si>
    <t>64601525</t>
  </si>
  <si>
    <t>2025-03-12 02:20:46</t>
  </si>
  <si>
    <t>64601625</t>
  </si>
  <si>
    <t>2025-03-12 01:59:42</t>
  </si>
  <si>
    <t>64601725</t>
  </si>
  <si>
    <t>64601825</t>
  </si>
  <si>
    <t>2025-03-12 02:20:47</t>
  </si>
  <si>
    <t>1,680,000.00</t>
  </si>
  <si>
    <t>64601925</t>
  </si>
  <si>
    <t>2025-03-12 02:18:08</t>
  </si>
  <si>
    <t>2,646,276.00</t>
  </si>
  <si>
    <t>64602025</t>
  </si>
  <si>
    <t>2025-03-12 02:16:17</t>
  </si>
  <si>
    <t>2,115,116.00</t>
  </si>
  <si>
    <t>33625</t>
  </si>
  <si>
    <t>64602125</t>
  </si>
  <si>
    <t>64602225</t>
  </si>
  <si>
    <t>2025-03-12 02:00:56</t>
  </si>
  <si>
    <t>1,226,000.00</t>
  </si>
  <si>
    <t>64602325</t>
  </si>
  <si>
    <t>2025-03-12 02:24:05</t>
  </si>
  <si>
    <t>1,304,667.00</t>
  </si>
  <si>
    <t>64602425</t>
  </si>
  <si>
    <t>64602525</t>
  </si>
  <si>
    <t>1,765,227.00</t>
  </si>
  <si>
    <t>64602625</t>
  </si>
  <si>
    <t>2025-03-12 02:11:59</t>
  </si>
  <si>
    <t>1,512,334.00</t>
  </si>
  <si>
    <t>64602725</t>
  </si>
  <si>
    <t>2025-03-12 02:17:33</t>
  </si>
  <si>
    <t>1,764,184.00</t>
  </si>
  <si>
    <t>34425</t>
  </si>
  <si>
    <t>64602825</t>
  </si>
  <si>
    <t>1,790,092.00</t>
  </si>
  <si>
    <t>34525</t>
  </si>
  <si>
    <t>64602925</t>
  </si>
  <si>
    <t>2025-03-12 02:21:23</t>
  </si>
  <si>
    <t>2,258,667.00</t>
  </si>
  <si>
    <t>34625</t>
  </si>
  <si>
    <t>64603025</t>
  </si>
  <si>
    <t>2025-03-12 02:21:24</t>
  </si>
  <si>
    <t>34725</t>
  </si>
  <si>
    <t>64603125</t>
  </si>
  <si>
    <t>2025-03-12 02:14:48</t>
  </si>
  <si>
    <t>34825</t>
  </si>
  <si>
    <t>64603225</t>
  </si>
  <si>
    <t>34925</t>
  </si>
  <si>
    <t>64603325</t>
  </si>
  <si>
    <t>2025-03-12 02:12:47</t>
  </si>
  <si>
    <t>1,414,400.00</t>
  </si>
  <si>
    <t>35025</t>
  </si>
  <si>
    <t>64603425</t>
  </si>
  <si>
    <t>2025-03-12 02:07:40</t>
  </si>
  <si>
    <t>35125</t>
  </si>
  <si>
    <t>64603525</t>
  </si>
  <si>
    <t>2025-03-12 02:03:30</t>
  </si>
  <si>
    <t>1,590,584.00</t>
  </si>
  <si>
    <t>35225</t>
  </si>
  <si>
    <t>64603625</t>
  </si>
  <si>
    <t>2025-03-12 02:19:05</t>
  </si>
  <si>
    <t>1,287,500.00</t>
  </si>
  <si>
    <t>35325</t>
  </si>
  <si>
    <t>64603725</t>
  </si>
  <si>
    <t>2025-03-12 02:14:49</t>
  </si>
  <si>
    <t>35425</t>
  </si>
  <si>
    <t>64603825</t>
  </si>
  <si>
    <t>2025-03-12 02:09:53</t>
  </si>
  <si>
    <t>2,800,000.00</t>
  </si>
  <si>
    <t>35525</t>
  </si>
  <si>
    <t>64603925</t>
  </si>
  <si>
    <t>2025-03-12 02:16:57</t>
  </si>
  <si>
    <t>1,400,000.00</t>
  </si>
  <si>
    <t>35625</t>
  </si>
  <si>
    <t>64616125</t>
  </si>
  <si>
    <t>2025-03-12 02:09:51</t>
  </si>
  <si>
    <t>35825</t>
  </si>
  <si>
    <t>64616325</t>
  </si>
  <si>
    <t>2025-03-12 02:09:52</t>
  </si>
  <si>
    <t>35925</t>
  </si>
  <si>
    <t>64616425</t>
  </si>
  <si>
    <t>36025</t>
  </si>
  <si>
    <t>64616525</t>
  </si>
  <si>
    <t>15900005283</t>
  </si>
  <si>
    <t>36125</t>
  </si>
  <si>
    <t>64616625</t>
  </si>
  <si>
    <t>36225</t>
  </si>
  <si>
    <t>64616725</t>
  </si>
  <si>
    <t>2025-03-12 02:09:54</t>
  </si>
  <si>
    <t>91230569393</t>
  </si>
  <si>
    <t>36325</t>
  </si>
  <si>
    <t>64616825</t>
  </si>
  <si>
    <t>36425</t>
  </si>
  <si>
    <t>64616925</t>
  </si>
  <si>
    <t>2025-03-12 02:22:35</t>
  </si>
  <si>
    <t>36525</t>
  </si>
  <si>
    <t>64617025</t>
  </si>
  <si>
    <t>2025-03-12 02:50:10</t>
  </si>
  <si>
    <t>MANRIQUE CORTES NICOLAS</t>
  </si>
  <si>
    <t>007200751175</t>
  </si>
  <si>
    <t>927,494.00</t>
  </si>
  <si>
    <t>36625</t>
  </si>
  <si>
    <t>CO1.PCCNTR.7492176</t>
  </si>
  <si>
    <t>SERVICIOS PERSONALES. Prestar servicios de apoyo a la gestión de carácter temporal y con plena autonomía como apoyo para la gestión integral, organización y optimización de procesos administrativos, logísticos y tecnológicos relacionados con la admin</t>
  </si>
  <si>
    <t>64617125</t>
  </si>
  <si>
    <t>2025-03-12 02:19:51</t>
  </si>
  <si>
    <t>COLMENARES ARNOLD GUILLERMO</t>
  </si>
  <si>
    <t>004970282465</t>
  </si>
  <si>
    <t>1,839,804.00</t>
  </si>
  <si>
    <t>36725</t>
  </si>
  <si>
    <t>CO1.PCCNTR.7522294</t>
  </si>
  <si>
    <t>64617225</t>
  </si>
  <si>
    <t>2025-03-12 02:03:02</t>
  </si>
  <si>
    <t>HERREÑO VIDALES NELLY CAROLINA</t>
  </si>
  <si>
    <t>52577329877</t>
  </si>
  <si>
    <t>36825</t>
  </si>
  <si>
    <t>CO1.PCCNTR.7522099</t>
  </si>
  <si>
    <t>INSTRUCTOR. Prestar servicios profesionales, de carácter temporal y con plena autonomía, como instructor del programa "Articulación con la Educación Media", con el propósito de atender las necesidades de formación técnica, de acuerdo con el perfil pr</t>
  </si>
  <si>
    <t>64617325</t>
  </si>
  <si>
    <t>2025-03-12 02:17:07</t>
  </si>
  <si>
    <t>GARZON QUIROZ ALBA LUIDINA</t>
  </si>
  <si>
    <t>24136899509</t>
  </si>
  <si>
    <t>36925</t>
  </si>
  <si>
    <t>CO1.PCCNTR.7522646</t>
  </si>
  <si>
    <t>64617425</t>
  </si>
  <si>
    <t>2025-03-12 02:03:03</t>
  </si>
  <si>
    <t>QUINTERO PARRA ZORAYDA</t>
  </si>
  <si>
    <t>22149677571</t>
  </si>
  <si>
    <t>37025</t>
  </si>
  <si>
    <t>CO1.PCCNTR.7522467</t>
  </si>
  <si>
    <t>64617525</t>
  </si>
  <si>
    <t>2025-03-12 02:19:53</t>
  </si>
  <si>
    <t>BUENO RAMIREZ WILMAN CAMILO</t>
  </si>
  <si>
    <t>488448361656</t>
  </si>
  <si>
    <t>37125</t>
  </si>
  <si>
    <t>CO1.PCCNTR.7522936</t>
  </si>
  <si>
    <t>64617625</t>
  </si>
  <si>
    <t>QUIROGA GONZALEZ JONATHAN ALEXANDER</t>
  </si>
  <si>
    <t>24096002382</t>
  </si>
  <si>
    <t>37225</t>
  </si>
  <si>
    <t>CO1.PCCNTR.7522991</t>
  </si>
  <si>
    <t>64617725</t>
  </si>
  <si>
    <t>PINZON CONTRERAS JUAN ALEXANDER</t>
  </si>
  <si>
    <t>488431733127</t>
  </si>
  <si>
    <t>37325</t>
  </si>
  <si>
    <t>CO1.PCCNTR.7523161</t>
  </si>
  <si>
    <t>64617825</t>
  </si>
  <si>
    <t>CELIS SALAMANCA SONIA LUDIVIA</t>
  </si>
  <si>
    <t>24050999947</t>
  </si>
  <si>
    <t>37425</t>
  </si>
  <si>
    <t>CO1.PCCNTR.7519980</t>
  </si>
  <si>
    <t>INSTRUCTOR. Prestar servicios profesionales de carácter temporal y con plena autonomía como instructor de Formación Titulada con el propósito de atender las necesidades de formación regular para los programas ofertados por el Centro Industrial y de</t>
  </si>
  <si>
    <t>64617925</t>
  </si>
  <si>
    <t>2025-03-12 01:59:48</t>
  </si>
  <si>
    <t>BALLESTEROS PINZON CINDY PAOLA</t>
  </si>
  <si>
    <t>123271918</t>
  </si>
  <si>
    <t>37525</t>
  </si>
  <si>
    <t>CO1.PCCNTR.7520775</t>
  </si>
  <si>
    <t>64618025</t>
  </si>
  <si>
    <t>2025-03-12 02:16:20</t>
  </si>
  <si>
    <t>CUBILLOS TORRES JORGE MAURICIO</t>
  </si>
  <si>
    <t>4502053365</t>
  </si>
  <si>
    <t>37625</t>
  </si>
  <si>
    <t>CO1.PCCNTR.7520973</t>
  </si>
  <si>
    <t>64618125</t>
  </si>
  <si>
    <t>2025-03-12 01:59:44</t>
  </si>
  <si>
    <t>MONROY CORTES MARIO OTONIEL</t>
  </si>
  <si>
    <t>948055132</t>
  </si>
  <si>
    <t>37725</t>
  </si>
  <si>
    <t>CO1.PCCNTR.7521314</t>
  </si>
  <si>
    <t>64618225</t>
  </si>
  <si>
    <t>BALLESTEROS TORRES CAMILO EDUARDO</t>
  </si>
  <si>
    <t>65994181046</t>
  </si>
  <si>
    <t>37825</t>
  </si>
  <si>
    <t>CO1.PCCNTR.7521452</t>
  </si>
  <si>
    <t>64618325</t>
  </si>
  <si>
    <t>BOHORQUEZ RODRIGUEZ SERVANDO</t>
  </si>
  <si>
    <t>176270087206</t>
  </si>
  <si>
    <t>35725</t>
  </si>
  <si>
    <t>37925</t>
  </si>
  <si>
    <t>CO1.PCCNTR.7521291</t>
  </si>
  <si>
    <t>64618425</t>
  </si>
  <si>
    <t>2025-03-12 02:03:04</t>
  </si>
  <si>
    <t>GIRALDO CRUZ ERIKA ALEJANDRA</t>
  </si>
  <si>
    <t>22128259451</t>
  </si>
  <si>
    <t>38025</t>
  </si>
  <si>
    <t>CO1.PCCNTR.7521471</t>
  </si>
  <si>
    <t>INSTRUCTOR. Prestar servicios profesionales de carácter temporal y con plena INSTRUCTOR. autonomía como instructor de Formación Titulada con el propósito de atender las necesidades de formación regular para los programas ofertados por el Centro Indu</t>
  </si>
  <si>
    <t>64618525</t>
  </si>
  <si>
    <t>CAICEDO CUBILLOS JUAN CARLOS</t>
  </si>
  <si>
    <t>22155203092</t>
  </si>
  <si>
    <t>CO1.PCCNTR.7521473</t>
  </si>
  <si>
    <t>64618625</t>
  </si>
  <si>
    <t>PIERNAGORDA NEUTA DAX MARCO FERRISON</t>
  </si>
  <si>
    <t>22167966598</t>
  </si>
  <si>
    <t>CO1.PCCNTR.7521477</t>
  </si>
  <si>
    <t>64618725</t>
  </si>
  <si>
    <t>CUBILLOS LOPEZ DIANA MARCELA</t>
  </si>
  <si>
    <t>22148706038</t>
  </si>
  <si>
    <t>CO1.PCCNTR.7524361</t>
  </si>
  <si>
    <t>64618825</t>
  </si>
  <si>
    <t>LARA PACHECO EDUER HUMBERTO</t>
  </si>
  <si>
    <t>045119765</t>
  </si>
  <si>
    <t>CO1.PCCNTR.7524475</t>
  </si>
  <si>
    <t>INSTRUCTOR. Prestar servicios profesionales de carácter temporal y con plena autonomía como instructor de Formación Titulada con el propósito INSTRUCTOR. de atender las necesidades de formación regular para los programas ofertados por el Centro Ind</t>
  </si>
  <si>
    <t>64618925</t>
  </si>
  <si>
    <t>2025-03-12 02:16:22</t>
  </si>
  <si>
    <t>DE ARMAS GLADYS EDITH</t>
  </si>
  <si>
    <t>6272000828</t>
  </si>
  <si>
    <t>CO1.PCCNTR.7524764</t>
  </si>
  <si>
    <t>64619025</t>
  </si>
  <si>
    <t>2025-03-12 02:19:54</t>
  </si>
  <si>
    <t>RAMIREZ HELADIO</t>
  </si>
  <si>
    <t>356070058264</t>
  </si>
  <si>
    <t>CO1.PCCNTR.7524865</t>
  </si>
  <si>
    <t>64619125</t>
  </si>
  <si>
    <t>2025-03-12 02:19:52</t>
  </si>
  <si>
    <t>RINCON ARGUELLES HECTOR ALEJANDRO</t>
  </si>
  <si>
    <t>488445698399</t>
  </si>
  <si>
    <t>CO1.PCCNTR.7525109</t>
  </si>
  <si>
    <t>64619225</t>
  </si>
  <si>
    <t>2025-03-12 01:59:43</t>
  </si>
  <si>
    <t>LOZADA MONGUI JORGE LUIS</t>
  </si>
  <si>
    <t>272386426</t>
  </si>
  <si>
    <t>CO1.PCCNTR.7525102</t>
  </si>
  <si>
    <t>64619325</t>
  </si>
  <si>
    <t>MAYORGA MOSCOSO LUISA DANIELA</t>
  </si>
  <si>
    <t>007929347</t>
  </si>
  <si>
    <t>1,422,349.00</t>
  </si>
  <si>
    <t>CO1.PCCNTR.7525120</t>
  </si>
  <si>
    <t>64619425</t>
  </si>
  <si>
    <t>BELTRAN CAMACHO JOSE ANDRES</t>
  </si>
  <si>
    <t>009900357626</t>
  </si>
  <si>
    <t>CO1.PCCNTR.7525149</t>
  </si>
  <si>
    <t>64619525</t>
  </si>
  <si>
    <t>RODRIGUEZ CHIA JULIO CESAR</t>
  </si>
  <si>
    <t>0550488403206870</t>
  </si>
  <si>
    <t>CO1.PCCNTR.7525694</t>
  </si>
  <si>
    <t>64619625</t>
  </si>
  <si>
    <t>2025-03-12 02:13:39</t>
  </si>
  <si>
    <t>SANCHEZ DIAZ LUZ JANETH</t>
  </si>
  <si>
    <t>90140444310</t>
  </si>
  <si>
    <t>39225</t>
  </si>
  <si>
    <t>CO1.PCCNTR.7525898</t>
  </si>
  <si>
    <t>64619725</t>
  </si>
  <si>
    <t>2025-03-12 02:14:03</t>
  </si>
  <si>
    <t>CUARTAS MOLINA CLAUDIA PATRICIA</t>
  </si>
  <si>
    <t>0233275635</t>
  </si>
  <si>
    <t>39325</t>
  </si>
  <si>
    <t>CO1.PCCNTR.7526270</t>
  </si>
  <si>
    <t>64619825</t>
  </si>
  <si>
    <t>2025-03-12 02:19:23</t>
  </si>
  <si>
    <t>CRIOLLO RUIZ VALENTINA</t>
  </si>
  <si>
    <t>087858556</t>
  </si>
  <si>
    <t>39425</t>
  </si>
  <si>
    <t>CO1.PCCNTR.7527001</t>
  </si>
  <si>
    <t>INSTRUCTOR. Prestar servicios profesionales de carácter temporal y con plena autonomía como instructor de Formación Titulada con el propósito de atender las necesidades de</t>
  </si>
  <si>
    <t>64619925</t>
  </si>
  <si>
    <t>2025-03-12 02:04:20</t>
  </si>
  <si>
    <t>MUÑOZ COLMENARES LEIDY JOHANA</t>
  </si>
  <si>
    <t>22160266493</t>
  </si>
  <si>
    <t>39525</t>
  </si>
  <si>
    <t>CO1.PCCNTR.7526892</t>
  </si>
  <si>
    <t>64620025</t>
  </si>
  <si>
    <t>ANGARITA PRADA MARIA ALEJANDRA</t>
  </si>
  <si>
    <t>0865144745</t>
  </si>
  <si>
    <t>39625</t>
  </si>
  <si>
    <t>CO1.PCCNTR.7527241</t>
  </si>
  <si>
    <t>64620125</t>
  </si>
  <si>
    <t>MAHECHA ZARATE LUISA FERNANDA</t>
  </si>
  <si>
    <t>91235423117</t>
  </si>
  <si>
    <t>39725</t>
  </si>
  <si>
    <t>CO1.PCCNTR.7526115</t>
  </si>
  <si>
    <t>64620225</t>
  </si>
  <si>
    <t>BERNAL VASQUEZ LADY PAOLA</t>
  </si>
  <si>
    <t>085432995</t>
  </si>
  <si>
    <t>39825</t>
  </si>
  <si>
    <t>CO1.PCCNTR.7526106</t>
  </si>
  <si>
    <t>64620325</t>
  </si>
  <si>
    <t>2025-03-12 02:17:08</t>
  </si>
  <si>
    <t>ARGUELLES ARIAS MONICA YOLANDA</t>
  </si>
  <si>
    <t>24130892269</t>
  </si>
  <si>
    <t>39925</t>
  </si>
  <si>
    <t>CO1.PCCNTR.7533314</t>
  </si>
  <si>
    <t>64620425</t>
  </si>
  <si>
    <t>2025-03-12 02:04:07</t>
  </si>
  <si>
    <t>PINZON SUAREZ JORGE MAURICIO</t>
  </si>
  <si>
    <t>22181553085</t>
  </si>
  <si>
    <t>1,686,487.00</t>
  </si>
  <si>
    <t>40025</t>
  </si>
  <si>
    <t>CO1.PCCNTR.7534203</t>
  </si>
  <si>
    <t>64620525</t>
  </si>
  <si>
    <t>2025-03-12 02:42:35</t>
  </si>
  <si>
    <t>CONTRERAS VELASQUEZ JOSE ORLANDO</t>
  </si>
  <si>
    <t>693002710</t>
  </si>
  <si>
    <t>944,167.00</t>
  </si>
  <si>
    <t>40125</t>
  </si>
  <si>
    <t>CO1.PCCNTR.7533628</t>
  </si>
  <si>
    <t>SERVICIOS PERSONALES. Prestación de servicios personales de carácter temporal, con plena autonomía técnica y administrativa, como apoyo en el seguimiento a los contratos de la Coordinación de Formación de Articulación con la Media del Centro Industri</t>
  </si>
  <si>
    <t>64620625</t>
  </si>
  <si>
    <t>2025-03-12 02:11:25</t>
  </si>
  <si>
    <t>ROMERO PEÑUELA JHON ALEXANDER</t>
  </si>
  <si>
    <t>22118738385</t>
  </si>
  <si>
    <t>1,533,170.00</t>
  </si>
  <si>
    <t>40225</t>
  </si>
  <si>
    <t>CO1.PCCNTR.7543994</t>
  </si>
  <si>
    <t>66430925</t>
  </si>
  <si>
    <t>2025-03-11 00:00:00</t>
  </si>
  <si>
    <t>2025-03-13 03:10:10</t>
  </si>
  <si>
    <t>1,993,121.00</t>
  </si>
  <si>
    <t>40325</t>
  </si>
  <si>
    <t>66431025</t>
  </si>
  <si>
    <t>2025-03-13 02:26:26</t>
  </si>
  <si>
    <t>40425</t>
  </si>
  <si>
    <t>66431225</t>
  </si>
  <si>
    <t>2025-03-13 02:48:55</t>
  </si>
  <si>
    <t>40525</t>
  </si>
  <si>
    <t>66431325</t>
  </si>
  <si>
    <t>40625</t>
  </si>
  <si>
    <t>66431425</t>
  </si>
  <si>
    <t>2025-03-13 02:43:53</t>
  </si>
  <si>
    <t>40725</t>
  </si>
  <si>
    <t>66431525</t>
  </si>
  <si>
    <t>40825</t>
  </si>
  <si>
    <t>66431625</t>
  </si>
  <si>
    <t>2025-03-13 02:39:04</t>
  </si>
  <si>
    <t>40925</t>
  </si>
  <si>
    <t>66431725</t>
  </si>
  <si>
    <t>2025-03-13 02:48:56</t>
  </si>
  <si>
    <t>41025</t>
  </si>
  <si>
    <t>66431825</t>
  </si>
  <si>
    <t>41225</t>
  </si>
  <si>
    <t>66431925</t>
  </si>
  <si>
    <t>2025-03-13 03:13:44</t>
  </si>
  <si>
    <t>41325</t>
  </si>
  <si>
    <t>66432025</t>
  </si>
  <si>
    <t>2025-03-13 02:43:52</t>
  </si>
  <si>
    <t>41425</t>
  </si>
  <si>
    <t>66432125</t>
  </si>
  <si>
    <t>2025-03-13 03:16:36</t>
  </si>
  <si>
    <t>BARRERA CORREDOR YEISON IVAN</t>
  </si>
  <si>
    <t>116200003542</t>
  </si>
  <si>
    <t>41525</t>
  </si>
  <si>
    <t>CO1.PCCNTR.7523393</t>
  </si>
  <si>
    <t>66482925</t>
  </si>
  <si>
    <t>2025-03-13 01:55:08</t>
  </si>
  <si>
    <t>3,063,140.00</t>
  </si>
  <si>
    <t>PAGO CORRESPONDIENTE AL SERVICIO DE ENERGÍA ELÉCTRICA DE LA SEDE PRINCIPAL CIDE SOACHA POR EL PERÍODO COMPRENDIDO ENTRE EL 28 DE ENERO Y EL 25 DE FEBRERO DE 2025.</t>
  </si>
  <si>
    <t>44325</t>
  </si>
  <si>
    <t>41625</t>
  </si>
  <si>
    <t>2025-03-05 00:00:00</t>
  </si>
  <si>
    <t>344021781-7</t>
  </si>
  <si>
    <t>SERVICIOS PUBLICOS: Pago de servicio ENERGIA de la sede Soacha del Centro Industrial y Desarrollo Empresarial de Soacha ubicada en la calle 13 # 10-63, del 28 de enero al 25 de febrero de 2024, Fecha de Pago:11 de marzo de 2025</t>
  </si>
  <si>
    <t>67839925</t>
  </si>
  <si>
    <t>2025-03-13 02:53:11</t>
  </si>
  <si>
    <t>261373302</t>
  </si>
  <si>
    <t>PAGO CORRESPONDIENTE A LA PRESTACIÓN DE SERVICIOS PROFESIONALES DURANTE EL MES DE FEBRERO DE 2025, DE ACUERDO CON LO ESTIPULADO EN EL CONTRATO CO1.PCCNTR.7518687</t>
  </si>
  <si>
    <t>68528925</t>
  </si>
  <si>
    <t>2025-03-12 00:00:00</t>
  </si>
  <si>
    <t>2025-03-14 00:00:00</t>
  </si>
  <si>
    <t>68529125</t>
  </si>
  <si>
    <t>41125</t>
  </si>
  <si>
    <t>68529225</t>
  </si>
  <si>
    <t>Tarjeta de Identidad</t>
  </si>
  <si>
    <t>YATE YATE ANDRES FELIPE</t>
  </si>
  <si>
    <t>24133360165</t>
  </si>
  <si>
    <t>854,100.00</t>
  </si>
  <si>
    <t>41725</t>
  </si>
  <si>
    <t>2025-02-28 00:00:00</t>
  </si>
  <si>
    <t>RESOLUCION</t>
  </si>
  <si>
    <t>25-9232-00147</t>
  </si>
  <si>
    <t>APOYO APRENDICES: PAGO ENERO DE 2025 APOYOS DE SOSTENIMIENTO FIC</t>
  </si>
  <si>
    <t>68529325</t>
  </si>
  <si>
    <t>GUTIERREZ GUTIERREZ WILSON HERNANDO</t>
  </si>
  <si>
    <t>24045319758</t>
  </si>
  <si>
    <t>41825</t>
  </si>
  <si>
    <t>68529425</t>
  </si>
  <si>
    <t>45325</t>
  </si>
  <si>
    <t>41925</t>
  </si>
  <si>
    <t>25-9232-00182</t>
  </si>
  <si>
    <t>APOYO APRENDICES: PAGO FEBRERO DE 2025 APOYOS DE SOSTENIMIENTO FIC</t>
  </si>
  <si>
    <t>68529525</t>
  </si>
  <si>
    <t>45425</t>
  </si>
  <si>
    <t>42025</t>
  </si>
  <si>
    <t>68529625</t>
  </si>
  <si>
    <t>DUQUE HERRERA ALEXANDRA MARCELA</t>
  </si>
  <si>
    <t>488435957631</t>
  </si>
  <si>
    <t>45525</t>
  </si>
  <si>
    <t>42125</t>
  </si>
  <si>
    <t>68529725</t>
  </si>
  <si>
    <t>VILLALOBOS CORTEZ CLAUDIA PATRICIA</t>
  </si>
  <si>
    <t>488446727510</t>
  </si>
  <si>
    <t>45625</t>
  </si>
  <si>
    <t>42225</t>
  </si>
  <si>
    <t>68529825</t>
  </si>
  <si>
    <t>RODRIGUEZ DORA LUZ</t>
  </si>
  <si>
    <t>488446692508</t>
  </si>
  <si>
    <t>42325</t>
  </si>
  <si>
    <t>68529925</t>
  </si>
  <si>
    <t>TOVAR CHAVES EDUAR CAMILO</t>
  </si>
  <si>
    <t>488446692847</t>
  </si>
  <si>
    <t>42425</t>
  </si>
  <si>
    <t>68530025</t>
  </si>
  <si>
    <t>CARDOZO PINEDA EDWIN ALFREDO</t>
  </si>
  <si>
    <t>93240918844</t>
  </si>
  <si>
    <t>45925</t>
  </si>
  <si>
    <t>42525</t>
  </si>
  <si>
    <t>68530125</t>
  </si>
  <si>
    <t>BARBOSA QUINITIVA EIVER JOHAN</t>
  </si>
  <si>
    <t>456870025545</t>
  </si>
  <si>
    <t>46025</t>
  </si>
  <si>
    <t>42625</t>
  </si>
  <si>
    <t>68530225</t>
  </si>
  <si>
    <t>MEDINA OSA FLORADIZ</t>
  </si>
  <si>
    <t>87070415463</t>
  </si>
  <si>
    <t>46125</t>
  </si>
  <si>
    <t>42725</t>
  </si>
  <si>
    <t>68530325</t>
  </si>
  <si>
    <t>BALDELEON FONSECA FLORI JANETH</t>
  </si>
  <si>
    <t>488446692177</t>
  </si>
  <si>
    <t>46225</t>
  </si>
  <si>
    <t>42825</t>
  </si>
  <si>
    <t>68530425</t>
  </si>
  <si>
    <t>SANDOVAL FULA GABRIEL ANDRES</t>
  </si>
  <si>
    <t>94570418364</t>
  </si>
  <si>
    <t>46325</t>
  </si>
  <si>
    <t>42925</t>
  </si>
  <si>
    <t>68530525</t>
  </si>
  <si>
    <t>AVENDAÑO ALVIRA JENNY ALEJANDRA</t>
  </si>
  <si>
    <t>008200708934</t>
  </si>
  <si>
    <t>46425</t>
  </si>
  <si>
    <t>43025</t>
  </si>
  <si>
    <t>68530625</t>
  </si>
  <si>
    <t>POVEDA TRIBALDOS JOSE HERNANDO</t>
  </si>
  <si>
    <t>488446694660</t>
  </si>
  <si>
    <t>46525</t>
  </si>
  <si>
    <t>43125</t>
  </si>
  <si>
    <t>68530725</t>
  </si>
  <si>
    <t>HERRERA SEGURA JUAN JOSE</t>
  </si>
  <si>
    <t>488446692748</t>
  </si>
  <si>
    <t>46625</t>
  </si>
  <si>
    <t>43225</t>
  </si>
  <si>
    <t>68530825</t>
  </si>
  <si>
    <t>AVILAN SARMIENTO KAREN BRIGUITTE</t>
  </si>
  <si>
    <t>488435591521</t>
  </si>
  <si>
    <t>46725</t>
  </si>
  <si>
    <t>43325</t>
  </si>
  <si>
    <t>68530925</t>
  </si>
  <si>
    <t>SANDOVAL LUZ MARINA</t>
  </si>
  <si>
    <t>94500001668</t>
  </si>
  <si>
    <t>46825</t>
  </si>
  <si>
    <t>43425</t>
  </si>
  <si>
    <t>68531025</t>
  </si>
  <si>
    <t>BORRERO FONSECA MONICA ANDREA</t>
  </si>
  <si>
    <t>87047468935</t>
  </si>
  <si>
    <t>46925</t>
  </si>
  <si>
    <t>43525</t>
  </si>
  <si>
    <t>68531125</t>
  </si>
  <si>
    <t>BERNAL LONDOÑO SANDRA MIREYA</t>
  </si>
  <si>
    <t>04623752599</t>
  </si>
  <si>
    <t>47025</t>
  </si>
  <si>
    <t>43625</t>
  </si>
  <si>
    <t>68531225</t>
  </si>
  <si>
    <t>FONSECA LOPEZ XIMENA ADRIANA</t>
  </si>
  <si>
    <t>87044310746</t>
  </si>
  <si>
    <t>47125</t>
  </si>
  <si>
    <t>43725</t>
  </si>
  <si>
    <t>68531325</t>
  </si>
  <si>
    <t>GONZALEZ CANTOR ZAHIRA</t>
  </si>
  <si>
    <t>488446692235</t>
  </si>
  <si>
    <t>47225</t>
  </si>
  <si>
    <t>43825</t>
  </si>
  <si>
    <t>68531425</t>
  </si>
  <si>
    <t>MAYORGA 0 BERCELIO 0</t>
  </si>
  <si>
    <t>87061839982</t>
  </si>
  <si>
    <t>47325</t>
  </si>
  <si>
    <t>43925</t>
  </si>
  <si>
    <t>68531525</t>
  </si>
  <si>
    <t>AVILA BRAYAN ESTIVEN</t>
  </si>
  <si>
    <t>545869484</t>
  </si>
  <si>
    <t>47425</t>
  </si>
  <si>
    <t>44025</t>
  </si>
  <si>
    <t>68531625</t>
  </si>
  <si>
    <t>GUTIÉRREZ VILLALOBOS DILAN ANDREY</t>
  </si>
  <si>
    <t>466600055076</t>
  </si>
  <si>
    <t>47525</t>
  </si>
  <si>
    <t>44125</t>
  </si>
  <si>
    <t>68531725</t>
  </si>
  <si>
    <t>Otro</t>
  </si>
  <si>
    <t>TORREALBA MENDOZA ENYERBI YONAIKER</t>
  </si>
  <si>
    <t>87072717151</t>
  </si>
  <si>
    <t>47625</t>
  </si>
  <si>
    <t>44225</t>
  </si>
  <si>
    <t>68531825</t>
  </si>
  <si>
    <t>MARTINEZ GARZON IVAN CAMILO</t>
  </si>
  <si>
    <t>87049806539</t>
  </si>
  <si>
    <t>47725</t>
  </si>
  <si>
    <t>68532025</t>
  </si>
  <si>
    <t>CAICEDO PINZON IVAN DARIO</t>
  </si>
  <si>
    <t>87072707411</t>
  </si>
  <si>
    <t>47825</t>
  </si>
  <si>
    <t>44425</t>
  </si>
  <si>
    <t>68532225</t>
  </si>
  <si>
    <t>ARIAS ALTAMIRANDA JESUS DAVID</t>
  </si>
  <si>
    <t>87052354222</t>
  </si>
  <si>
    <t>47925</t>
  </si>
  <si>
    <t>44525</t>
  </si>
  <si>
    <t>68532325</t>
  </si>
  <si>
    <t>FRANCO CRUZ CRUZ JHOINER DAVID</t>
  </si>
  <si>
    <t>94574632328</t>
  </si>
  <si>
    <t>48025</t>
  </si>
  <si>
    <t>44625</t>
  </si>
  <si>
    <t>68532425</t>
  </si>
  <si>
    <t>MUÑOZ CHAVEZ JHON JAMELL</t>
  </si>
  <si>
    <t>500806394296</t>
  </si>
  <si>
    <t>48125</t>
  </si>
  <si>
    <t>44725</t>
  </si>
  <si>
    <t>68532625</t>
  </si>
  <si>
    <t>RAVELO ZAMORA KAROL YISEL</t>
  </si>
  <si>
    <t>87054803438</t>
  </si>
  <si>
    <t>48225</t>
  </si>
  <si>
    <t>44825</t>
  </si>
  <si>
    <t>68532725</t>
  </si>
  <si>
    <t>BALLEN LAURA SOFIA</t>
  </si>
  <si>
    <t>94574629106</t>
  </si>
  <si>
    <t>48325</t>
  </si>
  <si>
    <t>44925</t>
  </si>
  <si>
    <t>68532825</t>
  </si>
  <si>
    <t>FERNANDEZ CHAVEZ MARIA DEL CARMEN 0</t>
  </si>
  <si>
    <t>87061723716</t>
  </si>
  <si>
    <t>48425</t>
  </si>
  <si>
    <t>45025</t>
  </si>
  <si>
    <t>68532925</t>
  </si>
  <si>
    <t>VILLEGAS MIGUEL ANGEL</t>
  </si>
  <si>
    <t>466600063484</t>
  </si>
  <si>
    <t>48525</t>
  </si>
  <si>
    <t>45125</t>
  </si>
  <si>
    <t>68533025</t>
  </si>
  <si>
    <t>ROMERO SUSANA 0</t>
  </si>
  <si>
    <t>87048255204</t>
  </si>
  <si>
    <t>48625</t>
  </si>
  <si>
    <t>45225</t>
  </si>
  <si>
    <t>68533125</t>
  </si>
  <si>
    <t>GARZON PRIETO VALERIE DAYANNA</t>
  </si>
  <si>
    <t>87072722852</t>
  </si>
  <si>
    <t>48725</t>
  </si>
  <si>
    <t>68533225</t>
  </si>
  <si>
    <t>GARZON WILLIAM ALBEIRO</t>
  </si>
  <si>
    <t>87072717626</t>
  </si>
  <si>
    <t>48825</t>
  </si>
  <si>
    <t>68787025</t>
  </si>
  <si>
    <t>1,330,860.00</t>
  </si>
  <si>
    <t>PAGO CORRESPONDIENTE AL SERVICIO DE ENERGÍA ELÉCTRICA DE LA SEDE CIUDAD VERDE DEL MUNICIPIO DE SOACHA, POR EL PERÍODO COMPRENDIDO ENTRE EL 4 DE FEBRERO Y EL 4 DE MARZO DE 2025.</t>
  </si>
  <si>
    <t>49025</t>
  </si>
  <si>
    <t>SERVICIOS PUBLICOS: Pago del servicio de ENERGIA de la sede Ciudad Verde del Centro Industrial y Desarrollo Empresarial de Soacha ubicada en la carrera 36 #17-186, Periodo facturado 4 Feb al 4 mar de 2025, Fecha Límite de Pago: 18 de Mar 2025</t>
  </si>
  <si>
    <t>68819625</t>
  </si>
  <si>
    <t>611,970.00</t>
  </si>
  <si>
    <t>PAGO CORRESPONDIENTE AL SERVICIO DE ENERGÍA ELÉCTRICA DE LA SEDE "EL ALTICO" DEL MUNICIPIO DE SOACHA, POR EL PERÍODO COMPRENDIDO ENTRE EL 31 DE ENERO Y EL 28 DE FEBRERO DE 2025.</t>
  </si>
  <si>
    <t>49525</t>
  </si>
  <si>
    <t>344398069-9</t>
  </si>
  <si>
    <t>SERVICIOS PUBLICOS: pago de servicio de ENERGIA del Altico del Centro Industrial y Desarrollo Empresarial ubicada en la calle 3 # 3-20 bodega 2, periodo facturado 31 de ENERO 2025 al 28 de FEB de 2025, Fecha Límite de Pago 14 de Marzo de 2025</t>
  </si>
  <si>
    <t>Columna2</t>
  </si>
  <si>
    <t>Columna3</t>
  </si>
  <si>
    <t>Columna4</t>
  </si>
  <si>
    <t>Columna5</t>
  </si>
  <si>
    <t>Columna6</t>
  </si>
  <si>
    <t>Columna7</t>
  </si>
  <si>
    <t>Columna8</t>
  </si>
  <si>
    <t>Columna9</t>
  </si>
  <si>
    <t>Columna10</t>
  </si>
  <si>
    <t>Columna11</t>
  </si>
  <si>
    <t>Columna12</t>
  </si>
  <si>
    <t>Columna13</t>
  </si>
  <si>
    <t>Columna14</t>
  </si>
  <si>
    <t>Columna15</t>
  </si>
  <si>
    <t>nuevo</t>
  </si>
  <si>
    <t>lo que sale</t>
  </si>
  <si>
    <t>CODIGO_OP</t>
  </si>
  <si>
    <t>CODIGO_CRP</t>
  </si>
  <si>
    <t>CODIGO_CDP</t>
  </si>
  <si>
    <t>Numero_Documento</t>
  </si>
  <si>
    <t>Fecha_de_Registro</t>
  </si>
  <si>
    <t>Fecha_de_Pago</t>
  </si>
  <si>
    <t>Valor_Bruto</t>
  </si>
  <si>
    <t>Valor_Deducciones</t>
  </si>
  <si>
    <t>Valor_Neto</t>
  </si>
  <si>
    <t>Tipo_Beneficiario</t>
  </si>
  <si>
    <t>Vigencia_Presupuestal</t>
  </si>
  <si>
    <t>Tipo_Identificacion</t>
  </si>
  <si>
    <t>Nombre_Razon_Social</t>
  </si>
  <si>
    <t>Medio_de_Pago</t>
  </si>
  <si>
    <t>Tipo_Cuenta</t>
  </si>
  <si>
    <t>Numero_Cuenta</t>
  </si>
  <si>
    <t>Estado_Cuenta</t>
  </si>
  <si>
    <t>Entidad_Nit</t>
  </si>
  <si>
    <t>Entidad_Descripcion</t>
  </si>
  <si>
    <t>Dependencia_Descripcion</t>
  </si>
  <si>
    <t>Valor_Pesos</t>
  </si>
  <si>
    <t>Valor_Moneda</t>
  </si>
  <si>
    <t>Valor_Reintegrado_Pesos</t>
  </si>
  <si>
    <t>Valor_Reintegrado_Moneda</t>
  </si>
  <si>
    <t>Tesoreria_Pagadora</t>
  </si>
  <si>
    <t>Identificacion_Pagaduria</t>
  </si>
  <si>
    <t>Cuenta_Pagaduria</t>
  </si>
  <si>
    <t>Tipo_Identificacion2</t>
  </si>
  <si>
    <t>Identificacion3</t>
  </si>
  <si>
    <t>Razon_social</t>
  </si>
  <si>
    <t>Numero_Cuenta4</t>
  </si>
  <si>
    <t>Concepto_Pago</t>
  </si>
  <si>
    <t>Solicitud_CDP</t>
  </si>
  <si>
    <t>Cuentas_por_Pagar</t>
  </si>
  <si>
    <t>Fecha_Cuentas_por_Pagar</t>
  </si>
  <si>
    <t>Ordenes_de_Pago</t>
  </si>
  <si>
    <t>Fecha_Doc_Soporte_Compromiso</t>
  </si>
  <si>
    <t>Tipo_Doc_Soporte_Compromiso</t>
  </si>
  <si>
    <t>Num_Doc_Soporte_Compromiso</t>
  </si>
  <si>
    <t>Objeto_del_Compromiso</t>
  </si>
  <si>
    <t>SALIDA</t>
  </si>
  <si>
    <t>24325, 24425, 24525, 24625, 24725, 24825, 24925, 25025, 25125, 25225, 25325, 25425, 25525, 25625, 25725, 25825, 25925, 26025, 26125, 26225, 35025, 37825, 42425</t>
  </si>
  <si>
    <t>30425, 30525, 30625, 30725, 30825, 30925, 31025, 31125, 31225, 31325, 31425, 37325, 40025, 40625, 40725, 40825, 40925, 41025, 41125, 41225, 41325, 41425</t>
  </si>
  <si>
    <t>3425, 4325</t>
  </si>
  <si>
    <t>47481725, 47482225, 47482625, 47483625, 47484025, 47484325, 47484425, 47484525, 47484625, 47484725, 47484825, 47484925, 47485025, 47485125, 50237825</t>
  </si>
  <si>
    <t>39025, 44525</t>
  </si>
  <si>
    <t>26325, 26425, 26525, 26625, 26725, 26825, 26925, 27025, 27125, 36625, 51025</t>
  </si>
  <si>
    <t>31525, 31625, 31725, 31825, 31925, 32025, 32125, 32225, 32325, 38825</t>
  </si>
  <si>
    <t>64599925, 64600025, 64600125, 64600225, 64600325, 64600425, 64600525, 64600625, 64600725, 64619225</t>
  </si>
  <si>
    <t>32225, 32325, 39825, 39925, 40025, 42025, 44025, 44125, 44725, 44825, 44925, 45025, 45125, 49125, 49225, 49325, 49425, 50125, 50525</t>
  </si>
  <si>
    <t>47483425, 47483525</t>
  </si>
  <si>
    <t>15325, 15425</t>
  </si>
  <si>
    <t>49625, 49725</t>
  </si>
  <si>
    <t>47481925, 47482025, 47482425, 47482825, 47483125, 47483225, 47485225</t>
  </si>
  <si>
    <t>625, 725, 925, 1025, 1825, 2225, 2325, 2425, 2525, 2625, 3725, 3825, 3925, 7525, 27225, 27325, 27425, 27525, 27625, 27825, 27925, 28025, 28225, 29525, 29625, 29725, 29825, 29925, 30025, 31625, 33625, 37925, 43625, 50425</t>
  </si>
  <si>
    <t>2825, 2925, 3125, 3225, 4025, 10625, 12925, 13025, 13225, 13325, 14125, 14225, 14325, 14425, 14525, 14625, 15625, 15725, 15825, 32425, 32525, 32625, 32725, 32825, 33025, 33125, 33225, 33425, 33825, 33925, 34025, 34125, 34225, 35025, 36625, 40125</t>
  </si>
  <si>
    <t>14725, 14825, 14925, 15025, 15125, 15225, 19825, 19925, 20025, 20125, 20225, 20325, 20425, 20525, 20625, 20725, 20825, 20925, 21025, 21125, 21225, 21325, 21425, 21525, 21625, 21725, 21825, 21925, 22025, 22125, 22225, 22325, 22425, 22525, 22625, 22725, 22825, 22925, 23025, 23125, 23225, 23325, 27225, 27325, 27425, 27525, 27625, 27725, 27825, 27925, 28025, 28125, 28225, 28325, 28425, 28525, 28625, 28725, 28825, 28925, 29025, 29125, 29225, 29325, 29425, 29525, 29625, 29725, 29825, 29925, 30025, 30125, 30225, 30325, 33325, 35725, 36725, 36825, 36925, 37025, 37125, 37225, 39925, 40225</t>
  </si>
  <si>
    <t>64541725, 64541825, 64541925, 64542025, 64542125, 64542225, 64551825, 64551925, 64552025, 64552125, 64552225, 64552325, 64552425, 64552525, 64552625, 64552825, 64568525, 64568625, 64568725, 64568825, 64568925, 64569025, 64569125, 64569225, 64569325, 64569425, 64569525, 64569625, 64569725, 64569825, 64569925, 64570025, 64570125, 64570225, 64570325, 64570425, 64570525, 64570625, 64570825, 64570925, 64571025, 64571125, 64574925, 64575025, 64582325, 64582425, 64582525, 64582625, 64582725, 64582825, 64582925, 64583025, 64583125, 64583225, 64583425, 64583525, 64583625, 64583725, 64583825, 64583925, 64584025, 64584125, 64584225, 64584325, 64584425, 64584525, 64584625, 64584725, 64584825, 64584925, 64585025, 64585125, 64585225, 64601725, 64617125, 64617225, 64617325, 64617425, 64617525, 64617625, 64620325, 64620625, 67839925, 68528925</t>
  </si>
  <si>
    <t>39425, 39525, 45325, 45425, 45525, 45625, 45725, 45825, 45925, 46025, 46125, 46225, 46325, 46425, 46525, 46625, 46725, 46825, 46925, 47025, 47125, 47225, 47325, 47425, 47525, 47625, 47725, 47825, 47925, 48025, 48125, 48225, 48325, 48425, 48525, 48625, 48725, 48825</t>
  </si>
  <si>
    <t>41725, 41825, 41925, 42025, 42125, 42225, 42325, 42425, 42525, 42625, 42725, 42825, 42925, 43025, 43125, 43225, 43325, 43425, 43525, 43625, 43725, 43825, 43925, 44025, 44125, 44225, 44325, 44425, 44525, 44625, 44725, 44825, 44925, 45025, 45125, 45225, 45325, 45425</t>
  </si>
  <si>
    <t>68529225, 68529325, 68529425, 68529525, 68529625, 68529725, 68529825, 68529925, 68530025, 68530125, 68530225, 68530325, 68530425, 68530525, 68530625, 68530725, 68530825, 68530925, 68531025, 68531125, 68531225, 68531325, 68531425, 68531525, 68531625, 68531725, 68531825, 68532025, 68532225, 68532325, 68532425, 68532625, 68532725, 68532825, 68532925, 68533025, 68533125, 68533225</t>
  </si>
  <si>
    <t>36825, 44625</t>
  </si>
  <si>
    <t>1325, 1525, 1625, 1725, 45225</t>
  </si>
  <si>
    <t>3525, 3725, 3825, 3925, 13625, 13825, 13925, 14025</t>
  </si>
  <si>
    <t>42360925, 42361225, 42361325, 42361525, 64525125, 64525325, 64525425, 64525525</t>
  </si>
  <si>
    <t>34625, 34725, 34825, 34925, 35125, 35225, 35425</t>
  </si>
  <si>
    <t>64602925, 64603025, 64603125, 64603225, 64603425, 64603525, 64603725</t>
  </si>
  <si>
    <t>4125, 4225, 4325, 28325, 28425, 28525, 30125, 30925, 31025, 31125, 31925, 43725, 50725</t>
  </si>
  <si>
    <t>16025, 16125, 16225, 33525, 33625, 33725, 34325, 34425, 34525, 35325</t>
  </si>
  <si>
    <t>64542925, 64543025, 64543125, 64601925, 64602025, 64602125, 64602625, 64602725, 64602825, 64603625</t>
  </si>
  <si>
    <t>4425, 4525, 4625, 4725, 4925, 5025, 5125, 5225, 5325, 5425, 5525, 5625, 5725, 5825, 5925, 6025, 6125, 6325, 6425, 6525, 6625, 6725, 6825, 6925, 7025, 7125, 7225, 7325, 7425, 7625, 7725, 7825, 7925, 8025, 8125, 8225, 8325, 8425, 8525, 8625, 8725, 8825, 8925, 9025, 9125, 9225, 9325, 9425, 9525, 9625, 9725, 9825, 9925, 10025, 10125, 10225, 10325, 10425, 10525, 10625, 10725, 10825, 10925, 11025, 11125, 11225, 11325, 11425, 11525, 11625, 11725, 11825, 11925, 12025, 12125, 12225, 12325, 12425, 12525, 12625, 12725, 12825, 12925, 13025, 13125, 13225, 17125, 17225, 17325, 17425, 17525, 17625, 17725, 17825, 17925, 18025, 18125, 18225, 18325, 18425, 18525, 18625, 18725, 18825, 18925, 19025, 19125, 19225, 19325, 19425, 19525, 19625, 19725, 19825, 19925, 20025, 20125, 20225, 20325, 20425, 20525, 20625, 20725, 20825, 20925, 21025, 35125, 35225, 35325, 35425, 35525, 35625, 35725, 35825, 35925, 36025, 36125, 36225, 36325, 36725, 36925, 37025, 37125, 37225, 37325, 37425, 37525, 37625, 42925, 43025, 43125, 43225, 51125, 51225, 51325, 51425</t>
  </si>
  <si>
    <t>7725, 7825, 7925, 8125, 8225, 8325, 8425, 8525, 8625, 8725, 8825, 8925, 9025, 9125, 9225, 9325, 9425, 9525, 9625, 9725, 9825, 9925, 10025, 10125, 10225, 10325, 10425, 10525, 10725, 10825, 10925, 11025, 11125, 11225, 11325, 11425, 11525, 11625, 11725, 11825, 11925, 12025, 12125, 12225, 12325, 12425, 12525, 12625, 12725, 12825, 16325, 16425, 16525, 16625, 16725, 16825, 16925, 17025, 17125, 17225, 17325, 17425, 17525, 17625, 17725, 17825, 17925, 18025, 18125, 18225, 18325, 18425, 18525, 18625, 18725, 18825, 18925, 19025, 19125, 19225, 19325, 19425, 19525, 19625, 19725, 23425, 23525, 23625, 23725, 23825, 23925, 24025, 24125, 24225, 24325, 24425, 24525, 24625, 24725, 24825, 24925, 25025, 25125, 25225, 25325, 25425, 25525, 25625, 25725, 25825, 25925, 26025, 26125, 26225, 26325, 26425, 26525, 26625, 26725, 26825, 26925, 27025, 27125, 37425, 37525, 37625, 37725, 37825, 37925, 38025, 38125, 38225, 38325, 38425, 38525, 38925, 39125, 39225, 39325, 39425, 39525, 39625, 39725, 39825, 40325, 40425, 40525, 41525</t>
  </si>
  <si>
    <t>4825, 36425, 36525</t>
  </si>
  <si>
    <t>8025, 38625, 38725</t>
  </si>
  <si>
    <t>64519425, 64619025, 64619125</t>
  </si>
  <si>
    <t>29225, 33825, 50325, 50825</t>
  </si>
  <si>
    <t>47482125, 47483925</t>
  </si>
  <si>
    <t>47481825, 47483825</t>
  </si>
  <si>
    <t>3425, 13525, 15525</t>
  </si>
  <si>
    <t>42360825, 64525025, 64542425</t>
  </si>
  <si>
    <t>3025, 3325, 3625, 13125, 13425, 13725</t>
  </si>
  <si>
    <t>42360225, 42360625, 42361125, 64524625, 64524925, 64525225</t>
  </si>
  <si>
    <t>35625, 36225, 36325, 36425, 36525</t>
  </si>
  <si>
    <t>64603925, 64616625, 64616725, 64616825, 64616925</t>
  </si>
  <si>
    <t>35525, 35825, 35925, 36025, 36125</t>
  </si>
  <si>
    <t>64603825, 64616125, 64616325, 64616425, 64616525</t>
  </si>
  <si>
    <t>2025-02-28 16:21:00</t>
  </si>
  <si>
    <t>Contratar mediante el mecanismo de monto agotable la compra de materiales e insumos para los programas de formación ofertados y aquellos destinados al proceso de Producción de Centro para el mantenimiento de equipos de cómputo en el Centro Industrial</t>
  </si>
  <si>
    <t>923214</t>
  </si>
  <si>
    <t>CENTRO INDUSTRIAL Y DESARROLLO EMPRESARIAL DE SOACHA-CUNDINAMARCA -ESCUELA NACIONAL DE INSTRUCTORES</t>
  </si>
  <si>
    <t>2025-02-28 17:28:00</t>
  </si>
  <si>
    <t>Contratar mediante el mecanismo de monto agotable la compra de elementos de protección personal para los aprendices de programas FIC, beneficiarios de apoyos de sostenimiento regular, funcionarios, trabajador oficial y la brigada de emergencias del</t>
  </si>
  <si>
    <t>2025-02-28 17:37:00</t>
  </si>
  <si>
    <t>Contratar mediante el mecanismo de monto agotable la compra de materiales e insumos para los programas de formación en las líneas de producción de alimentos y gestión agroindustrial en el Centro Industrial y de Desarrollo Empresarial de Soacha.</t>
  </si>
  <si>
    <t>2025-03-06 00:00:00</t>
  </si>
  <si>
    <t>2025-03-06 18:55:00</t>
  </si>
  <si>
    <t>923243</t>
  </si>
  <si>
    <t>CENTRO INDUSTRIAL Y DESARROLLO EMPRESARIAL DE SOACHA-CUNDINAMARCA - BIENESTAR FUNCIONARIOS</t>
  </si>
  <si>
    <t>BIENESTAR EMPLEADOS. Servicios de bienestar social, actividades culturales recreativas y deportivas</t>
  </si>
  <si>
    <t>3425-86-N</t>
  </si>
  <si>
    <t>3625-42-P</t>
  </si>
  <si>
    <t>7225-11-N</t>
  </si>
  <si>
    <t>7225-34-P</t>
  </si>
  <si>
    <t>7225-38-N</t>
  </si>
  <si>
    <t>7225-18-P</t>
  </si>
  <si>
    <t>7225-42-P</t>
  </si>
  <si>
    <t>7225-10-N</t>
  </si>
  <si>
    <t>7225-14-N</t>
  </si>
  <si>
    <t>7225-85-N</t>
  </si>
  <si>
    <t>7325-18-P</t>
  </si>
  <si>
    <t>7325-44-P</t>
  </si>
  <si>
    <t>7325-10-P</t>
  </si>
  <si>
    <t>7325-09-P</t>
  </si>
  <si>
    <t>7425-38-N</t>
  </si>
  <si>
    <t>7425-11-N</t>
  </si>
  <si>
    <t>7425-10-N</t>
  </si>
  <si>
    <t>7425-34-P</t>
  </si>
  <si>
    <t>7525-43-N</t>
  </si>
  <si>
    <t>2825, 12925</t>
  </si>
  <si>
    <t>42359925, 64524425</t>
  </si>
  <si>
    <t>2925, 13025</t>
  </si>
  <si>
    <t>42360025, 64524525</t>
  </si>
  <si>
    <t>3025, 13125</t>
  </si>
  <si>
    <t>42360225, 64524625</t>
  </si>
  <si>
    <t>3125, 13225</t>
  </si>
  <si>
    <t>42360325, 64524725</t>
  </si>
  <si>
    <t>3225, 13325</t>
  </si>
  <si>
    <t>42360525, 64524825</t>
  </si>
  <si>
    <t>3325, 13425</t>
  </si>
  <si>
    <t>42360625, 64524925</t>
  </si>
  <si>
    <t>3425, 13525</t>
  </si>
  <si>
    <t>42360825, 64525025</t>
  </si>
  <si>
    <t>3525, 13625</t>
  </si>
  <si>
    <t>42360925, 64525125</t>
  </si>
  <si>
    <t>3625, 13725</t>
  </si>
  <si>
    <t>42361125, 64525225</t>
  </si>
  <si>
    <t>3725, 13825</t>
  </si>
  <si>
    <t>42361225, 64525325</t>
  </si>
  <si>
    <t>3825, 13925</t>
  </si>
  <si>
    <t>42361325, 64525425</t>
  </si>
  <si>
    <t>3925, 14025</t>
  </si>
  <si>
    <t>42361525, 64525525</t>
  </si>
  <si>
    <t>4025, 14125</t>
  </si>
  <si>
    <t>42361625, 64525625</t>
  </si>
  <si>
    <t>24141811912</t>
  </si>
  <si>
    <t>24142267633</t>
  </si>
  <si>
    <t>085360725</t>
  </si>
  <si>
    <t>38172925, 39172525, 40470425, 43210725</t>
  </si>
  <si>
    <t>2025-02-20 12:31:10</t>
  </si>
  <si>
    <t>2025-02-20 14:31:18</t>
  </si>
  <si>
    <t>2025-02-20 14:39:40</t>
  </si>
  <si>
    <t>2025-02-20 14:43:19</t>
  </si>
  <si>
    <t>2025-02-20 14:46:23</t>
  </si>
  <si>
    <t>2025-02-20 14:50:20</t>
  </si>
  <si>
    <t>2025-02-20 16:05:05</t>
  </si>
  <si>
    <t>2025-02-20 16:14:10</t>
  </si>
  <si>
    <t>2025-02-20 22:26:31</t>
  </si>
  <si>
    <t>2025-02-20 22:26:33</t>
  </si>
  <si>
    <t>2025-02-20 22:26:34</t>
  </si>
  <si>
    <t>2025-02-20 22:26:35</t>
  </si>
  <si>
    <t>2025-02-20 22:26:36</t>
  </si>
  <si>
    <t>2025-02-20 22:26:37</t>
  </si>
  <si>
    <t>2025-02-20 22:26:39</t>
  </si>
  <si>
    <t>2025-02-21 14:24:28</t>
  </si>
  <si>
    <t>2025-02-21 14:24:29</t>
  </si>
  <si>
    <t>2025-02-21 14:24:30</t>
  </si>
  <si>
    <t>2025-02-21 14:24:31</t>
  </si>
  <si>
    <t>2025-02-21 14:24:32</t>
  </si>
  <si>
    <t>2025-02-21 14:24:33</t>
  </si>
  <si>
    <t>2025-02-21 14:24:34</t>
  </si>
  <si>
    <t>2025-02-21 14:24:35</t>
  </si>
  <si>
    <t>2025-02-21 15:22:52</t>
  </si>
  <si>
    <t>2025-02-21 15:26:44</t>
  </si>
  <si>
    <t>2025-02-21 15:29:59</t>
  </si>
  <si>
    <t>2025-02-21 15:33:56</t>
  </si>
  <si>
    <t>2025-02-21 16:21:29</t>
  </si>
  <si>
    <t>2025-02-21 17:29:36</t>
  </si>
  <si>
    <t>2025-02-21 21:24:57</t>
  </si>
  <si>
    <t>2025-02-21 21:29:04</t>
  </si>
  <si>
    <t>2025-02-21 21:33:18</t>
  </si>
  <si>
    <t>2025-02-21 21:39:14</t>
  </si>
  <si>
    <t>2025-02-21 21:46:59</t>
  </si>
  <si>
    <t>2025-02-21 21:54:52</t>
  </si>
  <si>
    <t>2025-02-21 22:03:18</t>
  </si>
  <si>
    <t>2025-02-21 22:09:22</t>
  </si>
  <si>
    <t>2025-02-21 22:16:36</t>
  </si>
  <si>
    <t>2025-02-21 22:22:46</t>
  </si>
  <si>
    <t>2025-02-21 22:28:28</t>
  </si>
  <si>
    <t>2025-02-21 22:38:19</t>
  </si>
  <si>
    <t>2025-02-21 22:52:54</t>
  </si>
  <si>
    <t>2025-02-21 22:55:38</t>
  </si>
  <si>
    <t>2025-02-21 22:59:59</t>
  </si>
  <si>
    <t>2025-02-22 07:29:26</t>
  </si>
  <si>
    <t>2025-02-22 07:35:35</t>
  </si>
  <si>
    <t>2025-02-22 07:39:33</t>
  </si>
  <si>
    <t>2025-02-22 07:45:06</t>
  </si>
  <si>
    <t>2025-02-22 07:50:56</t>
  </si>
  <si>
    <t>2025-02-22 07:54:54</t>
  </si>
  <si>
    <t>2025-02-22 08:04:08</t>
  </si>
  <si>
    <t>2025-02-22 08:08:58</t>
  </si>
  <si>
    <t>2025-02-22 08:12:54</t>
  </si>
  <si>
    <t>2025-02-22 08:16:39</t>
  </si>
  <si>
    <t>2025-02-25 17:13:51</t>
  </si>
  <si>
    <t>2025-02-26 09:21:47</t>
  </si>
  <si>
    <t>RODRIGUEZ LEIDY VANESA</t>
  </si>
  <si>
    <t>20380382203</t>
  </si>
  <si>
    <t>COM 4025</t>
  </si>
  <si>
    <t>VIATICOS: SOACHA – MOSQUERA 26, 27 DE FEBRERO. RECIBIR CAPACITACIÓN EN PORDUCCIÓN DE CENTRO - CBA MOSQUERA</t>
  </si>
  <si>
    <t>2025-02-28 09:20:39</t>
  </si>
  <si>
    <t>COM 4625</t>
  </si>
  <si>
    <t>VIATICOS: SOACHA – ZIPAQUIRA 1 DE MARZO. CONCERTAR COMPROMISOS DEL PROCESO DE EVALUACION Y CERTIFICACION DE COMPETENCIAS LABORALES</t>
  </si>
  <si>
    <t>2025-02-28 10:51:13</t>
  </si>
  <si>
    <t>2025-02-28 10:55:43</t>
  </si>
  <si>
    <t>2025-02-28 17:42:45</t>
  </si>
  <si>
    <t>COM 4825</t>
  </si>
  <si>
    <t>VIATICOS: SOACHA – TENA 1, 8, 15, 22 DE MARZO. IMPARTIR FORACIÓN IMPLEMENTACIÓN DE SISTEMAS SOLARES FOTO VOLTAICOS AUTONOMOS ESTRATEGIA CAMPESENA</t>
  </si>
  <si>
    <t>2025-02-28 17:47:42</t>
  </si>
  <si>
    <t>COM 4925</t>
  </si>
  <si>
    <t>VIATICOS: SOACHA – GRANADA 2, 9, 16, 23, 30 DE MARZO. IMPARTIR FORMACIÓN PROFESIONAL INTEGRAL DE LA COMPETENCIA ELABORAR DOCUMENTOS ORGANIZACIONES SEGÚN NORMATIVIDAD A LA DE ASISTENCIA ADMINSITRATIVA</t>
  </si>
  <si>
    <t>2025-02-28 17:55:55</t>
  </si>
  <si>
    <t>COM 5025</t>
  </si>
  <si>
    <t>VIATICOS: SOACHA – TENA 28 DE FEBRERO. VISITA AL COLEGIO FIDEL CANO, REVISIÓN DE LOS PROGRAMAS OFERTADOS PARA LA VIGENCIA 2025.</t>
  </si>
  <si>
    <t>2025-02-28 17:58:32</t>
  </si>
  <si>
    <t>COM 5125</t>
  </si>
  <si>
    <t>2025-02-28 18:04:26</t>
  </si>
  <si>
    <t>COM 5225</t>
  </si>
  <si>
    <t>VIATICOS: SOACHA – TENA 28 DE FEBRERO. VISITA AL COLEGIO FIDEL CANO, REVISION PORGRAMAS OFERTADOS 2025</t>
  </si>
  <si>
    <t>2025-02-28 18:09:32</t>
  </si>
  <si>
    <t>COM 5325</t>
  </si>
  <si>
    <t>VIATICOS: SOACHA – GRANADA - TEQUENDAMA 1, 7, 8, 14, 15, 21, 28 DE MARZO. IMPARTIR FORACION</t>
  </si>
  <si>
    <t>2025-02-28 18:13:34</t>
  </si>
  <si>
    <t>COM 5625</t>
  </si>
  <si>
    <t>VIATICOS: SOACHA – TENA 1, 8, 15, 22 DE MARZO. IMPARTIR FORMACIÓN EN EL CURSO COMPLEMENTARIO IMPLEMENTACION DE SISTEMAS SOLARES FOTOVOLTAICOS AUTONOMOS. DE LA ESTRATEGIA CAMPESENA.</t>
  </si>
  <si>
    <t>2025-03-03 00:00:00</t>
  </si>
  <si>
    <t>2025-03-03 08:27:58</t>
  </si>
  <si>
    <t>COM 6025</t>
  </si>
  <si>
    <t>VIATICOS: SOACHA – GIRARDOT 3 DE MARZO. CONCERTAR CON LA SUBDIRECCIÓN DE CENTRO LA ARTICULACIÓN DE ACTIVIDADES CAMPESENA, AULA MÓVIL Y PUESTA EN ACCIÓN DE LAS MOTOS PARA LA ESTRATEGIA CAMPESENA.</t>
  </si>
  <si>
    <t>2025-03-03 08:50:09</t>
  </si>
  <si>
    <t>COM 3225</t>
  </si>
  <si>
    <t>VIATICOS: SOACHA – TENA - TEQUENDAMA 3, 5 DE MARZO. ALISTAMINETO DE LA FORMACIÓN Y CONCERTACÍON DE CURSOS VIGENCIA 2025.</t>
  </si>
  <si>
    <t>2025-03-03 09:03:30</t>
  </si>
  <si>
    <t>COM 3325</t>
  </si>
  <si>
    <t>VIATICOS: SOACHA – TENA 3, 10 DE MARZO. FORMACIÓN EMPRENDIMIENTO EN LA PRODUCCIÓN DE AGUACATE</t>
  </si>
  <si>
    <t>2025-03-03 09:24:06</t>
  </si>
  <si>
    <t>COM 3425</t>
  </si>
  <si>
    <t>VIATICOS: SOACHA – TENA - TEQUENDAMA 3, 5 DE MARZO. ALISTAMINETO DE LA FORMACIÓN Y CONCERTACIÓN DE CURSOS 2025</t>
  </si>
  <si>
    <t>2025-03-03 09:33:32</t>
  </si>
  <si>
    <t>COM 3525</t>
  </si>
  <si>
    <t>VIATICOS: SOACHA – TEQUENDAMA 7, 14 DE MARZO. IMPARTIR FORMACIÓN EN EMPREDEDOR EN PORDUCCIÓN EN PLANTAS MEDICINALES, AROMATICAS Y CONDIMENTARIAS</t>
  </si>
  <si>
    <t>2025-03-03 09:46:40</t>
  </si>
  <si>
    <t>COM 3625</t>
  </si>
  <si>
    <t>VIATICOS: SOACHA – TENA – GRANADA 5, 6, 12 Y 13 DE MARZO. IMPARTIR FORMACIÓN</t>
  </si>
  <si>
    <t>2025-03-03 10:21:56</t>
  </si>
  <si>
    <t>COM 3725</t>
  </si>
  <si>
    <t>VIATICOS: SOACHA – TENA – TEQUENDAMA 3, 5 DE MARZO. ALISTAMIENTO DE LA FORMACIÓN Y CONCERTACION DE CURSOS VIGENCIA 2025</t>
  </si>
  <si>
    <t>2025-03-03 10:30:51</t>
  </si>
  <si>
    <t>COM 3825</t>
  </si>
  <si>
    <t>VIATICOS: SOACHA – GRANADA 7, 14 DE MARZO. FORMACIÓN EN CUIDADO DE ANIMALES DE LA COMPAÑIA</t>
  </si>
  <si>
    <t>2025-03-03 10:39:11</t>
  </si>
  <si>
    <t>COM 3925</t>
  </si>
  <si>
    <t>VIATICOS: SOACHA – GRANADA - TEQUENDAMA 5, 6, 12,13 DE MARZO. IMPARTIR FORMACIÓN</t>
  </si>
  <si>
    <t>2025-03-03 10:50:40</t>
  </si>
  <si>
    <t>COM 4125</t>
  </si>
  <si>
    <t>VIATICOS: SOACHA – TEQUENDAMA - GRANADA 4, 5, 6, 7 DE MARZO. VATENCIÓN GRUPOS DE INTERES CAMPPESENA</t>
  </si>
  <si>
    <t>2025-03-03 10:54:50</t>
  </si>
  <si>
    <t>COM 4225</t>
  </si>
  <si>
    <t>VIATICOS: SOACHA – TEQUENDAMA – TENA 4, 5, 11, 12 DE MARZO. EJECUTAR ACCIONES DE FORMACION PROGRAMA CAMPESENA</t>
  </si>
  <si>
    <t>2025-03-03 10:58:38</t>
  </si>
  <si>
    <t>COM 4325</t>
  </si>
  <si>
    <t>VIATICOS: SOACHA – GRANADA - TEQUENDAMA – TENA 3, 5, 7, 11, 13, 15 DE MARZO SEGUIMIENTO DE CONCERTACIÓN Y ACUERDOS DE FORMACIÓN CON ALACALDIAS Y ADMINSITACIONES MUNICIPALES</t>
  </si>
  <si>
    <t>2025-03-03 11:07:28</t>
  </si>
  <si>
    <t>COM 4425</t>
  </si>
  <si>
    <t>VIATICOS: SOACHA – GRANADA - TEQUENDAMA – TENA 3, 5, 7, 11, 13, 15 DE MARZO. REUNION DE CONCERTACION Y ACUERDOS DE FORMACION DIRIGUIDOS A CAMPESENA Y ECONOMIA POPULAR</t>
  </si>
  <si>
    <t>2025-03-03 16:32:29</t>
  </si>
  <si>
    <t>COM 4525</t>
  </si>
  <si>
    <t>VIATICOS: SOACHA – TEQUENDAMA – TENA - GRANADA 3, 7, 10, 14, 17, 21 DE MARZO. SEGUIMINETO A LA FORMACION IMPARTIDA AL MUNICIPIO PARA LA ESTRATEGIA CAMPESENA</t>
  </si>
  <si>
    <t>2025-03-03 16:46:16</t>
  </si>
  <si>
    <t>COM 5425</t>
  </si>
  <si>
    <t>VIATICOS: SOACHA – TEQUENDAMA – GRANADA 6, 13, 14, 20, 27, 28 DE MARZO. IMPARTIR FORMACIÓN CAMPESENA</t>
  </si>
  <si>
    <t>2025-03-03 16:51:58</t>
  </si>
  <si>
    <t>COM 5525</t>
  </si>
  <si>
    <t>VIATICOS: SOACHA – TEQUENDAMA 4, 5, 11, 12, 18,19 DE MARZO. IMPARTIR FORMACIÓN</t>
  </si>
  <si>
    <t>2025-03-03 17:19:11</t>
  </si>
  <si>
    <t>COM 5925</t>
  </si>
  <si>
    <t>VIATICOS: SOACHA – GRANADA 3 DE MARZO. TRASLADO DE FUNCIONARIOS PARA ATENDER FICHA EN EL MUNICIPIO DE GRANADA</t>
  </si>
  <si>
    <t>2025-03-03 17:23:42</t>
  </si>
  <si>
    <t>COM 6225</t>
  </si>
  <si>
    <t>VIATICOS: SOACHA – TEQUENDAMA 3, 10 DE MARZO. ORIENTAR LA FORMACIÓN EN LA FICHA 2947917 DEL PROGRAMA OPERACIONES DE COMERCIO EXTERIOR DE LA IE MARIANO SANTAMARIA.</t>
  </si>
  <si>
    <t>2025-03-03 22:02:57</t>
  </si>
  <si>
    <t>OSPINA MURILLO JOICE PAOLA</t>
  </si>
  <si>
    <t>52557458824</t>
  </si>
  <si>
    <t>CO1.PCCNTR.7587433</t>
  </si>
  <si>
    <t>2025-03-03 22:16:28</t>
  </si>
  <si>
    <t>HERNANDEZ BARRERA NEIRY LORENA</t>
  </si>
  <si>
    <t>008206040</t>
  </si>
  <si>
    <t>CO1.PCCNTR.7587262</t>
  </si>
  <si>
    <t>2025-03-03 22:21:56</t>
  </si>
  <si>
    <t>VASQUEZ OCHOA JOSE FERNANDO</t>
  </si>
  <si>
    <t>688911168</t>
  </si>
  <si>
    <t>CO1.PCCNTR.7587382</t>
  </si>
  <si>
    <t>2025-03-03 22:26:06</t>
  </si>
  <si>
    <t>PERDOMO EDWAR MAURICIO</t>
  </si>
  <si>
    <t>24020584678</t>
  </si>
  <si>
    <t>CO1.PCCNTR.7588301</t>
  </si>
  <si>
    <t>2025-03-03 22:34:42</t>
  </si>
  <si>
    <t>TORRES PINTO ANGIE MARCELA</t>
  </si>
  <si>
    <t>91200682551</t>
  </si>
  <si>
    <t>CO1.PCCNTR.7590286</t>
  </si>
  <si>
    <t>INSTRUCTOR. Prestar servicios profesionales, de carácter temporal y con plena autonomía como instructor del programa"ArticulaciónconlaEducación Media", con el propósito de atender las necesidades de formación técnica de acuerdo con el perfil profesio</t>
  </si>
  <si>
    <t>2025-03-03 22:40:26</t>
  </si>
  <si>
    <t>PATERNINA FERNANDEZ ALEXANDER</t>
  </si>
  <si>
    <t>78954662755</t>
  </si>
  <si>
    <t>CO1.PCCNTR.7591133</t>
  </si>
  <si>
    <t>2025-03-03 22:46:03</t>
  </si>
  <si>
    <t>MUÑOZ ALVAREZ LEON DARIO</t>
  </si>
  <si>
    <t>CO1.PCCNTR.7591071</t>
  </si>
  <si>
    <t>2025-03-03 22:53:51</t>
  </si>
  <si>
    <t>APONTE PEDRAZA ODETTE GISELA</t>
  </si>
  <si>
    <t>380472894</t>
  </si>
  <si>
    <t>CO1.PCCNTR.7591547</t>
  </si>
  <si>
    <t>ECCL SERVICIOS PERSONALES. Prestar temporalmente los servicios profesionales en la Evaluación y Certificación de Competencias Laborales del SENA, y construcción y revisión de instrumentos de evaluación, en la(s) función(es) productiva(s) o área(s)</t>
  </si>
  <si>
    <t>2025-03-03 22:55:31</t>
  </si>
  <si>
    <t>MARTINEZ EDWIN FERNEY</t>
  </si>
  <si>
    <t>76322124615</t>
  </si>
  <si>
    <t>CO1.PCCNTR.7591605</t>
  </si>
  <si>
    <t>2025-03-03 22:57:35</t>
  </si>
  <si>
    <t>GAMBOA ROJAS JORGE OSWALDO</t>
  </si>
  <si>
    <t>431220011152</t>
  </si>
  <si>
    <t>CO1.PCCNTR.7591385</t>
  </si>
  <si>
    <t>2025-03-03 22:59:05</t>
  </si>
  <si>
    <t>RODRIGUEZ FORERO OSCAR EDUARDO</t>
  </si>
  <si>
    <t>11351333822</t>
  </si>
  <si>
    <t>CO1.PCCNTR.7592901</t>
  </si>
  <si>
    <t>2025-03-04 00:00:00</t>
  </si>
  <si>
    <t>2025-03-04 08:19:15</t>
  </si>
  <si>
    <t>RODRIGUEZ NIETO YERIS ANDREY</t>
  </si>
  <si>
    <t>466970080498</t>
  </si>
  <si>
    <t>CO1.PCCNTR.7592300</t>
  </si>
  <si>
    <t>2025-03-04 10:19:08</t>
  </si>
  <si>
    <t>COM 5725</t>
  </si>
  <si>
    <t>VIATICOS: SOACHA – GIRARDOT 9 DE MARZO. REALIZAR PRUEBAS DE CONOCIMIENTO, ACTIVIDAD DE DESEMPEÑO Y PRODUCTO, 40 CONDUCTORES DE LA EMPRESA LEONA, REALIZAR PRUEBAS DE CONOCIMIENTO, ACTIVIDAD DE DESEMPEÑO Y PRODUCTO, EN LA NORMA CONDUCIR VEHÍCULOS PESAD</t>
  </si>
  <si>
    <t>2025-03-04 10:31:49</t>
  </si>
  <si>
    <t>COM 5825</t>
  </si>
  <si>
    <t>VIATICOS: SOACHA – TEQUENDAMA 13 DE MARZO. REALIZAR GESTIÓN DEL PROCESO DE EVALUACIÓN Y CERTIFICACIÓN DE COMPETENCIAS LABORALES EN EL SECTOR EDUCATIVO, EN EL MUNICIPIO DE SAN ANTONIO DEL TEQUENDAMA CUNDINAMARCA.</t>
  </si>
  <si>
    <t>2025-03-04 22:53:35</t>
  </si>
  <si>
    <t>GALINDO CORDOBA SANDRA JIMENA</t>
  </si>
  <si>
    <t>1004507912</t>
  </si>
  <si>
    <t>CO1.PCCNTR.7594135</t>
  </si>
  <si>
    <t>2025-03-04 22:55:38</t>
  </si>
  <si>
    <t>GARCIA PEREZ DIANA CAROLINA</t>
  </si>
  <si>
    <t>488433888317</t>
  </si>
  <si>
    <t>CO1.PCCNTR.7597087</t>
  </si>
  <si>
    <t>SERVICIOS PERSONALES. Prestar servicios de apoyo a la gestión de carácter temporal y con plena autonomía para la gestión integral de la Oficina de Relaciones Corporativas del Centro Industrial y de Desarrollo Empresarial de Soacha, asegurando la plan</t>
  </si>
  <si>
    <t>2025-03-04 22:58:07</t>
  </si>
  <si>
    <t>LONGA VILLEGAS WINSTON ANDRES</t>
  </si>
  <si>
    <t>91204353714</t>
  </si>
  <si>
    <t>CO1.PCCNTR.7599426</t>
  </si>
  <si>
    <t>SERVICIOS PERSONALES. Prestar servicios de apoyo a la gestión de carácter temporal y con plena autonomía para implementar acciones que fomenten las expresiones artísticas de los aprendices en su formación profesional integral, a través de las artes</t>
  </si>
  <si>
    <t>2025-03-05 10:56:23</t>
  </si>
  <si>
    <t>COM 6125</t>
  </si>
  <si>
    <t>VIATICOS: SOACHA – GRANADA 7, 13 DE MARZO. REALIZAR GESTIÓN DEL PROCESO DE EVALUACIÓN Y CERTIFICACIÓN DE COMPETENCIAS LABORALES EN EL MUNICIPIO DE GRANADA CUNDINAMARCA.</t>
  </si>
  <si>
    <t>2025-03-05 12:05:06</t>
  </si>
  <si>
    <t>COM 6325</t>
  </si>
  <si>
    <t>VIATICOS: SOACHA – TENA - TEQUENDAMA – GRANADA 5, 6, 7 DE MARZO. CONCERTAR CON ALCALDIA MINICIPAL LOS PROGRAMAS DE FORMACIÓN ESTRATEGIA CAMPESENA</t>
  </si>
  <si>
    <t>2025-03-05 12:31:59</t>
  </si>
  <si>
    <t>COM 7125</t>
  </si>
  <si>
    <t>VIATICOS: SOACHA – TENA 5 DE MARZO. REALIZAR FORMACIÓN PARA APRENDICES GRADO 11 DE LA INSTITUCIÓN EDUCATIVA FIDEL CANO DEL PROGRAMA DE FORMACIÓN TÉCNICA INTEGRACIÓN CONTENIDOS DIGITALES SENA</t>
  </si>
  <si>
    <t>2025-03-05 12:44:35</t>
  </si>
  <si>
    <t>COM 7425</t>
  </si>
  <si>
    <t>VIATICOS: SOACHA – GRANADA 5 DE MARZO. DESPLAZARSE DENTRO Y FUERA DEL TERRITORIO NACIONAL CUANDO SEA REQUERIDO PARA EL CUMPLIMIENTO DE LAS OBLIGACIONES CONTRACTUALES Y LEGALIZAR LAS ORDENES DE VIAJE DE ACUERDO CON LOS TÉRMINOS Y LINEAMIENTOS DEL SENA</t>
  </si>
  <si>
    <t>2025-03-05 15:18:00</t>
  </si>
  <si>
    <t>COM 7825</t>
  </si>
  <si>
    <t>VIATICOS: SOACHA – GRANADA – TENA 5 Y 6 DE MARZO. TRASLADO DE FUNCIONARIOS PARA ASISTIR A REUNIÓN EN LA ALCALDÍA - TRASLADO DEL COORDINADOR ACADÉMICO</t>
  </si>
  <si>
    <t>2025-03-05 17:30:27</t>
  </si>
  <si>
    <t>2025-03-06 09:35:33</t>
  </si>
  <si>
    <t>COM 6425</t>
  </si>
  <si>
    <t>VIATICOS: SOACHA – GRANADA – 7, 21 DE MARZO. IMPARTIR FORMACIÓN EN LA COMPETENCIA GENERAR HÁBITOS DE VIDA SALUDABLES CON LA FICHA 3105232 ASISTENCIA ADMINISTRATIVA CAMPESENA</t>
  </si>
  <si>
    <t>2025-03-06 09:47:25</t>
  </si>
  <si>
    <t>COM 6525</t>
  </si>
  <si>
    <t>VIATICOS: SOACHA – TENA - GRANADA – TEQUENDAMA 13, 14, 17 DE MARZO. GENERAR ESPACIOS DE ARTICULACIÓN Y ENLACES, CON EL FIN DE BRINDAR OFERTA ACADÉMICA, A LA POBLACIÓN VÍCTIMA Y VULNERABLE DE TENA, CUNDINAMARCA</t>
  </si>
  <si>
    <t>2025-03-06 11:09:04</t>
  </si>
  <si>
    <t>Moreno Mario Alejandro</t>
  </si>
  <si>
    <t>431102038763</t>
  </si>
  <si>
    <t>CO1.PCCNTR.7606474</t>
  </si>
  <si>
    <t>2025-03-06 15:46:28</t>
  </si>
  <si>
    <t>COM 8025</t>
  </si>
  <si>
    <t>VIATICOS INT COM 8025 EN MAR 17 18 20 2025 DE SOACHA A SAN - D TEQUEN Y TENA DESPLAZAMIENTO PUNTOS DE FORMACIÓN DE ARTICULACIÓN CON LA MEDIA</t>
  </si>
  <si>
    <t>2025-03-06 16:33:08</t>
  </si>
  <si>
    <t>COM 7025</t>
  </si>
  <si>
    <t>VIATICOS INT COM 7025 EN MAR 6 AL 7 Y 13 AL 14 2025 DE SOACHA A TENA IMPARTIR FORMACIÓN EN LA INSTITUCIÓN EDUCATIVA DEPARTAMENTAL BETULIA, CON LA FICHA 2944529 EN LA COMPETENCIA PREPARAR ALIMENTOS DE ACUERDO CON LA ORDEN DE PRODUCCIÓN Y PROCEDIMIENTO</t>
  </si>
  <si>
    <t>2025-03-06 16:42:45</t>
  </si>
  <si>
    <t>COM 6625</t>
  </si>
  <si>
    <t>VIATICOS INT COM 6625 EN MAR 19 AL 21 2025 DE SOACHA A SAN - D TEQUEN GRANADA Y TENA VISITA AL COLEGIO SAN ANTONIO DE TEQUENDAMA Y MARIANO SANTA MARÍA, REVISIÓN DE LOS PROGRAMAS OFERTADOS PARA LA VIGENCIA 2025</t>
  </si>
  <si>
    <t>2025-03-06 16:48:58</t>
  </si>
  <si>
    <t>COM 6825</t>
  </si>
  <si>
    <t>VIATICOS INT COM 6825 EN MAR 19 Y 26 2025 DE SOACHA A SAN - D TEQUEN EJECUTAR LA FORMACIÓN PROFESIONAL INTEGRAL DEACUERDO CON EL DESARROLLO CURRICULAR, GUÍAS DEAPRENDIZAJE DEL RESPECTIVO PERIODO Y PROYECTOFORMATIVO DE LOS PROGRAMAS DEL ÁREA TEMÁTIC</t>
  </si>
  <si>
    <t>2025-03-06 16:52:04</t>
  </si>
  <si>
    <t>COM 6925</t>
  </si>
  <si>
    <t>VIATICOS INT COM 6925 EN MAR 20 AL 21 2025 DE SOACHA A GRANADA EJECUTAR LA FORMACIÓN PROFESIONAL INTEGRAL DE ACUERDO CON EL DESARROLLO CURRICULAR, GUÍAS DE APRENDIZAJE DEL RESPECTIVO PERIODO Y PROYECTO FORMATIVO DE LOS PROGRAMAS DEL ÁREA TEMÁTICA</t>
  </si>
  <si>
    <t>2025-03-06 16:58:04</t>
  </si>
  <si>
    <t>GALINDO VILLA ANDRES FELIPE</t>
  </si>
  <si>
    <t>348294109</t>
  </si>
  <si>
    <t>CO1.PCCNTR.7611576</t>
  </si>
  <si>
    <t>2025-03-10 09:42:53</t>
  </si>
  <si>
    <t>2025-03-10 09:45:58</t>
  </si>
  <si>
    <t>2025-03-10 09:48:40</t>
  </si>
  <si>
    <t>2025-03-10 10:02:33</t>
  </si>
  <si>
    <t>2025-03-10 10:05:30</t>
  </si>
  <si>
    <t>2025-03-10 10:08:00</t>
  </si>
  <si>
    <t>2025-03-10 10:22:05</t>
  </si>
  <si>
    <t>2025-03-10 10:25:12</t>
  </si>
  <si>
    <t>2025-03-10 10:39:34</t>
  </si>
  <si>
    <t>2025-03-10 10:41:54</t>
  </si>
  <si>
    <t>2025-03-10 10:44:18</t>
  </si>
  <si>
    <t>2025-03-10 10:46:47</t>
  </si>
  <si>
    <t>2025-03-10 12:45:31</t>
  </si>
  <si>
    <t>2025-03-10 12:50:59</t>
  </si>
  <si>
    <t>2025-03-10 12:56:55</t>
  </si>
  <si>
    <t>2025-03-10 12:59:53</t>
  </si>
  <si>
    <t>2025-03-10 13:02:32</t>
  </si>
  <si>
    <t>2025-03-10 13:05:09</t>
  </si>
  <si>
    <t>2025-03-10 13:07:50</t>
  </si>
  <si>
    <t>2025-03-10 13:10:09</t>
  </si>
  <si>
    <t>2025-03-10 13:12:41</t>
  </si>
  <si>
    <t>2025-03-10 13:14:54</t>
  </si>
  <si>
    <t>2025-03-10 13:17:28</t>
  </si>
  <si>
    <t>2025-03-10 13:20:30</t>
  </si>
  <si>
    <t>2025-03-10 13:22:59</t>
  </si>
  <si>
    <t>2025-03-10 13:25:49</t>
  </si>
  <si>
    <t>2025-03-10 13:29:02</t>
  </si>
  <si>
    <t>2025-03-10 13:31:02</t>
  </si>
  <si>
    <t>2025-03-10 13:33:11</t>
  </si>
  <si>
    <t>2025-03-10 13:35:58</t>
  </si>
  <si>
    <t>2025-03-10 13:38:02</t>
  </si>
  <si>
    <t>2025-03-10 13:39:56</t>
  </si>
  <si>
    <t>2025-03-10 13:42:47</t>
  </si>
  <si>
    <t>2025-03-10 13:45:10</t>
  </si>
  <si>
    <t>2025-03-10 13:47:42</t>
  </si>
  <si>
    <t>2025-03-10 13:51:48</t>
  </si>
  <si>
    <t>2025-03-10 14:18:19</t>
  </si>
  <si>
    <t>48925</t>
  </si>
  <si>
    <t>1543885</t>
  </si>
  <si>
    <t>SERVICIOS PUBLICOS: Pago de servicio de ACUEDUCTO en la sede la colonia del Centro Industrial y Desarrollo Empresarial ubicado en el municipio de Sibate, periodo facturado FEB 01 AL 28 2025 fecha límite de pago: 17 de marzo de 2025</t>
  </si>
  <si>
    <t>2025-03-10 14:46:16</t>
  </si>
  <si>
    <t>2025-03-10 15:12:36</t>
  </si>
  <si>
    <t>49125</t>
  </si>
  <si>
    <t>COM 7325</t>
  </si>
  <si>
    <t>VIATICOS INT COM 7325 EN MAR 17 Y 19 2025 DE SOACH A SAN - D TEQUEN ORIENTAR LA FORMACION DE LA FICHA GRADO 10 YIED SANTA MARIA</t>
  </si>
  <si>
    <t>2025-03-10 15:15:45</t>
  </si>
  <si>
    <t>49225</t>
  </si>
  <si>
    <t>COM 7525</t>
  </si>
  <si>
    <t>VIATICOS INT COM 7525 EN MAR 19 AL 20 2025 DE SOACH A GRANADA DESPLAZARSE DENTRO Y FUERA DEL TERRITORIO NACIONAL CUANDO SEA REQUERIDO PARA EL CUMPLIMIENTO DE LAS OBLIGACIONES CONTRACTUALES Y LEGALIZAR LAS ORDENES DE VIAJE DE ACUERDO CON LOS TÉRMINOS</t>
  </si>
  <si>
    <t>2025-03-10 15:19:29</t>
  </si>
  <si>
    <t>49325</t>
  </si>
  <si>
    <t>COM 7625</t>
  </si>
  <si>
    <t>VIATICOS INT COM 7625 EN MAR 18 AL 19 2025 DE SOACH A GRANADA DESPLAZARSE A ORIENTAR FORMACIÓN PRESENCIAL AL TÉCNICO EN OPERACION DE EVENTOS EN LA I.E.D. GUSTAVO UIRBERAMIREZ EN GRANADA CUNDINAMARCA</t>
  </si>
  <si>
    <t>2025-03-10 15:24:10</t>
  </si>
  <si>
    <t>49425</t>
  </si>
  <si>
    <t>COM 7725</t>
  </si>
  <si>
    <t>VIATICOS INT COM 7725 EN MAR 13 19 Y 20 2025 DE SOACHA A GRANADA DESPLAZARSE A ORIENTAR FORMACION PRESENCIAL EN EL TECNICO EN INTEGRACION DE CONTENIDOS DIGITALES EN LA FICHA 2944631</t>
  </si>
  <si>
    <t>2025-03-11 09:22:20</t>
  </si>
  <si>
    <t>2025-03-11 09:49:12</t>
  </si>
  <si>
    <t>MUNICIPIO DE SOACHA</t>
  </si>
  <si>
    <t>49625</t>
  </si>
  <si>
    <t>22281514</t>
  </si>
  <si>
    <t>IMPUESTOS: Pago del impuesto predial de la sede Altico CL 3 3 20 MATRICULA INMOBILIARIA 051-46218</t>
  </si>
  <si>
    <t>2025-03-11 09:51:33</t>
  </si>
  <si>
    <t>49725</t>
  </si>
  <si>
    <t>21863232</t>
  </si>
  <si>
    <t>IMPUESTOS: Pago del impuesto predial de la sede Ciudad Verde EQUIPAMIENTO 25-2</t>
  </si>
  <si>
    <t>2025-03-11 13:57:28</t>
  </si>
  <si>
    <t>49825</t>
  </si>
  <si>
    <t>COM 8325</t>
  </si>
  <si>
    <t>VIATICOS INT COM 8325 EN MAR 19 Y 20 2025 DE SOACHA TENA GENERACION DE IDEAS PARA UN NEGOCIO INNOVADOR 13410016</t>
  </si>
  <si>
    <t>2025-03-11 14:00:20</t>
  </si>
  <si>
    <t>49925</t>
  </si>
  <si>
    <t>COM 8425</t>
  </si>
  <si>
    <t>VIATICOS INT COM 8425 EN MAR 20 Y 27 2025 DE SOACHA A SUESCA PROPONER ACCIONES DE MEJORA EN LA ORGANIZACIÓN DE RECICLADORES SEGÚN NORMATIVA.</t>
  </si>
  <si>
    <t>2025-03-11 14:04:07</t>
  </si>
  <si>
    <t>SILVA ESTUPINAN SANDRA MILENA</t>
  </si>
  <si>
    <t>61873580266</t>
  </si>
  <si>
    <t>50025</t>
  </si>
  <si>
    <t>COM 8125</t>
  </si>
  <si>
    <t>VIATICOS INT COM 8125 EN MAR 12 Y 13 2025 DE SOACHA A MOSQUERA JORNADA DE ENTRENAMIENTO GRUPO DE RELACIONES CORPORATIVAS E INTERNACIONALES</t>
  </si>
  <si>
    <t>2025-03-11 14:08:14</t>
  </si>
  <si>
    <t>50125</t>
  </si>
  <si>
    <t>COM 8225</t>
  </si>
  <si>
    <t>VIATICOS INT COM 8225 EN MAR 17 Y 26 2025 DE SOACHA A SAN - D TEQUEN IMPARTIR FORMACIÓN</t>
  </si>
  <si>
    <t>2025-03-11 14:15:53</t>
  </si>
  <si>
    <t>MOLINA ROBLES JOHN JAIRO</t>
  </si>
  <si>
    <t>005370253071</t>
  </si>
  <si>
    <t>50225</t>
  </si>
  <si>
    <t>COM 8525</t>
  </si>
  <si>
    <t>VIATICOS INT COM 8525 EN MAR 12 Y 13 2025 DE SOACHA A MOSQUERA Y BTA JORNADA DE ENTRENAMIENTO GRUPO DE RELACIONES CORPORATIVAS E INTERNACIONALES</t>
  </si>
  <si>
    <t>2025-03-11 14:19:55</t>
  </si>
  <si>
    <t>50325</t>
  </si>
  <si>
    <t>COM 8625</t>
  </si>
  <si>
    <t>VIATICOS INT COM 8625 EN MAR 17 AL 24 2025 DE SOACHA A SAN - D TEQUEN Y TENA IMPARTIR FORMACIÓN</t>
  </si>
  <si>
    <t>2025-03-11 14:54:22</t>
  </si>
  <si>
    <t>ZEA CARVAJAL DAVID SANTIAGO</t>
  </si>
  <si>
    <t>012736955</t>
  </si>
  <si>
    <t>50425</t>
  </si>
  <si>
    <t>CO1.PCCNTR.7634718</t>
  </si>
  <si>
    <t>Prestar servicios de apoyo a la gestión de carácter temporal y con plena autonomía como apoyo a la gestión de la información en plataformas institucionales propias del grupo de Administración educativa del centro industrial y de desarrollo Empresar</t>
  </si>
  <si>
    <t>2025-03-11 17:23:39</t>
  </si>
  <si>
    <t>50525</t>
  </si>
  <si>
    <t>COM 8825</t>
  </si>
  <si>
    <t>VIATICOS INT COM 8825 EN MAR 12 AL 14 2025 DE SOACHA A TENA ORGANIZAR PAQUETE TURÍSTICO TENIENDO EN CUENTA EL DISEÑO DE LAS RUTAS TURÍSTICAS E INCLUIR LA CADENA DE SERVICIOS EN CADA UNO DE LOS PROYECTOS PRODUCTIVOS. DISEÑO DE RUTAS 1 - FICHA 2944500</t>
  </si>
  <si>
    <t>2025-03-12 09:21:55</t>
  </si>
  <si>
    <t>50625</t>
  </si>
  <si>
    <t>COM 9125</t>
  </si>
  <si>
    <t>VIATICOS INT COM 9125 EN MAR 13 AL 14 2025 DE SOACHA A GRANADA Y SAN - D TEQUEN REALIZAR GESTIÓN DEL PROCESO DE EVALUACIÓN Y CERTIFICACIÓN DE COMPETENCIAS LABORALES EN EL ÁREA DE CAMPESENA EN EL MUNICIPIO DE GRANADA</t>
  </si>
  <si>
    <t>2025-03-12 11:18:03</t>
  </si>
  <si>
    <t>50725</t>
  </si>
  <si>
    <t>CO1.PCCNTR.7634934</t>
  </si>
  <si>
    <t>Prestar servicios de apoyo a la gestión de carácter temporal y con plena autonomía para desarrollar actividades orientadas al fortalecimiento de habilidades socioemocionales de los aprendices del Centro de Formación, en el marco del Plan Nacional</t>
  </si>
  <si>
    <t>2025-03-12 17:45:18</t>
  </si>
  <si>
    <t>50825</t>
  </si>
  <si>
    <t>COM 10625</t>
  </si>
  <si>
    <t>VIATICOS INT COM 10625 EN MAR 13 AL 22 2025 DE SOACHA A GRANADA TENA SAN - D TEQUEN SEGUIMIENTO DE CONCERTACIÓN Y ACUERDOS DE FORMACIÓN CON LAS ALCALDÍAS Y LAS ADMINISTRACIONES MUNICIPALES</t>
  </si>
  <si>
    <t>2025-03-12 18:11:23</t>
  </si>
  <si>
    <t>MORENO RUEDA MIGUEL ANGEL</t>
  </si>
  <si>
    <t>0070401054</t>
  </si>
  <si>
    <t>50925</t>
  </si>
  <si>
    <t>CO1.PCCNTR.7640688</t>
  </si>
  <si>
    <t>Prestar servicios profesionales, de carácter temporal y con plena autonomía, como instructor del programa "Articulación con la Educación Media", con el propósito de atender las necesidades de formación técnica, de acuerdo con el perfil profesional</t>
  </si>
  <si>
    <t>2025-03-12 18:16:28</t>
  </si>
  <si>
    <t>ROA MORENO MELQUISEDEC</t>
  </si>
  <si>
    <t>24099595225</t>
  </si>
  <si>
    <t>51025</t>
  </si>
  <si>
    <t>CO1.PCCNTR.7642531</t>
  </si>
  <si>
    <t>Prestar servicios profesionales de carácter temporal con plena autonomía como instructor de Formación Complementaria presencial con el propósito de atender los requerimientos específicos de formación en los programas ofertados por el Centro Industria</t>
  </si>
  <si>
    <t>2025-03-12 18:30:05</t>
  </si>
  <si>
    <t>MORENO URQUIJO LEIDY VANESSA</t>
  </si>
  <si>
    <t>488423912291</t>
  </si>
  <si>
    <t>51125</t>
  </si>
  <si>
    <t>CO1.PCCNTR.7641555</t>
  </si>
  <si>
    <t>Prestar servicios profesionales de carácter temporal con plena autonomía como instructor de Formación Complementaria presencial con el propósito de atender los requerimientos específicos de formación en los programas ofertados por el Centro Industr</t>
  </si>
  <si>
    <t>2025-03-12 18:34:05</t>
  </si>
  <si>
    <t>MORA VARGAS YURY PAOLA</t>
  </si>
  <si>
    <t>24144025392</t>
  </si>
  <si>
    <t>51225</t>
  </si>
  <si>
    <t>CO1.PCCNTR.7641760</t>
  </si>
  <si>
    <t>2025-03-12 18:37:19</t>
  </si>
  <si>
    <t>OLEJUA CELIS JUAN CARLOS</t>
  </si>
  <si>
    <t>24120858705</t>
  </si>
  <si>
    <t>51325</t>
  </si>
  <si>
    <t>CO1.PCCNTR.7641688</t>
  </si>
  <si>
    <t>Prestar servicios profesionales de carácter temporal y con plena autonomía como instructor de Formación Titulada con el propósito de atender las necesidades de formación regular para los programas ofertados por el Centro Industrial y de Desarrollo Em</t>
  </si>
  <si>
    <t>2025-03-12 18:40:40</t>
  </si>
  <si>
    <t>PARDO QUEVEDO ASTRID BIBIANA</t>
  </si>
  <si>
    <t>488408900642</t>
  </si>
  <si>
    <t>51425</t>
  </si>
  <si>
    <t>CO1.PCCNTR.7642508</t>
  </si>
  <si>
    <t>2025-03-12 19:45:12</t>
  </si>
  <si>
    <t>PEREZ JIMENEZ CARLOS YESID</t>
  </si>
  <si>
    <t>62900000591</t>
  </si>
  <si>
    <t>51525</t>
  </si>
  <si>
    <t>CO1.PCCNTR.7640645</t>
  </si>
  <si>
    <t>restar servicios profesionales, de carácter temporal y con plena autonomía, como instructor del programa "Articulación con la Educación Media", con el propósito de atender las necesidades de formación técnica, de acuerdo con el perfil profesional</t>
  </si>
  <si>
    <t>2025-03-12 19:49:25</t>
  </si>
  <si>
    <t>RODRIGUEZ LOMBO DERLI EUGENIA</t>
  </si>
  <si>
    <t>488438199603</t>
  </si>
  <si>
    <t>51625</t>
  </si>
  <si>
    <t>CO1.PCCNTR.7640783</t>
  </si>
  <si>
    <t>2025-03-12 20:00:42</t>
  </si>
  <si>
    <t>VERA LOZANO EFREN CAMILO</t>
  </si>
  <si>
    <t>133396836</t>
  </si>
  <si>
    <t>901526741</t>
  </si>
  <si>
    <t>RAPPIPAY COMPAÑÍA DE FINANCIAMIENTO S.A.</t>
  </si>
  <si>
    <t>51725</t>
  </si>
  <si>
    <t>CO1.PCCNTR.7641387</t>
  </si>
  <si>
    <t>2025-03-12 20:03:55</t>
  </si>
  <si>
    <t>RODRIGUEZ GALEANO PEDRO FERNANDO</t>
  </si>
  <si>
    <t>22100006525</t>
  </si>
  <si>
    <t>51825</t>
  </si>
  <si>
    <t>CO1.PCCNTR.7641610</t>
  </si>
  <si>
    <t>2025-03-12 20:06:45</t>
  </si>
  <si>
    <t>RUIZ TORRES DIEGO</t>
  </si>
  <si>
    <t>488402000183</t>
  </si>
  <si>
    <t>51925</t>
  </si>
  <si>
    <t>CO1.PCCNTR.7641621</t>
  </si>
  <si>
    <t>2025-03-12 20:31:40</t>
  </si>
  <si>
    <t>SOSA GONZALEZ YIRLEY CAROLINA</t>
  </si>
  <si>
    <t>587097981</t>
  </si>
  <si>
    <t>52025</t>
  </si>
  <si>
    <t>CO1.PCCNTR.7641756</t>
  </si>
  <si>
    <t>Prestar servicios profesionales, de carácter temporal y con plena autonomía, como instructor del programa "Articulación con la Educación Media", con el propósito de atender las necesidades de formación técnica, de acuerdo con el perfil profesional re</t>
  </si>
  <si>
    <t>2025-03-12 20:35:09</t>
  </si>
  <si>
    <t>ROMERO MORENO MONICA ALEXANDRA</t>
  </si>
  <si>
    <t>26454582283</t>
  </si>
  <si>
    <t>52125</t>
  </si>
  <si>
    <t>CO1.PCCNTR.7642073</t>
  </si>
  <si>
    <t>2025-03-12 20:39:15</t>
  </si>
  <si>
    <t>GOMEZ MAHECHA RUBEN DARIO</t>
  </si>
  <si>
    <t>24051103491</t>
  </si>
  <si>
    <t>52225</t>
  </si>
  <si>
    <t>CO1.PCCNTR.7642167</t>
  </si>
  <si>
    <t>2025-03-12 20:42:05</t>
  </si>
  <si>
    <t>RODRIGUEZ RIVERA JEFRY ANDREY</t>
  </si>
  <si>
    <t>91242733661</t>
  </si>
  <si>
    <t>52325</t>
  </si>
  <si>
    <t>CO1.PCCNTR.7642462</t>
  </si>
  <si>
    <t>2025-03-12 20:45:52</t>
  </si>
  <si>
    <t>VASQUEZ BAHAMO CRISTHIAN</t>
  </si>
  <si>
    <t>488451360678</t>
  </si>
  <si>
    <t>52425</t>
  </si>
  <si>
    <t>CO1.PCCNTR.7642819</t>
  </si>
  <si>
    <t>33625-10-N</t>
  </si>
  <si>
    <t>33725-90-N</t>
  </si>
  <si>
    <t>33825-85-N</t>
  </si>
  <si>
    <t>33925-38-N</t>
  </si>
  <si>
    <t>34025-90-N</t>
  </si>
  <si>
    <t>4825-923290-N</t>
  </si>
  <si>
    <t>34125-38-N</t>
  </si>
  <si>
    <t>34225-10-P</t>
  </si>
  <si>
    <t>34325-10-P</t>
  </si>
  <si>
    <t>34425-11-N</t>
  </si>
  <si>
    <t>34525-11-N</t>
  </si>
  <si>
    <t>34625-11-N</t>
  </si>
  <si>
    <t>34725-11-N</t>
  </si>
  <si>
    <t>34825-11-N</t>
  </si>
  <si>
    <t>34925-11-N</t>
  </si>
  <si>
    <t>35025-38-N</t>
  </si>
  <si>
    <t>35125-45-N</t>
  </si>
  <si>
    <t>35225-45-N</t>
  </si>
  <si>
    <t>35325-45-N</t>
  </si>
  <si>
    <t>35425-45-N</t>
  </si>
  <si>
    <t>35525-45-N</t>
  </si>
  <si>
    <t>35625-45-N</t>
  </si>
  <si>
    <t>35725-45-N</t>
  </si>
  <si>
    <t>35825-45-N</t>
  </si>
  <si>
    <t>35925-45-N</t>
  </si>
  <si>
    <t>36025-45-N</t>
  </si>
  <si>
    <t>36125-45-N</t>
  </si>
  <si>
    <t>36225-45-N</t>
  </si>
  <si>
    <t>36325-45-N</t>
  </si>
  <si>
    <t>36425-85-N</t>
  </si>
  <si>
    <t>36525-85-N</t>
  </si>
  <si>
    <t>36625-10-N</t>
  </si>
  <si>
    <t>36725-45-N</t>
  </si>
  <si>
    <t>36825-18-P</t>
  </si>
  <si>
    <t>2825-923218-P</t>
  </si>
  <si>
    <t>36925-45-N</t>
  </si>
  <si>
    <t>37025-45-N</t>
  </si>
  <si>
    <t>37125-45-N</t>
  </si>
  <si>
    <t>37225-45-N</t>
  </si>
  <si>
    <t>37325-45-N</t>
  </si>
  <si>
    <t>37425-45-N</t>
  </si>
  <si>
    <t>37525-45-N</t>
  </si>
  <si>
    <t>37625-45-N</t>
  </si>
  <si>
    <t>37725-11-N</t>
  </si>
  <si>
    <t>37825-38-N</t>
  </si>
  <si>
    <t>37925-10-N</t>
  </si>
  <si>
    <t>38025-11-N</t>
  </si>
  <si>
    <t>38125-38-N</t>
  </si>
  <si>
    <t>38225-38-N</t>
  </si>
  <si>
    <t>38325-38-N</t>
  </si>
  <si>
    <t>38425-38-N</t>
  </si>
  <si>
    <t>38525-38-N</t>
  </si>
  <si>
    <t>38625-38-N</t>
  </si>
  <si>
    <t>38725-38-N</t>
  </si>
  <si>
    <t>38825-38-N</t>
  </si>
  <si>
    <t>38925-10-N</t>
  </si>
  <si>
    <t>39025-10-N</t>
  </si>
  <si>
    <t>625-923210-N</t>
  </si>
  <si>
    <t>39125-38-N</t>
  </si>
  <si>
    <t>39225-10-N</t>
  </si>
  <si>
    <t>39325-10-N</t>
  </si>
  <si>
    <t>39425-18-P</t>
  </si>
  <si>
    <t>2325-923218-P</t>
  </si>
  <si>
    <t>39525-18-P</t>
  </si>
  <si>
    <t>39625-38-N</t>
  </si>
  <si>
    <t>39725-38-N</t>
  </si>
  <si>
    <t>39825-11-N</t>
  </si>
  <si>
    <t>39925-11-N</t>
  </si>
  <si>
    <t>40025-11-N</t>
  </si>
  <si>
    <t>40125-38-N</t>
  </si>
  <si>
    <t>40225-38-N</t>
  </si>
  <si>
    <t>40325-38-N</t>
  </si>
  <si>
    <t>40425-38-N</t>
  </si>
  <si>
    <t>40525-38-N</t>
  </si>
  <si>
    <t>40625-38-N</t>
  </si>
  <si>
    <t>40725-38-N</t>
  </si>
  <si>
    <t>40825-38-N</t>
  </si>
  <si>
    <t>40925-38-N</t>
  </si>
  <si>
    <t>41025-38-N</t>
  </si>
  <si>
    <t>41125-38-N</t>
  </si>
  <si>
    <t>41225-38-N</t>
  </si>
  <si>
    <t>41325-38-N</t>
  </si>
  <si>
    <t>41425-38-N</t>
  </si>
  <si>
    <t>41525-90-N</t>
  </si>
  <si>
    <t>41625-38-N</t>
  </si>
  <si>
    <t>41725-38-N</t>
  </si>
  <si>
    <t>41825-38-N</t>
  </si>
  <si>
    <t>41925-10-N</t>
  </si>
  <si>
    <t>42025-11-N</t>
  </si>
  <si>
    <t>42125-11-N</t>
  </si>
  <si>
    <t>42225-11-N</t>
  </si>
  <si>
    <t>42325-11-N</t>
  </si>
  <si>
    <t>42425-38-N</t>
  </si>
  <si>
    <t>42525-11-N</t>
  </si>
  <si>
    <t>42625-11-N</t>
  </si>
  <si>
    <t>42725-11-N</t>
  </si>
  <si>
    <t>42825-84-N</t>
  </si>
  <si>
    <t>3325-923284-N</t>
  </si>
  <si>
    <t>42925-45-N</t>
  </si>
  <si>
    <t>43025-45-N</t>
  </si>
  <si>
    <t>43125-45-N</t>
  </si>
  <si>
    <t>43225-45-N</t>
  </si>
  <si>
    <t>43325-28-N</t>
  </si>
  <si>
    <t>43425-28-N</t>
  </si>
  <si>
    <t>43525-84-N</t>
  </si>
  <si>
    <t>43625-10-N</t>
  </si>
  <si>
    <t>43725-42-N</t>
  </si>
  <si>
    <t>43825-84-N</t>
  </si>
  <si>
    <t>3425-923284-N</t>
  </si>
  <si>
    <t>43925-38-N</t>
  </si>
  <si>
    <t>44025-11-N</t>
  </si>
  <si>
    <t>44125-11-N</t>
  </si>
  <si>
    <t>44225-10-N</t>
  </si>
  <si>
    <t>44325-10-P</t>
  </si>
  <si>
    <t>44425-38-N</t>
  </si>
  <si>
    <t>44525-10-N</t>
  </si>
  <si>
    <t>44625-18-P</t>
  </si>
  <si>
    <t>44725-11-N</t>
  </si>
  <si>
    <t>44825-11-N</t>
  </si>
  <si>
    <t>44925-11-N</t>
  </si>
  <si>
    <t>45025-11-N</t>
  </si>
  <si>
    <t>45125-11-N</t>
  </si>
  <si>
    <t>45225-27-N</t>
  </si>
  <si>
    <t>45325-18-P</t>
  </si>
  <si>
    <t>45425-18-P</t>
  </si>
  <si>
    <t>45525-18-P</t>
  </si>
  <si>
    <t>45625-18-P</t>
  </si>
  <si>
    <t>45725-18-P</t>
  </si>
  <si>
    <t>45825-18-P</t>
  </si>
  <si>
    <t>45925-18-P</t>
  </si>
  <si>
    <t>46025-18-P</t>
  </si>
  <si>
    <t>46125-18-P</t>
  </si>
  <si>
    <t>46225-18-P</t>
  </si>
  <si>
    <t>46325-18-P</t>
  </si>
  <si>
    <t>46425-18-P</t>
  </si>
  <si>
    <t>46525-18-P</t>
  </si>
  <si>
    <t>46625-18-P</t>
  </si>
  <si>
    <t>46725-18-P</t>
  </si>
  <si>
    <t>46825-18-P</t>
  </si>
  <si>
    <t>46925-18-P</t>
  </si>
  <si>
    <t>47025-18-P</t>
  </si>
  <si>
    <t>47125-18-P</t>
  </si>
  <si>
    <t>47225-18-P</t>
  </si>
  <si>
    <t>47325-18-P</t>
  </si>
  <si>
    <t>47425-18-P</t>
  </si>
  <si>
    <t>47525-18-P</t>
  </si>
  <si>
    <t>47625-18-P</t>
  </si>
  <si>
    <t>47725-18-P</t>
  </si>
  <si>
    <t>47825-18-P</t>
  </si>
  <si>
    <t>47925-18-P</t>
  </si>
  <si>
    <t>48025-18-P</t>
  </si>
  <si>
    <t>48125-18-P</t>
  </si>
  <si>
    <t>48225-18-P</t>
  </si>
  <si>
    <t>48325-18-P</t>
  </si>
  <si>
    <t>48425-18-P</t>
  </si>
  <si>
    <t>48525-18-P</t>
  </si>
  <si>
    <t>48625-18-P</t>
  </si>
  <si>
    <t>48725-18-P</t>
  </si>
  <si>
    <t>48825-18-P</t>
  </si>
  <si>
    <t>48925-10-P</t>
  </si>
  <si>
    <t>49025-10-P</t>
  </si>
  <si>
    <t>49125-11-N</t>
  </si>
  <si>
    <t>49225-11-N</t>
  </si>
  <si>
    <t>49325-11-N</t>
  </si>
  <si>
    <t>49425-11-N</t>
  </si>
  <si>
    <t>49525-10-P</t>
  </si>
  <si>
    <t>49625-10-P</t>
  </si>
  <si>
    <t>1325-923210-P</t>
  </si>
  <si>
    <t>49725-10-P</t>
  </si>
  <si>
    <t>49825-38-N</t>
  </si>
  <si>
    <t>49925-38-N</t>
  </si>
  <si>
    <t>50025-10-N</t>
  </si>
  <si>
    <t>50125-11-N</t>
  </si>
  <si>
    <t>50225-10-N</t>
  </si>
  <si>
    <t>50325-85-N</t>
  </si>
  <si>
    <t>50425-10-N</t>
  </si>
  <si>
    <t>50525-11-N</t>
  </si>
  <si>
    <t>50625-84-N</t>
  </si>
  <si>
    <t>50725-42-P</t>
  </si>
  <si>
    <t>3625-923242-P</t>
  </si>
  <si>
    <t>50825-85-N</t>
  </si>
  <si>
    <t>50925-11-N</t>
  </si>
  <si>
    <t>51025-10-N</t>
  </si>
  <si>
    <t>51125-45-N</t>
  </si>
  <si>
    <t>51225-45-N</t>
  </si>
  <si>
    <t>51325-45-N</t>
  </si>
  <si>
    <t>51425-45-N</t>
  </si>
  <si>
    <t>51525-11-N</t>
  </si>
  <si>
    <t>51625-11-N</t>
  </si>
  <si>
    <t>51725-11-N</t>
  </si>
  <si>
    <t>51825-11-N</t>
  </si>
  <si>
    <t>51925-11-N</t>
  </si>
  <si>
    <t>52025-11-N</t>
  </si>
  <si>
    <t>52125-11-N</t>
  </si>
  <si>
    <t>52225-11-N</t>
  </si>
  <si>
    <t>52325-11-N</t>
  </si>
  <si>
    <t>52425-11-N</t>
  </si>
  <si>
    <t>64585325, 64585425, 64585525, 64585625, 64599325, 64599425, 64599525, 64599625, 64599725, 64599825, 64617725, 64620425, 66431325, 66431425, 66431525, 66431625, 66431725, 66431825, 66431925, 66432025, 68529125, 71247225</t>
  </si>
  <si>
    <t>28825, 29325, 30225, 32425, 33925, 34125, 38125, 38225, 38325, 38425, 38525, 38625, 38725, 38825, 39125, 39625, 39725, 40125, 40225, 40325, 40425, 40525, 40625, 40725, 40825, 40925, 41025, 41125, 41225, 41325, 41425, 41625, 41725, 41825, 43925, 44425, 49825, 49925, 52725, 53125, 53225, 53325, 53425, 53525, 53625, 53725, 53825, 53925, 54825, 54925</t>
  </si>
  <si>
    <t>4125, 4625, 4825, 5525, 5825, 6025, 6125, 6225, 6325, 6425, 6525, 6625, 6725, 6825, 7425, 45925, 46025, 46425, 46725, 46925, 47125, 47225, 47425, 48025, 48225, 48425, 48525, 48625, 48825, 48925, 49025, 49125, 49325, 49625, 49725, 49925, 50125, 50225, 50925, 51025, 51125, 51325, 51425, 51625, 51725, 52125, 52525, 52625</t>
  </si>
  <si>
    <t>7025, 51225</t>
  </si>
  <si>
    <t>5325, 5425, 46225, 46325, 46525, 46625, 46825, 47325, 47525, 47625, 47925, 48125, 48725, 49425, 49825, 50025, 50525, 50825, 52325</t>
  </si>
  <si>
    <t>64542325, 70461525</t>
  </si>
  <si>
    <t>125, 225, 325, 425, 525, 1925, 2025, 2125, 2725, 6225, 13325, 13425, 28625, 28725, 30525, 30625, 32125, 34225, 34325, 44325, 48925, 49025, 49525, 54025, 54125</t>
  </si>
  <si>
    <t>125, 225, 325, 425, 725, 825, 925, 1025, 1225, 2525, 2625, 2725, 2925, 3025, 3525, 3625, 3825, 4025, 4125, 4725, 4825, 4925, 5025, 5225, 5425</t>
  </si>
  <si>
    <t>125, 225, 325, 425, 525, 625, 725, 825, 925, 1025, 1125, 1625, 1725, 1825, 1925, 2025, 2325, 2425, 2525, 2625, 2725, 7125, 7225, 41625, 45525, 45625, 45725, 45825, 52825, 52925, 53025, 53125</t>
  </si>
  <si>
    <t>10192925, 10196125, 12073225, 19229625, 19247825, 19256425, 19268525, 19274025, 19278925, 19282825, 19869525, 19879525, 26953325, 30154525, 30175325, 30588325, 32039125, 32050725, 38172925, 38246325, 38265525, 39172525, 40449025, 40453425, 40470425, 43210725, 50245825, 50281325, 66482925, 68787025, 68819625, 70407125</t>
  </si>
  <si>
    <t>29025, 29125, 29425, 30325, 30425, 30725, 38925, 39225, 39325, 41925, 44225, 50025, 50225, 52825, 54225, 54325</t>
  </si>
  <si>
    <t>4325, 4425, 4725, 4925, 5025, 5125, 6925, 47725, 47825, 48325, 49525, 51525, 51825, 52225, 52425, 52725</t>
  </si>
  <si>
    <t>42359925, 42360025, 42360325, 42360525, 42361625, 64522125, 64524425, 64524525, 64524725, 64524825, 64525625, 64541225, 64541325, 64541425, 64541525, 64541625, 64542525, 64542625, 64542725, 64600825, 64600925, 64601025, 64601125, 64601225, 64601425, 64601525, 64601625, 64601825, 64602225, 64602325, 64602425, 64602525, 64603325, 64617025, 64620525, 71227025</t>
  </si>
  <si>
    <t>2825, 2925, 3025, 3125, 3225, 3325, 13525, 13625, 13725, 13825, 13925, 14025, 14125, 14225, 14325, 14425, 14525, 14625, 14725, 14825, 14925, 15025, 15125, 15225, 15325, 15425, 15525, 15625, 15725, 15825, 15925, 16025, 16125, 16225, 16325, 16425, 16525, 16625, 16725, 16825, 16925, 17025, 21125, 21225, 21325, 21425, 21525, 21625, 21725, 21825, 21925, 22025, 22125, 22225, 22325, 22425, 22525, 22625, 22725, 22825, 22925, 23025, 23125, 23225, 23325, 23425, 23525, 23625, 23725, 23825, 23925, 24025, 24125, 24225, 28125, 32725, 34425, 34525, 34625, 34725, 34825, 34925, 37725, 38025, 42125, 42225, 42325, 42525, 42625, 42725, 50925, 51525, 51625, 51725, 51825, 51925, 52025, 52125, 52225, 52325, 52425, 52925, 53025</t>
  </si>
  <si>
    <t>31225, 31325, 31425, 31525, 31725, 31825, 32025, 42825, 43525, 54425</t>
  </si>
  <si>
    <t>30825, 43325, 43425, 43825, 50625, 52525, 54625, 54725</t>
  </si>
  <si>
    <t>5225, 46125, 49225, 50725, 51925, 52025</t>
  </si>
  <si>
    <t>64519025, 64519225, 64519325, 64519525, 64519625, 64519725, 64519825, 64519925, 64520025, 64520125, 64520225, 64520325, 64520425, 64520525, 64520625, 64520725, 64520825, 64520925, 64521025, 64521125, 64521225, 64521325, 64521425, 64521525, 64521625, 64521725, 64521925, 64522025, 64522225, 64522325, 64522425, 64522525, 64522625, 64522725, 64522825, 64522925, 64523025, 64523125, 64523225, 64523325, 64523425, 64523525, 64523625, 64523725, 64523825, 64523925, 64524025, 64524125, 64524225, 64524325, 64543225, 64543325, 64543425, 64543525, 64543625, 64543725, 64543825, 64543925, 64544025, 64544125, 64544225, 64544325, 64544525, 64544625, 64544725, 64548625, 64549825, 64549925, 64550025, 64550125, 64550325, 64550425, 64550525, 64550625, 64550725, 64550825, 64550925, 64551025, 64551125, 64551225, 64551325, 64551425, 64551525, 64551625, 64551725, 64571225, 64571325, 64571425, 64571525, 64571625, 64571725, 64571825, 64571925, 64572025, 64572125, 64572225, 64572325, 64572425, 64572525, 64572625, 64572725, 64572825, 64572925, 64573025, 64573125, 64573225, 64573325, 64573425, 64573525, 64573625, 64573725, 64573825, 64573925, 64574025, 64574125, 64574225, 64574325, 64574425, 64574525, 64574625, 64574725, 64574825, 64617825, 64617925, 64618025, 64618125, 64618225, 64618325, 64618425, 64618525, 64618625, 64618725, 64618825, 64618925, 64619325, 64619525, 64619625, 64619725, 64619825, 64619925, 64620025, 64620125, 64620225, 66430925, 66431025, 66431225, 66432125, 71243425</t>
  </si>
  <si>
    <t>54525</t>
  </si>
  <si>
    <t>4525, 5725, 47025, 50625</t>
  </si>
  <si>
    <t>28925, 33725, 41525, 52625</t>
  </si>
  <si>
    <t>4225, 5625, 50325, 50425</t>
  </si>
  <si>
    <t>2025-03-18 00:00:00</t>
  </si>
  <si>
    <t>2025-03-18 16:41:00</t>
  </si>
  <si>
    <t>PAPELERIA. Contratar mediante el mecanismo de monto agotable la compra de elementos de oficina y consumibles de impresión para el Centro Industrial y de Desarrollo Empresarial de Soacha.</t>
  </si>
  <si>
    <t>2025-03-18 16:50:00</t>
  </si>
  <si>
    <t>: MANTENIMIENTO BIENES. Contratar los servicios integrales de mantenimiento preventivo y correctivo a todo costo que incluyan suministros repuestos y mano de obra, para el parque automotor y el Aula Móvil del Centro Industrial y de Desarrollo Empres</t>
  </si>
  <si>
    <t>2025-03-18 16:59:00</t>
  </si>
  <si>
    <t>MANTENIMIENTO INMUEBLES. Contratar el mantenimiento preventivo y correctivo de motobombas y de las redes hidráulicas, sanitarias, de alcantarillado y de acueducto, que incluya la limpieza, inspección y reparación de tuberías, válvulas y accesorios,</t>
  </si>
  <si>
    <t>2025-03-18 17:02:00</t>
  </si>
  <si>
    <t>MANTENIMIENTO INMUEBLES. Contratar a todo costo el mantenimiento preventivo y correctivo de las cubiertas de las sedes del Centro Industrial y de Desarrollo Empresarial de Soacha</t>
  </si>
  <si>
    <t>2025-03-18 17:06:00</t>
  </si>
  <si>
    <t>MANTENIMIENTO INMUEBLES. Contratar mediante el mecanismo de monto agotable el suministro de materiales de ferretería para el Centro Industrial y de Desarrollo Empresarial de Soacha</t>
  </si>
  <si>
    <t>2025-03-18 17:49:00</t>
  </si>
  <si>
    <t>70461525</t>
  </si>
  <si>
    <t>71243425</t>
  </si>
  <si>
    <t>71247225</t>
  </si>
  <si>
    <t>71227025</t>
  </si>
  <si>
    <t>4682052125</t>
  </si>
  <si>
    <t>52725</t>
  </si>
  <si>
    <t>52525</t>
  </si>
  <si>
    <t>5025, 5125</t>
  </si>
  <si>
    <t>45725, 45825</t>
  </si>
  <si>
    <t>70407125</t>
  </si>
  <si>
    <t>Inválida</t>
  </si>
  <si>
    <t>2025-03-13 00:00:00</t>
  </si>
  <si>
    <t>2025-03-13 15:54:28</t>
  </si>
  <si>
    <t>COM 9625</t>
  </si>
  <si>
    <t>VIATICOS INT COM 9625 EN MAR 15 2025 DE SOACHA A GIRARDOT ACOMPAÑAR AL EVALUADOR GUILLERMO HERRERA A REALIZAR PRUEBAS DE CONOCIMIENTO, ACTIVIDAD DE DESEMPEÑO Y PRODUCTO, 40 CONDUCTORES DE LA EMPRESA LEON, EN EL ÁREA DE TRANSPORTE</t>
  </si>
  <si>
    <t>2025-03-13 16:46:20</t>
  </si>
  <si>
    <t>52625</t>
  </si>
  <si>
    <t>COM 10325</t>
  </si>
  <si>
    <t>VIATICOS INT COM 10325 EN MAR 17 20 24 Y 26 2025 DE SOACHA A SAN - D TEQUEN GRANADA TENA REUNIÓN DE CONCERTACIÓN Y ACUERDOS DE FORMACIÓN DIRIGIDOS A CAMPE SENA Y ECONOMÍA POPULAR</t>
  </si>
  <si>
    <t>2025-03-13 16:49:38</t>
  </si>
  <si>
    <t>COM 10425</t>
  </si>
  <si>
    <t>VIATICOS INT COM 10425 EN MAR 17 20 24 Y 26 2025 DE SOACHA A SAN - D TEQUEN GRANADA TENA SEGUIMIENTO DE CONCERTACIÓN Y ACUERDOS DE FORMACIÓN CON LAS ALCALDÍAS Y LAS ADMINISTRACIONES MUNICIPALES</t>
  </si>
  <si>
    <t>2025-03-13 16:55:17</t>
  </si>
  <si>
    <t>CHAVEZ ESPITIA OSWALDO ENRIQUE</t>
  </si>
  <si>
    <t>04683102097</t>
  </si>
  <si>
    <t>COM 10825</t>
  </si>
  <si>
    <t>VIATICOS INT COM 10825 EN MAR 14 2025 DE BTA A SOACHA VERIFICACIÓN PENDIENTES EN CENTRO DE FORMACIÓN DE PRESUPUESTO</t>
  </si>
  <si>
    <t>2025-03-13 18:48:49</t>
  </si>
  <si>
    <t>GARCIA CORREA NELSON GERMAN</t>
  </si>
  <si>
    <t>095654505</t>
  </si>
  <si>
    <t>CO1.PCCNTR.7649747</t>
  </si>
  <si>
    <t>2025-03-13 18:52:06</t>
  </si>
  <si>
    <t>MORENO BUSTOS JOSE ANDERSON</t>
  </si>
  <si>
    <t>65900046353</t>
  </si>
  <si>
    <t>CO1.PCCNTR.7650217</t>
  </si>
  <si>
    <t>2025-03-14 09:59:54</t>
  </si>
  <si>
    <t>COM 9825</t>
  </si>
  <si>
    <t>VIATICOS INT COM 9825 EN MAR 18 22 25 29 2025 DE SOACHA A TENA DESPLAZAMIENTO PARA FORMACION DE PROGRAMA CAMPESENA COMUNIDAD ORGANIZADA DE EMPRENDEDORES OFERTA INSCRIPCION ASPIRANTES.</t>
  </si>
  <si>
    <t>2025-03-14 10:13:18</t>
  </si>
  <si>
    <t>COM 9925</t>
  </si>
  <si>
    <t>VIATICOS INT COM 9925 EN MAR 20 21 27 Y 28 2025 DE SOACHA A TENA IMPARTIR FORMACIÓN A LA COMUNIDAD CAMPESINA, CONFORMACIÓN Y MATRICULA DE GRUPOS DE FORMACIÓN</t>
  </si>
  <si>
    <t>2025-03-14 10:18:34</t>
  </si>
  <si>
    <t>COM 10025</t>
  </si>
  <si>
    <t>VIATICOS INT COM 10025 EN MAR 18 21 25 Y 28 2025 DE SOACHA A SAN - D TEQUEN IMPARTIR FORMACION FORTALECIMIENTO EN MERCADEO Y VENTAS VEREDA SAN ANTONIO</t>
  </si>
  <si>
    <t>2025-03-14 10:59:55</t>
  </si>
  <si>
    <t>COM 10125</t>
  </si>
  <si>
    <t>VIATICOS INT COM 10125 EN MAR 20 Y 27 2025 DE SOACHA A SAN - D TEQUEN IMPARTIR FORMACIÓN EN EL CURSO GENERACIÓN DE IDEAS PARA UN. NEGOCIO INNOVADOR AL MUNICIPIO DE SAN ANTONIO DEL TEQUENDAMA</t>
  </si>
  <si>
    <t>2025-03-14 11:04:18</t>
  </si>
  <si>
    <t>COM 10225</t>
  </si>
  <si>
    <t>VIATICOS INT COM 10225 EN MAR 21 Y 28 2025 DE SOACHA A SAN - D TEQUEN IMPARTIR FORMACION EN EMPRENDEDOR EN PRODUCCION DE PLANTAS MEDICINALES, AROMATICAS Y CONDIMENTARIAS</t>
  </si>
  <si>
    <t>2025-03-14 11:49:13</t>
  </si>
  <si>
    <t>COM 9325</t>
  </si>
  <si>
    <t>VIATICOS INT COM 9325 EN MAR 20 Y 27 2025 DE SOACHA A SAN - D TEQUEN IMPARTIR FORMACIÓN EN GENERACIÓN DE IDEAS PARA UN NEGOCIO INNOVADOR FICHA 3169505</t>
  </si>
  <si>
    <t>2025-03-14 11:52:12</t>
  </si>
  <si>
    <t>COM 9425</t>
  </si>
  <si>
    <t>VIATICOS INT COM 9425 EN MAR 18 Y 20 2025 DE SOACHA A TENA Y SAN - D TEQUEN IMPARTIR FORMACIÓN PROGRAMA EMPRENDIMIENTO EN PRODUCCIÓN DE HUEVO RUTA 2, MUNICIPIO DE TENA</t>
  </si>
  <si>
    <t>2025-03-14 11:54:40</t>
  </si>
  <si>
    <t>COM 9525</t>
  </si>
  <si>
    <t>VIATICOS INT COM 9525 EN MAR 17 Y 19 2025 DE SOACHA A SAN - D TEQUEN FICHA 3168862 GENERACIÓN DE IDEAS INNOVADORAS CON DESING THINKING</t>
  </si>
  <si>
    <t>2025-03-14 11:59:36</t>
  </si>
  <si>
    <t>COM 9725</t>
  </si>
  <si>
    <t>VIATICOS INT COM 9725 EN MAR 19 Y 26 2025 DE SOACHA A TENA Y SAN - D TEQUEN APLICACION DE SOFIAPLUS EN LA ADMINISTRACION EDUCATIVA DE LA FORMACION PROFESIONAL</t>
  </si>
  <si>
    <t>2025-03-14 14:05:27</t>
  </si>
  <si>
    <t>5225, 5325</t>
  </si>
  <si>
    <t>52825, 52925</t>
  </si>
  <si>
    <t>FC 001000167714</t>
  </si>
  <si>
    <t>SERVICIOS PUBLICOS: Pago de servicio de Telefonía de la sede Soacha del Centro Industrial y Desarrollo Empresarial de Soacha ubicada en la calle 13 # 10-63 periodo facturado 1 al 31 de FEB, Fecha de Pago: 27 de Marzo de 2025</t>
  </si>
  <si>
    <t>2025-03-14 14:11:34</t>
  </si>
  <si>
    <t>5425, 5525</t>
  </si>
  <si>
    <t>53025, 53125</t>
  </si>
  <si>
    <t>FC 001000174738</t>
  </si>
  <si>
    <t>SERVICIOS PUBLICOS: Pago de servicio de Telefonía de la sede el Altico del Centro Industrial y Desarrollo Empresarial de Soacha ubicada en la calle 3 # 3-20 Bodega 2, periodo facturado 1 a 28 febrero de 2025 Fecha Límite de Pago 27 de Marzo de 2025</t>
  </si>
  <si>
    <t>2025-03-14 14:15:41</t>
  </si>
  <si>
    <t>COM 11025</t>
  </si>
  <si>
    <t>VIATICOS INT COM 11025 EN MAR 18 2025 DE SOACHA A ZIPAQUIRA TRASLADO DEL SUBDIRECTOR</t>
  </si>
  <si>
    <t>2025-03-14 15:00:30</t>
  </si>
  <si>
    <t>COM 10725</t>
  </si>
  <si>
    <t>VIATICOS INT COM 10725 EN MAR 18 2025 DE SOACHA A ZIPAQUIRA SEGUIMIENTO COMPROMISOS PROCESOS DE FORMACIÓN Y DE EVALUACIÓN Y CERTIFICACIÓN DE COMPETENCIA LABORALES</t>
  </si>
  <si>
    <t>2025-03-18 14:55:57</t>
  </si>
  <si>
    <t>PEREZ CARLOS ALBERTO</t>
  </si>
  <si>
    <t>406070119622</t>
  </si>
  <si>
    <t>CO1.PCCNTR.7653493</t>
  </si>
  <si>
    <t>Prestar temporalmente los servicios profesionales en la Evaluación y Certificación de Competencias Laborales del SENA, y construcción y revisión de instrumentos de evaluación, en la(s) función(es) productiva(s) o área(s) claves en SECTOR PRODUCCIÓN</t>
  </si>
  <si>
    <t>2025-03-18 15:12:45</t>
  </si>
  <si>
    <t>PADILLA NARVAEZ SAMUEL RICARDO</t>
  </si>
  <si>
    <t>24509071233</t>
  </si>
  <si>
    <t>COM 10925</t>
  </si>
  <si>
    <t>VIATICOS INT COM 10925 EN MAR 18 2025 DE SOACHA A MOSQUERA PROCESO DE EVALUACIÓN DE PRODUCTOS TÉCNICOS PEDAGÓGICOS, REGIONAL CUNDINAMARCA</t>
  </si>
  <si>
    <t>2025-03-18 15:17:37</t>
  </si>
  <si>
    <t>COM 11225</t>
  </si>
  <si>
    <t>VIATICOS INT COM 11225 EN MAR 18 2025 DE SOACHA A ZIPAQUIRA REALIZAR SENSIBILIZACIÓN E INDUCCIÓN DEL ÁREA DE ALTURAS, DEL PROCESO DE EVALUACIÓN Y CERTIFICACIÓN DE COMPETENCIAS LABORALES EN EL MUNICIPIO DE ZIPAQUIRÁ CUNDINAMARCA</t>
  </si>
  <si>
    <t>2025-03-18 15:21:22</t>
  </si>
  <si>
    <t>COM 11625</t>
  </si>
  <si>
    <t>VIATICOS INT COM 11625 EN MAR 18 2025 DE SOACHA A ZIPAQUIRA Acompañar al evaluador Jorge Romero a realizar Sensibilización e Inducción del área de Alturas, del Proceso de Evaluación y Certificación de Comp en el municipio de Zipaquirá Cundinamarca</t>
  </si>
  <si>
    <t>2025-03-18 15:30:16</t>
  </si>
  <si>
    <t>039835434</t>
  </si>
  <si>
    <t>COM 11425</t>
  </si>
  <si>
    <t>VIATICOS INT COM 11425 EN MAR 22 Y 29 2025 DE SOACHA A GRANADA UTILIZAR HERRAMIENTAS INFORMÁTICAS DE ACUERDO</t>
  </si>
  <si>
    <t>2025-03-18 15:34:16</t>
  </si>
  <si>
    <t>COM 11525</t>
  </si>
  <si>
    <t>VIATICOS INT COM 11525 EN MAR 29 2025 DE SOACHA A TENA IMPARTIR FORMACIÓN EN EL CURSO COMPLEMENTARIO IMPLEMENTACION DE SISTEMAS SOLARES FOTOVOLTAICOS AUTONOMOS. DE LA ESTRATEGIA CAMPESEN</t>
  </si>
  <si>
    <t>2025-03-14 02:33:00</t>
  </si>
  <si>
    <t>2025-03-14 02:33:10</t>
  </si>
  <si>
    <t>2025-03-14 03:01:24</t>
  </si>
  <si>
    <t>2025-03-14 03:01:21</t>
  </si>
  <si>
    <t>2025-03-14 03:01:22</t>
  </si>
  <si>
    <t>2025-03-14 03:04:28</t>
  </si>
  <si>
    <t>2025-03-14 03:04:22</t>
  </si>
  <si>
    <t>2025-03-14 03:04:23</t>
  </si>
  <si>
    <t>2025-03-14 03:04:19</t>
  </si>
  <si>
    <t>2025-03-14 02:48:47</t>
  </si>
  <si>
    <t>2025-03-14 02:48:52</t>
  </si>
  <si>
    <t>2025-03-14 03:04:29</t>
  </si>
  <si>
    <t>2025-03-14 02:48:23</t>
  </si>
  <si>
    <t>2025-03-14 03:04:30</t>
  </si>
  <si>
    <t>2025-03-14 03:04:17</t>
  </si>
  <si>
    <t>2025-03-14 02:48:48</t>
  </si>
  <si>
    <t>2025-03-14 02:48:53</t>
  </si>
  <si>
    <t>2025-03-14 02:48:10</t>
  </si>
  <si>
    <t>2025-03-14 03:02:18</t>
  </si>
  <si>
    <t>2025-03-14 03:04:40</t>
  </si>
  <si>
    <t>2025-03-14 02:48:49</t>
  </si>
  <si>
    <t>2025-03-14 02:48:51</t>
  </si>
  <si>
    <t>2025-03-14 02:44:10</t>
  </si>
  <si>
    <t>2025-03-14 02:48:22</t>
  </si>
  <si>
    <t>2025-03-14 03:04:31</t>
  </si>
  <si>
    <t>2025-03-14 02:48:50</t>
  </si>
  <si>
    <t>2025-03-14 02:48:11</t>
  </si>
  <si>
    <t>2025-03-18 03:02:29</t>
  </si>
  <si>
    <t>2025-03-18 03:02:26</t>
  </si>
  <si>
    <t>2025-03-17 02:27:41</t>
  </si>
  <si>
    <t>122,500.00</t>
  </si>
  <si>
    <t>PAGO CORRESPONDIENTE AL SERVICIO DE ACUEDUCTO Y ALCANTARILLADO DE LA SEDE "LA COLONIA" EN EL MUNICPIO DE SIBATÉ, POR EL PERÍODO COMPRENDIDO ENTRE EL 1 Y EL 28 DE FEBRERO DE 2025.</t>
  </si>
  <si>
    <t>2025-03-17 01:58:09</t>
  </si>
  <si>
    <t>PAGO CORRESPONDIENTE A LOS HONORARIOS DEL MES DE FEBRERO DE 2025 POR LA PRESTACIÓN DE SERVICIOS PROESIONALES DE CARÁCTER TEMPORAL Y CON PLENA AUTONOMÍA PARA APOYAR LA COORDINACIÓN, CONTROL Y EVALUACIÓN DEM LAS ACCIONES DE FORMACIÓN PROFESIONAL INTEGRAL EJECUTADAS MEDIANTE ALIANZAS Y CONVENIOS CON INSTITUCIONES EDUCATIVAS. CONTRATO No. CO1.PCCNTR.7368372</t>
  </si>
  <si>
    <t>2025-03-18 03:50:08</t>
  </si>
  <si>
    <t>1,160,767.00</t>
  </si>
  <si>
    <t>PAGO CORRESPONDIENTE A LOS HONORARIOS DEL MES DE FEBRERO POR LA EJECUCIÓN DEL CONTRATO No. CO1.PCCNTR.7456193. Prestar servicios de apoyo a la gestión de carácter temporal y con plena autonomía para apoyar los procesos de gestión de almacén e inventarios del Centro Industrial y de Desarrollo Empresarial de Soacha.</t>
  </si>
  <si>
    <t>2025-03-18 03:24:22</t>
  </si>
  <si>
    <t>PAGO CORRESPONDIENTE A LOS HONORARIOS DEL MES DE FEBRERO DE 2025 POR LA EJECUCIÓN DEL CONTRATO No. CO1.PCCNTR.7426096. Prestar servicios profesionales de carácter temporal con plena autonomía como instructor de Formación Complementaria presencial con el propósito de atender los requerimientos específicos de formación en los programas ofertados.</t>
  </si>
  <si>
    <t>2025-03-18 03:24:45</t>
  </si>
  <si>
    <t>PAGO CORRESPONDIENTE A LOS HONORARIOS DEL MES DE FEBRERO POR LA EJECUCIÓN DEL CONTRATO No. CO1.PCCNTR.7423322. Prestar servicios profesionales y/o de apoyo a la gestión, en la planeación y ejecución de la formación, así como la evaluación de los resultados de aprendizaje definidos en los diseños curriculares asignados.</t>
  </si>
  <si>
    <t>7625-10-N</t>
  </si>
  <si>
    <t>7725-27-N</t>
  </si>
  <si>
    <t>7725-90-P</t>
  </si>
  <si>
    <t>7825-24-P</t>
  </si>
  <si>
    <t>7925-24-P</t>
  </si>
  <si>
    <t>8025-24-P</t>
  </si>
  <si>
    <t>8125-42-P</t>
  </si>
  <si>
    <t>52525-28-N</t>
  </si>
  <si>
    <t>52625-90-N</t>
  </si>
  <si>
    <t>52725-38-N</t>
  </si>
  <si>
    <t>52825-10-N</t>
  </si>
  <si>
    <t>52925-11-N</t>
  </si>
  <si>
    <t>53025-11-N</t>
  </si>
  <si>
    <t>53125-38-N</t>
  </si>
  <si>
    <t>53225-38-N</t>
  </si>
  <si>
    <t>53325-38-N</t>
  </si>
  <si>
    <t>53425-38-N</t>
  </si>
  <si>
    <t>53525-38-N</t>
  </si>
  <si>
    <t>53625-38-N</t>
  </si>
  <si>
    <t>53725-38-N</t>
  </si>
  <si>
    <t>53825-38-N</t>
  </si>
  <si>
    <t>53925-38-N</t>
  </si>
  <si>
    <t>54025-10-P</t>
  </si>
  <si>
    <t>54125-10-P</t>
  </si>
  <si>
    <t>54225-10-N</t>
  </si>
  <si>
    <t>54325-10-N</t>
  </si>
  <si>
    <t>54425-28-N</t>
  </si>
  <si>
    <t>54425-84-N</t>
  </si>
  <si>
    <t>54525-45-N</t>
  </si>
  <si>
    <t>4125-923245-N</t>
  </si>
  <si>
    <t>54625-28-N</t>
  </si>
  <si>
    <t>54725-28-N</t>
  </si>
  <si>
    <t>54825-38-N</t>
  </si>
  <si>
    <t>54925-38-N</t>
  </si>
  <si>
    <t>10192925-10-P</t>
  </si>
  <si>
    <t>10196125-10-P</t>
  </si>
  <si>
    <t>12073225-10-P</t>
  </si>
  <si>
    <t>19229625-10-P</t>
  </si>
  <si>
    <t>19247825-10-P</t>
  </si>
  <si>
    <t>19256425-10-P</t>
  </si>
  <si>
    <t>925-10-P</t>
  </si>
  <si>
    <t>19268525-10-P</t>
  </si>
  <si>
    <t>825-10-P</t>
  </si>
  <si>
    <t>19274025-10-P</t>
  </si>
  <si>
    <t>725-10-P</t>
  </si>
  <si>
    <t>19278925-10-P</t>
  </si>
  <si>
    <t>625-10-P</t>
  </si>
  <si>
    <t>19282825-10-P</t>
  </si>
  <si>
    <t>19869525-10-P</t>
  </si>
  <si>
    <t>1025-10-P</t>
  </si>
  <si>
    <t>19879525-10-P</t>
  </si>
  <si>
    <t>26953325-10-P</t>
  </si>
  <si>
    <t>30154525-10-P</t>
  </si>
  <si>
    <t>2525-10-P</t>
  </si>
  <si>
    <t>30175325-10-P</t>
  </si>
  <si>
    <t>2625-10-P</t>
  </si>
  <si>
    <t>30588325-10-P</t>
  </si>
  <si>
    <t>2825-10-P</t>
  </si>
  <si>
    <t>32039125-10-P</t>
  </si>
  <si>
    <t>2925-10-P</t>
  </si>
  <si>
    <t>32050725-10-P</t>
  </si>
  <si>
    <t>3025-10-P</t>
  </si>
  <si>
    <t>38172925-10-P</t>
  </si>
  <si>
    <t>3525-10-P</t>
  </si>
  <si>
    <t>38246325-10-P</t>
  </si>
  <si>
    <t>3625-10-P</t>
  </si>
  <si>
    <t>38265525-10-P</t>
  </si>
  <si>
    <t>3725-10-P</t>
  </si>
  <si>
    <t>39172525-10-P</t>
  </si>
  <si>
    <t>40449025-10-P</t>
  </si>
  <si>
    <t>3825-10-P</t>
  </si>
  <si>
    <t>40453425-10-P</t>
  </si>
  <si>
    <t>3925-10-P</t>
  </si>
  <si>
    <t>40470425-10-P</t>
  </si>
  <si>
    <t>42359925-10-N</t>
  </si>
  <si>
    <t>0-10-N</t>
  </si>
  <si>
    <t>42360025-10-N</t>
  </si>
  <si>
    <t>42360225-24-P</t>
  </si>
  <si>
    <t>0-24-P</t>
  </si>
  <si>
    <t>42360325-10-N</t>
  </si>
  <si>
    <t>42360525-10-N</t>
  </si>
  <si>
    <t>42360625-24-P</t>
  </si>
  <si>
    <t>42360825-90-N</t>
  </si>
  <si>
    <t>0-90-N</t>
  </si>
  <si>
    <t>42360925-27-N</t>
  </si>
  <si>
    <t>0-27-N</t>
  </si>
  <si>
    <t>42361125-24-P</t>
  </si>
  <si>
    <t>42361225-27-N</t>
  </si>
  <si>
    <t>42361325-27-N</t>
  </si>
  <si>
    <t>42361525-27-N</t>
  </si>
  <si>
    <t>42361625-10-N</t>
  </si>
  <si>
    <t>43210725-10-P</t>
  </si>
  <si>
    <t>47481725-38-N</t>
  </si>
  <si>
    <t>0-38-N</t>
  </si>
  <si>
    <t>47481825-90-N</t>
  </si>
  <si>
    <t>47481925-10-N</t>
  </si>
  <si>
    <t>47482025-10-N</t>
  </si>
  <si>
    <t>47482125-85-N</t>
  </si>
  <si>
    <t>0-85-N</t>
  </si>
  <si>
    <t>47482225-38-N</t>
  </si>
  <si>
    <t>47482425-10-N</t>
  </si>
  <si>
    <t>47482625-38-N</t>
  </si>
  <si>
    <t>47482825-10-N</t>
  </si>
  <si>
    <t>47483125-10-N</t>
  </si>
  <si>
    <t>47483225-10-N</t>
  </si>
  <si>
    <t>47483325-28-N</t>
  </si>
  <si>
    <t>0-28-N</t>
  </si>
  <si>
    <t>47483425-11-N</t>
  </si>
  <si>
    <t>0-11-N</t>
  </si>
  <si>
    <t>47483525-11-N</t>
  </si>
  <si>
    <t>47483625-38-N</t>
  </si>
  <si>
    <t>47483825-90-N</t>
  </si>
  <si>
    <t>47483925-85-N</t>
  </si>
  <si>
    <t>47484025-38-N</t>
  </si>
  <si>
    <t>47484125-90-N</t>
  </si>
  <si>
    <t>47484325-38-N</t>
  </si>
  <si>
    <t>47484425-38-N</t>
  </si>
  <si>
    <t>47484525-38-N</t>
  </si>
  <si>
    <t>47484625-38-N</t>
  </si>
  <si>
    <t>47484725-38-N</t>
  </si>
  <si>
    <t>47484825-38-N</t>
  </si>
  <si>
    <t>47484925-38-N</t>
  </si>
  <si>
    <t>47485025-38-N</t>
  </si>
  <si>
    <t>47485125-38-N</t>
  </si>
  <si>
    <t>47485225-10-N</t>
  </si>
  <si>
    <t>47485325-10-N</t>
  </si>
  <si>
    <t>50237825-38-N</t>
  </si>
  <si>
    <t>4325-38-N</t>
  </si>
  <si>
    <t>50245825-10-P</t>
  </si>
  <si>
    <t>4125-10-P</t>
  </si>
  <si>
    <t>50281325-10-P</t>
  </si>
  <si>
    <t>4025-10-P</t>
  </si>
  <si>
    <t>64519025-45-N</t>
  </si>
  <si>
    <t>0-45-N</t>
  </si>
  <si>
    <t>64519225-45-N</t>
  </si>
  <si>
    <t>64519325-45-N</t>
  </si>
  <si>
    <t>64519425-85-N</t>
  </si>
  <si>
    <t>64519525-45-N</t>
  </si>
  <si>
    <t>64519625-45-N</t>
  </si>
  <si>
    <t>64519725-45-N</t>
  </si>
  <si>
    <t>64519825-45-N</t>
  </si>
  <si>
    <t>64519925-45-N</t>
  </si>
  <si>
    <t>64520025-45-N</t>
  </si>
  <si>
    <t>64520125-45-N</t>
  </si>
  <si>
    <t>64520225-45-N</t>
  </si>
  <si>
    <t>64520325-45-N</t>
  </si>
  <si>
    <t>64520425-45-N</t>
  </si>
  <si>
    <t>64520525-45-N</t>
  </si>
  <si>
    <t>64520625-45-N</t>
  </si>
  <si>
    <t>64520725-45-N</t>
  </si>
  <si>
    <t>64520825-45-N</t>
  </si>
  <si>
    <t>64520925-45-N</t>
  </si>
  <si>
    <t>64521025-45-N</t>
  </si>
  <si>
    <t>64521125-45-N</t>
  </si>
  <si>
    <t>64521225-45-N</t>
  </si>
  <si>
    <t>64521325-45-N</t>
  </si>
  <si>
    <t>64521425-45-N</t>
  </si>
  <si>
    <t>64521525-45-N</t>
  </si>
  <si>
    <t>64521625-45-N</t>
  </si>
  <si>
    <t>64521725-45-N</t>
  </si>
  <si>
    <t>64521925-45-N</t>
  </si>
  <si>
    <t>64522025-45-N</t>
  </si>
  <si>
    <t>64522125-10-N</t>
  </si>
  <si>
    <t>64522225-45-N</t>
  </si>
  <si>
    <t>64522325-45-N</t>
  </si>
  <si>
    <t>64522425-45-N</t>
  </si>
  <si>
    <t>64522525-45-N</t>
  </si>
  <si>
    <t>64522625-45-N</t>
  </si>
  <si>
    <t>64522725-45-N</t>
  </si>
  <si>
    <t>64522825-45-N</t>
  </si>
  <si>
    <t>64522925-45-N</t>
  </si>
  <si>
    <t>64523025-45-N</t>
  </si>
  <si>
    <t>64523125-45-N</t>
  </si>
  <si>
    <t>64523225-45-N</t>
  </si>
  <si>
    <t>64523325-45-N</t>
  </si>
  <si>
    <t>64523425-45-N</t>
  </si>
  <si>
    <t>64523525-45-N</t>
  </si>
  <si>
    <t>64523625-45-N</t>
  </si>
  <si>
    <t>64523725-45-N</t>
  </si>
  <si>
    <t>64523825-45-N</t>
  </si>
  <si>
    <t>64523925-45-N</t>
  </si>
  <si>
    <t>64524025-45-N</t>
  </si>
  <si>
    <t>64524125-45-N</t>
  </si>
  <si>
    <t>64524225-45-N</t>
  </si>
  <si>
    <t>64524325-45-N</t>
  </si>
  <si>
    <t>64524425-10-N</t>
  </si>
  <si>
    <t>64524525-10-N</t>
  </si>
  <si>
    <t>64524625-24-P</t>
  </si>
  <si>
    <t>64524725-10-N</t>
  </si>
  <si>
    <t>64524825-10-N</t>
  </si>
  <si>
    <t>64524925-24-P</t>
  </si>
  <si>
    <t>64525025-90-N</t>
  </si>
  <si>
    <t>64525125-27-N</t>
  </si>
  <si>
    <t>64525225-24-P</t>
  </si>
  <si>
    <t>64525325-27-N</t>
  </si>
  <si>
    <t>64525425-27-N</t>
  </si>
  <si>
    <t>64525525-27-N</t>
  </si>
  <si>
    <t>64525625-10-N</t>
  </si>
  <si>
    <t>64541225-10-N</t>
  </si>
  <si>
    <t>64541325-10-N</t>
  </si>
  <si>
    <t>64541425-10-N</t>
  </si>
  <si>
    <t>64541525-10-N</t>
  </si>
  <si>
    <t>64541625-10-N</t>
  </si>
  <si>
    <t>64541725-11-N</t>
  </si>
  <si>
    <t>64541825-11-N</t>
  </si>
  <si>
    <t>64541925-11-N</t>
  </si>
  <si>
    <t>64542025-11-N</t>
  </si>
  <si>
    <t>64542125-11-N</t>
  </si>
  <si>
    <t>64542225-11-N</t>
  </si>
  <si>
    <t>64542325-11-N</t>
  </si>
  <si>
    <t>64542425-90-N</t>
  </si>
  <si>
    <t>64542525-10-N</t>
  </si>
  <si>
    <t>64542625-10-N</t>
  </si>
  <si>
    <t>64542725-10-N</t>
  </si>
  <si>
    <t>64542825-28-N</t>
  </si>
  <si>
    <t>64542925-42-N</t>
  </si>
  <si>
    <t>0-42-N</t>
  </si>
  <si>
    <t>64543025-42-N</t>
  </si>
  <si>
    <t>64543125-42-N</t>
  </si>
  <si>
    <t>64543225-45-N</t>
  </si>
  <si>
    <t>64543325-45-N</t>
  </si>
  <si>
    <t>64543425-45-N</t>
  </si>
  <si>
    <t>64543525-45-N</t>
  </si>
  <si>
    <t>64543625-45-N</t>
  </si>
  <si>
    <t>64543725-45-N</t>
  </si>
  <si>
    <t>64543825-45-N</t>
  </si>
  <si>
    <t>64543925-45-N</t>
  </si>
  <si>
    <t>64544025-45-N</t>
  </si>
  <si>
    <t>64544125-45-N</t>
  </si>
  <si>
    <t>64544225-45-N</t>
  </si>
  <si>
    <t>64544325-45-N</t>
  </si>
  <si>
    <t>64544525-45-N</t>
  </si>
  <si>
    <t>64544625-45-N</t>
  </si>
  <si>
    <t>64544725-45-N</t>
  </si>
  <si>
    <t>64548625-45-N</t>
  </si>
  <si>
    <t>64549825-45-N</t>
  </si>
  <si>
    <t>64549925-45-N</t>
  </si>
  <si>
    <t>64550025-45-N</t>
  </si>
  <si>
    <t>64550125-45-N</t>
  </si>
  <si>
    <t>64550325-45-N</t>
  </si>
  <si>
    <t>64550425-45-N</t>
  </si>
  <si>
    <t>64550525-45-N</t>
  </si>
  <si>
    <t>64550625-45-N</t>
  </si>
  <si>
    <t>64550725-45-N</t>
  </si>
  <si>
    <t>64550825-45-N</t>
  </si>
  <si>
    <t>64550925-45-N</t>
  </si>
  <si>
    <t>64551025-45-N</t>
  </si>
  <si>
    <t>64551125-45-N</t>
  </si>
  <si>
    <t>64551225-45-N</t>
  </si>
  <si>
    <t>64551325-45-N</t>
  </si>
  <si>
    <t>64551425-45-N</t>
  </si>
  <si>
    <t>64551525-45-N</t>
  </si>
  <si>
    <t>64551625-45-N</t>
  </si>
  <si>
    <t>64551725-45-N</t>
  </si>
  <si>
    <t>64551825-11-N</t>
  </si>
  <si>
    <t>64551925-11-N</t>
  </si>
  <si>
    <t>64552025-11-N</t>
  </si>
  <si>
    <t>64552125-11-N</t>
  </si>
  <si>
    <t>64552225-11-N</t>
  </si>
  <si>
    <t>64552325-11-N</t>
  </si>
  <si>
    <t>64552425-11-N</t>
  </si>
  <si>
    <t>64552525-11-N</t>
  </si>
  <si>
    <t>64552625-11-N</t>
  </si>
  <si>
    <t>64552825-11-N</t>
  </si>
  <si>
    <t>64568525-11-N</t>
  </si>
  <si>
    <t>64568625-11-N</t>
  </si>
  <si>
    <t>64568725-11-N</t>
  </si>
  <si>
    <t>64568825-11-N</t>
  </si>
  <si>
    <t>64568925-11-N</t>
  </si>
  <si>
    <t>64569025-11-N</t>
  </si>
  <si>
    <t>64569125-11-N</t>
  </si>
  <si>
    <t>64569225-11-N</t>
  </si>
  <si>
    <t>64569325-11-N</t>
  </si>
  <si>
    <t>64569425-11-N</t>
  </si>
  <si>
    <t>64569525-11-N</t>
  </si>
  <si>
    <t>64569625-11-N</t>
  </si>
  <si>
    <t>64569725-11-N</t>
  </si>
  <si>
    <t>64569825-11-N</t>
  </si>
  <si>
    <t>64569925-11-N</t>
  </si>
  <si>
    <t>64570025-11-N</t>
  </si>
  <si>
    <t>64570125-11-N</t>
  </si>
  <si>
    <t>64570225-11-N</t>
  </si>
  <si>
    <t>64570325-11-N</t>
  </si>
  <si>
    <t>64570425-11-N</t>
  </si>
  <si>
    <t>64570525-11-N</t>
  </si>
  <si>
    <t>64570625-11-N</t>
  </si>
  <si>
    <t>64570825-11-N</t>
  </si>
  <si>
    <t>64570925-11-N</t>
  </si>
  <si>
    <t>64571025-11-N</t>
  </si>
  <si>
    <t>64571125-11-N</t>
  </si>
  <si>
    <t>64571225-45-N</t>
  </si>
  <si>
    <t>64571325-45-N</t>
  </si>
  <si>
    <t>64571425-45-N</t>
  </si>
  <si>
    <t>64571525-45-N</t>
  </si>
  <si>
    <t>64571625-45-N</t>
  </si>
  <si>
    <t>64571725-45-N</t>
  </si>
  <si>
    <t>64571825-45-N</t>
  </si>
  <si>
    <t>64571925-45-N</t>
  </si>
  <si>
    <t>64572025-45-N</t>
  </si>
  <si>
    <t>64572125-45-N</t>
  </si>
  <si>
    <t>64572225-45-N</t>
  </si>
  <si>
    <t>64572325-45-N</t>
  </si>
  <si>
    <t>64572425-45-N</t>
  </si>
  <si>
    <t>64572525-45-N</t>
  </si>
  <si>
    <t>64572625-45-N</t>
  </si>
  <si>
    <t>64572725-45-N</t>
  </si>
  <si>
    <t>64572825-45-N</t>
  </si>
  <si>
    <t>64572925-45-N</t>
  </si>
  <si>
    <t>64573025-45-N</t>
  </si>
  <si>
    <t>64573125-45-N</t>
  </si>
  <si>
    <t>64573225-45-N</t>
  </si>
  <si>
    <t>64573325-45-N</t>
  </si>
  <si>
    <t>64573425-45-N</t>
  </si>
  <si>
    <t>64573525-45-N</t>
  </si>
  <si>
    <t>64573625-45-N</t>
  </si>
  <si>
    <t>64573725-45-N</t>
  </si>
  <si>
    <t>64573825-45-N</t>
  </si>
  <si>
    <t>64573925-45-N</t>
  </si>
  <si>
    <t>64574025-45-N</t>
  </si>
  <si>
    <t>64574125-45-N</t>
  </si>
  <si>
    <t>64574225-45-N</t>
  </si>
  <si>
    <t>64574325-45-N</t>
  </si>
  <si>
    <t>64574425-45-N</t>
  </si>
  <si>
    <t>64574525-45-N</t>
  </si>
  <si>
    <t>64574625-45-N</t>
  </si>
  <si>
    <t>64574725-45-N</t>
  </si>
  <si>
    <t>64574825-45-N</t>
  </si>
  <si>
    <t>64574925-11-N</t>
  </si>
  <si>
    <t>64575025-11-N</t>
  </si>
  <si>
    <t>64582325-11-N</t>
  </si>
  <si>
    <t>64582425-11-N</t>
  </si>
  <si>
    <t>64582525-11-N</t>
  </si>
  <si>
    <t>64582625-11-N</t>
  </si>
  <si>
    <t>64582725-11-N</t>
  </si>
  <si>
    <t>64582825-11-N</t>
  </si>
  <si>
    <t>64582925-11-N</t>
  </si>
  <si>
    <t>64583025-11-N</t>
  </si>
  <si>
    <t>64583125-11-N</t>
  </si>
  <si>
    <t>64583225-11-N</t>
  </si>
  <si>
    <t>64583425-11-N</t>
  </si>
  <si>
    <t>64583525-11-N</t>
  </si>
  <si>
    <t>64583625-11-N</t>
  </si>
  <si>
    <t>64583725-11-N</t>
  </si>
  <si>
    <t>64583825-11-N</t>
  </si>
  <si>
    <t>64583925-11-N</t>
  </si>
  <si>
    <t>64584025-11-N</t>
  </si>
  <si>
    <t>64584125-11-N</t>
  </si>
  <si>
    <t>64584225-11-N</t>
  </si>
  <si>
    <t>64584325-11-N</t>
  </si>
  <si>
    <t>64584425-11-N</t>
  </si>
  <si>
    <t>64584525-11-N</t>
  </si>
  <si>
    <t>64584625-11-N</t>
  </si>
  <si>
    <t>64584725-11-N</t>
  </si>
  <si>
    <t>64584825-11-N</t>
  </si>
  <si>
    <t>64584925-11-N</t>
  </si>
  <si>
    <t>64585025-11-N</t>
  </si>
  <si>
    <t>64585125-11-N</t>
  </si>
  <si>
    <t>64585225-11-N</t>
  </si>
  <si>
    <t>64585325-38-N</t>
  </si>
  <si>
    <t>64585425-38-N</t>
  </si>
  <si>
    <t>64585525-38-N</t>
  </si>
  <si>
    <t>64585625-38-N</t>
  </si>
  <si>
    <t>64599325-38-N</t>
  </si>
  <si>
    <t>64599425-38-N</t>
  </si>
  <si>
    <t>64599525-38-N</t>
  </si>
  <si>
    <t>64599625-38-N</t>
  </si>
  <si>
    <t>64599725-38-N</t>
  </si>
  <si>
    <t>64599825-38-N</t>
  </si>
  <si>
    <t>64599925-10-N</t>
  </si>
  <si>
    <t>64600025-10-N</t>
  </si>
  <si>
    <t>64600125-10-N</t>
  </si>
  <si>
    <t>64600225-10-N</t>
  </si>
  <si>
    <t>64600325-10-N</t>
  </si>
  <si>
    <t>64600425-10-N</t>
  </si>
  <si>
    <t>64600525-10-N</t>
  </si>
  <si>
    <t>64600625-10-N</t>
  </si>
  <si>
    <t>64600725-10-N</t>
  </si>
  <si>
    <t>64600825-10-N</t>
  </si>
  <si>
    <t>64600925-10-N</t>
  </si>
  <si>
    <t>64601025-10-N</t>
  </si>
  <si>
    <t>64601125-10-N</t>
  </si>
  <si>
    <t>64601225-10-N</t>
  </si>
  <si>
    <t>64601325-90-N</t>
  </si>
  <si>
    <t>64601425-10-N</t>
  </si>
  <si>
    <t>64601525-10-N</t>
  </si>
  <si>
    <t>64601625-10-N</t>
  </si>
  <si>
    <t>64601725-11-N</t>
  </si>
  <si>
    <t>64601825-10-N</t>
  </si>
  <si>
    <t>64601925-42-N</t>
  </si>
  <si>
    <t>64602025-42-N</t>
  </si>
  <si>
    <t>64602125-42-N</t>
  </si>
  <si>
    <t>64602225-10-N</t>
  </si>
  <si>
    <t>64602325-10-N</t>
  </si>
  <si>
    <t>64602425-10-N</t>
  </si>
  <si>
    <t>64602525-10-N</t>
  </si>
  <si>
    <t>64602625-42-N</t>
  </si>
  <si>
    <t>64602725-42-N</t>
  </si>
  <si>
    <t>64602825-42-N</t>
  </si>
  <si>
    <t>64602925-28-N</t>
  </si>
  <si>
    <t>64603025-28-N</t>
  </si>
  <si>
    <t>64603125-28-N</t>
  </si>
  <si>
    <t>64603225-28-N</t>
  </si>
  <si>
    <t>64603325-10-N</t>
  </si>
  <si>
    <t>64603425-28-N</t>
  </si>
  <si>
    <t>64603525-28-N</t>
  </si>
  <si>
    <t>64603625-42-N</t>
  </si>
  <si>
    <t>64603725-28-N</t>
  </si>
  <si>
    <t>64603825-70-P</t>
  </si>
  <si>
    <t>0-70-P</t>
  </si>
  <si>
    <t>64603925-69-P</t>
  </si>
  <si>
    <t>0-69-P</t>
  </si>
  <si>
    <t>64616125-70-P</t>
  </si>
  <si>
    <t>64616325-70-P</t>
  </si>
  <si>
    <t>64616425-70-P</t>
  </si>
  <si>
    <t>64616525-70-P</t>
  </si>
  <si>
    <t>64616625-69-P</t>
  </si>
  <si>
    <t>64616725-69-P</t>
  </si>
  <si>
    <t>64616825-69-P</t>
  </si>
  <si>
    <t>64616925-69-P</t>
  </si>
  <si>
    <t>64617025-10-N</t>
  </si>
  <si>
    <t>64617125-11-N</t>
  </si>
  <si>
    <t>64617225-11-N</t>
  </si>
  <si>
    <t>64617325-11-N</t>
  </si>
  <si>
    <t>64617425-11-N</t>
  </si>
  <si>
    <t>64617525-11-N</t>
  </si>
  <si>
    <t>64617625-11-N</t>
  </si>
  <si>
    <t>64617725-38-N</t>
  </si>
  <si>
    <t>64617825-45-N</t>
  </si>
  <si>
    <t>64617925-45-N</t>
  </si>
  <si>
    <t>64618025-45-N</t>
  </si>
  <si>
    <t>64618125-45-N</t>
  </si>
  <si>
    <t>64618225-45-N</t>
  </si>
  <si>
    <t>64618325-45-N</t>
  </si>
  <si>
    <t>64618425-45-N</t>
  </si>
  <si>
    <t>64618525-45-N</t>
  </si>
  <si>
    <t>64618625-45-N</t>
  </si>
  <si>
    <t>64618725-45-N</t>
  </si>
  <si>
    <t>64618825-45-N</t>
  </si>
  <si>
    <t>64618925-45-N</t>
  </si>
  <si>
    <t>64619025-85-N</t>
  </si>
  <si>
    <t>64619125-85-N</t>
  </si>
  <si>
    <t>64619225-10-N</t>
  </si>
  <si>
    <t>64619325-45-N</t>
  </si>
  <si>
    <t>64619425-18-P</t>
  </si>
  <si>
    <t>0-18-P</t>
  </si>
  <si>
    <t>64619525-45-N</t>
  </si>
  <si>
    <t>64619625-45-N</t>
  </si>
  <si>
    <t>64619725-45-N</t>
  </si>
  <si>
    <t>64619825-45-N</t>
  </si>
  <si>
    <t>64619925-45-N</t>
  </si>
  <si>
    <t>64620025-45-N</t>
  </si>
  <si>
    <t>64620125-45-N</t>
  </si>
  <si>
    <t>64620225-45-N</t>
  </si>
  <si>
    <t>64620325-11-N</t>
  </si>
  <si>
    <t>64620425-38-N</t>
  </si>
  <si>
    <t>64620525-10-N</t>
  </si>
  <si>
    <t>64620625-11-N</t>
  </si>
  <si>
    <t>66430925-45-N</t>
  </si>
  <si>
    <t>66431025-45-N</t>
  </si>
  <si>
    <t>66431225-45-N</t>
  </si>
  <si>
    <t>66431325-38-N</t>
  </si>
  <si>
    <t>66431425-38-N</t>
  </si>
  <si>
    <t>66431525-38-N</t>
  </si>
  <si>
    <t>66431625-38-N</t>
  </si>
  <si>
    <t>66431725-38-N</t>
  </si>
  <si>
    <t>66431825-38-N</t>
  </si>
  <si>
    <t>66431925-38-N</t>
  </si>
  <si>
    <t>66432025-38-N</t>
  </si>
  <si>
    <t>66432125-45-N</t>
  </si>
  <si>
    <t>66482925-10-P</t>
  </si>
  <si>
    <t>4725-10-P</t>
  </si>
  <si>
    <t>67839925-11-N</t>
  </si>
  <si>
    <t>68528925-11-N</t>
  </si>
  <si>
    <t>68529125-38-N</t>
  </si>
  <si>
    <t>68529225-18-P</t>
  </si>
  <si>
    <t>68529325-18-P</t>
  </si>
  <si>
    <t>68529425-18-P</t>
  </si>
  <si>
    <t>68529525-18-P</t>
  </si>
  <si>
    <t>68529625-18-P</t>
  </si>
  <si>
    <t>68529725-18-P</t>
  </si>
  <si>
    <t>68529825-18-P</t>
  </si>
  <si>
    <t>68529925-18-P</t>
  </si>
  <si>
    <t>68530025-18-P</t>
  </si>
  <si>
    <t>68530125-18-P</t>
  </si>
  <si>
    <t>68530225-18-P</t>
  </si>
  <si>
    <t>68530325-18-P</t>
  </si>
  <si>
    <t>68530425-18-P</t>
  </si>
  <si>
    <t>68530525-18-P</t>
  </si>
  <si>
    <t>68530625-18-P</t>
  </si>
  <si>
    <t>68530725-18-P</t>
  </si>
  <si>
    <t>68530825-18-P</t>
  </si>
  <si>
    <t>68530925-18-P</t>
  </si>
  <si>
    <t>68531025-18-P</t>
  </si>
  <si>
    <t>68531125-18-P</t>
  </si>
  <si>
    <t>68531225-18-P</t>
  </si>
  <si>
    <t>68531325-18-P</t>
  </si>
  <si>
    <t>68531425-18-P</t>
  </si>
  <si>
    <t>68531525-18-P</t>
  </si>
  <si>
    <t>68531625-18-P</t>
  </si>
  <si>
    <t>68531725-18-P</t>
  </si>
  <si>
    <t>68531825-18-P</t>
  </si>
  <si>
    <t>68532025-18-P</t>
  </si>
  <si>
    <t>68532225-18-P</t>
  </si>
  <si>
    <t>68532325-18-P</t>
  </si>
  <si>
    <t>68532425-18-P</t>
  </si>
  <si>
    <t>68532625-18-P</t>
  </si>
  <si>
    <t>68532725-18-P</t>
  </si>
  <si>
    <t>68532825-18-P</t>
  </si>
  <si>
    <t>68532925-18-P</t>
  </si>
  <si>
    <t>68533025-18-P</t>
  </si>
  <si>
    <t>68533125-18-P</t>
  </si>
  <si>
    <t>68533225-18-P</t>
  </si>
  <si>
    <t>68787025-10-P</t>
  </si>
  <si>
    <t>4825-10-P</t>
  </si>
  <si>
    <t>68819625-10-P</t>
  </si>
  <si>
    <t>4925-10-P</t>
  </si>
  <si>
    <t>70407125-10-P</t>
  </si>
  <si>
    <t>5125-10-P</t>
  </si>
  <si>
    <t>70461525-11-N</t>
  </si>
  <si>
    <t>71227025-10-N</t>
  </si>
  <si>
    <t>71243425-45-N</t>
  </si>
  <si>
    <t>71247225-38-N</t>
  </si>
  <si>
    <t>Saldo total</t>
  </si>
  <si>
    <t>Saldo libre</t>
  </si>
  <si>
    <t xml:space="preserve">Saldo comprometido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</si>
</sst>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 #,##0.00;\-&quot;$&quot;\ #,##0.00"/>
    <numFmt numFmtId="44" formatCode="_-&quot;$&quot;\ * #,##0.00_-;\-&quot;$&quot;\ * #,##0.00_-;_-&quot;$&quot;\ * &quot;-&quot;??_-;_-@_-"/>
    <numFmt numFmtId="43" formatCode="_-* #,##0.00_-;\-* #,##0.00_-;_-* &quot;-&quot;??_-;_-@_-"/>
    <numFmt numFmtId="164" formatCode="&quot;$&quot;\ #,##0.00"/>
    <numFmt numFmtId="165" formatCode="_-[$$-409]* #,##0.00_ ;_-[$$-409]* \-#,##0.00\ ;_-[$$-409]* &quot;-&quot;??_ ;_-@_ "/>
  </numFmts>
  <fonts count="12" x14ac:knownFonts="1">
    <font>
      <sz val="11"/>
      <color theme="1"/>
      <name val="Aptos Narrow"/>
      <family val="2"/>
      <scheme val="minor"/>
    </font>
    <font>
      <b/>
      <sz val="11"/>
      <color theme="0"/>
      <name val="Aptos Narrow"/>
      <family val="2"/>
      <scheme val="minor"/>
    </font>
    <font>
      <u/>
      <sz val="11"/>
      <color theme="10"/>
      <name val="Aptos Narrow"/>
      <family val="2"/>
      <scheme val="minor"/>
    </font>
    <font>
      <sz val="10"/>
      <color theme="1"/>
      <name val="Aptos Narrow"/>
      <family val="2"/>
      <scheme val="minor"/>
    </font>
    <font>
      <sz val="11"/>
      <color rgb="FFFF0000"/>
      <name val="Aptos Narrow"/>
      <family val="2"/>
      <scheme val="minor"/>
    </font>
    <font>
      <b/>
      <sz val="11"/>
      <color rgb="FFFF0000"/>
      <name val="Aptos Narrow"/>
      <family val="2"/>
      <scheme val="minor"/>
    </font>
    <font>
      <sz val="11"/>
      <color theme="1"/>
      <name val="Aptos Narrow"/>
      <family val="2"/>
      <scheme val="minor"/>
    </font>
    <font>
      <b/>
      <sz val="11"/>
      <color rgb="FFFFFFFF"/>
      <name val="Aptos Narrow"/>
      <family val="2"/>
      <scheme val="minor"/>
    </font>
    <font>
      <sz val="8"/>
      <name val="Aptos Narrow"/>
      <family val="2"/>
      <scheme val="minor"/>
    </font>
    <font>
      <b/>
      <sz val="11"/>
      <color rgb="FFFFFFFF"/>
      <name val="Aptos Narrow"/>
      <family val="2"/>
    </font>
    <font>
      <b/>
      <sz val="11"/>
      <color rgb="FFFF0000"/>
      <name val="Aptos Narrow"/>
      <family val="2"/>
    </font>
    <font>
      <b/>
      <sz val="11"/>
      <color theme="1"/>
      <name val="Aptos Narrow"/>
      <scheme val="minor"/>
    </font>
  </fonts>
  <fills count="7">
    <fill>
      <patternFill patternType="none"/>
    </fill>
    <fill>
      <patternFill patternType="gray125"/>
    </fill>
    <fill>
      <patternFill patternType="solid">
        <fgColor theme="4"/>
        <bgColor theme="4"/>
      </patternFill>
    </fill>
    <fill>
      <patternFill patternType="solid">
        <fgColor rgb="FF156082"/>
        <bgColor rgb="FF156082"/>
      </patternFill>
    </fill>
    <fill>
      <patternFill patternType="solid">
        <fgColor rgb="FFFFFF00"/>
        <bgColor theme="4"/>
      </patternFill>
    </fill>
    <fill>
      <patternFill patternType="solid">
        <fgColor rgb="FFFFFF00"/>
        <bgColor indexed="64"/>
      </patternFill>
    </fill>
    <fill>
      <patternFill patternType="solid">
        <fgColor theme="4" tint="0.79998168889431442"/>
        <bgColor theme="4" tint="0.79998168889431442"/>
      </patternFill>
    </fill>
  </fills>
  <borders count="12">
    <border>
      <left/>
      <right/>
      <top/>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rgb="FF44B3E1"/>
      </left>
      <right/>
      <top style="thin">
        <color rgb="FF44B3E1"/>
      </top>
      <bottom style="thin">
        <color rgb="FF44B3E1"/>
      </bottom>
      <diagonal/>
    </border>
    <border>
      <left/>
      <right/>
      <top style="thin">
        <color theme="4" tint="0.39997558519241921"/>
      </top>
      <bottom style="thin">
        <color theme="4" tint="0.39997558519241921"/>
      </bottom>
      <diagonal/>
    </border>
    <border>
      <left/>
      <right/>
      <top style="thin">
        <color rgb="FF44B3E1"/>
      </top>
      <bottom style="thin">
        <color rgb="FF44B3E1"/>
      </bottom>
      <diagonal/>
    </border>
    <border>
      <left/>
      <right style="thin">
        <color rgb="FF44B3E1"/>
      </right>
      <top style="thin">
        <color rgb="FF44B3E1"/>
      </top>
      <bottom style="thin">
        <color rgb="FF44B3E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rgb="FF000000"/>
      </left>
      <right style="thin">
        <color rgb="FF000000"/>
      </right>
      <top style="thin">
        <color rgb="FF000000"/>
      </top>
      <bottom style="thin">
        <color rgb="FF000000"/>
      </bottom>
      <diagonal/>
    </border>
    <border>
      <left/>
      <right/>
      <top style="thin">
        <color rgb="FF44B3E1"/>
      </top>
      <bottom style="thin">
        <color theme="4" tint="0.39997558519241921"/>
      </bottom>
      <diagonal/>
    </border>
  </borders>
  <cellStyleXfs count="4">
    <xf numFmtId="0" fontId="0" fillId="0" borderId="0"/>
    <xf numFmtId="0" fontId="2"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cellStyleXfs>
  <cellXfs count="60">
    <xf numFmtId="0" fontId="0" fillId="0" borderId="0" xfId="0"/>
    <xf numFmtId="14" fontId="0" fillId="0" borderId="0" xfId="0" applyNumberFormat="1"/>
    <xf numFmtId="1" fontId="0" fillId="0" borderId="0" xfId="0" applyNumberFormat="1"/>
    <xf numFmtId="0" fontId="0" fillId="0" borderId="0" xfId="0" quotePrefix="1"/>
    <xf numFmtId="164" fontId="0" fillId="0" borderId="0" xfId="0" applyNumberFormat="1"/>
    <xf numFmtId="22" fontId="0" fillId="0" borderId="0" xfId="0" applyNumberFormat="1"/>
    <xf numFmtId="7" fontId="0" fillId="0" borderId="0" xfId="0" applyNumberFormat="1"/>
    <xf numFmtId="0" fontId="1" fillId="2" borderId="1" xfId="0" applyFont="1" applyFill="1" applyBorder="1"/>
    <xf numFmtId="164" fontId="1" fillId="2" borderId="1" xfId="0" applyNumberFormat="1" applyFont="1" applyFill="1" applyBorder="1"/>
    <xf numFmtId="0" fontId="1" fillId="2" borderId="2" xfId="0" applyFont="1" applyFill="1" applyBorder="1"/>
    <xf numFmtId="1" fontId="1" fillId="2" borderId="1" xfId="0" applyNumberFormat="1" applyFont="1" applyFill="1" applyBorder="1"/>
    <xf numFmtId="22" fontId="1" fillId="2" borderId="1" xfId="0" applyNumberFormat="1" applyFont="1" applyFill="1" applyBorder="1"/>
    <xf numFmtId="165" fontId="0" fillId="0" borderId="0" xfId="0" applyNumberFormat="1"/>
    <xf numFmtId="3" fontId="0" fillId="0" borderId="0" xfId="0" applyNumberFormat="1"/>
    <xf numFmtId="9" fontId="0" fillId="0" borderId="0" xfId="0" applyNumberFormat="1"/>
    <xf numFmtId="10" fontId="0" fillId="0" borderId="0" xfId="0" applyNumberFormat="1"/>
    <xf numFmtId="9" fontId="4" fillId="0" borderId="0" xfId="0" applyNumberFormat="1" applyFont="1"/>
    <xf numFmtId="164" fontId="0" fillId="0" borderId="0" xfId="2" applyNumberFormat="1" applyFont="1"/>
    <xf numFmtId="1" fontId="5" fillId="4" borderId="1" xfId="0" applyNumberFormat="1" applyFont="1" applyFill="1" applyBorder="1"/>
    <xf numFmtId="0" fontId="5" fillId="4" borderId="1" xfId="0" applyFont="1" applyFill="1" applyBorder="1"/>
    <xf numFmtId="2" fontId="0" fillId="0" borderId="0" xfId="0" applyNumberFormat="1"/>
    <xf numFmtId="49" fontId="0" fillId="0" borderId="0" xfId="0" applyNumberFormat="1"/>
    <xf numFmtId="22" fontId="1" fillId="2" borderId="4" xfId="0" applyNumberFormat="1" applyFont="1" applyFill="1" applyBorder="1"/>
    <xf numFmtId="0" fontId="9" fillId="3" borderId="6" xfId="0" applyFont="1" applyFill="1" applyBorder="1"/>
    <xf numFmtId="0" fontId="5" fillId="5" borderId="3" xfId="0" applyFont="1" applyFill="1" applyBorder="1"/>
    <xf numFmtId="0" fontId="10" fillId="5" borderId="5" xfId="0" applyFont="1" applyFill="1" applyBorder="1"/>
    <xf numFmtId="14" fontId="9" fillId="3" borderId="5" xfId="0" applyNumberFormat="1" applyFont="1" applyFill="1" applyBorder="1"/>
    <xf numFmtId="164" fontId="9" fillId="3" borderId="5" xfId="0" applyNumberFormat="1" applyFont="1" applyFill="1" applyBorder="1"/>
    <xf numFmtId="164" fontId="0" fillId="0" borderId="0" xfId="0" applyNumberFormat="1" applyAlignment="1">
      <alignment wrapText="1"/>
    </xf>
    <xf numFmtId="0" fontId="0" fillId="6" borderId="7" xfId="0" applyFill="1" applyBorder="1"/>
    <xf numFmtId="0" fontId="0" fillId="6" borderId="4" xfId="0" applyFill="1" applyBorder="1"/>
    <xf numFmtId="164" fontId="0" fillId="6" borderId="4" xfId="0" applyNumberFormat="1" applyFill="1" applyBorder="1"/>
    <xf numFmtId="0" fontId="0" fillId="6" borderId="8" xfId="0" applyFill="1" applyBorder="1"/>
    <xf numFmtId="0" fontId="9" fillId="3" borderId="0" xfId="0" applyFont="1" applyFill="1"/>
    <xf numFmtId="164" fontId="1" fillId="2" borderId="7" xfId="0" applyNumberFormat="1" applyFont="1" applyFill="1" applyBorder="1"/>
    <xf numFmtId="0" fontId="0" fillId="6" borderId="0" xfId="0" applyFill="1"/>
    <xf numFmtId="49" fontId="0" fillId="6" borderId="4" xfId="0" applyNumberFormat="1" applyFill="1" applyBorder="1"/>
    <xf numFmtId="0" fontId="0" fillId="0" borderId="7" xfId="0" applyBorder="1"/>
    <xf numFmtId="0" fontId="0" fillId="0" borderId="1" xfId="0" applyBorder="1"/>
    <xf numFmtId="22" fontId="1" fillId="2" borderId="9" xfId="0" applyNumberFormat="1" applyFont="1" applyFill="1" applyBorder="1"/>
    <xf numFmtId="0" fontId="3" fillId="0" borderId="10" xfId="0" applyFont="1" applyBorder="1"/>
    <xf numFmtId="49" fontId="3" fillId="0" borderId="10" xfId="0" applyNumberFormat="1" applyFont="1" applyBorder="1"/>
    <xf numFmtId="49" fontId="3" fillId="0" borderId="10" xfId="0" applyNumberFormat="1" applyFont="1" applyBorder="1" applyAlignment="1">
      <alignment horizontal="left"/>
    </xf>
    <xf numFmtId="49" fontId="3" fillId="0" borderId="10" xfId="0" applyNumberFormat="1" applyFont="1" applyBorder="1" applyAlignment="1">
      <alignment horizontal="center"/>
    </xf>
    <xf numFmtId="49" fontId="0" fillId="0" borderId="10" xfId="0" applyNumberFormat="1" applyBorder="1" applyAlignment="1">
      <alignment horizontal="left"/>
    </xf>
    <xf numFmtId="0" fontId="7" fillId="3" borderId="3" xfId="0" applyFont="1" applyFill="1" applyBorder="1"/>
    <xf numFmtId="1" fontId="5" fillId="4" borderId="11" xfId="0" applyNumberFormat="1" applyFont="1" applyFill="1" applyBorder="1"/>
    <xf numFmtId="164" fontId="7" fillId="3" borderId="3" xfId="0" applyNumberFormat="1" applyFont="1" applyFill="1" applyBorder="1"/>
    <xf numFmtId="14" fontId="7" fillId="3" borderId="3" xfId="0" applyNumberFormat="1" applyFont="1" applyFill="1" applyBorder="1"/>
    <xf numFmtId="43" fontId="3" fillId="0" borderId="10" xfId="3" applyFont="1" applyBorder="1" applyAlignment="1"/>
    <xf numFmtId="43" fontId="3" fillId="0" borderId="10" xfId="3" applyFont="1" applyBorder="1" applyAlignment="1">
      <alignment horizontal="left"/>
    </xf>
    <xf numFmtId="4" fontId="0" fillId="0" borderId="0" xfId="0" applyNumberFormat="1"/>
    <xf numFmtId="0" fontId="3" fillId="0" borderId="10" xfId="0" applyFont="1" applyBorder="1" applyAlignment="1">
      <alignment horizontal="left"/>
    </xf>
    <xf numFmtId="1" fontId="3" fillId="0" borderId="10" xfId="0" applyNumberFormat="1" applyFont="1" applyBorder="1"/>
    <xf numFmtId="49" fontId="0" fillId="0" borderId="10" xfId="0" applyNumberFormat="1" applyBorder="1"/>
    <xf numFmtId="0" fontId="3" fillId="0" borderId="10" xfId="0" applyFont="1" applyBorder="1" applyAlignment="1">
      <alignment horizontal="center"/>
    </xf>
    <xf numFmtId="1" fontId="7" fillId="3" borderId="3" xfId="0" applyNumberFormat="1" applyFont="1" applyFill="1" applyBorder="1"/>
    <xf numFmtId="0" fontId="3" fillId="0" borderId="10" xfId="3" applyNumberFormat="1" applyFont="1" applyBorder="1" applyAlignment="1">
      <alignment horizontal="left"/>
    </xf>
    <xf numFmtId="0" fontId="0" fillId="0" borderId="0" xfId="2" applyNumberFormat="1" applyFont="1"/>
    <xf numFmtId="0" fontId="11" fillId="0" borderId="0" xfId="0" applyFont="1"/>
  </cellXfs>
  <cellStyles count="4">
    <cellStyle name="Hyperlink" xfId="1" xr:uid="{00000000-000B-0000-0000-000008000000}"/>
    <cellStyle name="Millares" xfId="3" builtinId="3"/>
    <cellStyle name="Moneda" xfId="2" builtinId="4"/>
    <cellStyle name="Normal" xfId="0" builtinId="0"/>
  </cellStyles>
  <dxfs count="75">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6" formatCode="d/mm/yyyy\ h:mm"/>
      <fill>
        <patternFill patternType="solid">
          <fgColor theme="4"/>
          <bgColor theme="4"/>
        </patternFill>
      </fill>
    </dxf>
    <dxf>
      <numFmt numFmtId="164" formatCode="&quot;$&quot;\ #,##0.00"/>
    </dxf>
    <dxf>
      <border outline="0">
        <bottom style="thin">
          <color theme="4" tint="0.39997558519241921"/>
        </bottom>
      </border>
    </dxf>
    <dxf>
      <numFmt numFmtId="2" formatCode="0.00"/>
    </dxf>
    <dxf>
      <numFmt numFmtId="2" formatCode="0.00"/>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numFmt numFmtId="2" formatCode="0.00"/>
    </dxf>
    <dxf>
      <numFmt numFmtId="2" formatCode="0.00"/>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4" formatCode="&quot;$&quot;\ #,##0.00"/>
      <fill>
        <patternFill patternType="solid">
          <fgColor theme="4"/>
          <bgColor theme="4"/>
        </patternFill>
      </fill>
    </dxf>
    <dxf>
      <numFmt numFmtId="164" formatCode="&quot;$&quot;\ #,##0.00"/>
    </dxf>
    <dxf>
      <numFmt numFmtId="164" formatCode="&quot;$&quot;\ #,##0.00"/>
    </dxf>
    <dxf>
      <numFmt numFmtId="164" formatCode="&quot;$&quot;\ #,##0.00"/>
    </dxf>
    <dxf>
      <numFmt numFmtId="164" formatCode="&quot;$&quot;\ #,##0.00"/>
    </dxf>
    <dxf>
      <numFmt numFmtId="164" formatCode="&quot;$&quot;\ #,##0.00"/>
    </dxf>
    <dxf>
      <numFmt numFmtId="30" formatCode="@"/>
    </dxf>
    <dxf>
      <numFmt numFmtId="30" formatCode="@"/>
    </dxf>
    <dxf>
      <font>
        <b/>
        <i val="0"/>
        <strike val="0"/>
        <condense val="0"/>
        <extend val="0"/>
        <outline val="0"/>
        <shadow val="0"/>
        <u val="none"/>
        <vertAlign val="baseline"/>
        <sz val="11"/>
        <color rgb="FFFFFFFF"/>
        <name val="Aptos Narrow"/>
        <family val="2"/>
        <scheme val="none"/>
      </font>
      <fill>
        <patternFill patternType="solid">
          <fgColor rgb="FF156082"/>
          <bgColor rgb="FF156082"/>
        </patternFill>
      </fill>
      <alignment horizontal="general" vertical="bottom" textRotation="0" wrapText="0" indent="0" justifyLastLine="0" shrinkToFit="0" readingOrder="0"/>
    </dxf>
    <dxf>
      <numFmt numFmtId="166" formatCode="d/mm/yyyy\ h:mm"/>
    </dxf>
    <dxf>
      <numFmt numFmtId="1" formatCode="0"/>
    </dxf>
    <dxf>
      <numFmt numFmtId="1" formatCode="0"/>
    </dxf>
    <dxf>
      <numFmt numFmtId="0" formatCode="General"/>
    </dxf>
    <dxf>
      <numFmt numFmtId="0" formatCode="General"/>
    </dxf>
    <dxf>
      <numFmt numFmtId="164" formatCode="&quot;$&quot;\ #,##0.00"/>
    </dxf>
    <dxf>
      <numFmt numFmtId="164" formatCode="&quot;$&quot;\ #,##0.00"/>
    </dxf>
    <dxf>
      <numFmt numFmtId="4" formatCode="#,##0.00"/>
    </dxf>
    <dxf>
      <numFmt numFmtId="1" formatCode="0"/>
    </dxf>
    <dxf>
      <numFmt numFmtId="1" formatCode="0"/>
    </dxf>
    <dxf>
      <numFmt numFmtId="164" formatCode="&quot;$&quot;\ #,##0.00"/>
    </dxf>
    <dxf>
      <font>
        <sz val="10"/>
      </font>
      <numFmt numFmtId="164" formatCode="&quot;$&quot;\ #,##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z val="10"/>
      </font>
      <numFmt numFmtId="164" formatCode="&quot;$&quot;\ #,##0.00"/>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z val="10"/>
      </font>
      <numFmt numFmtId="164" formatCode="&quot;$&quot;\ #,##0.00"/>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4" formatCode="&quot;$&quot;\ #,##0.00"/>
    </dxf>
    <dxf>
      <numFmt numFmtId="166" formatCode="d/mm/yyyy\ h:mm"/>
    </dxf>
    <dxf>
      <numFmt numFmtId="166" formatCode="d/mm/yyyy\ h:mm"/>
    </dxf>
    <dxf>
      <numFmt numFmtId="0" formatCode="General"/>
    </dxf>
    <dxf>
      <numFmt numFmtId="0" formatCode="General"/>
    </dxf>
    <dxf>
      <numFmt numFmtId="0" formatCode="General"/>
    </dxf>
    <dxf>
      <numFmt numFmtId="166" formatCode="d/mm/yyyy\ h:mm"/>
    </dxf>
    <dxf>
      <numFmt numFmtId="1" formatCode="0"/>
    </dxf>
    <dxf>
      <numFmt numFmtId="1" formatCode="0"/>
    </dxf>
    <dxf>
      <numFmt numFmtId="1" formatCode="0"/>
    </dxf>
    <dxf>
      <numFmt numFmtId="1" formatCode="0"/>
    </dxf>
    <dxf>
      <font>
        <sz val="10"/>
      </font>
      <numFmt numFmtId="164" formatCode="&quot;$&quot;\ #,##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z val="10"/>
      </font>
      <numFmt numFmtId="164" formatCode="&quot;$&quot;\ #,##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z val="10"/>
      </font>
      <numFmt numFmtId="164" formatCode="&quot;$&quot;\ #,##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 formatCode="0"/>
    </dxf>
    <dxf>
      <numFmt numFmtId="166" formatCode="d/mm/yyyy\ h:mm"/>
    </dxf>
    <dxf>
      <numFmt numFmtId="166" formatCode="d/mm/yyyy\ h:mm"/>
    </dxf>
    <dxf>
      <numFmt numFmtId="1" formatCode="0"/>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6" formatCode="d/mm/yyyy\ h:mm"/>
    </dxf>
    <dxf>
      <numFmt numFmtId="166" formatCode="d/mm/yyyy\ h:mm"/>
    </dxf>
    <dxf>
      <numFmt numFmtId="0" formatCode="Genera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4" formatCode="&quot;$&quot;\ #,##0.00"/>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Grafico x totales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D9-4135-9170-B67E3F2211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D9-4135-9170-B67E3F2211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 FINAL'!$E$22:$E$23</c:f>
              <c:strCache>
                <c:ptCount val="2"/>
                <c:pt idx="0">
                  <c:v>Restante</c:v>
                </c:pt>
                <c:pt idx="1">
                  <c:v>Total</c:v>
                </c:pt>
              </c:strCache>
            </c:strRef>
          </c:cat>
          <c:val>
            <c:numRef>
              <c:f>'TABLA FINAL'!$F$22:$F$23</c:f>
              <c:numCache>
                <c:formatCode>_-[$$-409]* #,##0.00_ ;_-[$$-409]* \-#,##0.00\ ;_-[$$-409]* "-"??_ ;_-@_ </c:formatCode>
                <c:ptCount val="2"/>
                <c:pt idx="0">
                  <c:v>5662800</c:v>
                </c:pt>
                <c:pt idx="1">
                  <c:v>14337200</c:v>
                </c:pt>
              </c:numCache>
            </c:numRef>
          </c:val>
          <c:extLst>
            <c:ext xmlns:c16="http://schemas.microsoft.com/office/drawing/2014/chart" uri="{C3380CC4-5D6E-409C-BE32-E72D297353CC}">
              <c16:uniqueId val="{00000001-94C2-4EC9-BF04-31B9DD1AAA8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Grafico x CRPs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99-4D21-8B8C-8F9518B1F7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99-4D21-8B8C-8F9518B1F7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99-4D21-8B8C-8F9518B1F7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E99-4D21-8B8C-8F9518B1F7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E99-4D21-8B8C-8F9518B1F7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 FINAL'!$D$10:$D$14</c:f>
              <c:strCache>
                <c:ptCount val="5"/>
                <c:pt idx="0">
                  <c:v>123</c:v>
                </c:pt>
                <c:pt idx="1">
                  <c:v>321</c:v>
                </c:pt>
                <c:pt idx="2">
                  <c:v>345</c:v>
                </c:pt>
                <c:pt idx="3">
                  <c:v>543</c:v>
                </c:pt>
                <c:pt idx="4">
                  <c:v>Restante</c:v>
                </c:pt>
              </c:strCache>
            </c:strRef>
          </c:cat>
          <c:val>
            <c:numRef>
              <c:f>'TABLA FINAL'!$E$10:$E$14</c:f>
              <c:numCache>
                <c:formatCode>_-[$$-409]* #,##0.00_ ;_-[$$-409]* \-#,##0.00\ ;_-[$$-409]* "-"??_ ;_-@_ </c:formatCode>
                <c:ptCount val="5"/>
                <c:pt idx="0">
                  <c:v>3000000</c:v>
                </c:pt>
                <c:pt idx="1">
                  <c:v>2500000</c:v>
                </c:pt>
                <c:pt idx="2">
                  <c:v>5837200</c:v>
                </c:pt>
                <c:pt idx="3">
                  <c:v>3000000</c:v>
                </c:pt>
                <c:pt idx="4">
                  <c:v>5662800</c:v>
                </c:pt>
              </c:numCache>
            </c:numRef>
          </c:val>
          <c:extLst>
            <c:ext xmlns:c16="http://schemas.microsoft.com/office/drawing/2014/chart" uri="{C3380CC4-5D6E-409C-BE32-E72D297353CC}">
              <c16:uniqueId val="{00000001-3D13-4D63-92DB-D1A9A99E929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495300</xdr:colOff>
      <xdr:row>13</xdr:row>
      <xdr:rowOff>114300</xdr:rowOff>
    </xdr:from>
    <xdr:to>
      <xdr:col>14</xdr:col>
      <xdr:colOff>438150</xdr:colOff>
      <xdr:row>28</xdr:row>
      <xdr:rowOff>0</xdr:rowOff>
    </xdr:to>
    <xdr:graphicFrame macro="">
      <xdr:nvGraphicFramePr>
        <xdr:cNvPr id="7" name="Gráfico 6">
          <a:extLst>
            <a:ext uri="{FF2B5EF4-FFF2-40B4-BE49-F238E27FC236}">
              <a16:creationId xmlns:a16="http://schemas.microsoft.com/office/drawing/2014/main" id="{28B827B3-494B-6437-97D7-1914E76B903D}"/>
            </a:ext>
            <a:ext uri="{147F2762-F138-4A5C-976F-8EAC2B608ADB}">
              <a16:predDERef xmlns:a16="http://schemas.microsoft.com/office/drawing/2014/main" pred="{68A2395A-B22F-D940-98F6-428C7DBA60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571500</xdr:colOff>
      <xdr:row>0</xdr:row>
      <xdr:rowOff>152400</xdr:rowOff>
    </xdr:from>
    <xdr:to>
      <xdr:col>14</xdr:col>
      <xdr:colOff>85725</xdr:colOff>
      <xdr:row>13</xdr:row>
      <xdr:rowOff>85725</xdr:rowOff>
    </xdr:to>
    <xdr:graphicFrame macro="">
      <xdr:nvGraphicFramePr>
        <xdr:cNvPr id="8" name="Gráfico 7">
          <a:extLst>
            <a:ext uri="{FF2B5EF4-FFF2-40B4-BE49-F238E27FC236}">
              <a16:creationId xmlns:a16="http://schemas.microsoft.com/office/drawing/2014/main" id="{FB7AE793-248A-152E-86F2-9BDCA1EEC7F5}"/>
            </a:ext>
            <a:ext uri="{147F2762-F138-4A5C-976F-8EAC2B608ADB}">
              <a16:predDERef xmlns:a16="http://schemas.microsoft.com/office/drawing/2014/main" pred="{28B827B3-494B-6437-97D7-1914E76B9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20</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637642D-0FC6-47C1-944B-D0729E21CCA3}" name="TablaCDP" displayName="TablaCDP" ref="A1:S104" totalsRowShown="0" headerRowDxfId="69" headerRowBorderDxfId="68">
  <autoFilter ref="A1:S104" xr:uid="{0637642D-0FC6-47C1-944B-D0729E21CCA3}"/>
  <tableColumns count="19">
    <tableColumn id="1" xr3:uid="{AC1907DA-C684-47E6-8B2E-C76420370A49}" name="CODIGO CDP" dataDxfId="67"/>
    <tableColumn id="2" xr3:uid="{2A75ECE1-F945-422D-865B-FEA0E147CE48}" name="Numero Documento"/>
    <tableColumn id="3" xr3:uid="{F5735EA3-4168-414F-B0ED-0E8D517A828F}" name="Fecha de Registro" dataDxfId="66"/>
    <tableColumn id="4" xr3:uid="{9A2CDE62-C332-4CF9-B7F3-C54A89169EF3}" name="Fecha de Creacion" dataDxfId="65"/>
    <tableColumn id="5" xr3:uid="{F1220412-50D9-416B-9D20-3AE953274C3A}" name="Estado"/>
    <tableColumn id="6" xr3:uid="{978C36A5-2021-4E91-8647-FE0D09D109F6}" name="Dependencia"/>
    <tableColumn id="7" xr3:uid="{9AE9460D-F161-407A-B315-D20E56CB2BD8}" name="Rubro"/>
    <tableColumn id="8" xr3:uid="{9F9682FB-F2B1-4EBB-849C-E430A1C51A90}" name="Fuente"/>
    <tableColumn id="9" xr3:uid="{02F99C33-E44F-452F-9586-8C54F3A37836}" name="Recurso"/>
    <tableColumn id="10" xr3:uid="{83C2CE35-9D4E-4886-BE3C-06EA8A706A6C}" name="Valor Inicial" dataDxfId="64" dataCellStyle="Millares"/>
    <tableColumn id="11" xr3:uid="{F5DF229A-72E0-42DC-BB82-C24C7D27FA07}" name="Valor Operaciones" dataDxfId="63" dataCellStyle="Millares"/>
    <tableColumn id="12" xr3:uid="{BE6F98FE-6E5B-4959-B9E6-C8B5B7ECAA86}" name="VALOR ACTUAL" dataDxfId="62" dataCellStyle="Millares"/>
    <tableColumn id="13" xr3:uid="{ACF09034-9BBA-4D12-AA40-0F889092ECCE}" name="Saldo por Comprometer" dataDxfId="61" dataCellStyle="Millares"/>
    <tableColumn id="14" xr3:uid="{8C3AD864-D8B2-44A4-A7BF-1F8659EB5610}" name="Objeto"/>
    <tableColumn id="15" xr3:uid="{11057C1B-B3CE-4F0D-BA65-C4FA6E7B15DE}" name="Compromisos"/>
    <tableColumn id="16" xr3:uid="{E3B95473-ADBA-4843-8A44-DD16A9E0B76F}" name="Cuentas por Pagar"/>
    <tableColumn id="17" xr3:uid="{EADBD28B-10E6-47A5-B3DC-C7AB8127E842}" name="Obligaciones"/>
    <tableColumn id="18" xr3:uid="{FFD23678-86D1-4627-AC8D-A9778D28C206}" name="Ordenes de Pago"/>
    <tableColumn id="19" xr3:uid="{6E780F7E-9AC6-4192-9D86-BBD0AC016274}" name="Reintegros"/>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1E7006-240B-4B75-A851-7C53BB619284}" name="TablaCRP" displayName="TablaCRP" ref="A1:AH551" totalsRowShown="0" headerRowDxfId="60" headerRowBorderDxfId="59" tableBorderDxfId="58">
  <autoFilter ref="A1:AH551" xr:uid="{F41E7006-240B-4B75-A851-7C53BB619284}"/>
  <tableColumns count="34">
    <tableColumn id="1" xr3:uid="{3003FEE7-7F11-43AF-9FE2-4E89E6A90467}" name="CODIGO CRP" dataDxfId="57"/>
    <tableColumn id="2" xr3:uid="{39AE1C43-1144-4A01-ADF9-3006A2E493A2}" name="CODIGO CDP" dataDxfId="56"/>
    <tableColumn id="3" xr3:uid="{D70EA1B2-33DE-4745-962E-8CCE0D72AFBA}" name="Numero Documento" dataDxfId="55"/>
    <tableColumn id="4" xr3:uid="{86427FFB-9BAB-4658-A00C-EA73D6418DF0}" name="Fecha de Registro" dataDxfId="54"/>
    <tableColumn id="5" xr3:uid="{3BB28478-C531-420D-B492-5A5A07A86622}" name="Fecha de Creacion" dataDxfId="53"/>
    <tableColumn id="6" xr3:uid="{9291CCF8-B0EE-4149-9C07-C8B8C739622A}" name="Estado"/>
    <tableColumn id="7" xr3:uid="{C0CB421A-BC13-42B4-8E2D-DA4A92C81A45}" name="Dependencia" dataDxfId="52"/>
    <tableColumn id="8" xr3:uid="{D77E0D62-6885-431C-84B9-A0E698A9E07E}" name="Rubro"/>
    <tableColumn id="9" xr3:uid="{B6A16F55-463C-4FCF-B8D3-DA676A5D8B91}" name="Descripcion"/>
    <tableColumn id="10" xr3:uid="{AD20E0A1-3EFE-40C2-8E75-F217A57677C4}" name="Fuente"/>
    <tableColumn id="11" xr3:uid="{88539B65-C640-4932-BD5F-3CA9263F4AFF}" name="Valor Inicial" dataDxfId="51" dataCellStyle="Millares"/>
    <tableColumn id="12" xr3:uid="{D20A3D9F-B540-4041-89F8-619DBA638927}" name="Valor Operaciones" dataDxfId="50" dataCellStyle="Millares"/>
    <tableColumn id="13" xr3:uid="{312B3D04-890D-4B79-A882-D1A1ABC45F30}" name="Valor Actual" dataDxfId="49" dataCellStyle="Millares"/>
    <tableColumn id="14" xr3:uid="{B4A2C61D-6033-4F70-BF01-79FFDEA74E64}" name="Saldo por Utilizar" dataDxfId="48" dataCellStyle="Millares"/>
    <tableColumn id="15" xr3:uid="{66B1B7B9-EBE5-4335-943A-E613770F86E2}" name="Tipo Identificacion"/>
    <tableColumn id="16" xr3:uid="{0365C643-5DF9-4176-A451-706A6BC314B6}" name="Identificacion"/>
    <tableColumn id="17" xr3:uid="{606BDDAA-C6D1-4E3B-BF3F-EDAE72F66948}" name="Nombre Razon Social"/>
    <tableColumn id="18" xr3:uid="{701F7395-3465-463C-8990-2291295F1D42}" name="Medio de Pago"/>
    <tableColumn id="19" xr3:uid="{4A70E377-876C-4C76-B6E1-E68B445D2AEA}" name="Tipo Cuenta"/>
    <tableColumn id="20" xr3:uid="{A9AD8EB1-9DDD-4765-BA5E-CB5B1FFE4266}" name="Numero Cuenta" dataDxfId="47"/>
    <tableColumn id="21" xr3:uid="{B34C304B-21E0-423C-BF11-880D5B0504D3}" name="Estado Cuenta"/>
    <tableColumn id="22" xr3:uid="{327EB7D4-0CB8-4F82-8924-11BCC9E41187}" name="Entidad Nit"/>
    <tableColumn id="23" xr3:uid="{91FEE0E4-6869-4A1C-90DD-704F2A2F18E4}" name="Entidad Descripcion"/>
    <tableColumn id="24" xr3:uid="{696B7915-AA3A-4EE4-A314-65451C5D7BAF}" name="Solicitud CDP" dataDxfId="46"/>
    <tableColumn id="25" xr3:uid="{8FF9FDF9-21BA-4E45-93BB-1FB41ACEAC31}" name="CDP" dataDxfId="45"/>
    <tableColumn id="26" xr3:uid="{AC4FB9CE-53E3-48F4-8A2B-E5815B84CDCD}" name="Compromisos" dataDxfId="44"/>
    <tableColumn id="27" xr3:uid="{77805C59-CFA1-46D0-9C6E-D803C44E8D9A}" name="Cuentas por Pagar"/>
    <tableColumn id="28" xr3:uid="{3EA17A75-7598-4F82-9F12-13F9D3A44464}" name="Obligaciones"/>
    <tableColumn id="29" xr3:uid="{F7FED717-9908-4A35-B0F0-00958835DFBF}" name="Ordenes de Pago"/>
    <tableColumn id="30" xr3:uid="{E645A147-72AC-41A9-A793-F18D8209AF7D}" name="Reintegros"/>
    <tableColumn id="31" xr3:uid="{9F722CD3-B121-46C1-BDA6-1FECD1F59CDA}" name="Fecha Documento Soporte" dataDxfId="43"/>
    <tableColumn id="32" xr3:uid="{D28F3608-FD20-4D43-BCA8-08A794851167}" name="Tipo Documento Soporte"/>
    <tableColumn id="33" xr3:uid="{AA1119A1-971C-4E17-841E-83349708C921}" name="Numero Documento Soporte"/>
    <tableColumn id="34" xr3:uid="{969C58BB-F200-4BD0-9F8D-73E51345816F}" name="Observaciones"/>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662427-5289-43E9-88BB-1B9B770454D8}" name="TablaOP" displayName="TablaOP" ref="A1:BA454" totalsRowShown="0">
  <autoFilter ref="A1:BA454" xr:uid="{10662427-5289-43E9-88BB-1B9B770454D8}"/>
  <tableColumns count="53">
    <tableColumn id="1" xr3:uid="{8C2EFC0E-0485-4185-957C-C632F1D351D3}" name="CODIGO_OP" dataDxfId="42"/>
    <tableColumn id="2" xr3:uid="{3BEEAB32-658D-4E98-B270-DC22127EECFE}" name="CODIGO_CRP" dataDxfId="41"/>
    <tableColumn id="3" xr3:uid="{EFB94D1B-B937-4A07-875A-6B1522068F5E}" name="CODIGO_CDP" dataDxfId="40"/>
    <tableColumn id="4" xr3:uid="{980FEBB1-F2EE-41B9-978A-AB36D623E769}" name="Numero_Documento"/>
    <tableColumn id="5" xr3:uid="{B98E34FA-FEA7-4CF2-9BF8-D78082D66034}" name="Fecha_de_Registro" dataDxfId="39"/>
    <tableColumn id="6" xr3:uid="{3C2D1DDF-A545-4E59-BD86-5D0C318486FA}" name="Fecha_de_Pago" dataDxfId="38"/>
    <tableColumn id="7" xr3:uid="{A11F68DF-A4F3-4F5F-AD00-83733DD78B3B}" name="Estado" dataDxfId="37"/>
    <tableColumn id="8" xr3:uid="{75CC0B21-AC70-4C65-A1D0-1F3E456CA1B2}" name="Valor_Bruto" dataDxfId="36" dataCellStyle="Millares"/>
    <tableColumn id="9" xr3:uid="{73490CC0-CE55-4363-8B1C-2A8721B97B13}" name="Valor_Deducciones" dataDxfId="35" dataCellStyle="Millares"/>
    <tableColumn id="10" xr3:uid="{02ED3CA6-89A6-44D3-9D60-8D5EC1F10077}" name="Valor_Neto" dataDxfId="34" dataCellStyle="Millares"/>
    <tableColumn id="11" xr3:uid="{AF534623-0410-4C4C-988A-BCA02C683098}" name="Tipo_Beneficiario"/>
    <tableColumn id="12" xr3:uid="{88AA313E-DBB3-4E44-B500-612F06309AA9}" name="Vigencia_Presupuestal" dataDxfId="33"/>
    <tableColumn id="13" xr3:uid="{2CB640BB-A8E8-44E9-9977-4DA00DD9579A}" name="Tipo_Identificacion"/>
    <tableColumn id="14" xr3:uid="{D7E0E417-BF1B-427F-BB20-AB306D66855B}" name="Identificacion" dataDxfId="32"/>
    <tableColumn id="15" xr3:uid="{2EB14022-6613-48ED-A7F4-C4D9AA17A213}" name="Nombre_Razon_Social"/>
    <tableColumn id="16" xr3:uid="{75A7C2C3-87EE-484E-85C3-0130EDA8BDE5}" name="Medio_de_Pago"/>
    <tableColumn id="17" xr3:uid="{933E3179-6929-4B18-907F-764D9A226F7E}" name="Tipo_Cuenta"/>
    <tableColumn id="18" xr3:uid="{C627FC93-3B98-4648-84C1-40FB4611AB8E}" name="Numero_Cuenta"/>
    <tableColumn id="19" xr3:uid="{9F209E6F-96D7-4971-9E14-FD684BD9A6A1}" name="Estado_Cuenta"/>
    <tableColumn id="20" xr3:uid="{390080AC-2253-48C7-8563-CB19488DEC34}" name="Entidad_Nit"/>
    <tableColumn id="21" xr3:uid="{4A3CF301-B455-4D24-AD0C-6AFEEC1E2CDE}" name="Entidad_Descripcion"/>
    <tableColumn id="22" xr3:uid="{887E1AAC-D90E-41E0-AE80-6FE7D88B43FC}" name="Dependencia"/>
    <tableColumn id="23" xr3:uid="{DA933450-78B1-4095-AB77-AAE61B0083B4}" name="Dependencia_Descripcion"/>
    <tableColumn id="24" xr3:uid="{42E420E5-CC19-4F65-B9A6-D9951FB466C1}" name="Rubro" dataDxfId="31"/>
    <tableColumn id="25" xr3:uid="{BE406AAE-26AD-407E-9E22-46F6A8E2C4B1}" name="Descripcion"/>
    <tableColumn id="26" xr3:uid="{A048A9F0-AF7A-473E-AB83-62BCD067F546}" name="Fuente"/>
    <tableColumn id="27" xr3:uid="{47B84CB9-2F17-4639-95B7-49BD915B7B47}" name="Recurso"/>
    <tableColumn id="28" xr3:uid="{41DC7646-98B6-4972-AA35-BF3F063F7F20}" name="Sit"/>
    <tableColumn id="29" xr3:uid="{DB1A0BF4-4D6D-4D3F-ADE0-4E0BEC02E87C}" name="Valor_Pesos" dataDxfId="30"/>
    <tableColumn id="30" xr3:uid="{09819D61-4C75-46FA-8645-C3FE52EE181E}" name="Valor_Moneda"/>
    <tableColumn id="31" xr3:uid="{AECC0C83-949D-4530-B64E-CFBF24C90EDD}" name="Valor_Reintegrado_Pesos" dataDxfId="29"/>
    <tableColumn id="32" xr3:uid="{B23A921D-0B3E-40CF-A091-608CEB8602EB}" name="Valor_Reintegrado_Moneda" dataDxfId="28"/>
    <tableColumn id="33" xr3:uid="{8E54ED66-24FB-4C1A-BFB5-D6641622A196}" name="Tesoreria_Pagadora"/>
    <tableColumn id="34" xr3:uid="{FB5C3B1D-C634-4171-8FF2-CF5BB3B5BD95}" name="Identificacion_Pagaduria" dataDxfId="27"/>
    <tableColumn id="35" xr3:uid="{A91737DE-1F55-44E3-895A-DEC5799D21C1}" name="Cuenta_Pagaduria" dataDxfId="26"/>
    <tableColumn id="36" xr3:uid="{B19F7A35-2858-4D76-8FEC-3C409FB65F96}" name="Endosada" dataDxfId="25"/>
    <tableColumn id="37" xr3:uid="{5C49804C-D834-4972-84D1-B4B7D400830F}" name="Tipo_Identificacion2" dataDxfId="24"/>
    <tableColumn id="38" xr3:uid="{9D6D06C2-1EE3-4D9B-9436-85FABB85C5AA}" name="Identificacion3"/>
    <tableColumn id="39" xr3:uid="{F8FDAEE0-D8A2-4E06-8FD3-0C48EF0E3A70}" name="Razon_social"/>
    <tableColumn id="40" xr3:uid="{C6C8C8F2-0837-4AC7-B8CC-6746D56D6CCF}" name="Numero_Cuenta4"/>
    <tableColumn id="41" xr3:uid="{C91A3E5A-75C9-4486-9C11-96DCDE108A09}" name="Concepto_Pago"/>
    <tableColumn id="42" xr3:uid="{4206316E-357E-4088-BC1F-053CE07C93C9}" name="Solicitud_CDP"/>
    <tableColumn id="43" xr3:uid="{69CF8C8A-F66C-4BFA-8ACB-E98D184691BF}" name="CDP"/>
    <tableColumn id="44" xr3:uid="{B4F830FB-8812-4AC9-9F17-D96B9D1780E2}" name="Compromisos"/>
    <tableColumn id="45" xr3:uid="{29DDB54D-75C0-492C-ADF8-D1291E230FF4}" name="Cuentas_por_Pagar"/>
    <tableColumn id="46" xr3:uid="{286C418D-E4DA-4401-B945-BB7F07AD92EC}" name="Fecha_Cuentas_por_Pagar"/>
    <tableColumn id="47" xr3:uid="{46758DB8-72A5-44C8-AFDE-76409B9F0D46}" name="Obligaciones"/>
    <tableColumn id="48" xr3:uid="{F3B6E6F2-5B11-4502-BE32-117F5BEC2B70}" name="Ordenes_de_Pago"/>
    <tableColumn id="49" xr3:uid="{25CB2947-32DD-4D0D-A8A9-976A23413355}" name="Reintegros"/>
    <tableColumn id="50" xr3:uid="{1B60CB00-2D8E-4556-B1B5-FEEFF43E2BE3}" name="Fecha_Doc_Soporte_Compromiso" dataDxfId="23"/>
    <tableColumn id="51" xr3:uid="{308FBAFC-432C-4393-B4F7-935A89E24831}" name="Tipo_Doc_Soporte_Compromiso"/>
    <tableColumn id="52" xr3:uid="{F846EAD2-B77A-43C1-8948-C3809D5B4122}" name="Num_Doc_Soporte_Compromiso"/>
    <tableColumn id="53" xr3:uid="{F9B6D1C4-912D-4738-A9AE-5CD8BEA41EBB}" name="Objeto_del_Compromiso"/>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1A334D-E917-4E8D-A126-CD7B174B43D3}" name="Tabla_Consumo" displayName="Tabla_Consumo" ref="A1:N4" totalsRowShown="0" headerRowDxfId="22">
  <autoFilter ref="A1:N4" xr:uid="{CE1A334D-E917-4E8D-A126-CD7B174B43D3}"/>
  <tableColumns count="14">
    <tableColumn id="1" xr3:uid="{AEFE2C37-D00F-4D32-A703-961B81A9B21B}" name="CODIGO CDP"/>
    <tableColumn id="2" xr3:uid="{8252FCC9-D888-447D-9C9C-A21CE2FA3A44}" name="CODIGO CRP"/>
    <tableColumn id="3" xr3:uid="{BC6AB805-DB46-4BDD-BFDA-B82B74BE682F}" name="CODIGO OP"/>
    <tableColumn id="4" xr3:uid="{C0D9186B-CC4A-4E96-91E7-F32B6ADEF9DA}" name="Fecha de Registro" dataDxfId="21"/>
    <tableColumn id="5" xr3:uid="{D7B4EACE-6F19-4C93-9562-37620F87370D}" name="Fecha de Consumo" dataDxfId="20"/>
    <tableColumn id="6" xr3:uid="{D84A92D6-643B-4694-9EEE-068878A91A1E}" name="Estado"/>
    <tableColumn id="7" xr3:uid="{3C6597FB-CB9F-4535-AC1F-AF0520711D71}" name="Valor Consumo" dataDxfId="19"/>
    <tableColumn id="8" xr3:uid="{A9D8F177-9CC2-4DC9-AEAC-4BE4CA880E0A}" name="Total Actual Aprobado" dataDxfId="18">
      <calculatedColumnFormula>_xlfn.XLOOKUP(Tabla_Consumo[[#This Row],[CODIGO CRP]],'CRP-Convertido'!$A$2:$A$22,'CRP-Convertido'!$M$2:$M$22,0,0)</calculatedColumnFormula>
    </tableColumn>
    <tableColumn id="9" xr3:uid="{6E7AFAA2-A815-401F-8DAB-BA44B6AF189C}" name="Saldo Disponible Antes" dataDxfId="17">
      <calculatedColumnFormula array="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calculatedColumnFormula>
    </tableColumn>
    <tableColumn id="10" xr3:uid="{37A70315-4589-4B3E-A8FD-982DAAFB7C08}" name="Saldo Disponible despues" dataDxfId="16">
      <calculatedColumnFormula>Tabla_Consumo[[#This Row],[Saldo Disponible Antes]]-Tabla_Consumo[[#This Row],[Valor Consumo]]</calculatedColumnFormula>
    </tableColumn>
    <tableColumn id="11" xr3:uid="{738255E8-F8AD-4EA8-9E4B-0B1862F1935F}" name="Objeto del Compromiso">
      <calculatedColumnFormula>_xlfn.XLOOKUP(Tabla_Consumo[[#This Row],[CODIGO CDP]],'CDP-Convertido'!$A$2:$A$74,'CDP-Convertido'!$N$2:$N$74,"ND",0)</calculatedColumnFormula>
    </tableColumn>
    <tableColumn id="14" xr3:uid="{0E98C266-A8D9-475B-AFD2-4D2326F20063}" name="CDP"/>
    <tableColumn id="13" xr3:uid="{8DA52ECA-29F6-47D2-9DD0-E5FCF044CA34}" name="CRP"/>
    <tableColumn id="12" xr3:uid="{36AC68AB-79D6-4F05-B3C4-C89A4E0B651E}" name="__PowerAppsId__"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262C44C-CE02-4725-B486-905096498196}" name="TABLA_GRAFICA_2" displayName="TABLA_GRAFICA_2" ref="C6:F8" totalsRowShown="0" headerRowDxfId="14" headerRowBorderDxfId="13">
  <autoFilter ref="C6:F8" xr:uid="{2262C44C-CE02-4725-B486-905096498196}"/>
  <tableColumns count="4">
    <tableColumn id="4" xr3:uid="{365063CF-C045-44D9-A7B4-3D5F9E93D95A}" name="Label"/>
    <tableColumn id="1" xr3:uid="{6FC5AF84-138E-42FA-B009-0AA30632D4D1}" name="CODIGO CDP">
      <calculatedColumnFormula array="1">INDEX(INSERT_CDP[CDP USUARIO], COUNTA(INSERT_CDP[CDP USUARIO]))</calculatedColumnFormula>
    </tableColumn>
    <tableColumn id="2" xr3:uid="{64B7A927-BCCA-4948-A77A-B8B27CAA2B31}" name="VALOR ACTUAL" dataDxfId="12">
      <calculatedColumnFormula>SUMIF('CRP-Convertido'!$B$2:$B$22, $D$7,'CRP-Convertido'!$M$2:$M$22)</calculatedColumnFormula>
    </tableColumn>
    <tableColumn id="3" xr3:uid="{BD8810C0-EB2C-4709-81A9-FC5F27AC8FD5}" name="__PowerAppsId__" dataDxfId="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68DE319-1132-4005-9D54-DA4BA8DFFDC2}" name="TABLA_GRAFICA_3" displayName="TABLA_GRAFICA_3" ref="C13:F15" totalsRowShown="0" headerRowBorderDxfId="10" tableBorderDxfId="9">
  <autoFilter ref="C13:F15" xr:uid="{368DE319-1132-4005-9D54-DA4BA8DFFDC2}"/>
  <tableColumns count="4">
    <tableColumn id="4" xr3:uid="{F03A1F05-234B-4AAD-AF81-1729D91A8B70}" name="Columna1" dataDxfId="8"/>
    <tableColumn id="1" xr3:uid="{3BC3F22B-6EB8-4E2C-9F4C-29EBA82435C6}" name="CODIGO CRP">
      <calculatedColumnFormula array="1">INDEX(INSERT_CRP[CRP USUARIO], COUNTA(INSERT_CRP[CRP USUARIO]))</calculatedColumnFormula>
    </tableColumn>
    <tableColumn id="2" xr3:uid="{E45CAA4A-688F-4208-BA58-E4703D319125}" name="Valor Actual" dataDxfId="7">
      <calculatedColumnFormula>SUMIF('Orden_Pago-Convertido'!$B$2:$B$4, $D$14,'Orden_Pago-Convertido'!$I$2:$I$4)</calculatedColumnFormula>
    </tableColumn>
    <tableColumn id="3" xr3:uid="{3C5EF97E-DAC5-4680-B5F5-838A4C1285D3}" name="__PowerAppsId__" dataDxfId="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A4A952-4DCA-47AD-A26C-1FF3E8DCD85C}" name="Tabla_CRP_Valor_Actual" displayName="Tabla_CRP_Valor_Actual" ref="A1:B22" totalsRowShown="0" headerRowBorderDxfId="5">
  <autoFilter ref="A1:B22" xr:uid="{92A4A952-4DCA-47AD-A26C-1FF3E8DCD85C}"/>
  <tableColumns count="2">
    <tableColumn id="1" xr3:uid="{FE393DC8-C15F-4667-B5B7-B43652FB866D}" name="CODIGO CDP"/>
    <tableColumn id="2" xr3:uid="{98641498-E379-47FD-A7DD-3E84D519F9CC}" name="Valor Actual"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E3F725-E8BD-46A5-9085-8CBE8914BD28}" name="Tabla4" displayName="Tabla4" ref="G1:H6" totalsRowShown="0" headerRowDxfId="3" headerRowBorderDxfId="2" tableBorderDxfId="1">
  <autoFilter ref="G1:H6" xr:uid="{B3E3F725-E8BD-46A5-9085-8CBE8914BD28}"/>
  <tableColumns count="2">
    <tableColumn id="1" xr3:uid="{34EC61BF-16B0-4E27-BD11-F263345B1699}" name="CODIGO CDP" dataDxfId="0">
      <calculatedColumnFormula array="1">_xlfn.LET(
    _xlpm.codigos, A2:A21,
    _xlpm.valores, B2:B21,
    _xlpm.codigos_unicos, _xlfn._xlws.FILTER(_xlpm.codigos, NOT(ISERROR(MATCH(_xlpm.codigos, _xlpm.codigos, 0)))),
    _xlpm.suma, IFERROR(SUMIF(_xlpm.codigos, _xlpm.codigos_unicos, _xlpm.valores), ""),
    _xludf.HSTACK(_xlpm.codigos_unicos, _xlpm.suma)
)</calculatedColumnFormula>
    </tableColumn>
    <tableColumn id="2" xr3:uid="{E98B6DE1-6220-4BA6-8DFC-C5D9E30F4049}" name="SUMA">
      <calculatedColumnFormula>COUNTIF(Tabla_CRP_Valor_Actual[Valor Actual],G2=Tabla_CRP_Valor_Actual[[#This Row],[CODIGO CDP]])</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CF53AD-1DE4-41F2-A55D-25751C223C4A}" name="INSERT_CDP" displayName="INSERT_CDP" ref="A1:B4" totalsRowShown="0">
  <autoFilter ref="A1:B4" xr:uid="{CCCF53AD-1DE4-41F2-A55D-25751C223C4A}"/>
  <tableColumns count="2">
    <tableColumn id="1" xr3:uid="{7B5F1B88-F328-4549-9B7B-F57302B0CED2}" name="CDP USUARIO"/>
    <tableColumn id="2" xr3:uid="{653BDDD9-98ED-4EA7-A50E-4E1C543E8A12}" name="__PowerAppsId__"/>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847F50-6370-4FD4-B6EB-E522A1C22C5A}" name="INSERT_CRP" displayName="INSERT_CRP" ref="A1:B3" totalsRowShown="0">
  <autoFilter ref="A1:B3" xr:uid="{F4847F50-6370-4FD4-B6EB-E522A1C22C5A}"/>
  <tableColumns count="2">
    <tableColumn id="1" xr3:uid="{B73E6651-64EE-4BCA-8629-DFFCD557FBED}" name="CRP USUARIO"/>
    <tableColumn id="2" xr3:uid="{2EBE904A-D994-4C49-A0DA-0884D260582E}" name="__PowerAppsId__"/>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CB4B6-E532-43D6-9836-6E4240F1BEBA}">
  <sheetPr codeName="Hoja12">
    <tabColor rgb="FFFFC000"/>
  </sheetPr>
  <dimension ref="A1:W104"/>
  <sheetViews>
    <sheetView tabSelected="1" topLeftCell="A86" zoomScale="189" zoomScaleNormal="70" workbookViewId="0">
      <selection activeCell="A2" sqref="A2"/>
    </sheetView>
  </sheetViews>
  <sheetFormatPr baseColWidth="10" defaultColWidth="11.5" defaultRowHeight="15" outlineLevelCol="1" x14ac:dyDescent="0.2"/>
  <cols>
    <col min="1" max="1" width="22.33203125" customWidth="1"/>
    <col min="2" max="2" width="20.1640625" customWidth="1" outlineLevel="1"/>
    <col min="3" max="3" width="21.1640625" customWidth="1" outlineLevel="1"/>
    <col min="4" max="4" width="17.33203125" customWidth="1" outlineLevel="1"/>
    <col min="5" max="5" width="11.5" customWidth="1" outlineLevel="1"/>
    <col min="6" max="6" width="17.33203125" customWidth="1" outlineLevel="1"/>
    <col min="7" max="7" width="29.5" customWidth="1" outlineLevel="1"/>
    <col min="8" max="12" width="11.5" customWidth="1" outlineLevel="1"/>
    <col min="13" max="13" width="15.83203125" customWidth="1" outlineLevel="1"/>
    <col min="14" max="14" width="14.6640625" bestFit="1" customWidth="1" outlineLevel="1"/>
    <col min="15" max="16" width="25.5" customWidth="1" outlineLevel="1"/>
    <col min="17" max="17" width="52.33203125" customWidth="1" outlineLevel="1"/>
    <col min="18" max="18" width="15.1640625" customWidth="1"/>
    <col min="20" max="20" width="33.5" bestFit="1" customWidth="1"/>
  </cols>
  <sheetData>
    <row r="1" spans="1:23" x14ac:dyDescent="0.2">
      <c r="A1" s="40" t="s">
        <v>0</v>
      </c>
      <c r="B1" s="40" t="s">
        <v>1</v>
      </c>
      <c r="C1" s="40" t="s">
        <v>2</v>
      </c>
      <c r="D1" s="40" t="s">
        <v>3</v>
      </c>
      <c r="E1" s="40" t="s">
        <v>4</v>
      </c>
      <c r="F1" s="40" t="s">
        <v>5</v>
      </c>
      <c r="G1" s="40" t="s">
        <v>6</v>
      </c>
      <c r="H1" s="40" t="s">
        <v>7</v>
      </c>
      <c r="I1" s="40" t="s">
        <v>8</v>
      </c>
      <c r="J1" s="40" t="s">
        <v>9</v>
      </c>
      <c r="K1" s="40" t="s">
        <v>10</v>
      </c>
      <c r="L1" s="40" t="s">
        <v>11</v>
      </c>
      <c r="M1" s="40" t="s">
        <v>12</v>
      </c>
      <c r="N1" s="40" t="s">
        <v>13</v>
      </c>
      <c r="O1" s="40" t="s">
        <v>14</v>
      </c>
      <c r="P1" s="40" t="s">
        <v>15</v>
      </c>
      <c r="Q1" s="40" t="s">
        <v>16</v>
      </c>
      <c r="R1" s="40" t="s">
        <v>17</v>
      </c>
      <c r="S1" s="40" t="s">
        <v>18</v>
      </c>
      <c r="T1" s="40" t="s">
        <v>19</v>
      </c>
      <c r="U1" s="40" t="s">
        <v>20</v>
      </c>
      <c r="V1" s="40" t="s">
        <v>21</v>
      </c>
      <c r="W1" s="40" t="s">
        <v>22</v>
      </c>
    </row>
    <row r="2" spans="1:23" x14ac:dyDescent="0.2">
      <c r="A2" s="41" t="s">
        <v>23</v>
      </c>
      <c r="B2" s="41" t="s">
        <v>24</v>
      </c>
      <c r="C2" s="41" t="s">
        <v>25</v>
      </c>
      <c r="D2" s="41" t="s">
        <v>26</v>
      </c>
      <c r="E2" s="41" t="s">
        <v>80</v>
      </c>
      <c r="F2" s="41" t="s">
        <v>28</v>
      </c>
      <c r="G2" s="41" t="s">
        <v>569</v>
      </c>
      <c r="H2" s="41" t="s">
        <v>29</v>
      </c>
      <c r="I2" s="41" t="s">
        <v>30</v>
      </c>
      <c r="J2" s="42" t="s">
        <v>31</v>
      </c>
      <c r="K2" s="42" t="s">
        <v>32</v>
      </c>
      <c r="L2" s="42" t="s">
        <v>33</v>
      </c>
      <c r="M2" s="50">
        <v>1277032372</v>
      </c>
      <c r="N2" s="50">
        <v>0</v>
      </c>
      <c r="O2" s="50">
        <v>1277032372</v>
      </c>
      <c r="P2" s="50">
        <v>227270653</v>
      </c>
      <c r="Q2" s="42" t="s">
        <v>35</v>
      </c>
      <c r="R2" s="42" t="s">
        <v>23</v>
      </c>
      <c r="S2" s="42" t="s">
        <v>3844</v>
      </c>
      <c r="T2" s="42" t="s">
        <v>36</v>
      </c>
      <c r="U2" s="42" t="s">
        <v>3845</v>
      </c>
      <c r="V2" s="42" t="s">
        <v>4608</v>
      </c>
      <c r="W2" s="42" t="s">
        <v>36</v>
      </c>
    </row>
    <row r="3" spans="1:23" x14ac:dyDescent="0.2">
      <c r="A3" s="41" t="s">
        <v>37</v>
      </c>
      <c r="B3" s="41" t="s">
        <v>24</v>
      </c>
      <c r="C3" s="41" t="s">
        <v>38</v>
      </c>
      <c r="D3" s="41" t="s">
        <v>26</v>
      </c>
      <c r="E3" s="41" t="s">
        <v>27</v>
      </c>
      <c r="F3" s="41" t="s">
        <v>28</v>
      </c>
      <c r="G3" s="41" t="s">
        <v>569</v>
      </c>
      <c r="H3" s="41" t="s">
        <v>29</v>
      </c>
      <c r="I3" s="41" t="s">
        <v>30</v>
      </c>
      <c r="J3" s="42" t="s">
        <v>31</v>
      </c>
      <c r="K3" s="42" t="s">
        <v>32</v>
      </c>
      <c r="L3" s="42" t="s">
        <v>33</v>
      </c>
      <c r="M3" s="50">
        <v>141294000</v>
      </c>
      <c r="N3" s="50">
        <v>-141294000</v>
      </c>
      <c r="O3" s="50">
        <v>0</v>
      </c>
      <c r="P3" s="50">
        <v>0</v>
      </c>
      <c r="Q3" s="42" t="s">
        <v>39</v>
      </c>
      <c r="R3" s="42" t="s">
        <v>37</v>
      </c>
      <c r="S3" s="42" t="s">
        <v>36</v>
      </c>
      <c r="T3" s="42" t="s">
        <v>36</v>
      </c>
      <c r="U3" s="42" t="s">
        <v>36</v>
      </c>
      <c r="V3" s="42" t="s">
        <v>36</v>
      </c>
      <c r="W3" s="42" t="s">
        <v>36</v>
      </c>
    </row>
    <row r="4" spans="1:23" x14ac:dyDescent="0.2">
      <c r="A4" s="41" t="s">
        <v>40</v>
      </c>
      <c r="B4" s="41" t="s">
        <v>24</v>
      </c>
      <c r="C4" s="41" t="s">
        <v>41</v>
      </c>
      <c r="D4" s="41" t="s">
        <v>26</v>
      </c>
      <c r="E4" s="41" t="s">
        <v>80</v>
      </c>
      <c r="F4" s="41" t="s">
        <v>28</v>
      </c>
      <c r="G4" s="41" t="s">
        <v>569</v>
      </c>
      <c r="H4" s="41" t="s">
        <v>29</v>
      </c>
      <c r="I4" s="41" t="s">
        <v>30</v>
      </c>
      <c r="J4" s="42" t="s">
        <v>31</v>
      </c>
      <c r="K4" s="42" t="s">
        <v>32</v>
      </c>
      <c r="L4" s="42" t="s">
        <v>33</v>
      </c>
      <c r="M4" s="50">
        <v>280000000</v>
      </c>
      <c r="N4" s="50">
        <v>0</v>
      </c>
      <c r="O4" s="50">
        <v>280000000</v>
      </c>
      <c r="P4" s="50">
        <v>253951603</v>
      </c>
      <c r="Q4" s="42" t="s">
        <v>42</v>
      </c>
      <c r="R4" s="42" t="s">
        <v>40</v>
      </c>
      <c r="S4" s="42" t="s">
        <v>4609</v>
      </c>
      <c r="T4" s="42" t="s">
        <v>3846</v>
      </c>
      <c r="U4" s="42" t="s">
        <v>4610</v>
      </c>
      <c r="V4" s="42" t="s">
        <v>3847</v>
      </c>
      <c r="W4" s="42" t="s">
        <v>36</v>
      </c>
    </row>
    <row r="5" spans="1:23" x14ac:dyDescent="0.2">
      <c r="A5" s="41" t="s">
        <v>43</v>
      </c>
      <c r="B5" s="41" t="s">
        <v>24</v>
      </c>
      <c r="C5" s="41" t="s">
        <v>44</v>
      </c>
      <c r="D5" s="41" t="s">
        <v>26</v>
      </c>
      <c r="E5" s="41" t="s">
        <v>27</v>
      </c>
      <c r="F5" s="41" t="s">
        <v>45</v>
      </c>
      <c r="G5" s="41" t="s">
        <v>46</v>
      </c>
      <c r="H5" s="41" t="s">
        <v>29</v>
      </c>
      <c r="I5" s="41" t="s">
        <v>30</v>
      </c>
      <c r="J5" s="42" t="s">
        <v>47</v>
      </c>
      <c r="K5" s="42" t="s">
        <v>48</v>
      </c>
      <c r="L5" s="42" t="s">
        <v>33</v>
      </c>
      <c r="M5" s="50">
        <v>31702061</v>
      </c>
      <c r="N5" s="50">
        <v>-31702061</v>
      </c>
      <c r="O5" s="50">
        <v>0</v>
      </c>
      <c r="P5" s="50">
        <v>0</v>
      </c>
      <c r="Q5" s="42" t="s">
        <v>49</v>
      </c>
      <c r="R5" s="42" t="s">
        <v>43</v>
      </c>
      <c r="S5" s="42" t="s">
        <v>36</v>
      </c>
      <c r="T5" s="42" t="s">
        <v>36</v>
      </c>
      <c r="U5" s="42" t="s">
        <v>36</v>
      </c>
      <c r="V5" s="42" t="s">
        <v>36</v>
      </c>
      <c r="W5" s="42" t="s">
        <v>36</v>
      </c>
    </row>
    <row r="6" spans="1:23" x14ac:dyDescent="0.2">
      <c r="A6" s="41" t="s">
        <v>50</v>
      </c>
      <c r="B6" s="41" t="s">
        <v>24</v>
      </c>
      <c r="C6" s="41" t="s">
        <v>51</v>
      </c>
      <c r="D6" s="41" t="s">
        <v>26</v>
      </c>
      <c r="E6" s="41" t="s">
        <v>27</v>
      </c>
      <c r="F6" s="41" t="s">
        <v>45</v>
      </c>
      <c r="G6" s="41" t="s">
        <v>46</v>
      </c>
      <c r="H6" s="41" t="s">
        <v>29</v>
      </c>
      <c r="I6" s="41" t="s">
        <v>30</v>
      </c>
      <c r="J6" s="42" t="s">
        <v>31</v>
      </c>
      <c r="K6" s="42" t="s">
        <v>32</v>
      </c>
      <c r="L6" s="42" t="s">
        <v>33</v>
      </c>
      <c r="M6" s="50">
        <v>172800</v>
      </c>
      <c r="N6" s="50">
        <v>0</v>
      </c>
      <c r="O6" s="50">
        <v>172800</v>
      </c>
      <c r="P6" s="50">
        <v>172800</v>
      </c>
      <c r="Q6" s="42" t="s">
        <v>52</v>
      </c>
      <c r="R6" s="42" t="s">
        <v>50</v>
      </c>
      <c r="S6" s="42" t="s">
        <v>36</v>
      </c>
      <c r="T6" s="42" t="s">
        <v>36</v>
      </c>
      <c r="U6" s="42" t="s">
        <v>36</v>
      </c>
      <c r="V6" s="42" t="s">
        <v>36</v>
      </c>
      <c r="W6" s="42" t="s">
        <v>36</v>
      </c>
    </row>
    <row r="7" spans="1:23" x14ac:dyDescent="0.2">
      <c r="A7" s="41" t="s">
        <v>53</v>
      </c>
      <c r="B7" s="41" t="s">
        <v>24</v>
      </c>
      <c r="C7" s="41" t="s">
        <v>54</v>
      </c>
      <c r="D7" s="41" t="s">
        <v>26</v>
      </c>
      <c r="E7" s="41" t="s">
        <v>80</v>
      </c>
      <c r="F7" s="41" t="s">
        <v>55</v>
      </c>
      <c r="G7" s="41" t="s">
        <v>56</v>
      </c>
      <c r="H7" s="41" t="s">
        <v>57</v>
      </c>
      <c r="I7" s="41" t="s">
        <v>58</v>
      </c>
      <c r="J7" s="42" t="s">
        <v>31</v>
      </c>
      <c r="K7" s="42" t="s">
        <v>32</v>
      </c>
      <c r="L7" s="42" t="s">
        <v>33</v>
      </c>
      <c r="M7" s="50">
        <v>15026000</v>
      </c>
      <c r="N7" s="50">
        <v>0</v>
      </c>
      <c r="O7" s="50">
        <v>15026000</v>
      </c>
      <c r="P7" s="50">
        <v>14456416</v>
      </c>
      <c r="Q7" s="42" t="s">
        <v>59</v>
      </c>
      <c r="R7" s="42" t="s">
        <v>53</v>
      </c>
      <c r="S7" s="42" t="s">
        <v>3848</v>
      </c>
      <c r="T7" s="42" t="s">
        <v>36</v>
      </c>
      <c r="U7" s="42" t="s">
        <v>4611</v>
      </c>
      <c r="V7" s="42" t="s">
        <v>2775</v>
      </c>
      <c r="W7" s="42" t="s">
        <v>36</v>
      </c>
    </row>
    <row r="8" spans="1:23" x14ac:dyDescent="0.2">
      <c r="A8" s="41" t="s">
        <v>60</v>
      </c>
      <c r="B8" s="41" t="s">
        <v>24</v>
      </c>
      <c r="C8" s="41" t="s">
        <v>61</v>
      </c>
      <c r="D8" s="41" t="s">
        <v>26</v>
      </c>
      <c r="E8" s="41" t="s">
        <v>27</v>
      </c>
      <c r="F8" s="41" t="s">
        <v>55</v>
      </c>
      <c r="G8" s="41" t="s">
        <v>56</v>
      </c>
      <c r="H8" s="41" t="s">
        <v>57</v>
      </c>
      <c r="I8" s="41" t="s">
        <v>58</v>
      </c>
      <c r="J8" s="42" t="s">
        <v>31</v>
      </c>
      <c r="K8" s="42" t="s">
        <v>32</v>
      </c>
      <c r="L8" s="42" t="s">
        <v>33</v>
      </c>
      <c r="M8" s="50">
        <v>120204000</v>
      </c>
      <c r="N8" s="50">
        <v>-120204000</v>
      </c>
      <c r="O8" s="50">
        <v>0</v>
      </c>
      <c r="P8" s="50">
        <v>0</v>
      </c>
      <c r="Q8" s="42" t="s">
        <v>62</v>
      </c>
      <c r="R8" s="42" t="s">
        <v>60</v>
      </c>
      <c r="S8" s="42" t="s">
        <v>36</v>
      </c>
      <c r="T8" s="42" t="s">
        <v>36</v>
      </c>
      <c r="U8" s="42" t="s">
        <v>36</v>
      </c>
      <c r="V8" s="42" t="s">
        <v>36</v>
      </c>
      <c r="W8" s="42" t="s">
        <v>36</v>
      </c>
    </row>
    <row r="9" spans="1:23" x14ac:dyDescent="0.2">
      <c r="A9" s="41" t="s">
        <v>63</v>
      </c>
      <c r="B9" s="41" t="s">
        <v>24</v>
      </c>
      <c r="C9" s="41" t="s">
        <v>64</v>
      </c>
      <c r="D9" s="41" t="s">
        <v>26</v>
      </c>
      <c r="E9" s="41" t="s">
        <v>80</v>
      </c>
      <c r="F9" s="41" t="s">
        <v>55</v>
      </c>
      <c r="G9" s="41" t="s">
        <v>56</v>
      </c>
      <c r="H9" s="41" t="s">
        <v>57</v>
      </c>
      <c r="I9" s="41" t="s">
        <v>58</v>
      </c>
      <c r="J9" s="42" t="s">
        <v>31</v>
      </c>
      <c r="K9" s="42" t="s">
        <v>32</v>
      </c>
      <c r="L9" s="42" t="s">
        <v>33</v>
      </c>
      <c r="M9" s="50">
        <v>601016000</v>
      </c>
      <c r="N9" s="50">
        <v>0</v>
      </c>
      <c r="O9" s="50">
        <v>601016000</v>
      </c>
      <c r="P9" s="50">
        <v>111799679</v>
      </c>
      <c r="Q9" s="42" t="s">
        <v>65</v>
      </c>
      <c r="R9" s="42" t="s">
        <v>63</v>
      </c>
      <c r="S9" s="42" t="s">
        <v>3849</v>
      </c>
      <c r="T9" s="42" t="s">
        <v>36</v>
      </c>
      <c r="U9" s="42" t="s">
        <v>3850</v>
      </c>
      <c r="V9" s="42" t="s">
        <v>3851</v>
      </c>
      <c r="W9" s="42" t="s">
        <v>36</v>
      </c>
    </row>
    <row r="10" spans="1:23" x14ac:dyDescent="0.2">
      <c r="A10" s="41" t="s">
        <v>66</v>
      </c>
      <c r="B10" s="41" t="s">
        <v>24</v>
      </c>
      <c r="C10" s="41" t="s">
        <v>67</v>
      </c>
      <c r="D10" s="41" t="s">
        <v>26</v>
      </c>
      <c r="E10" s="41" t="s">
        <v>80</v>
      </c>
      <c r="F10" s="41" t="s">
        <v>68</v>
      </c>
      <c r="G10" s="41" t="s">
        <v>69</v>
      </c>
      <c r="H10" s="41" t="s">
        <v>29</v>
      </c>
      <c r="I10" s="41" t="s">
        <v>30</v>
      </c>
      <c r="J10" s="42" t="s">
        <v>31</v>
      </c>
      <c r="K10" s="42" t="s">
        <v>32</v>
      </c>
      <c r="L10" s="42" t="s">
        <v>33</v>
      </c>
      <c r="M10" s="50">
        <v>56049047</v>
      </c>
      <c r="N10" s="50">
        <v>0</v>
      </c>
      <c r="O10" s="50">
        <v>56049047</v>
      </c>
      <c r="P10" s="50">
        <v>49274676</v>
      </c>
      <c r="Q10" s="42" t="s">
        <v>70</v>
      </c>
      <c r="R10" s="42" t="s">
        <v>66</v>
      </c>
      <c r="S10" s="42" t="s">
        <v>3852</v>
      </c>
      <c r="T10" s="42" t="s">
        <v>36</v>
      </c>
      <c r="U10" s="42" t="s">
        <v>4612</v>
      </c>
      <c r="V10" s="42" t="s">
        <v>3853</v>
      </c>
      <c r="W10" s="42" t="s">
        <v>36</v>
      </c>
    </row>
    <row r="11" spans="1:23" x14ac:dyDescent="0.2">
      <c r="A11" s="41" t="s">
        <v>71</v>
      </c>
      <c r="B11" s="41" t="s">
        <v>24</v>
      </c>
      <c r="C11" s="41" t="s">
        <v>72</v>
      </c>
      <c r="D11" s="41" t="s">
        <v>26</v>
      </c>
      <c r="E11" s="41" t="s">
        <v>80</v>
      </c>
      <c r="F11" s="41" t="s">
        <v>68</v>
      </c>
      <c r="G11" s="41" t="s">
        <v>69</v>
      </c>
      <c r="H11" s="41" t="s">
        <v>29</v>
      </c>
      <c r="I11" s="41" t="s">
        <v>30</v>
      </c>
      <c r="J11" s="42" t="s">
        <v>31</v>
      </c>
      <c r="K11" s="42" t="s">
        <v>32</v>
      </c>
      <c r="L11" s="42" t="s">
        <v>33</v>
      </c>
      <c r="M11" s="50">
        <v>93433900</v>
      </c>
      <c r="N11" s="50">
        <v>0</v>
      </c>
      <c r="O11" s="50">
        <v>93433900</v>
      </c>
      <c r="P11" s="50">
        <v>0</v>
      </c>
      <c r="Q11" s="42" t="s">
        <v>73</v>
      </c>
      <c r="R11" s="42" t="s">
        <v>74</v>
      </c>
      <c r="S11" s="42" t="s">
        <v>570</v>
      </c>
      <c r="T11" s="42" t="s">
        <v>36</v>
      </c>
      <c r="U11" s="42" t="s">
        <v>3854</v>
      </c>
      <c r="V11" s="42" t="s">
        <v>4613</v>
      </c>
      <c r="W11" s="42" t="s">
        <v>36</v>
      </c>
    </row>
    <row r="12" spans="1:23" x14ac:dyDescent="0.2">
      <c r="A12" s="41" t="s">
        <v>74</v>
      </c>
      <c r="B12" s="41" t="s">
        <v>24</v>
      </c>
      <c r="C12" s="41" t="s">
        <v>75</v>
      </c>
      <c r="D12" s="41" t="s">
        <v>26</v>
      </c>
      <c r="E12" s="41" t="s">
        <v>27</v>
      </c>
      <c r="F12" s="41" t="s">
        <v>55</v>
      </c>
      <c r="G12" s="41" t="s">
        <v>56</v>
      </c>
      <c r="H12" s="41" t="s">
        <v>29</v>
      </c>
      <c r="I12" s="41" t="s">
        <v>30</v>
      </c>
      <c r="J12" s="42" t="s">
        <v>47</v>
      </c>
      <c r="K12" s="42" t="s">
        <v>76</v>
      </c>
      <c r="L12" s="42" t="s">
        <v>33</v>
      </c>
      <c r="M12" s="50">
        <v>89656032</v>
      </c>
      <c r="N12" s="50">
        <v>0</v>
      </c>
      <c r="O12" s="50">
        <v>89656032</v>
      </c>
      <c r="P12" s="50">
        <v>89656032</v>
      </c>
      <c r="Q12" s="42" t="s">
        <v>77</v>
      </c>
      <c r="R12" s="42" t="s">
        <v>71</v>
      </c>
      <c r="S12" s="42" t="s">
        <v>36</v>
      </c>
      <c r="T12" s="42" t="s">
        <v>36</v>
      </c>
      <c r="U12" s="42" t="s">
        <v>36</v>
      </c>
      <c r="V12" s="42" t="s">
        <v>36</v>
      </c>
      <c r="W12" s="42" t="s">
        <v>36</v>
      </c>
    </row>
    <row r="13" spans="1:23" x14ac:dyDescent="0.2">
      <c r="A13" s="41" t="s">
        <v>78</v>
      </c>
      <c r="B13" s="41" t="s">
        <v>24</v>
      </c>
      <c r="C13" s="41" t="s">
        <v>79</v>
      </c>
      <c r="D13" s="41" t="s">
        <v>26</v>
      </c>
      <c r="E13" s="41" t="s">
        <v>80</v>
      </c>
      <c r="F13" s="41" t="s">
        <v>55</v>
      </c>
      <c r="G13" s="41" t="s">
        <v>56</v>
      </c>
      <c r="H13" s="41" t="s">
        <v>29</v>
      </c>
      <c r="I13" s="41" t="s">
        <v>30</v>
      </c>
      <c r="J13" s="42" t="s">
        <v>47</v>
      </c>
      <c r="K13" s="42" t="s">
        <v>48</v>
      </c>
      <c r="L13" s="42" t="s">
        <v>33</v>
      </c>
      <c r="M13" s="50">
        <v>250000000</v>
      </c>
      <c r="N13" s="50">
        <v>0</v>
      </c>
      <c r="O13" s="50">
        <v>250000000</v>
      </c>
      <c r="P13" s="50">
        <v>226605724.65000001</v>
      </c>
      <c r="Q13" s="42" t="s">
        <v>81</v>
      </c>
      <c r="R13" s="42" t="s">
        <v>78</v>
      </c>
      <c r="S13" s="42" t="s">
        <v>4614</v>
      </c>
      <c r="T13" s="42" t="s">
        <v>4615</v>
      </c>
      <c r="U13" s="42" t="s">
        <v>4616</v>
      </c>
      <c r="V13" s="42" t="s">
        <v>4617</v>
      </c>
      <c r="W13" s="42" t="s">
        <v>36</v>
      </c>
    </row>
    <row r="14" spans="1:23" x14ac:dyDescent="0.2">
      <c r="A14" s="41" t="s">
        <v>82</v>
      </c>
      <c r="B14" s="41" t="s">
        <v>24</v>
      </c>
      <c r="C14" s="41" t="s">
        <v>83</v>
      </c>
      <c r="D14" s="41" t="s">
        <v>26</v>
      </c>
      <c r="E14" s="41" t="s">
        <v>80</v>
      </c>
      <c r="F14" s="41" t="s">
        <v>55</v>
      </c>
      <c r="G14" s="41" t="s">
        <v>56</v>
      </c>
      <c r="H14" s="41" t="s">
        <v>84</v>
      </c>
      <c r="I14" s="41" t="s">
        <v>85</v>
      </c>
      <c r="J14" s="42" t="s">
        <v>47</v>
      </c>
      <c r="K14" s="42" t="s">
        <v>48</v>
      </c>
      <c r="L14" s="42" t="s">
        <v>33</v>
      </c>
      <c r="M14" s="50">
        <v>25750000</v>
      </c>
      <c r="N14" s="50">
        <v>107700</v>
      </c>
      <c r="O14" s="50">
        <v>25857700</v>
      </c>
      <c r="P14" s="50">
        <v>0</v>
      </c>
      <c r="Q14" s="42" t="s">
        <v>86</v>
      </c>
      <c r="R14" s="42" t="s">
        <v>82</v>
      </c>
      <c r="S14" s="42" t="s">
        <v>3855</v>
      </c>
      <c r="T14" s="42" t="s">
        <v>36</v>
      </c>
      <c r="U14" s="42" t="s">
        <v>36</v>
      </c>
      <c r="V14" s="42" t="s">
        <v>36</v>
      </c>
      <c r="W14" s="42" t="s">
        <v>36</v>
      </c>
    </row>
    <row r="15" spans="1:23" x14ac:dyDescent="0.2">
      <c r="A15" s="41" t="s">
        <v>87</v>
      </c>
      <c r="B15" s="41" t="s">
        <v>24</v>
      </c>
      <c r="C15" s="41" t="s">
        <v>88</v>
      </c>
      <c r="D15" s="41" t="s">
        <v>26</v>
      </c>
      <c r="E15" s="41" t="s">
        <v>27</v>
      </c>
      <c r="F15" s="41" t="s">
        <v>55</v>
      </c>
      <c r="G15" s="41" t="s">
        <v>56</v>
      </c>
      <c r="H15" s="41" t="s">
        <v>29</v>
      </c>
      <c r="I15" s="41" t="s">
        <v>30</v>
      </c>
      <c r="J15" s="42" t="s">
        <v>31</v>
      </c>
      <c r="K15" s="42" t="s">
        <v>32</v>
      </c>
      <c r="L15" s="42" t="s">
        <v>33</v>
      </c>
      <c r="M15" s="50">
        <v>25837331</v>
      </c>
      <c r="N15" s="50">
        <v>-25837331</v>
      </c>
      <c r="O15" s="50">
        <v>0</v>
      </c>
      <c r="P15" s="50">
        <v>0</v>
      </c>
      <c r="Q15" s="42" t="s">
        <v>89</v>
      </c>
      <c r="R15" s="42" t="s">
        <v>87</v>
      </c>
      <c r="S15" s="42" t="s">
        <v>36</v>
      </c>
      <c r="T15" s="42" t="s">
        <v>36</v>
      </c>
      <c r="U15" s="42" t="s">
        <v>36</v>
      </c>
      <c r="V15" s="42" t="s">
        <v>36</v>
      </c>
      <c r="W15" s="42" t="s">
        <v>36</v>
      </c>
    </row>
    <row r="16" spans="1:23" x14ac:dyDescent="0.2">
      <c r="A16" s="41" t="s">
        <v>90</v>
      </c>
      <c r="B16" s="41" t="s">
        <v>24</v>
      </c>
      <c r="C16" s="41" t="s">
        <v>91</v>
      </c>
      <c r="D16" s="41" t="s">
        <v>26</v>
      </c>
      <c r="E16" s="41" t="s">
        <v>27</v>
      </c>
      <c r="F16" s="41" t="s">
        <v>55</v>
      </c>
      <c r="G16" s="41" t="s">
        <v>56</v>
      </c>
      <c r="H16" s="41" t="s">
        <v>29</v>
      </c>
      <c r="I16" s="41" t="s">
        <v>30</v>
      </c>
      <c r="J16" s="42" t="s">
        <v>31</v>
      </c>
      <c r="K16" s="42" t="s">
        <v>32</v>
      </c>
      <c r="L16" s="42" t="s">
        <v>33</v>
      </c>
      <c r="M16" s="50">
        <v>53652156</v>
      </c>
      <c r="N16" s="50">
        <v>0</v>
      </c>
      <c r="O16" s="50">
        <v>53652156</v>
      </c>
      <c r="P16" s="50">
        <v>53652156</v>
      </c>
      <c r="Q16" s="42" t="s">
        <v>92</v>
      </c>
      <c r="R16" s="42" t="s">
        <v>90</v>
      </c>
      <c r="S16" s="42" t="s">
        <v>36</v>
      </c>
      <c r="T16" s="42" t="s">
        <v>36</v>
      </c>
      <c r="U16" s="42" t="s">
        <v>36</v>
      </c>
      <c r="V16" s="42" t="s">
        <v>36</v>
      </c>
      <c r="W16" s="42" t="s">
        <v>36</v>
      </c>
    </row>
    <row r="17" spans="1:23" x14ac:dyDescent="0.2">
      <c r="A17" s="41" t="s">
        <v>93</v>
      </c>
      <c r="B17" s="41" t="s">
        <v>24</v>
      </c>
      <c r="C17" s="41" t="s">
        <v>94</v>
      </c>
      <c r="D17" s="41" t="s">
        <v>26</v>
      </c>
      <c r="E17" s="41" t="s">
        <v>80</v>
      </c>
      <c r="F17" s="41" t="s">
        <v>55</v>
      </c>
      <c r="G17" s="41" t="s">
        <v>56</v>
      </c>
      <c r="H17" s="41" t="s">
        <v>29</v>
      </c>
      <c r="I17" s="41" t="s">
        <v>30</v>
      </c>
      <c r="J17" s="42" t="s">
        <v>31</v>
      </c>
      <c r="K17" s="42" t="s">
        <v>32</v>
      </c>
      <c r="L17" s="42" t="s">
        <v>33</v>
      </c>
      <c r="M17" s="50">
        <v>21424000</v>
      </c>
      <c r="N17" s="50">
        <v>0</v>
      </c>
      <c r="O17" s="50">
        <v>21424000</v>
      </c>
      <c r="P17" s="50">
        <v>18110709</v>
      </c>
      <c r="Q17" s="42" t="s">
        <v>95</v>
      </c>
      <c r="R17" s="42" t="s">
        <v>93</v>
      </c>
      <c r="S17" s="42" t="s">
        <v>4618</v>
      </c>
      <c r="T17" s="42" t="s">
        <v>36</v>
      </c>
      <c r="U17" s="42" t="s">
        <v>4619</v>
      </c>
      <c r="V17" s="42" t="s">
        <v>3856</v>
      </c>
      <c r="W17" s="42" t="s">
        <v>36</v>
      </c>
    </row>
    <row r="18" spans="1:23" x14ac:dyDescent="0.2">
      <c r="A18" s="41" t="s">
        <v>96</v>
      </c>
      <c r="B18" s="41" t="s">
        <v>24</v>
      </c>
      <c r="C18" s="41" t="s">
        <v>97</v>
      </c>
      <c r="D18" s="41" t="s">
        <v>26</v>
      </c>
      <c r="E18" s="41" t="s">
        <v>27</v>
      </c>
      <c r="F18" s="41" t="s">
        <v>55</v>
      </c>
      <c r="G18" s="41" t="s">
        <v>56</v>
      </c>
      <c r="H18" s="41" t="s">
        <v>29</v>
      </c>
      <c r="I18" s="41" t="s">
        <v>30</v>
      </c>
      <c r="J18" s="42" t="s">
        <v>47</v>
      </c>
      <c r="K18" s="42" t="s">
        <v>48</v>
      </c>
      <c r="L18" s="42" t="s">
        <v>33</v>
      </c>
      <c r="M18" s="50">
        <v>96800000</v>
      </c>
      <c r="N18" s="50">
        <v>-96800000</v>
      </c>
      <c r="O18" s="50">
        <v>0</v>
      </c>
      <c r="P18" s="50">
        <v>0</v>
      </c>
      <c r="Q18" s="42" t="s">
        <v>98</v>
      </c>
      <c r="R18" s="42" t="s">
        <v>96</v>
      </c>
      <c r="S18" s="42" t="s">
        <v>36</v>
      </c>
      <c r="T18" s="42" t="s">
        <v>36</v>
      </c>
      <c r="U18" s="42" t="s">
        <v>36</v>
      </c>
      <c r="V18" s="42" t="s">
        <v>36</v>
      </c>
      <c r="W18" s="42" t="s">
        <v>36</v>
      </c>
    </row>
    <row r="19" spans="1:23" x14ac:dyDescent="0.2">
      <c r="A19" s="41" t="s">
        <v>99</v>
      </c>
      <c r="B19" s="41" t="s">
        <v>24</v>
      </c>
      <c r="C19" s="41" t="s">
        <v>100</v>
      </c>
      <c r="D19" s="41" t="s">
        <v>26</v>
      </c>
      <c r="E19" s="41" t="s">
        <v>27</v>
      </c>
      <c r="F19" s="41" t="s">
        <v>55</v>
      </c>
      <c r="G19" s="41" t="s">
        <v>56</v>
      </c>
      <c r="H19" s="41" t="s">
        <v>29</v>
      </c>
      <c r="I19" s="41" t="s">
        <v>30</v>
      </c>
      <c r="J19" s="42" t="s">
        <v>47</v>
      </c>
      <c r="K19" s="42" t="s">
        <v>101</v>
      </c>
      <c r="L19" s="42" t="s">
        <v>33</v>
      </c>
      <c r="M19" s="50">
        <v>4613885</v>
      </c>
      <c r="N19" s="50">
        <v>0</v>
      </c>
      <c r="O19" s="50">
        <v>4613885</v>
      </c>
      <c r="P19" s="50">
        <v>4613885</v>
      </c>
      <c r="Q19" s="42" t="s">
        <v>102</v>
      </c>
      <c r="R19" s="42" t="s">
        <v>99</v>
      </c>
      <c r="S19" s="42" t="s">
        <v>36</v>
      </c>
      <c r="T19" s="42" t="s">
        <v>36</v>
      </c>
      <c r="U19" s="42" t="s">
        <v>36</v>
      </c>
      <c r="V19" s="42" t="s">
        <v>36</v>
      </c>
      <c r="W19" s="42" t="s">
        <v>36</v>
      </c>
    </row>
    <row r="20" spans="1:23" x14ac:dyDescent="0.2">
      <c r="A20" s="41" t="s">
        <v>103</v>
      </c>
      <c r="B20" s="41" t="s">
        <v>24</v>
      </c>
      <c r="C20" s="41" t="s">
        <v>104</v>
      </c>
      <c r="D20" s="41" t="s">
        <v>26</v>
      </c>
      <c r="E20" s="41" t="s">
        <v>80</v>
      </c>
      <c r="F20" s="41" t="s">
        <v>55</v>
      </c>
      <c r="G20" s="41" t="s">
        <v>56</v>
      </c>
      <c r="H20" s="41" t="s">
        <v>29</v>
      </c>
      <c r="I20" s="41" t="s">
        <v>30</v>
      </c>
      <c r="J20" s="42" t="s">
        <v>31</v>
      </c>
      <c r="K20" s="42" t="s">
        <v>32</v>
      </c>
      <c r="L20" s="42" t="s">
        <v>33</v>
      </c>
      <c r="M20" s="50">
        <v>985067590</v>
      </c>
      <c r="N20" s="50">
        <v>0</v>
      </c>
      <c r="O20" s="50">
        <v>985067590</v>
      </c>
      <c r="P20" s="50">
        <v>11426872</v>
      </c>
      <c r="Q20" s="42" t="s">
        <v>105</v>
      </c>
      <c r="R20" s="42" t="s">
        <v>103</v>
      </c>
      <c r="S20" s="42" t="s">
        <v>3857</v>
      </c>
      <c r="T20" s="42" t="s">
        <v>36</v>
      </c>
      <c r="U20" s="42" t="s">
        <v>3858</v>
      </c>
      <c r="V20" s="42" t="s">
        <v>4620</v>
      </c>
      <c r="W20" s="42" t="s">
        <v>36</v>
      </c>
    </row>
    <row r="21" spans="1:23" x14ac:dyDescent="0.2">
      <c r="A21" s="41" t="s">
        <v>106</v>
      </c>
      <c r="B21" s="41" t="s">
        <v>24</v>
      </c>
      <c r="C21" s="41" t="s">
        <v>107</v>
      </c>
      <c r="D21" s="41" t="s">
        <v>26</v>
      </c>
      <c r="E21" s="41" t="s">
        <v>27</v>
      </c>
      <c r="F21" s="41" t="s">
        <v>55</v>
      </c>
      <c r="G21" s="41" t="s">
        <v>56</v>
      </c>
      <c r="H21" s="41" t="s">
        <v>29</v>
      </c>
      <c r="I21" s="41" t="s">
        <v>30</v>
      </c>
      <c r="J21" s="42" t="s">
        <v>31</v>
      </c>
      <c r="K21" s="42" t="s">
        <v>32</v>
      </c>
      <c r="L21" s="42" t="s">
        <v>33</v>
      </c>
      <c r="M21" s="50">
        <v>20250000</v>
      </c>
      <c r="N21" s="50">
        <v>-20250000</v>
      </c>
      <c r="O21" s="50">
        <v>0</v>
      </c>
      <c r="P21" s="50">
        <v>0</v>
      </c>
      <c r="Q21" s="42" t="s">
        <v>108</v>
      </c>
      <c r="R21" s="42" t="s">
        <v>106</v>
      </c>
      <c r="S21" s="42" t="s">
        <v>36</v>
      </c>
      <c r="T21" s="42" t="s">
        <v>36</v>
      </c>
      <c r="U21" s="42" t="s">
        <v>36</v>
      </c>
      <c r="V21" s="42" t="s">
        <v>36</v>
      </c>
      <c r="W21" s="42" t="s">
        <v>36</v>
      </c>
    </row>
    <row r="22" spans="1:23" x14ac:dyDescent="0.2">
      <c r="A22" s="41" t="s">
        <v>109</v>
      </c>
      <c r="B22" s="41" t="s">
        <v>24</v>
      </c>
      <c r="C22" s="41" t="s">
        <v>110</v>
      </c>
      <c r="D22" s="41" t="s">
        <v>26</v>
      </c>
      <c r="E22" s="41" t="s">
        <v>80</v>
      </c>
      <c r="F22" s="41" t="s">
        <v>68</v>
      </c>
      <c r="G22" s="41" t="s">
        <v>69</v>
      </c>
      <c r="H22" s="41" t="s">
        <v>29</v>
      </c>
      <c r="I22" s="41" t="s">
        <v>30</v>
      </c>
      <c r="J22" s="42" t="s">
        <v>31</v>
      </c>
      <c r="K22" s="42" t="s">
        <v>32</v>
      </c>
      <c r="L22" s="42" t="s">
        <v>33</v>
      </c>
      <c r="M22" s="50">
        <v>5069351435</v>
      </c>
      <c r="N22" s="50">
        <v>0</v>
      </c>
      <c r="O22" s="50">
        <v>5069351435</v>
      </c>
      <c r="P22" s="50">
        <v>386895919</v>
      </c>
      <c r="Q22" s="42" t="s">
        <v>111</v>
      </c>
      <c r="R22" s="42" t="s">
        <v>109</v>
      </c>
      <c r="S22" s="42" t="s">
        <v>4621</v>
      </c>
      <c r="T22" s="42" t="s">
        <v>36</v>
      </c>
      <c r="U22" s="42" t="s">
        <v>3859</v>
      </c>
      <c r="V22" s="42" t="s">
        <v>3860</v>
      </c>
      <c r="W22" s="42" t="s">
        <v>36</v>
      </c>
    </row>
    <row r="23" spans="1:23" x14ac:dyDescent="0.2">
      <c r="A23" s="41" t="s">
        <v>112</v>
      </c>
      <c r="B23" s="41" t="s">
        <v>24</v>
      </c>
      <c r="C23" s="41" t="s">
        <v>113</v>
      </c>
      <c r="D23" s="41" t="s">
        <v>26</v>
      </c>
      <c r="E23" s="41" t="s">
        <v>27</v>
      </c>
      <c r="F23" s="41" t="s">
        <v>68</v>
      </c>
      <c r="G23" s="41" t="s">
        <v>69</v>
      </c>
      <c r="H23" s="41" t="s">
        <v>29</v>
      </c>
      <c r="I23" s="41" t="s">
        <v>30</v>
      </c>
      <c r="J23" s="42" t="s">
        <v>31</v>
      </c>
      <c r="K23" s="42" t="s">
        <v>32</v>
      </c>
      <c r="L23" s="42" t="s">
        <v>33</v>
      </c>
      <c r="M23" s="50">
        <v>142424659</v>
      </c>
      <c r="N23" s="50">
        <v>-142424659</v>
      </c>
      <c r="O23" s="50">
        <v>0</v>
      </c>
      <c r="P23" s="50">
        <v>0</v>
      </c>
      <c r="Q23" s="42" t="s">
        <v>114</v>
      </c>
      <c r="R23" s="42" t="s">
        <v>112</v>
      </c>
      <c r="S23" s="42" t="s">
        <v>36</v>
      </c>
      <c r="T23" s="42" t="s">
        <v>36</v>
      </c>
      <c r="U23" s="42" t="s">
        <v>36</v>
      </c>
      <c r="V23" s="42" t="s">
        <v>36</v>
      </c>
      <c r="W23" s="42" t="s">
        <v>36</v>
      </c>
    </row>
    <row r="24" spans="1:23" x14ac:dyDescent="0.2">
      <c r="A24" s="41" t="s">
        <v>115</v>
      </c>
      <c r="B24" s="41" t="s">
        <v>24</v>
      </c>
      <c r="C24" s="41" t="s">
        <v>116</v>
      </c>
      <c r="D24" s="41" t="s">
        <v>26</v>
      </c>
      <c r="E24" s="41" t="s">
        <v>80</v>
      </c>
      <c r="F24" s="41" t="s">
        <v>117</v>
      </c>
      <c r="G24" s="41" t="s">
        <v>118</v>
      </c>
      <c r="H24" s="41" t="s">
        <v>119</v>
      </c>
      <c r="I24" s="41" t="s">
        <v>120</v>
      </c>
      <c r="J24" s="42" t="s">
        <v>47</v>
      </c>
      <c r="K24" s="42" t="s">
        <v>121</v>
      </c>
      <c r="L24" s="42" t="s">
        <v>33</v>
      </c>
      <c r="M24" s="50">
        <v>1029684265</v>
      </c>
      <c r="N24" s="50">
        <v>0</v>
      </c>
      <c r="O24" s="50">
        <v>1029684265</v>
      </c>
      <c r="P24" s="50">
        <v>997228465</v>
      </c>
      <c r="Q24" s="42" t="s">
        <v>122</v>
      </c>
      <c r="R24" s="42" t="s">
        <v>115</v>
      </c>
      <c r="S24" s="42" t="s">
        <v>3861</v>
      </c>
      <c r="T24" s="42" t="s">
        <v>36</v>
      </c>
      <c r="U24" s="42" t="s">
        <v>3862</v>
      </c>
      <c r="V24" s="42" t="s">
        <v>3863</v>
      </c>
      <c r="W24" s="42" t="s">
        <v>36</v>
      </c>
    </row>
    <row r="25" spans="1:23" x14ac:dyDescent="0.2">
      <c r="A25" s="41" t="s">
        <v>123</v>
      </c>
      <c r="B25" s="41" t="s">
        <v>24</v>
      </c>
      <c r="C25" s="41" t="s">
        <v>124</v>
      </c>
      <c r="D25" s="41" t="s">
        <v>26</v>
      </c>
      <c r="E25" s="41" t="s">
        <v>27</v>
      </c>
      <c r="F25" s="41" t="s">
        <v>117</v>
      </c>
      <c r="G25" s="41" t="s">
        <v>118</v>
      </c>
      <c r="H25" s="41" t="s">
        <v>29</v>
      </c>
      <c r="I25" s="41" t="s">
        <v>30</v>
      </c>
      <c r="J25" s="42" t="s">
        <v>47</v>
      </c>
      <c r="K25" s="42" t="s">
        <v>121</v>
      </c>
      <c r="L25" s="42" t="s">
        <v>33</v>
      </c>
      <c r="M25" s="50">
        <v>77333333</v>
      </c>
      <c r="N25" s="50">
        <v>0</v>
      </c>
      <c r="O25" s="50">
        <v>77333333</v>
      </c>
      <c r="P25" s="50">
        <v>77333333</v>
      </c>
      <c r="Q25" s="42" t="s">
        <v>125</v>
      </c>
      <c r="R25" s="42" t="s">
        <v>123</v>
      </c>
      <c r="S25" s="42" t="s">
        <v>36</v>
      </c>
      <c r="T25" s="42" t="s">
        <v>36</v>
      </c>
      <c r="U25" s="42" t="s">
        <v>36</v>
      </c>
      <c r="V25" s="42" t="s">
        <v>36</v>
      </c>
      <c r="W25" s="42" t="s">
        <v>36</v>
      </c>
    </row>
    <row r="26" spans="1:23" x14ac:dyDescent="0.2">
      <c r="A26" s="41" t="s">
        <v>126</v>
      </c>
      <c r="B26" s="41" t="s">
        <v>24</v>
      </c>
      <c r="C26" s="41" t="s">
        <v>127</v>
      </c>
      <c r="D26" s="41" t="s">
        <v>26</v>
      </c>
      <c r="E26" s="41" t="s">
        <v>27</v>
      </c>
      <c r="F26" s="41" t="s">
        <v>117</v>
      </c>
      <c r="G26" s="41" t="s">
        <v>118</v>
      </c>
      <c r="H26" s="41" t="s">
        <v>29</v>
      </c>
      <c r="I26" s="41" t="s">
        <v>30</v>
      </c>
      <c r="J26" s="42" t="s">
        <v>47</v>
      </c>
      <c r="K26" s="42" t="s">
        <v>121</v>
      </c>
      <c r="L26" s="42" t="s">
        <v>33</v>
      </c>
      <c r="M26" s="50">
        <v>74862263</v>
      </c>
      <c r="N26" s="50">
        <v>-74862263</v>
      </c>
      <c r="O26" s="50">
        <v>0</v>
      </c>
      <c r="P26" s="50">
        <v>0</v>
      </c>
      <c r="Q26" s="42" t="s">
        <v>128</v>
      </c>
      <c r="R26" s="42" t="s">
        <v>126</v>
      </c>
      <c r="S26" s="42" t="s">
        <v>36</v>
      </c>
      <c r="T26" s="42" t="s">
        <v>36</v>
      </c>
      <c r="U26" s="42" t="s">
        <v>36</v>
      </c>
      <c r="V26" s="42" t="s">
        <v>36</v>
      </c>
      <c r="W26" s="42" t="s">
        <v>36</v>
      </c>
    </row>
    <row r="27" spans="1:23" x14ac:dyDescent="0.2">
      <c r="A27" s="41" t="s">
        <v>129</v>
      </c>
      <c r="B27" s="41" t="s">
        <v>24</v>
      </c>
      <c r="C27" s="41" t="s">
        <v>130</v>
      </c>
      <c r="D27" s="41" t="s">
        <v>26</v>
      </c>
      <c r="E27" s="41" t="s">
        <v>27</v>
      </c>
      <c r="F27" s="41" t="s">
        <v>117</v>
      </c>
      <c r="G27" s="41" t="s">
        <v>118</v>
      </c>
      <c r="H27" s="41" t="s">
        <v>29</v>
      </c>
      <c r="I27" s="41" t="s">
        <v>30</v>
      </c>
      <c r="J27" s="42" t="s">
        <v>47</v>
      </c>
      <c r="K27" s="42" t="s">
        <v>121</v>
      </c>
      <c r="L27" s="42" t="s">
        <v>33</v>
      </c>
      <c r="M27" s="50">
        <v>41443028</v>
      </c>
      <c r="N27" s="50">
        <v>-41443028</v>
      </c>
      <c r="O27" s="50">
        <v>0</v>
      </c>
      <c r="P27" s="50">
        <v>0</v>
      </c>
      <c r="Q27" s="42" t="s">
        <v>131</v>
      </c>
      <c r="R27" s="42" t="s">
        <v>129</v>
      </c>
      <c r="S27" s="42" t="s">
        <v>36</v>
      </c>
      <c r="T27" s="42" t="s">
        <v>36</v>
      </c>
      <c r="U27" s="42" t="s">
        <v>36</v>
      </c>
      <c r="V27" s="42" t="s">
        <v>36</v>
      </c>
      <c r="W27" s="42" t="s">
        <v>36</v>
      </c>
    </row>
    <row r="28" spans="1:23" x14ac:dyDescent="0.2">
      <c r="A28" s="41" t="s">
        <v>132</v>
      </c>
      <c r="B28" s="41" t="s">
        <v>24</v>
      </c>
      <c r="C28" s="41" t="s">
        <v>133</v>
      </c>
      <c r="D28" s="41" t="s">
        <v>26</v>
      </c>
      <c r="E28" s="41" t="s">
        <v>27</v>
      </c>
      <c r="F28" s="41" t="s">
        <v>117</v>
      </c>
      <c r="G28" s="41" t="s">
        <v>118</v>
      </c>
      <c r="H28" s="41" t="s">
        <v>29</v>
      </c>
      <c r="I28" s="41" t="s">
        <v>30</v>
      </c>
      <c r="J28" s="42" t="s">
        <v>47</v>
      </c>
      <c r="K28" s="42" t="s">
        <v>121</v>
      </c>
      <c r="L28" s="42" t="s">
        <v>33</v>
      </c>
      <c r="M28" s="50">
        <v>29425719</v>
      </c>
      <c r="N28" s="50">
        <v>-29425719</v>
      </c>
      <c r="O28" s="50">
        <v>0</v>
      </c>
      <c r="P28" s="50">
        <v>0</v>
      </c>
      <c r="Q28" s="42" t="s">
        <v>134</v>
      </c>
      <c r="R28" s="42" t="s">
        <v>132</v>
      </c>
      <c r="S28" s="42" t="s">
        <v>36</v>
      </c>
      <c r="T28" s="42" t="s">
        <v>36</v>
      </c>
      <c r="U28" s="42" t="s">
        <v>36</v>
      </c>
      <c r="V28" s="42" t="s">
        <v>36</v>
      </c>
      <c r="W28" s="42" t="s">
        <v>36</v>
      </c>
    </row>
    <row r="29" spans="1:23" x14ac:dyDescent="0.2">
      <c r="A29" s="41" t="s">
        <v>135</v>
      </c>
      <c r="B29" s="41" t="s">
        <v>24</v>
      </c>
      <c r="C29" s="41" t="s">
        <v>136</v>
      </c>
      <c r="D29" s="41" t="s">
        <v>26</v>
      </c>
      <c r="E29" s="41" t="s">
        <v>80</v>
      </c>
      <c r="F29" s="41" t="s">
        <v>117</v>
      </c>
      <c r="G29" s="41" t="s">
        <v>118</v>
      </c>
      <c r="H29" s="41" t="s">
        <v>29</v>
      </c>
      <c r="I29" s="41" t="s">
        <v>30</v>
      </c>
      <c r="J29" s="42" t="s">
        <v>47</v>
      </c>
      <c r="K29" s="42" t="s">
        <v>121</v>
      </c>
      <c r="L29" s="42" t="s">
        <v>33</v>
      </c>
      <c r="M29" s="50">
        <v>155254590</v>
      </c>
      <c r="N29" s="50">
        <v>0</v>
      </c>
      <c r="O29" s="50">
        <v>155254590</v>
      </c>
      <c r="P29" s="50">
        <v>65104174</v>
      </c>
      <c r="Q29" s="42" t="s">
        <v>137</v>
      </c>
      <c r="R29" s="42" t="s">
        <v>135</v>
      </c>
      <c r="S29" s="42" t="s">
        <v>3864</v>
      </c>
      <c r="T29" s="42" t="s">
        <v>36</v>
      </c>
      <c r="U29" s="42" t="s">
        <v>2780</v>
      </c>
      <c r="V29" s="42" t="s">
        <v>3456</v>
      </c>
      <c r="W29" s="42" t="s">
        <v>36</v>
      </c>
    </row>
    <row r="30" spans="1:23" x14ac:dyDescent="0.2">
      <c r="A30" s="41" t="s">
        <v>138</v>
      </c>
      <c r="B30" s="41" t="s">
        <v>24</v>
      </c>
      <c r="C30" s="41" t="s">
        <v>139</v>
      </c>
      <c r="D30" s="41" t="s">
        <v>26</v>
      </c>
      <c r="E30" s="41" t="s">
        <v>27</v>
      </c>
      <c r="F30" s="41" t="s">
        <v>140</v>
      </c>
      <c r="G30" s="41" t="s">
        <v>141</v>
      </c>
      <c r="H30" s="41" t="s">
        <v>142</v>
      </c>
      <c r="I30" s="41" t="s">
        <v>143</v>
      </c>
      <c r="J30" s="42" t="s">
        <v>31</v>
      </c>
      <c r="K30" s="42" t="s">
        <v>32</v>
      </c>
      <c r="L30" s="42" t="s">
        <v>33</v>
      </c>
      <c r="M30" s="50">
        <v>100000000</v>
      </c>
      <c r="N30" s="50">
        <v>-100000000</v>
      </c>
      <c r="O30" s="50">
        <v>0</v>
      </c>
      <c r="P30" s="50">
        <v>0</v>
      </c>
      <c r="Q30" s="42" t="s">
        <v>144</v>
      </c>
      <c r="R30" s="42" t="s">
        <v>138</v>
      </c>
      <c r="S30" s="42" t="s">
        <v>36</v>
      </c>
      <c r="T30" s="42" t="s">
        <v>36</v>
      </c>
      <c r="U30" s="42" t="s">
        <v>36</v>
      </c>
      <c r="V30" s="42" t="s">
        <v>36</v>
      </c>
      <c r="W30" s="42" t="s">
        <v>36</v>
      </c>
    </row>
    <row r="31" spans="1:23" x14ac:dyDescent="0.2">
      <c r="A31" s="41" t="s">
        <v>145</v>
      </c>
      <c r="B31" s="41" t="s">
        <v>24</v>
      </c>
      <c r="C31" s="41" t="s">
        <v>146</v>
      </c>
      <c r="D31" s="41" t="s">
        <v>26</v>
      </c>
      <c r="E31" s="41" t="s">
        <v>27</v>
      </c>
      <c r="F31" s="41" t="s">
        <v>140</v>
      </c>
      <c r="G31" s="41" t="s">
        <v>141</v>
      </c>
      <c r="H31" s="41" t="s">
        <v>142</v>
      </c>
      <c r="I31" s="41" t="s">
        <v>143</v>
      </c>
      <c r="J31" s="42" t="s">
        <v>31</v>
      </c>
      <c r="K31" s="42" t="s">
        <v>32</v>
      </c>
      <c r="L31" s="42" t="s">
        <v>33</v>
      </c>
      <c r="M31" s="50">
        <v>150000000</v>
      </c>
      <c r="N31" s="50">
        <v>0</v>
      </c>
      <c r="O31" s="50">
        <v>150000000</v>
      </c>
      <c r="P31" s="50">
        <v>150000000</v>
      </c>
      <c r="Q31" s="42" t="s">
        <v>147</v>
      </c>
      <c r="R31" s="42" t="s">
        <v>145</v>
      </c>
      <c r="S31" s="42" t="s">
        <v>36</v>
      </c>
      <c r="T31" s="42" t="s">
        <v>36</v>
      </c>
      <c r="U31" s="42" t="s">
        <v>36</v>
      </c>
      <c r="V31" s="42" t="s">
        <v>36</v>
      </c>
      <c r="W31" s="42" t="s">
        <v>36</v>
      </c>
    </row>
    <row r="32" spans="1:23" x14ac:dyDescent="0.2">
      <c r="A32" s="41" t="s">
        <v>148</v>
      </c>
      <c r="B32" s="41" t="s">
        <v>24</v>
      </c>
      <c r="C32" s="41" t="s">
        <v>149</v>
      </c>
      <c r="D32" s="41" t="s">
        <v>26</v>
      </c>
      <c r="E32" s="41" t="s">
        <v>27</v>
      </c>
      <c r="F32" s="41" t="s">
        <v>140</v>
      </c>
      <c r="G32" s="41" t="s">
        <v>141</v>
      </c>
      <c r="H32" s="41" t="s">
        <v>142</v>
      </c>
      <c r="I32" s="41" t="s">
        <v>143</v>
      </c>
      <c r="J32" s="42" t="s">
        <v>31</v>
      </c>
      <c r="K32" s="42" t="s">
        <v>32</v>
      </c>
      <c r="L32" s="42" t="s">
        <v>33</v>
      </c>
      <c r="M32" s="50">
        <v>809700</v>
      </c>
      <c r="N32" s="50">
        <v>0</v>
      </c>
      <c r="O32" s="50">
        <v>809700</v>
      </c>
      <c r="P32" s="50">
        <v>809700</v>
      </c>
      <c r="Q32" s="42" t="s">
        <v>150</v>
      </c>
      <c r="R32" s="42" t="s">
        <v>148</v>
      </c>
      <c r="S32" s="42" t="s">
        <v>36</v>
      </c>
      <c r="T32" s="42" t="s">
        <v>36</v>
      </c>
      <c r="U32" s="42" t="s">
        <v>36</v>
      </c>
      <c r="V32" s="42" t="s">
        <v>36</v>
      </c>
      <c r="W32" s="42" t="s">
        <v>36</v>
      </c>
    </row>
    <row r="33" spans="1:23" x14ac:dyDescent="0.2">
      <c r="A33" s="41" t="s">
        <v>151</v>
      </c>
      <c r="B33" s="41" t="s">
        <v>24</v>
      </c>
      <c r="C33" s="41" t="s">
        <v>152</v>
      </c>
      <c r="D33" s="41" t="s">
        <v>26</v>
      </c>
      <c r="E33" s="41" t="s">
        <v>80</v>
      </c>
      <c r="F33" s="41" t="s">
        <v>140</v>
      </c>
      <c r="G33" s="41" t="s">
        <v>141</v>
      </c>
      <c r="H33" s="41" t="s">
        <v>142</v>
      </c>
      <c r="I33" s="41" t="s">
        <v>143</v>
      </c>
      <c r="J33" s="42" t="s">
        <v>31</v>
      </c>
      <c r="K33" s="42" t="s">
        <v>32</v>
      </c>
      <c r="L33" s="42" t="s">
        <v>33</v>
      </c>
      <c r="M33" s="50">
        <v>164230925</v>
      </c>
      <c r="N33" s="50">
        <v>28914675</v>
      </c>
      <c r="O33" s="50">
        <v>193145600</v>
      </c>
      <c r="P33" s="50">
        <v>0</v>
      </c>
      <c r="Q33" s="42" t="s">
        <v>153</v>
      </c>
      <c r="R33" s="42" t="s">
        <v>151</v>
      </c>
      <c r="S33" s="42" t="s">
        <v>3865</v>
      </c>
      <c r="T33" s="42" t="s">
        <v>36</v>
      </c>
      <c r="U33" s="42" t="s">
        <v>3866</v>
      </c>
      <c r="V33" s="42" t="s">
        <v>3867</v>
      </c>
      <c r="W33" s="42" t="s">
        <v>36</v>
      </c>
    </row>
    <row r="34" spans="1:23" x14ac:dyDescent="0.2">
      <c r="A34" s="41" t="s">
        <v>154</v>
      </c>
      <c r="B34" s="41" t="s">
        <v>155</v>
      </c>
      <c r="C34" s="41" t="s">
        <v>156</v>
      </c>
      <c r="D34" s="41" t="s">
        <v>26</v>
      </c>
      <c r="E34" s="41" t="s">
        <v>80</v>
      </c>
      <c r="F34" s="41" t="s">
        <v>157</v>
      </c>
      <c r="G34" s="41" t="s">
        <v>158</v>
      </c>
      <c r="H34" s="41" t="s">
        <v>159</v>
      </c>
      <c r="I34" s="41" t="s">
        <v>160</v>
      </c>
      <c r="J34" s="42" t="s">
        <v>31</v>
      </c>
      <c r="K34" s="42" t="s">
        <v>32</v>
      </c>
      <c r="L34" s="42" t="s">
        <v>33</v>
      </c>
      <c r="M34" s="50">
        <v>329120000</v>
      </c>
      <c r="N34" s="50">
        <v>0</v>
      </c>
      <c r="O34" s="50">
        <v>329120000</v>
      </c>
      <c r="P34" s="50">
        <v>2568276</v>
      </c>
      <c r="Q34" s="42" t="s">
        <v>161</v>
      </c>
      <c r="R34" s="42" t="s">
        <v>154</v>
      </c>
      <c r="S34" s="42" t="s">
        <v>4622</v>
      </c>
      <c r="T34" s="42" t="s">
        <v>36</v>
      </c>
      <c r="U34" s="42" t="s">
        <v>3868</v>
      </c>
      <c r="V34" s="42" t="s">
        <v>3869</v>
      </c>
      <c r="W34" s="42" t="s">
        <v>36</v>
      </c>
    </row>
    <row r="35" spans="1:23" x14ac:dyDescent="0.2">
      <c r="A35" s="41" t="s">
        <v>154</v>
      </c>
      <c r="B35" s="41" t="s">
        <v>155</v>
      </c>
      <c r="C35" s="41" t="s">
        <v>156</v>
      </c>
      <c r="D35" s="41" t="s">
        <v>26</v>
      </c>
      <c r="E35" s="41" t="s">
        <v>80</v>
      </c>
      <c r="F35" s="41" t="s">
        <v>164</v>
      </c>
      <c r="G35" s="41" t="s">
        <v>165</v>
      </c>
      <c r="H35" s="41" t="s">
        <v>159</v>
      </c>
      <c r="I35" s="41" t="s">
        <v>160</v>
      </c>
      <c r="J35" s="42" t="s">
        <v>31</v>
      </c>
      <c r="K35" s="42" t="s">
        <v>32</v>
      </c>
      <c r="L35" s="42" t="s">
        <v>33</v>
      </c>
      <c r="M35" s="50">
        <v>19360000</v>
      </c>
      <c r="N35" s="50">
        <v>0</v>
      </c>
      <c r="O35" s="50">
        <v>19360000</v>
      </c>
      <c r="P35" s="50">
        <v>19360000</v>
      </c>
      <c r="Q35" s="42" t="s">
        <v>161</v>
      </c>
      <c r="R35" s="42" t="s">
        <v>154</v>
      </c>
      <c r="S35" s="42" t="s">
        <v>4622</v>
      </c>
      <c r="T35" s="42" t="s">
        <v>36</v>
      </c>
      <c r="U35" s="42" t="s">
        <v>3868</v>
      </c>
      <c r="V35" s="42" t="s">
        <v>3869</v>
      </c>
      <c r="W35" s="42" t="s">
        <v>36</v>
      </c>
    </row>
    <row r="36" spans="1:23" x14ac:dyDescent="0.2">
      <c r="A36" s="41" t="s">
        <v>154</v>
      </c>
      <c r="B36" s="41" t="s">
        <v>155</v>
      </c>
      <c r="C36" s="41" t="s">
        <v>156</v>
      </c>
      <c r="D36" s="41" t="s">
        <v>26</v>
      </c>
      <c r="E36" s="41" t="s">
        <v>80</v>
      </c>
      <c r="F36" s="41" t="s">
        <v>162</v>
      </c>
      <c r="G36" s="41" t="s">
        <v>163</v>
      </c>
      <c r="H36" s="41" t="s">
        <v>159</v>
      </c>
      <c r="I36" s="41" t="s">
        <v>160</v>
      </c>
      <c r="J36" s="42" t="s">
        <v>31</v>
      </c>
      <c r="K36" s="42" t="s">
        <v>32</v>
      </c>
      <c r="L36" s="42" t="s">
        <v>33</v>
      </c>
      <c r="M36" s="50">
        <v>121000000</v>
      </c>
      <c r="N36" s="50">
        <v>0</v>
      </c>
      <c r="O36" s="50">
        <v>121000000</v>
      </c>
      <c r="P36" s="50">
        <v>484000</v>
      </c>
      <c r="Q36" s="42" t="s">
        <v>161</v>
      </c>
      <c r="R36" s="42" t="s">
        <v>154</v>
      </c>
      <c r="S36" s="42" t="s">
        <v>4622</v>
      </c>
      <c r="T36" s="42" t="s">
        <v>36</v>
      </c>
      <c r="U36" s="42" t="s">
        <v>3868</v>
      </c>
      <c r="V36" s="42" t="s">
        <v>3869</v>
      </c>
      <c r="W36" s="42" t="s">
        <v>36</v>
      </c>
    </row>
    <row r="37" spans="1:23" x14ac:dyDescent="0.2">
      <c r="A37" s="41" t="s">
        <v>166</v>
      </c>
      <c r="B37" s="41" t="s">
        <v>155</v>
      </c>
      <c r="C37" s="41" t="s">
        <v>167</v>
      </c>
      <c r="D37" s="41" t="s">
        <v>26</v>
      </c>
      <c r="E37" s="41" t="s">
        <v>80</v>
      </c>
      <c r="F37" s="41" t="s">
        <v>164</v>
      </c>
      <c r="G37" s="41" t="s">
        <v>165</v>
      </c>
      <c r="H37" s="41" t="s">
        <v>159</v>
      </c>
      <c r="I37" s="41" t="s">
        <v>160</v>
      </c>
      <c r="J37" s="42" t="s">
        <v>31</v>
      </c>
      <c r="K37" s="42" t="s">
        <v>32</v>
      </c>
      <c r="L37" s="42" t="s">
        <v>33</v>
      </c>
      <c r="M37" s="50">
        <v>0</v>
      </c>
      <c r="N37" s="50">
        <v>3000000</v>
      </c>
      <c r="O37" s="50">
        <v>3000000</v>
      </c>
      <c r="P37" s="50">
        <v>3000000</v>
      </c>
      <c r="Q37" s="42" t="s">
        <v>168</v>
      </c>
      <c r="R37" s="42" t="s">
        <v>166</v>
      </c>
      <c r="S37" s="42" t="s">
        <v>4623</v>
      </c>
      <c r="T37" s="42" t="s">
        <v>36</v>
      </c>
      <c r="U37" s="42" t="s">
        <v>4624</v>
      </c>
      <c r="V37" s="42" t="s">
        <v>2681</v>
      </c>
      <c r="W37" s="42" t="s">
        <v>36</v>
      </c>
    </row>
    <row r="38" spans="1:23" x14ac:dyDescent="0.2">
      <c r="A38" s="41" t="s">
        <v>166</v>
      </c>
      <c r="B38" s="41" t="s">
        <v>155</v>
      </c>
      <c r="C38" s="41" t="s">
        <v>167</v>
      </c>
      <c r="D38" s="41" t="s">
        <v>26</v>
      </c>
      <c r="E38" s="41" t="s">
        <v>80</v>
      </c>
      <c r="F38" s="41" t="s">
        <v>157</v>
      </c>
      <c r="G38" s="41" t="s">
        <v>158</v>
      </c>
      <c r="H38" s="41" t="s">
        <v>159</v>
      </c>
      <c r="I38" s="41" t="s">
        <v>160</v>
      </c>
      <c r="J38" s="42" t="s">
        <v>31</v>
      </c>
      <c r="K38" s="42" t="s">
        <v>32</v>
      </c>
      <c r="L38" s="42" t="s">
        <v>33</v>
      </c>
      <c r="M38" s="50">
        <v>10148000</v>
      </c>
      <c r="N38" s="50">
        <v>10000000</v>
      </c>
      <c r="O38" s="50">
        <v>20148000</v>
      </c>
      <c r="P38" s="50">
        <v>18731263</v>
      </c>
      <c r="Q38" s="42" t="s">
        <v>168</v>
      </c>
      <c r="R38" s="42" t="s">
        <v>166</v>
      </c>
      <c r="S38" s="42" t="s">
        <v>4623</v>
      </c>
      <c r="T38" s="42" t="s">
        <v>36</v>
      </c>
      <c r="U38" s="42" t="s">
        <v>4624</v>
      </c>
      <c r="V38" s="42" t="s">
        <v>2681</v>
      </c>
      <c r="W38" s="42" t="s">
        <v>36</v>
      </c>
    </row>
    <row r="39" spans="1:23" x14ac:dyDescent="0.2">
      <c r="A39" s="41" t="s">
        <v>166</v>
      </c>
      <c r="B39" s="41" t="s">
        <v>155</v>
      </c>
      <c r="C39" s="41" t="s">
        <v>167</v>
      </c>
      <c r="D39" s="41" t="s">
        <v>26</v>
      </c>
      <c r="E39" s="41" t="s">
        <v>80</v>
      </c>
      <c r="F39" s="41" t="s">
        <v>162</v>
      </c>
      <c r="G39" s="41" t="s">
        <v>163</v>
      </c>
      <c r="H39" s="41" t="s">
        <v>159</v>
      </c>
      <c r="I39" s="41" t="s">
        <v>160</v>
      </c>
      <c r="J39" s="42" t="s">
        <v>31</v>
      </c>
      <c r="K39" s="42" t="s">
        <v>32</v>
      </c>
      <c r="L39" s="42" t="s">
        <v>33</v>
      </c>
      <c r="M39" s="50">
        <v>0</v>
      </c>
      <c r="N39" s="50">
        <v>13810000</v>
      </c>
      <c r="O39" s="50">
        <v>13810000</v>
      </c>
      <c r="P39" s="50">
        <v>13093117</v>
      </c>
      <c r="Q39" s="42" t="s">
        <v>168</v>
      </c>
      <c r="R39" s="42" t="s">
        <v>166</v>
      </c>
      <c r="S39" s="42" t="s">
        <v>4623</v>
      </c>
      <c r="T39" s="42" t="s">
        <v>36</v>
      </c>
      <c r="U39" s="42" t="s">
        <v>4624</v>
      </c>
      <c r="V39" s="42" t="s">
        <v>2681</v>
      </c>
      <c r="W39" s="42" t="s">
        <v>36</v>
      </c>
    </row>
    <row r="40" spans="1:23" x14ac:dyDescent="0.2">
      <c r="A40" s="41" t="s">
        <v>169</v>
      </c>
      <c r="B40" s="41" t="s">
        <v>155</v>
      </c>
      <c r="C40" s="41" t="s">
        <v>170</v>
      </c>
      <c r="D40" s="41" t="s">
        <v>26</v>
      </c>
      <c r="E40" s="41" t="s">
        <v>80</v>
      </c>
      <c r="F40" s="41" t="s">
        <v>157</v>
      </c>
      <c r="G40" s="41" t="s">
        <v>158</v>
      </c>
      <c r="H40" s="41" t="s">
        <v>159</v>
      </c>
      <c r="I40" s="41" t="s">
        <v>160</v>
      </c>
      <c r="J40" s="42" t="s">
        <v>31</v>
      </c>
      <c r="K40" s="42" t="s">
        <v>32</v>
      </c>
      <c r="L40" s="42" t="s">
        <v>33</v>
      </c>
      <c r="M40" s="50">
        <v>29480000</v>
      </c>
      <c r="N40" s="50">
        <v>0</v>
      </c>
      <c r="O40" s="50">
        <v>29480000</v>
      </c>
      <c r="P40" s="50">
        <v>0</v>
      </c>
      <c r="Q40" s="42" t="s">
        <v>171</v>
      </c>
      <c r="R40" s="42" t="s">
        <v>169</v>
      </c>
      <c r="S40" s="42" t="s">
        <v>190</v>
      </c>
      <c r="T40" s="42" t="s">
        <v>36</v>
      </c>
      <c r="U40" s="42" t="s">
        <v>1270</v>
      </c>
      <c r="V40" s="42" t="s">
        <v>2962</v>
      </c>
      <c r="W40" s="42" t="s">
        <v>36</v>
      </c>
    </row>
    <row r="41" spans="1:23" x14ac:dyDescent="0.2">
      <c r="A41" s="41" t="s">
        <v>172</v>
      </c>
      <c r="B41" s="41" t="s">
        <v>155</v>
      </c>
      <c r="C41" s="41" t="s">
        <v>173</v>
      </c>
      <c r="D41" s="41" t="s">
        <v>26</v>
      </c>
      <c r="E41" s="41" t="s">
        <v>80</v>
      </c>
      <c r="F41" s="41" t="s">
        <v>174</v>
      </c>
      <c r="G41" s="41" t="s">
        <v>175</v>
      </c>
      <c r="H41" s="41" t="s">
        <v>29</v>
      </c>
      <c r="I41" s="41" t="s">
        <v>30</v>
      </c>
      <c r="J41" s="42" t="s">
        <v>47</v>
      </c>
      <c r="K41" s="42" t="s">
        <v>48</v>
      </c>
      <c r="L41" s="42" t="s">
        <v>33</v>
      </c>
      <c r="M41" s="50">
        <v>0</v>
      </c>
      <c r="N41" s="50">
        <v>31345822</v>
      </c>
      <c r="O41" s="50">
        <v>31345822</v>
      </c>
      <c r="P41" s="50">
        <v>220578</v>
      </c>
      <c r="Q41" s="42" t="s">
        <v>176</v>
      </c>
      <c r="R41" s="42" t="s">
        <v>172</v>
      </c>
      <c r="S41" s="42" t="s">
        <v>3870</v>
      </c>
      <c r="T41" s="42" t="s">
        <v>36</v>
      </c>
      <c r="U41" s="42" t="s">
        <v>3871</v>
      </c>
      <c r="V41" s="42" t="s">
        <v>3872</v>
      </c>
      <c r="W41" s="42" t="s">
        <v>36</v>
      </c>
    </row>
    <row r="42" spans="1:23" x14ac:dyDescent="0.2">
      <c r="A42" s="41" t="s">
        <v>172</v>
      </c>
      <c r="B42" s="41" t="s">
        <v>155</v>
      </c>
      <c r="C42" s="41" t="s">
        <v>173</v>
      </c>
      <c r="D42" s="41" t="s">
        <v>26</v>
      </c>
      <c r="E42" s="41" t="s">
        <v>80</v>
      </c>
      <c r="F42" s="41" t="s">
        <v>174</v>
      </c>
      <c r="G42" s="41" t="s">
        <v>175</v>
      </c>
      <c r="H42" s="41" t="s">
        <v>29</v>
      </c>
      <c r="I42" s="41" t="s">
        <v>30</v>
      </c>
      <c r="J42" s="42" t="s">
        <v>31</v>
      </c>
      <c r="K42" s="42" t="s">
        <v>32</v>
      </c>
      <c r="L42" s="42" t="s">
        <v>33</v>
      </c>
      <c r="M42" s="50">
        <v>423005721</v>
      </c>
      <c r="N42" s="50">
        <v>0</v>
      </c>
      <c r="O42" s="50">
        <v>423005721</v>
      </c>
      <c r="P42" s="50">
        <v>69515419</v>
      </c>
      <c r="Q42" s="42" t="s">
        <v>176</v>
      </c>
      <c r="R42" s="42" t="s">
        <v>172</v>
      </c>
      <c r="S42" s="42" t="s">
        <v>3870</v>
      </c>
      <c r="T42" s="42" t="s">
        <v>36</v>
      </c>
      <c r="U42" s="42" t="s">
        <v>3871</v>
      </c>
      <c r="V42" s="42" t="s">
        <v>3872</v>
      </c>
      <c r="W42" s="42" t="s">
        <v>36</v>
      </c>
    </row>
    <row r="43" spans="1:23" x14ac:dyDescent="0.2">
      <c r="A43" s="41" t="s">
        <v>177</v>
      </c>
      <c r="B43" s="41" t="s">
        <v>155</v>
      </c>
      <c r="C43" s="41" t="s">
        <v>178</v>
      </c>
      <c r="D43" s="41" t="s">
        <v>26</v>
      </c>
      <c r="E43" s="41" t="s">
        <v>27</v>
      </c>
      <c r="F43" s="41" t="s">
        <v>179</v>
      </c>
      <c r="G43" s="41" t="s">
        <v>180</v>
      </c>
      <c r="H43" s="41" t="s">
        <v>29</v>
      </c>
      <c r="I43" s="41" t="s">
        <v>30</v>
      </c>
      <c r="J43" s="42" t="s">
        <v>31</v>
      </c>
      <c r="K43" s="42" t="s">
        <v>32</v>
      </c>
      <c r="L43" s="42" t="s">
        <v>33</v>
      </c>
      <c r="M43" s="50">
        <v>406238966</v>
      </c>
      <c r="N43" s="50">
        <v>-406238966</v>
      </c>
      <c r="O43" s="50">
        <v>0</v>
      </c>
      <c r="P43" s="50">
        <v>0</v>
      </c>
      <c r="Q43" s="42" t="s">
        <v>181</v>
      </c>
      <c r="R43" s="42" t="s">
        <v>177</v>
      </c>
      <c r="S43" s="42" t="s">
        <v>36</v>
      </c>
      <c r="T43" s="42" t="s">
        <v>36</v>
      </c>
      <c r="U43" s="42" t="s">
        <v>36</v>
      </c>
      <c r="V43" s="42" t="s">
        <v>36</v>
      </c>
      <c r="W43" s="42" t="s">
        <v>36</v>
      </c>
    </row>
    <row r="44" spans="1:23" x14ac:dyDescent="0.2">
      <c r="A44" s="41" t="s">
        <v>182</v>
      </c>
      <c r="B44" s="41" t="s">
        <v>155</v>
      </c>
      <c r="C44" s="41" t="s">
        <v>183</v>
      </c>
      <c r="D44" s="41" t="s">
        <v>26</v>
      </c>
      <c r="E44" s="41" t="s">
        <v>80</v>
      </c>
      <c r="F44" s="41" t="s">
        <v>179</v>
      </c>
      <c r="G44" s="41" t="s">
        <v>180</v>
      </c>
      <c r="H44" s="41" t="s">
        <v>29</v>
      </c>
      <c r="I44" s="41" t="s">
        <v>30</v>
      </c>
      <c r="J44" s="42" t="s">
        <v>31</v>
      </c>
      <c r="K44" s="42" t="s">
        <v>32</v>
      </c>
      <c r="L44" s="42" t="s">
        <v>33</v>
      </c>
      <c r="M44" s="50">
        <v>7847025402</v>
      </c>
      <c r="N44" s="50">
        <v>0</v>
      </c>
      <c r="O44" s="50">
        <v>7847025402</v>
      </c>
      <c r="P44" s="50">
        <v>543719959</v>
      </c>
      <c r="Q44" s="42" t="s">
        <v>184</v>
      </c>
      <c r="R44" s="42" t="s">
        <v>182</v>
      </c>
      <c r="S44" s="42" t="s">
        <v>3873</v>
      </c>
      <c r="T44" s="42" t="s">
        <v>36</v>
      </c>
      <c r="U44" s="42" t="s">
        <v>3874</v>
      </c>
      <c r="V44" s="42" t="s">
        <v>4625</v>
      </c>
      <c r="W44" s="42" t="s">
        <v>36</v>
      </c>
    </row>
    <row r="45" spans="1:23" x14ac:dyDescent="0.2">
      <c r="A45" s="41" t="s">
        <v>185</v>
      </c>
      <c r="B45" s="41" t="s">
        <v>155</v>
      </c>
      <c r="C45" s="41" t="s">
        <v>186</v>
      </c>
      <c r="D45" s="41" t="s">
        <v>26</v>
      </c>
      <c r="E45" s="41" t="s">
        <v>27</v>
      </c>
      <c r="F45" s="41" t="s">
        <v>187</v>
      </c>
      <c r="G45" s="41" t="s">
        <v>188</v>
      </c>
      <c r="H45" s="41" t="s">
        <v>119</v>
      </c>
      <c r="I45" s="41" t="s">
        <v>120</v>
      </c>
      <c r="J45" s="42" t="s">
        <v>47</v>
      </c>
      <c r="K45" s="42" t="s">
        <v>48</v>
      </c>
      <c r="L45" s="42" t="s">
        <v>33</v>
      </c>
      <c r="M45" s="50">
        <v>255274500</v>
      </c>
      <c r="N45" s="50">
        <v>0</v>
      </c>
      <c r="O45" s="50">
        <v>255274500</v>
      </c>
      <c r="P45" s="50">
        <v>255274500</v>
      </c>
      <c r="Q45" s="42" t="s">
        <v>189</v>
      </c>
      <c r="R45" s="42" t="s">
        <v>185</v>
      </c>
      <c r="S45" s="42" t="s">
        <v>36</v>
      </c>
      <c r="T45" s="42" t="s">
        <v>36</v>
      </c>
      <c r="U45" s="42" t="s">
        <v>36</v>
      </c>
      <c r="V45" s="42" t="s">
        <v>36</v>
      </c>
      <c r="W45" s="42" t="s">
        <v>36</v>
      </c>
    </row>
    <row r="46" spans="1:23" x14ac:dyDescent="0.2">
      <c r="A46" s="41" t="s">
        <v>190</v>
      </c>
      <c r="B46" s="41" t="s">
        <v>155</v>
      </c>
      <c r="C46" s="41" t="s">
        <v>191</v>
      </c>
      <c r="D46" s="41" t="s">
        <v>26</v>
      </c>
      <c r="E46" s="41" t="s">
        <v>27</v>
      </c>
      <c r="F46" s="41" t="s">
        <v>187</v>
      </c>
      <c r="G46" s="41" t="s">
        <v>188</v>
      </c>
      <c r="H46" s="41" t="s">
        <v>29</v>
      </c>
      <c r="I46" s="41" t="s">
        <v>30</v>
      </c>
      <c r="J46" s="42" t="s">
        <v>47</v>
      </c>
      <c r="K46" s="42" t="s">
        <v>48</v>
      </c>
      <c r="L46" s="42" t="s">
        <v>33</v>
      </c>
      <c r="M46" s="50">
        <v>8692251</v>
      </c>
      <c r="N46" s="50">
        <v>-8692251</v>
      </c>
      <c r="O46" s="50">
        <v>0</v>
      </c>
      <c r="P46" s="50">
        <v>0</v>
      </c>
      <c r="Q46" s="42" t="s">
        <v>98</v>
      </c>
      <c r="R46" s="42" t="s">
        <v>190</v>
      </c>
      <c r="S46" s="42" t="s">
        <v>36</v>
      </c>
      <c r="T46" s="42" t="s">
        <v>36</v>
      </c>
      <c r="U46" s="42" t="s">
        <v>36</v>
      </c>
      <c r="V46" s="42" t="s">
        <v>36</v>
      </c>
      <c r="W46" s="42" t="s">
        <v>36</v>
      </c>
    </row>
    <row r="47" spans="1:23" x14ac:dyDescent="0.2">
      <c r="A47" s="41" t="s">
        <v>192</v>
      </c>
      <c r="B47" s="41" t="s">
        <v>155</v>
      </c>
      <c r="C47" s="41" t="s">
        <v>193</v>
      </c>
      <c r="D47" s="41" t="s">
        <v>26</v>
      </c>
      <c r="E47" s="41" t="s">
        <v>80</v>
      </c>
      <c r="F47" s="41" t="s">
        <v>179</v>
      </c>
      <c r="G47" s="41" t="s">
        <v>180</v>
      </c>
      <c r="H47" s="41" t="s">
        <v>29</v>
      </c>
      <c r="I47" s="41" t="s">
        <v>30</v>
      </c>
      <c r="J47" s="42" t="s">
        <v>31</v>
      </c>
      <c r="K47" s="42" t="s">
        <v>32</v>
      </c>
      <c r="L47" s="42" t="s">
        <v>33</v>
      </c>
      <c r="M47" s="50">
        <v>16900000</v>
      </c>
      <c r="N47" s="50">
        <v>0</v>
      </c>
      <c r="O47" s="50">
        <v>16900000</v>
      </c>
      <c r="P47" s="50">
        <v>16677942</v>
      </c>
      <c r="Q47" s="42" t="s">
        <v>194</v>
      </c>
      <c r="R47" s="42" t="s">
        <v>192</v>
      </c>
      <c r="S47" s="42" t="s">
        <v>4626</v>
      </c>
      <c r="T47" s="42" t="s">
        <v>36</v>
      </c>
      <c r="U47" s="42" t="s">
        <v>36</v>
      </c>
      <c r="V47" s="42" t="s">
        <v>36</v>
      </c>
      <c r="W47" s="42" t="s">
        <v>36</v>
      </c>
    </row>
    <row r="48" spans="1:23" x14ac:dyDescent="0.2">
      <c r="A48" s="41" t="s">
        <v>195</v>
      </c>
      <c r="B48" s="41" t="s">
        <v>155</v>
      </c>
      <c r="C48" s="41" t="s">
        <v>196</v>
      </c>
      <c r="D48" s="41" t="s">
        <v>26</v>
      </c>
      <c r="E48" s="41" t="s">
        <v>80</v>
      </c>
      <c r="F48" s="41" t="s">
        <v>197</v>
      </c>
      <c r="G48" s="41" t="s">
        <v>572</v>
      </c>
      <c r="H48" s="41" t="s">
        <v>29</v>
      </c>
      <c r="I48" s="41" t="s">
        <v>30</v>
      </c>
      <c r="J48" s="42" t="s">
        <v>31</v>
      </c>
      <c r="K48" s="42" t="s">
        <v>32</v>
      </c>
      <c r="L48" s="42" t="s">
        <v>33</v>
      </c>
      <c r="M48" s="50">
        <v>185551954</v>
      </c>
      <c r="N48" s="50">
        <v>0</v>
      </c>
      <c r="O48" s="50">
        <v>185551954</v>
      </c>
      <c r="P48" s="50">
        <v>44193650</v>
      </c>
      <c r="Q48" s="42" t="s">
        <v>198</v>
      </c>
      <c r="R48" s="42" t="s">
        <v>195</v>
      </c>
      <c r="S48" s="42" t="s">
        <v>3875</v>
      </c>
      <c r="T48" s="42" t="s">
        <v>36</v>
      </c>
      <c r="U48" s="42" t="s">
        <v>3876</v>
      </c>
      <c r="V48" s="42" t="s">
        <v>3877</v>
      </c>
      <c r="W48" s="42" t="s">
        <v>36</v>
      </c>
    </row>
    <row r="49" spans="1:23" x14ac:dyDescent="0.2">
      <c r="A49" s="41" t="s">
        <v>199</v>
      </c>
      <c r="B49" s="41" t="s">
        <v>155</v>
      </c>
      <c r="C49" s="41" t="s">
        <v>200</v>
      </c>
      <c r="D49" s="41" t="s">
        <v>26</v>
      </c>
      <c r="E49" s="41" t="s">
        <v>27</v>
      </c>
      <c r="F49" s="41" t="s">
        <v>197</v>
      </c>
      <c r="G49" s="41" t="s">
        <v>572</v>
      </c>
      <c r="H49" s="41" t="s">
        <v>29</v>
      </c>
      <c r="I49" s="41" t="s">
        <v>30</v>
      </c>
      <c r="J49" s="42" t="s">
        <v>31</v>
      </c>
      <c r="K49" s="42" t="s">
        <v>32</v>
      </c>
      <c r="L49" s="42" t="s">
        <v>33</v>
      </c>
      <c r="M49" s="50">
        <v>42676949</v>
      </c>
      <c r="N49" s="50">
        <v>-42676949</v>
      </c>
      <c r="O49" s="50">
        <v>0</v>
      </c>
      <c r="P49" s="50">
        <v>0</v>
      </c>
      <c r="Q49" s="42" t="s">
        <v>201</v>
      </c>
      <c r="R49" s="42" t="s">
        <v>199</v>
      </c>
      <c r="S49" s="42" t="s">
        <v>36</v>
      </c>
      <c r="T49" s="42" t="s">
        <v>36</v>
      </c>
      <c r="U49" s="42" t="s">
        <v>36</v>
      </c>
      <c r="V49" s="42" t="s">
        <v>36</v>
      </c>
      <c r="W49" s="42" t="s">
        <v>36</v>
      </c>
    </row>
    <row r="50" spans="1:23" x14ac:dyDescent="0.2">
      <c r="A50" s="41" t="s">
        <v>202</v>
      </c>
      <c r="B50" s="41" t="s">
        <v>155</v>
      </c>
      <c r="C50" s="41" t="s">
        <v>203</v>
      </c>
      <c r="D50" s="41" t="s">
        <v>26</v>
      </c>
      <c r="E50" s="41" t="s">
        <v>80</v>
      </c>
      <c r="F50" s="41" t="s">
        <v>197</v>
      </c>
      <c r="G50" s="41" t="s">
        <v>572</v>
      </c>
      <c r="H50" s="41" t="s">
        <v>29</v>
      </c>
      <c r="I50" s="41" t="s">
        <v>30</v>
      </c>
      <c r="J50" s="42" t="s">
        <v>31</v>
      </c>
      <c r="K50" s="42" t="s">
        <v>32</v>
      </c>
      <c r="L50" s="42" t="s">
        <v>33</v>
      </c>
      <c r="M50" s="50">
        <v>50787088</v>
      </c>
      <c r="N50" s="50">
        <v>0</v>
      </c>
      <c r="O50" s="50">
        <v>50787088</v>
      </c>
      <c r="P50" s="50">
        <v>47739383</v>
      </c>
      <c r="Q50" s="42" t="s">
        <v>204</v>
      </c>
      <c r="R50" s="42" t="s">
        <v>202</v>
      </c>
      <c r="S50" s="42" t="s">
        <v>3878</v>
      </c>
      <c r="T50" s="42" t="s">
        <v>36</v>
      </c>
      <c r="U50" s="42" t="s">
        <v>4627</v>
      </c>
      <c r="V50" s="42" t="s">
        <v>3879</v>
      </c>
      <c r="W50" s="42" t="s">
        <v>36</v>
      </c>
    </row>
    <row r="51" spans="1:23" x14ac:dyDescent="0.2">
      <c r="A51" s="41" t="s">
        <v>205</v>
      </c>
      <c r="B51" s="41" t="s">
        <v>155</v>
      </c>
      <c r="C51" s="41" t="s">
        <v>206</v>
      </c>
      <c r="D51" s="41" t="s">
        <v>26</v>
      </c>
      <c r="E51" s="41" t="s">
        <v>80</v>
      </c>
      <c r="F51" s="41" t="s">
        <v>207</v>
      </c>
      <c r="G51" s="41" t="s">
        <v>208</v>
      </c>
      <c r="H51" s="41" t="s">
        <v>29</v>
      </c>
      <c r="I51" s="41" t="s">
        <v>30</v>
      </c>
      <c r="J51" s="42" t="s">
        <v>31</v>
      </c>
      <c r="K51" s="42" t="s">
        <v>32</v>
      </c>
      <c r="L51" s="42" t="s">
        <v>33</v>
      </c>
      <c r="M51" s="50">
        <v>23894352</v>
      </c>
      <c r="N51" s="50">
        <v>0</v>
      </c>
      <c r="O51" s="50">
        <v>23894352</v>
      </c>
      <c r="P51" s="50">
        <v>2</v>
      </c>
      <c r="Q51" s="42" t="s">
        <v>209</v>
      </c>
      <c r="R51" s="42" t="s">
        <v>205</v>
      </c>
      <c r="S51" s="42" t="s">
        <v>574</v>
      </c>
      <c r="T51" s="42" t="s">
        <v>36</v>
      </c>
      <c r="U51" s="42" t="s">
        <v>2159</v>
      </c>
      <c r="V51" s="42" t="s">
        <v>3221</v>
      </c>
      <c r="W51" s="42" t="s">
        <v>36</v>
      </c>
    </row>
    <row r="52" spans="1:23" x14ac:dyDescent="0.2">
      <c r="A52" s="41" t="s">
        <v>210</v>
      </c>
      <c r="B52" s="41" t="s">
        <v>155</v>
      </c>
      <c r="C52" s="41" t="s">
        <v>211</v>
      </c>
      <c r="D52" s="41" t="s">
        <v>26</v>
      </c>
      <c r="E52" s="41" t="s">
        <v>27</v>
      </c>
      <c r="F52" s="41" t="s">
        <v>207</v>
      </c>
      <c r="G52" s="41" t="s">
        <v>208</v>
      </c>
      <c r="H52" s="41" t="s">
        <v>29</v>
      </c>
      <c r="I52" s="41" t="s">
        <v>30</v>
      </c>
      <c r="J52" s="42" t="s">
        <v>31</v>
      </c>
      <c r="K52" s="42" t="s">
        <v>32</v>
      </c>
      <c r="L52" s="42" t="s">
        <v>33</v>
      </c>
      <c r="M52" s="50">
        <v>15000000</v>
      </c>
      <c r="N52" s="50">
        <v>0</v>
      </c>
      <c r="O52" s="50">
        <v>15000000</v>
      </c>
      <c r="P52" s="50">
        <v>15000000</v>
      </c>
      <c r="Q52" s="42" t="s">
        <v>212</v>
      </c>
      <c r="R52" s="42" t="s">
        <v>210</v>
      </c>
      <c r="S52" s="42" t="s">
        <v>36</v>
      </c>
      <c r="T52" s="42" t="s">
        <v>36</v>
      </c>
      <c r="U52" s="42" t="s">
        <v>36</v>
      </c>
      <c r="V52" s="42" t="s">
        <v>36</v>
      </c>
      <c r="W52" s="42" t="s">
        <v>36</v>
      </c>
    </row>
    <row r="53" spans="1:23" x14ac:dyDescent="0.2">
      <c r="A53" s="41" t="s">
        <v>213</v>
      </c>
      <c r="B53" s="41" t="s">
        <v>155</v>
      </c>
      <c r="C53" s="41" t="s">
        <v>214</v>
      </c>
      <c r="D53" s="41" t="s">
        <v>26</v>
      </c>
      <c r="E53" s="41" t="s">
        <v>27</v>
      </c>
      <c r="F53" s="41" t="s">
        <v>207</v>
      </c>
      <c r="G53" s="41" t="s">
        <v>208</v>
      </c>
      <c r="H53" s="41" t="s">
        <v>142</v>
      </c>
      <c r="I53" s="41" t="s">
        <v>143</v>
      </c>
      <c r="J53" s="42" t="s">
        <v>47</v>
      </c>
      <c r="K53" s="42" t="s">
        <v>48</v>
      </c>
      <c r="L53" s="42" t="s">
        <v>33</v>
      </c>
      <c r="M53" s="50">
        <v>20000000</v>
      </c>
      <c r="N53" s="50">
        <v>-20000000</v>
      </c>
      <c r="O53" s="50">
        <v>0</v>
      </c>
      <c r="P53" s="50">
        <v>0</v>
      </c>
      <c r="Q53" s="42" t="s">
        <v>215</v>
      </c>
      <c r="R53" s="42" t="s">
        <v>213</v>
      </c>
      <c r="S53" s="42" t="s">
        <v>36</v>
      </c>
      <c r="T53" s="42" t="s">
        <v>36</v>
      </c>
      <c r="U53" s="42" t="s">
        <v>36</v>
      </c>
      <c r="V53" s="42" t="s">
        <v>36</v>
      </c>
      <c r="W53" s="42" t="s">
        <v>36</v>
      </c>
    </row>
    <row r="54" spans="1:23" x14ac:dyDescent="0.2">
      <c r="A54" s="41" t="s">
        <v>216</v>
      </c>
      <c r="B54" s="41" t="s">
        <v>155</v>
      </c>
      <c r="C54" s="41" t="s">
        <v>217</v>
      </c>
      <c r="D54" s="41" t="s">
        <v>26</v>
      </c>
      <c r="E54" s="41" t="s">
        <v>80</v>
      </c>
      <c r="F54" s="41" t="s">
        <v>207</v>
      </c>
      <c r="G54" s="41" t="s">
        <v>208</v>
      </c>
      <c r="H54" s="41" t="s">
        <v>29</v>
      </c>
      <c r="I54" s="41" t="s">
        <v>30</v>
      </c>
      <c r="J54" s="42" t="s">
        <v>31</v>
      </c>
      <c r="K54" s="42" t="s">
        <v>32</v>
      </c>
      <c r="L54" s="42" t="s">
        <v>33</v>
      </c>
      <c r="M54" s="50">
        <v>15000000</v>
      </c>
      <c r="N54" s="50">
        <v>0</v>
      </c>
      <c r="O54" s="50">
        <v>15000000</v>
      </c>
      <c r="P54" s="50">
        <v>14880161</v>
      </c>
      <c r="Q54" s="42" t="s">
        <v>218</v>
      </c>
      <c r="R54" s="42" t="s">
        <v>216</v>
      </c>
      <c r="S54" s="42" t="s">
        <v>2708</v>
      </c>
      <c r="T54" s="42" t="s">
        <v>36</v>
      </c>
      <c r="U54" s="42" t="s">
        <v>260</v>
      </c>
      <c r="V54" s="42" t="s">
        <v>2705</v>
      </c>
      <c r="W54" s="42" t="s">
        <v>36</v>
      </c>
    </row>
    <row r="55" spans="1:23" x14ac:dyDescent="0.2">
      <c r="A55" s="41" t="s">
        <v>219</v>
      </c>
      <c r="B55" s="41" t="s">
        <v>155</v>
      </c>
      <c r="C55" s="41" t="s">
        <v>220</v>
      </c>
      <c r="D55" s="41" t="s">
        <v>26</v>
      </c>
      <c r="E55" s="41" t="s">
        <v>80</v>
      </c>
      <c r="F55" s="41" t="s">
        <v>207</v>
      </c>
      <c r="G55" s="41" t="s">
        <v>208</v>
      </c>
      <c r="H55" s="41" t="s">
        <v>29</v>
      </c>
      <c r="I55" s="41" t="s">
        <v>30</v>
      </c>
      <c r="J55" s="42" t="s">
        <v>31</v>
      </c>
      <c r="K55" s="42" t="s">
        <v>32</v>
      </c>
      <c r="L55" s="42" t="s">
        <v>33</v>
      </c>
      <c r="M55" s="50">
        <v>14950000</v>
      </c>
      <c r="N55" s="50">
        <v>0</v>
      </c>
      <c r="O55" s="50">
        <v>14950000</v>
      </c>
      <c r="P55" s="50">
        <v>12723270</v>
      </c>
      <c r="Q55" s="42" t="s">
        <v>221</v>
      </c>
      <c r="R55" s="42" t="s">
        <v>219</v>
      </c>
      <c r="S55" s="42" t="s">
        <v>4628</v>
      </c>
      <c r="T55" s="42" t="s">
        <v>36</v>
      </c>
      <c r="U55" s="42" t="s">
        <v>4629</v>
      </c>
      <c r="V55" s="42" t="s">
        <v>3880</v>
      </c>
      <c r="W55" s="42" t="s">
        <v>36</v>
      </c>
    </row>
    <row r="56" spans="1:23" x14ac:dyDescent="0.2">
      <c r="A56" s="41" t="s">
        <v>222</v>
      </c>
      <c r="B56" s="41" t="s">
        <v>155</v>
      </c>
      <c r="C56" s="41" t="s">
        <v>223</v>
      </c>
      <c r="D56" s="41" t="s">
        <v>26</v>
      </c>
      <c r="E56" s="41" t="s">
        <v>80</v>
      </c>
      <c r="F56" s="41" t="s">
        <v>207</v>
      </c>
      <c r="G56" s="41" t="s">
        <v>208</v>
      </c>
      <c r="H56" s="41" t="s">
        <v>29</v>
      </c>
      <c r="I56" s="41" t="s">
        <v>30</v>
      </c>
      <c r="J56" s="42" t="s">
        <v>31</v>
      </c>
      <c r="K56" s="42" t="s">
        <v>32</v>
      </c>
      <c r="L56" s="42" t="s">
        <v>33</v>
      </c>
      <c r="M56" s="50">
        <v>124390000</v>
      </c>
      <c r="N56" s="50">
        <v>0</v>
      </c>
      <c r="O56" s="50">
        <v>124390000</v>
      </c>
      <c r="P56" s="50">
        <v>30000000</v>
      </c>
      <c r="Q56" s="42" t="s">
        <v>224</v>
      </c>
      <c r="R56" s="42" t="s">
        <v>222</v>
      </c>
      <c r="S56" s="42" t="s">
        <v>576</v>
      </c>
      <c r="T56" s="42" t="s">
        <v>36</v>
      </c>
      <c r="U56" s="42" t="s">
        <v>3881</v>
      </c>
      <c r="V56" s="42" t="s">
        <v>3882</v>
      </c>
      <c r="W56" s="42" t="s">
        <v>36</v>
      </c>
    </row>
    <row r="57" spans="1:23" x14ac:dyDescent="0.2">
      <c r="A57" s="41" t="s">
        <v>225</v>
      </c>
      <c r="B57" s="41" t="s">
        <v>155</v>
      </c>
      <c r="C57" s="41" t="s">
        <v>226</v>
      </c>
      <c r="D57" s="41" t="s">
        <v>26</v>
      </c>
      <c r="E57" s="41" t="s">
        <v>27</v>
      </c>
      <c r="F57" s="41" t="s">
        <v>174</v>
      </c>
      <c r="G57" s="41" t="s">
        <v>175</v>
      </c>
      <c r="H57" s="41" t="s">
        <v>29</v>
      </c>
      <c r="I57" s="41" t="s">
        <v>30</v>
      </c>
      <c r="J57" s="42" t="s">
        <v>47</v>
      </c>
      <c r="K57" s="42" t="s">
        <v>48</v>
      </c>
      <c r="L57" s="42" t="s">
        <v>33</v>
      </c>
      <c r="M57" s="50">
        <v>470301019</v>
      </c>
      <c r="N57" s="50">
        <v>-117500000</v>
      </c>
      <c r="O57" s="50">
        <v>352801019</v>
      </c>
      <c r="P57" s="50">
        <v>352801019</v>
      </c>
      <c r="Q57" s="42" t="s">
        <v>227</v>
      </c>
      <c r="R57" s="42" t="s">
        <v>225</v>
      </c>
      <c r="S57" s="42" t="s">
        <v>36</v>
      </c>
      <c r="T57" s="42" t="s">
        <v>36</v>
      </c>
      <c r="U57" s="42" t="s">
        <v>36</v>
      </c>
      <c r="V57" s="42" t="s">
        <v>36</v>
      </c>
      <c r="W57" s="42" t="s">
        <v>36</v>
      </c>
    </row>
    <row r="58" spans="1:23" x14ac:dyDescent="0.2">
      <c r="A58" s="41" t="s">
        <v>228</v>
      </c>
      <c r="B58" s="41" t="s">
        <v>155</v>
      </c>
      <c r="C58" s="41" t="s">
        <v>229</v>
      </c>
      <c r="D58" s="41" t="s">
        <v>26</v>
      </c>
      <c r="E58" s="41" t="s">
        <v>27</v>
      </c>
      <c r="F58" s="41" t="s">
        <v>230</v>
      </c>
      <c r="G58" s="41" t="s">
        <v>231</v>
      </c>
      <c r="H58" s="41" t="s">
        <v>29</v>
      </c>
      <c r="I58" s="41" t="s">
        <v>30</v>
      </c>
      <c r="J58" s="42" t="s">
        <v>47</v>
      </c>
      <c r="K58" s="42" t="s">
        <v>48</v>
      </c>
      <c r="L58" s="42" t="s">
        <v>33</v>
      </c>
      <c r="M58" s="50">
        <v>2000000</v>
      </c>
      <c r="N58" s="50">
        <v>0</v>
      </c>
      <c r="O58" s="50">
        <v>2000000</v>
      </c>
      <c r="P58" s="50">
        <v>2000000</v>
      </c>
      <c r="Q58" s="42" t="s">
        <v>232</v>
      </c>
      <c r="R58" s="42" t="s">
        <v>228</v>
      </c>
      <c r="S58" s="42" t="s">
        <v>36</v>
      </c>
      <c r="T58" s="42" t="s">
        <v>36</v>
      </c>
      <c r="U58" s="42" t="s">
        <v>36</v>
      </c>
      <c r="V58" s="42" t="s">
        <v>36</v>
      </c>
      <c r="W58" s="42" t="s">
        <v>36</v>
      </c>
    </row>
    <row r="59" spans="1:23" x14ac:dyDescent="0.2">
      <c r="A59" s="41" t="s">
        <v>233</v>
      </c>
      <c r="B59" s="41" t="s">
        <v>155</v>
      </c>
      <c r="C59" s="41" t="s">
        <v>234</v>
      </c>
      <c r="D59" s="41" t="s">
        <v>26</v>
      </c>
      <c r="E59" s="41" t="s">
        <v>27</v>
      </c>
      <c r="F59" s="41" t="s">
        <v>230</v>
      </c>
      <c r="G59" s="41" t="s">
        <v>231</v>
      </c>
      <c r="H59" s="41" t="s">
        <v>29</v>
      </c>
      <c r="I59" s="41" t="s">
        <v>30</v>
      </c>
      <c r="J59" s="42" t="s">
        <v>47</v>
      </c>
      <c r="K59" s="42" t="s">
        <v>48</v>
      </c>
      <c r="L59" s="42" t="s">
        <v>33</v>
      </c>
      <c r="M59" s="50">
        <v>24000000</v>
      </c>
      <c r="N59" s="50">
        <v>-24000000</v>
      </c>
      <c r="O59" s="50">
        <v>0</v>
      </c>
      <c r="P59" s="50">
        <v>0</v>
      </c>
      <c r="Q59" s="42" t="s">
        <v>235</v>
      </c>
      <c r="R59" s="42" t="s">
        <v>233</v>
      </c>
      <c r="S59" s="42" t="s">
        <v>36</v>
      </c>
      <c r="T59" s="42" t="s">
        <v>36</v>
      </c>
      <c r="U59" s="42" t="s">
        <v>36</v>
      </c>
      <c r="V59" s="42" t="s">
        <v>36</v>
      </c>
      <c r="W59" s="42" t="s">
        <v>36</v>
      </c>
    </row>
    <row r="60" spans="1:23" x14ac:dyDescent="0.2">
      <c r="A60" s="41" t="s">
        <v>236</v>
      </c>
      <c r="B60" s="41" t="s">
        <v>155</v>
      </c>
      <c r="C60" s="41" t="s">
        <v>237</v>
      </c>
      <c r="D60" s="41" t="s">
        <v>26</v>
      </c>
      <c r="E60" s="41" t="s">
        <v>80</v>
      </c>
      <c r="F60" s="41" t="s">
        <v>238</v>
      </c>
      <c r="G60" s="41" t="s">
        <v>239</v>
      </c>
      <c r="H60" s="41" t="s">
        <v>240</v>
      </c>
      <c r="I60" s="41" t="s">
        <v>241</v>
      </c>
      <c r="J60" s="42" t="s">
        <v>47</v>
      </c>
      <c r="K60" s="42" t="s">
        <v>76</v>
      </c>
      <c r="L60" s="42" t="s">
        <v>33</v>
      </c>
      <c r="M60" s="50">
        <v>150550077</v>
      </c>
      <c r="N60" s="50">
        <v>0</v>
      </c>
      <c r="O60" s="50">
        <v>150550077</v>
      </c>
      <c r="P60" s="50">
        <v>0</v>
      </c>
      <c r="Q60" s="42" t="s">
        <v>242</v>
      </c>
      <c r="R60" s="42" t="s">
        <v>236</v>
      </c>
      <c r="S60" s="42" t="s">
        <v>243</v>
      </c>
      <c r="T60" s="42" t="s">
        <v>36</v>
      </c>
      <c r="U60" s="42" t="s">
        <v>3883</v>
      </c>
      <c r="V60" s="42" t="s">
        <v>3884</v>
      </c>
      <c r="W60" s="42" t="s">
        <v>36</v>
      </c>
    </row>
    <row r="61" spans="1:23" x14ac:dyDescent="0.2">
      <c r="A61" s="41" t="s">
        <v>244</v>
      </c>
      <c r="B61" s="41" t="s">
        <v>155</v>
      </c>
      <c r="C61" s="41" t="s">
        <v>245</v>
      </c>
      <c r="D61" s="41" t="s">
        <v>26</v>
      </c>
      <c r="E61" s="41" t="s">
        <v>27</v>
      </c>
      <c r="F61" s="41" t="s">
        <v>238</v>
      </c>
      <c r="G61" s="41" t="s">
        <v>239</v>
      </c>
      <c r="H61" s="41" t="s">
        <v>246</v>
      </c>
      <c r="I61" s="41" t="s">
        <v>247</v>
      </c>
      <c r="J61" s="42" t="s">
        <v>47</v>
      </c>
      <c r="K61" s="42" t="s">
        <v>76</v>
      </c>
      <c r="L61" s="42" t="s">
        <v>33</v>
      </c>
      <c r="M61" s="50">
        <v>3315165652</v>
      </c>
      <c r="N61" s="50">
        <v>0</v>
      </c>
      <c r="O61" s="50">
        <v>3315165652</v>
      </c>
      <c r="P61" s="50">
        <v>3315165652</v>
      </c>
      <c r="Q61" s="42" t="s">
        <v>248</v>
      </c>
      <c r="R61" s="42" t="s">
        <v>244</v>
      </c>
      <c r="S61" s="42" t="s">
        <v>36</v>
      </c>
      <c r="T61" s="42" t="s">
        <v>36</v>
      </c>
      <c r="U61" s="42" t="s">
        <v>36</v>
      </c>
      <c r="V61" s="42" t="s">
        <v>36</v>
      </c>
      <c r="W61" s="42" t="s">
        <v>36</v>
      </c>
    </row>
    <row r="62" spans="1:23" x14ac:dyDescent="0.2">
      <c r="A62" s="41" t="s">
        <v>249</v>
      </c>
      <c r="B62" s="41" t="s">
        <v>155</v>
      </c>
      <c r="C62" s="41" t="s">
        <v>250</v>
      </c>
      <c r="D62" s="41" t="s">
        <v>26</v>
      </c>
      <c r="E62" s="41" t="s">
        <v>27</v>
      </c>
      <c r="F62" s="41" t="s">
        <v>238</v>
      </c>
      <c r="G62" s="41" t="s">
        <v>239</v>
      </c>
      <c r="H62" s="41" t="s">
        <v>251</v>
      </c>
      <c r="I62" s="41" t="s">
        <v>252</v>
      </c>
      <c r="J62" s="42" t="s">
        <v>47</v>
      </c>
      <c r="K62" s="42" t="s">
        <v>76</v>
      </c>
      <c r="L62" s="42" t="s">
        <v>33</v>
      </c>
      <c r="M62" s="50">
        <v>125000000</v>
      </c>
      <c r="N62" s="50">
        <v>-125000000</v>
      </c>
      <c r="O62" s="50">
        <v>0</v>
      </c>
      <c r="P62" s="50">
        <v>0</v>
      </c>
      <c r="Q62" s="42" t="s">
        <v>253</v>
      </c>
      <c r="R62" s="42" t="s">
        <v>249</v>
      </c>
      <c r="S62" s="42" t="s">
        <v>36</v>
      </c>
      <c r="T62" s="42" t="s">
        <v>36</v>
      </c>
      <c r="U62" s="42" t="s">
        <v>36</v>
      </c>
      <c r="V62" s="42" t="s">
        <v>36</v>
      </c>
      <c r="W62" s="42" t="s">
        <v>36</v>
      </c>
    </row>
    <row r="63" spans="1:23" x14ac:dyDescent="0.2">
      <c r="A63" s="41" t="s">
        <v>254</v>
      </c>
      <c r="B63" s="41" t="s">
        <v>155</v>
      </c>
      <c r="C63" s="41" t="s">
        <v>255</v>
      </c>
      <c r="D63" s="41" t="s">
        <v>26</v>
      </c>
      <c r="E63" s="41" t="s">
        <v>27</v>
      </c>
      <c r="F63" s="41" t="s">
        <v>238</v>
      </c>
      <c r="G63" s="41" t="s">
        <v>239</v>
      </c>
      <c r="H63" s="41" t="s">
        <v>251</v>
      </c>
      <c r="I63" s="41" t="s">
        <v>252</v>
      </c>
      <c r="J63" s="42" t="s">
        <v>47</v>
      </c>
      <c r="K63" s="42" t="s">
        <v>76</v>
      </c>
      <c r="L63" s="42" t="s">
        <v>33</v>
      </c>
      <c r="M63" s="50">
        <v>130000000</v>
      </c>
      <c r="N63" s="50">
        <v>-130000000</v>
      </c>
      <c r="O63" s="50">
        <v>0</v>
      </c>
      <c r="P63" s="50">
        <v>0</v>
      </c>
      <c r="Q63" s="42" t="s">
        <v>256</v>
      </c>
      <c r="R63" s="42" t="s">
        <v>254</v>
      </c>
      <c r="S63" s="42" t="s">
        <v>36</v>
      </c>
      <c r="T63" s="42" t="s">
        <v>36</v>
      </c>
      <c r="U63" s="42" t="s">
        <v>36</v>
      </c>
      <c r="V63" s="42" t="s">
        <v>36</v>
      </c>
      <c r="W63" s="42" t="s">
        <v>36</v>
      </c>
    </row>
    <row r="64" spans="1:23" x14ac:dyDescent="0.2">
      <c r="A64" s="41" t="s">
        <v>257</v>
      </c>
      <c r="B64" s="41" t="s">
        <v>155</v>
      </c>
      <c r="C64" s="41" t="s">
        <v>258</v>
      </c>
      <c r="D64" s="41" t="s">
        <v>26</v>
      </c>
      <c r="E64" s="41" t="s">
        <v>27</v>
      </c>
      <c r="F64" s="41" t="s">
        <v>238</v>
      </c>
      <c r="G64" s="41" t="s">
        <v>239</v>
      </c>
      <c r="H64" s="41" t="s">
        <v>251</v>
      </c>
      <c r="I64" s="41" t="s">
        <v>252</v>
      </c>
      <c r="J64" s="42" t="s">
        <v>47</v>
      </c>
      <c r="K64" s="42" t="s">
        <v>76</v>
      </c>
      <c r="L64" s="42" t="s">
        <v>33</v>
      </c>
      <c r="M64" s="50">
        <v>93860000</v>
      </c>
      <c r="N64" s="50">
        <v>0</v>
      </c>
      <c r="O64" s="50">
        <v>93860000</v>
      </c>
      <c r="P64" s="50">
        <v>93860000</v>
      </c>
      <c r="Q64" s="42" t="s">
        <v>259</v>
      </c>
      <c r="R64" s="42" t="s">
        <v>257</v>
      </c>
      <c r="S64" s="42" t="s">
        <v>36</v>
      </c>
      <c r="T64" s="42" t="s">
        <v>36</v>
      </c>
      <c r="U64" s="42" t="s">
        <v>36</v>
      </c>
      <c r="V64" s="42" t="s">
        <v>36</v>
      </c>
      <c r="W64" s="42" t="s">
        <v>36</v>
      </c>
    </row>
    <row r="65" spans="1:23" x14ac:dyDescent="0.2">
      <c r="A65" s="41" t="s">
        <v>260</v>
      </c>
      <c r="B65" s="41" t="s">
        <v>155</v>
      </c>
      <c r="C65" s="41" t="s">
        <v>261</v>
      </c>
      <c r="D65" s="41" t="s">
        <v>26</v>
      </c>
      <c r="E65" s="41" t="s">
        <v>27</v>
      </c>
      <c r="F65" s="41" t="s">
        <v>238</v>
      </c>
      <c r="G65" s="41" t="s">
        <v>239</v>
      </c>
      <c r="H65" s="41" t="s">
        <v>251</v>
      </c>
      <c r="I65" s="41" t="s">
        <v>252</v>
      </c>
      <c r="J65" s="42" t="s">
        <v>47</v>
      </c>
      <c r="K65" s="42" t="s">
        <v>76</v>
      </c>
      <c r="L65" s="42" t="s">
        <v>33</v>
      </c>
      <c r="M65" s="50">
        <v>28171024</v>
      </c>
      <c r="N65" s="50">
        <v>0</v>
      </c>
      <c r="O65" s="50">
        <v>28171024</v>
      </c>
      <c r="P65" s="50">
        <v>28171024</v>
      </c>
      <c r="Q65" s="42" t="s">
        <v>262</v>
      </c>
      <c r="R65" s="42" t="s">
        <v>260</v>
      </c>
      <c r="S65" s="42" t="s">
        <v>36</v>
      </c>
      <c r="T65" s="42" t="s">
        <v>36</v>
      </c>
      <c r="U65" s="42" t="s">
        <v>36</v>
      </c>
      <c r="V65" s="42" t="s">
        <v>36</v>
      </c>
      <c r="W65" s="42" t="s">
        <v>36</v>
      </c>
    </row>
    <row r="66" spans="1:23" x14ac:dyDescent="0.2">
      <c r="A66" s="41" t="s">
        <v>263</v>
      </c>
      <c r="B66" s="41" t="s">
        <v>155</v>
      </c>
      <c r="C66" s="41" t="s">
        <v>264</v>
      </c>
      <c r="D66" s="41" t="s">
        <v>26</v>
      </c>
      <c r="E66" s="41" t="s">
        <v>27</v>
      </c>
      <c r="F66" s="41" t="s">
        <v>238</v>
      </c>
      <c r="G66" s="41" t="s">
        <v>239</v>
      </c>
      <c r="H66" s="41" t="s">
        <v>251</v>
      </c>
      <c r="I66" s="41" t="s">
        <v>252</v>
      </c>
      <c r="J66" s="42" t="s">
        <v>47</v>
      </c>
      <c r="K66" s="42" t="s">
        <v>76</v>
      </c>
      <c r="L66" s="42" t="s">
        <v>33</v>
      </c>
      <c r="M66" s="50">
        <v>76344910</v>
      </c>
      <c r="N66" s="50">
        <v>0</v>
      </c>
      <c r="O66" s="50">
        <v>76344910</v>
      </c>
      <c r="P66" s="50">
        <v>76344910</v>
      </c>
      <c r="Q66" s="42" t="s">
        <v>265</v>
      </c>
      <c r="R66" s="42" t="s">
        <v>263</v>
      </c>
      <c r="S66" s="42" t="s">
        <v>36</v>
      </c>
      <c r="T66" s="42" t="s">
        <v>36</v>
      </c>
      <c r="U66" s="42" t="s">
        <v>36</v>
      </c>
      <c r="V66" s="42" t="s">
        <v>36</v>
      </c>
      <c r="W66" s="42" t="s">
        <v>36</v>
      </c>
    </row>
    <row r="67" spans="1:23" x14ac:dyDescent="0.2">
      <c r="A67" s="41" t="s">
        <v>266</v>
      </c>
      <c r="B67" s="41" t="s">
        <v>155</v>
      </c>
      <c r="C67" s="41" t="s">
        <v>267</v>
      </c>
      <c r="D67" s="41" t="s">
        <v>26</v>
      </c>
      <c r="E67" s="41" t="s">
        <v>27</v>
      </c>
      <c r="F67" s="41" t="s">
        <v>238</v>
      </c>
      <c r="G67" s="41" t="s">
        <v>239</v>
      </c>
      <c r="H67" s="41" t="s">
        <v>251</v>
      </c>
      <c r="I67" s="41" t="s">
        <v>252</v>
      </c>
      <c r="J67" s="42" t="s">
        <v>47</v>
      </c>
      <c r="K67" s="42" t="s">
        <v>76</v>
      </c>
      <c r="L67" s="42" t="s">
        <v>33</v>
      </c>
      <c r="M67" s="50">
        <v>14095550</v>
      </c>
      <c r="N67" s="50">
        <v>0</v>
      </c>
      <c r="O67" s="50">
        <v>14095550</v>
      </c>
      <c r="P67" s="50">
        <v>14095550</v>
      </c>
      <c r="Q67" s="42" t="s">
        <v>268</v>
      </c>
      <c r="R67" s="42" t="s">
        <v>266</v>
      </c>
      <c r="S67" s="42" t="s">
        <v>36</v>
      </c>
      <c r="T67" s="42" t="s">
        <v>36</v>
      </c>
      <c r="U67" s="42" t="s">
        <v>36</v>
      </c>
      <c r="V67" s="42" t="s">
        <v>36</v>
      </c>
      <c r="W67" s="42" t="s">
        <v>36</v>
      </c>
    </row>
    <row r="68" spans="1:23" x14ac:dyDescent="0.2">
      <c r="A68" s="41" t="s">
        <v>269</v>
      </c>
      <c r="B68" s="41" t="s">
        <v>155</v>
      </c>
      <c r="C68" s="41" t="s">
        <v>270</v>
      </c>
      <c r="D68" s="41" t="s">
        <v>26</v>
      </c>
      <c r="E68" s="41" t="s">
        <v>27</v>
      </c>
      <c r="F68" s="41" t="s">
        <v>238</v>
      </c>
      <c r="G68" s="41" t="s">
        <v>239</v>
      </c>
      <c r="H68" s="41" t="s">
        <v>251</v>
      </c>
      <c r="I68" s="41" t="s">
        <v>252</v>
      </c>
      <c r="J68" s="42" t="s">
        <v>47</v>
      </c>
      <c r="K68" s="42" t="s">
        <v>76</v>
      </c>
      <c r="L68" s="42" t="s">
        <v>33</v>
      </c>
      <c r="M68" s="50">
        <v>113886250</v>
      </c>
      <c r="N68" s="50">
        <v>-113886250</v>
      </c>
      <c r="O68" s="50">
        <v>0</v>
      </c>
      <c r="P68" s="50">
        <v>0</v>
      </c>
      <c r="Q68" s="42" t="s">
        <v>271</v>
      </c>
      <c r="R68" s="42" t="s">
        <v>269</v>
      </c>
      <c r="S68" s="42" t="s">
        <v>36</v>
      </c>
      <c r="T68" s="42" t="s">
        <v>36</v>
      </c>
      <c r="U68" s="42" t="s">
        <v>36</v>
      </c>
      <c r="V68" s="42" t="s">
        <v>36</v>
      </c>
      <c r="W68" s="42" t="s">
        <v>36</v>
      </c>
    </row>
    <row r="69" spans="1:23" x14ac:dyDescent="0.2">
      <c r="A69" s="41" t="s">
        <v>272</v>
      </c>
      <c r="B69" s="41" t="s">
        <v>155</v>
      </c>
      <c r="C69" s="41" t="s">
        <v>273</v>
      </c>
      <c r="D69" s="41" t="s">
        <v>26</v>
      </c>
      <c r="E69" s="41" t="s">
        <v>27</v>
      </c>
      <c r="F69" s="41" t="s">
        <v>238</v>
      </c>
      <c r="G69" s="41" t="s">
        <v>239</v>
      </c>
      <c r="H69" s="41" t="s">
        <v>251</v>
      </c>
      <c r="I69" s="41" t="s">
        <v>252</v>
      </c>
      <c r="J69" s="42" t="s">
        <v>47</v>
      </c>
      <c r="K69" s="42" t="s">
        <v>76</v>
      </c>
      <c r="L69" s="42" t="s">
        <v>33</v>
      </c>
      <c r="M69" s="50">
        <v>23332000</v>
      </c>
      <c r="N69" s="50">
        <v>0</v>
      </c>
      <c r="O69" s="50">
        <v>23332000</v>
      </c>
      <c r="P69" s="50">
        <v>23332000</v>
      </c>
      <c r="Q69" s="42" t="s">
        <v>274</v>
      </c>
      <c r="R69" s="42" t="s">
        <v>272</v>
      </c>
      <c r="S69" s="42" t="s">
        <v>36</v>
      </c>
      <c r="T69" s="42" t="s">
        <v>36</v>
      </c>
      <c r="U69" s="42" t="s">
        <v>36</v>
      </c>
      <c r="V69" s="42" t="s">
        <v>36</v>
      </c>
      <c r="W69" s="42" t="s">
        <v>36</v>
      </c>
    </row>
    <row r="70" spans="1:23" x14ac:dyDescent="0.2">
      <c r="A70" s="41" t="s">
        <v>275</v>
      </c>
      <c r="B70" s="41" t="s">
        <v>155</v>
      </c>
      <c r="C70" s="41" t="s">
        <v>276</v>
      </c>
      <c r="D70" s="41" t="s">
        <v>26</v>
      </c>
      <c r="E70" s="41" t="s">
        <v>27</v>
      </c>
      <c r="F70" s="41" t="s">
        <v>238</v>
      </c>
      <c r="G70" s="41" t="s">
        <v>239</v>
      </c>
      <c r="H70" s="41" t="s">
        <v>251</v>
      </c>
      <c r="I70" s="41" t="s">
        <v>252</v>
      </c>
      <c r="J70" s="42" t="s">
        <v>47</v>
      </c>
      <c r="K70" s="42" t="s">
        <v>76</v>
      </c>
      <c r="L70" s="42" t="s">
        <v>33</v>
      </c>
      <c r="M70" s="50">
        <v>13870000</v>
      </c>
      <c r="N70" s="50">
        <v>0</v>
      </c>
      <c r="O70" s="50">
        <v>13870000</v>
      </c>
      <c r="P70" s="50">
        <v>13870000</v>
      </c>
      <c r="Q70" s="42" t="s">
        <v>277</v>
      </c>
      <c r="R70" s="42" t="s">
        <v>275</v>
      </c>
      <c r="S70" s="42" t="s">
        <v>36</v>
      </c>
      <c r="T70" s="42" t="s">
        <v>36</v>
      </c>
      <c r="U70" s="42" t="s">
        <v>36</v>
      </c>
      <c r="V70" s="42" t="s">
        <v>36</v>
      </c>
      <c r="W70" s="42" t="s">
        <v>36</v>
      </c>
    </row>
    <row r="71" spans="1:23" x14ac:dyDescent="0.2">
      <c r="A71" s="41" t="s">
        <v>278</v>
      </c>
      <c r="B71" s="41" t="s">
        <v>155</v>
      </c>
      <c r="C71" s="41" t="s">
        <v>279</v>
      </c>
      <c r="D71" s="41" t="s">
        <v>26</v>
      </c>
      <c r="E71" s="41" t="s">
        <v>27</v>
      </c>
      <c r="F71" s="41" t="s">
        <v>238</v>
      </c>
      <c r="G71" s="41" t="s">
        <v>239</v>
      </c>
      <c r="H71" s="41" t="s">
        <v>251</v>
      </c>
      <c r="I71" s="41" t="s">
        <v>252</v>
      </c>
      <c r="J71" s="42" t="s">
        <v>47</v>
      </c>
      <c r="K71" s="42" t="s">
        <v>76</v>
      </c>
      <c r="L71" s="42" t="s">
        <v>33</v>
      </c>
      <c r="M71" s="50">
        <v>4500000</v>
      </c>
      <c r="N71" s="50">
        <v>0</v>
      </c>
      <c r="O71" s="50">
        <v>4500000</v>
      </c>
      <c r="P71" s="50">
        <v>4500000</v>
      </c>
      <c r="Q71" s="42" t="s">
        <v>280</v>
      </c>
      <c r="R71" s="42" t="s">
        <v>278</v>
      </c>
      <c r="S71" s="42" t="s">
        <v>36</v>
      </c>
      <c r="T71" s="42" t="s">
        <v>36</v>
      </c>
      <c r="U71" s="42" t="s">
        <v>36</v>
      </c>
      <c r="V71" s="42" t="s">
        <v>36</v>
      </c>
      <c r="W71" s="42" t="s">
        <v>36</v>
      </c>
    </row>
    <row r="72" spans="1:23" x14ac:dyDescent="0.2">
      <c r="A72" s="41" t="s">
        <v>281</v>
      </c>
      <c r="B72" s="41" t="s">
        <v>155</v>
      </c>
      <c r="C72" s="41" t="s">
        <v>282</v>
      </c>
      <c r="D72" s="41" t="s">
        <v>26</v>
      </c>
      <c r="E72" s="41" t="s">
        <v>27</v>
      </c>
      <c r="F72" s="41" t="s">
        <v>238</v>
      </c>
      <c r="G72" s="41" t="s">
        <v>239</v>
      </c>
      <c r="H72" s="41" t="s">
        <v>251</v>
      </c>
      <c r="I72" s="41" t="s">
        <v>252</v>
      </c>
      <c r="J72" s="42" t="s">
        <v>47</v>
      </c>
      <c r="K72" s="42" t="s">
        <v>76</v>
      </c>
      <c r="L72" s="42" t="s">
        <v>33</v>
      </c>
      <c r="M72" s="50">
        <v>4000000</v>
      </c>
      <c r="N72" s="50">
        <v>0</v>
      </c>
      <c r="O72" s="50">
        <v>4000000</v>
      </c>
      <c r="P72" s="50">
        <v>4000000</v>
      </c>
      <c r="Q72" s="42" t="s">
        <v>283</v>
      </c>
      <c r="R72" s="42" t="s">
        <v>281</v>
      </c>
      <c r="S72" s="42" t="s">
        <v>36</v>
      </c>
      <c r="T72" s="42" t="s">
        <v>36</v>
      </c>
      <c r="U72" s="42" t="s">
        <v>36</v>
      </c>
      <c r="V72" s="42" t="s">
        <v>36</v>
      </c>
      <c r="W72" s="42" t="s">
        <v>36</v>
      </c>
    </row>
    <row r="73" spans="1:23" x14ac:dyDescent="0.2">
      <c r="A73" s="41" t="s">
        <v>284</v>
      </c>
      <c r="B73" s="41" t="s">
        <v>155</v>
      </c>
      <c r="C73" s="41" t="s">
        <v>285</v>
      </c>
      <c r="D73" s="41" t="s">
        <v>26</v>
      </c>
      <c r="E73" s="41" t="s">
        <v>27</v>
      </c>
      <c r="F73" s="41" t="s">
        <v>238</v>
      </c>
      <c r="G73" s="41" t="s">
        <v>239</v>
      </c>
      <c r="H73" s="41" t="s">
        <v>251</v>
      </c>
      <c r="I73" s="41" t="s">
        <v>252</v>
      </c>
      <c r="J73" s="42" t="s">
        <v>47</v>
      </c>
      <c r="K73" s="42" t="s">
        <v>76</v>
      </c>
      <c r="L73" s="42" t="s">
        <v>33</v>
      </c>
      <c r="M73" s="50">
        <v>53163250</v>
      </c>
      <c r="N73" s="50">
        <v>0</v>
      </c>
      <c r="O73" s="50">
        <v>53163250</v>
      </c>
      <c r="P73" s="50">
        <v>53163250</v>
      </c>
      <c r="Q73" s="42" t="s">
        <v>286</v>
      </c>
      <c r="R73" s="42" t="s">
        <v>284</v>
      </c>
      <c r="S73" s="42" t="s">
        <v>36</v>
      </c>
      <c r="T73" s="42" t="s">
        <v>36</v>
      </c>
      <c r="U73" s="42" t="s">
        <v>36</v>
      </c>
      <c r="V73" s="42" t="s">
        <v>36</v>
      </c>
      <c r="W73" s="42" t="s">
        <v>36</v>
      </c>
    </row>
    <row r="74" spans="1:23" x14ac:dyDescent="0.2">
      <c r="A74" s="41" t="s">
        <v>287</v>
      </c>
      <c r="B74" s="41" t="s">
        <v>155</v>
      </c>
      <c r="C74" s="41" t="s">
        <v>288</v>
      </c>
      <c r="D74" s="41" t="s">
        <v>26</v>
      </c>
      <c r="E74" s="41" t="s">
        <v>27</v>
      </c>
      <c r="F74" s="41" t="s">
        <v>238</v>
      </c>
      <c r="G74" s="41" t="s">
        <v>239</v>
      </c>
      <c r="H74" s="41" t="s">
        <v>240</v>
      </c>
      <c r="I74" s="41" t="s">
        <v>241</v>
      </c>
      <c r="J74" s="42" t="s">
        <v>47</v>
      </c>
      <c r="K74" s="42" t="s">
        <v>76</v>
      </c>
      <c r="L74" s="42" t="s">
        <v>33</v>
      </c>
      <c r="M74" s="50">
        <v>500000</v>
      </c>
      <c r="N74" s="50">
        <v>0</v>
      </c>
      <c r="O74" s="50">
        <v>500000</v>
      </c>
      <c r="P74" s="50">
        <v>500000</v>
      </c>
      <c r="Q74" s="42" t="s">
        <v>289</v>
      </c>
      <c r="R74" s="42" t="s">
        <v>287</v>
      </c>
      <c r="S74" s="42" t="s">
        <v>36</v>
      </c>
      <c r="T74" s="42" t="s">
        <v>36</v>
      </c>
      <c r="U74" s="42" t="s">
        <v>36</v>
      </c>
      <c r="V74" s="42" t="s">
        <v>36</v>
      </c>
      <c r="W74" s="42" t="s">
        <v>36</v>
      </c>
    </row>
    <row r="75" spans="1:23" x14ac:dyDescent="0.2">
      <c r="A75" s="41" t="s">
        <v>290</v>
      </c>
      <c r="B75" s="41" t="s">
        <v>291</v>
      </c>
      <c r="C75" s="41" t="s">
        <v>292</v>
      </c>
      <c r="D75" s="41" t="s">
        <v>26</v>
      </c>
      <c r="E75" s="41" t="s">
        <v>27</v>
      </c>
      <c r="F75" s="41" t="s">
        <v>140</v>
      </c>
      <c r="G75" s="41" t="s">
        <v>141</v>
      </c>
      <c r="H75" s="41" t="s">
        <v>142</v>
      </c>
      <c r="I75" s="41" t="s">
        <v>143</v>
      </c>
      <c r="J75" s="42" t="s">
        <v>31</v>
      </c>
      <c r="K75" s="42" t="s">
        <v>32</v>
      </c>
      <c r="L75" s="42" t="s">
        <v>33</v>
      </c>
      <c r="M75" s="50">
        <v>4286313580</v>
      </c>
      <c r="N75" s="50">
        <v>0</v>
      </c>
      <c r="O75" s="50">
        <v>4286313580</v>
      </c>
      <c r="P75" s="50">
        <v>4286313580</v>
      </c>
      <c r="Q75" s="42" t="s">
        <v>293</v>
      </c>
      <c r="R75" s="42" t="s">
        <v>290</v>
      </c>
      <c r="S75" s="42" t="s">
        <v>36</v>
      </c>
      <c r="T75" s="42" t="s">
        <v>36</v>
      </c>
      <c r="U75" s="42" t="s">
        <v>36</v>
      </c>
      <c r="V75" s="42" t="s">
        <v>36</v>
      </c>
      <c r="W75" s="42" t="s">
        <v>36</v>
      </c>
    </row>
    <row r="76" spans="1:23" x14ac:dyDescent="0.2">
      <c r="A76" s="41" t="s">
        <v>290</v>
      </c>
      <c r="B76" s="41" t="s">
        <v>291</v>
      </c>
      <c r="C76" s="41" t="s">
        <v>292</v>
      </c>
      <c r="D76" s="41" t="s">
        <v>26</v>
      </c>
      <c r="E76" s="41" t="s">
        <v>27</v>
      </c>
      <c r="F76" s="41" t="s">
        <v>55</v>
      </c>
      <c r="G76" s="41" t="s">
        <v>56</v>
      </c>
      <c r="H76" s="41" t="s">
        <v>29</v>
      </c>
      <c r="I76" s="41" t="s">
        <v>30</v>
      </c>
      <c r="J76" s="42" t="s">
        <v>31</v>
      </c>
      <c r="K76" s="42" t="s">
        <v>32</v>
      </c>
      <c r="L76" s="42" t="s">
        <v>33</v>
      </c>
      <c r="M76" s="50">
        <v>2662479258</v>
      </c>
      <c r="N76" s="50">
        <v>0</v>
      </c>
      <c r="O76" s="50">
        <v>2662479258</v>
      </c>
      <c r="P76" s="50">
        <v>2662479258</v>
      </c>
      <c r="Q76" s="42" t="s">
        <v>293</v>
      </c>
      <c r="R76" s="42" t="s">
        <v>290</v>
      </c>
      <c r="S76" s="42" t="s">
        <v>36</v>
      </c>
      <c r="T76" s="42" t="s">
        <v>36</v>
      </c>
      <c r="U76" s="42" t="s">
        <v>36</v>
      </c>
      <c r="V76" s="42" t="s">
        <v>36</v>
      </c>
      <c r="W76" s="42" t="s">
        <v>36</v>
      </c>
    </row>
    <row r="77" spans="1:23" x14ac:dyDescent="0.2">
      <c r="A77" s="41" t="s">
        <v>577</v>
      </c>
      <c r="B77" s="41" t="s">
        <v>578</v>
      </c>
      <c r="C77" s="41" t="s">
        <v>579</v>
      </c>
      <c r="D77" s="41" t="s">
        <v>26</v>
      </c>
      <c r="E77" s="41" t="s">
        <v>80</v>
      </c>
      <c r="F77" s="41" t="s">
        <v>580</v>
      </c>
      <c r="G77" s="41" t="s">
        <v>581</v>
      </c>
      <c r="H77" s="41" t="s">
        <v>582</v>
      </c>
      <c r="I77" s="41" t="s">
        <v>583</v>
      </c>
      <c r="J77" s="42" t="s">
        <v>47</v>
      </c>
      <c r="K77" s="42" t="s">
        <v>76</v>
      </c>
      <c r="L77" s="42" t="s">
        <v>33</v>
      </c>
      <c r="M77" s="50">
        <v>264600000</v>
      </c>
      <c r="N77" s="50">
        <v>0</v>
      </c>
      <c r="O77" s="50">
        <v>264600000</v>
      </c>
      <c r="P77" s="50">
        <v>0</v>
      </c>
      <c r="Q77" s="42" t="s">
        <v>584</v>
      </c>
      <c r="R77" s="42" t="s">
        <v>577</v>
      </c>
      <c r="S77" s="42" t="s">
        <v>585</v>
      </c>
      <c r="T77" s="42" t="s">
        <v>36</v>
      </c>
      <c r="U77" s="42" t="s">
        <v>3885</v>
      </c>
      <c r="V77" s="42" t="s">
        <v>3886</v>
      </c>
      <c r="W77" s="42" t="s">
        <v>36</v>
      </c>
    </row>
    <row r="78" spans="1:23" x14ac:dyDescent="0.2">
      <c r="A78" s="41" t="s">
        <v>586</v>
      </c>
      <c r="B78" s="41" t="s">
        <v>578</v>
      </c>
      <c r="C78" s="41" t="s">
        <v>587</v>
      </c>
      <c r="D78" s="41" t="s">
        <v>26</v>
      </c>
      <c r="E78" s="41" t="s">
        <v>80</v>
      </c>
      <c r="F78" s="41" t="s">
        <v>588</v>
      </c>
      <c r="G78" s="41" t="s">
        <v>589</v>
      </c>
      <c r="H78" s="41" t="s">
        <v>590</v>
      </c>
      <c r="I78" s="41" t="s">
        <v>591</v>
      </c>
      <c r="J78" s="42" t="s">
        <v>47</v>
      </c>
      <c r="K78" s="42" t="s">
        <v>76</v>
      </c>
      <c r="L78" s="42" t="s">
        <v>33</v>
      </c>
      <c r="M78" s="50">
        <v>294000000</v>
      </c>
      <c r="N78" s="50">
        <v>0</v>
      </c>
      <c r="O78" s="50">
        <v>294000000</v>
      </c>
      <c r="P78" s="50">
        <v>0</v>
      </c>
      <c r="Q78" s="42" t="s">
        <v>592</v>
      </c>
      <c r="R78" s="42" t="s">
        <v>586</v>
      </c>
      <c r="S78" s="42" t="s">
        <v>593</v>
      </c>
      <c r="T78" s="42" t="s">
        <v>36</v>
      </c>
      <c r="U78" s="42" t="s">
        <v>3887</v>
      </c>
      <c r="V78" s="42" t="s">
        <v>3888</v>
      </c>
      <c r="W78" s="42" t="s">
        <v>36</v>
      </c>
    </row>
    <row r="79" spans="1:23" x14ac:dyDescent="0.2">
      <c r="A79" s="41" t="s">
        <v>844</v>
      </c>
      <c r="B79" s="41" t="s">
        <v>3594</v>
      </c>
      <c r="C79" s="41" t="s">
        <v>3889</v>
      </c>
      <c r="D79" s="41" t="s">
        <v>26</v>
      </c>
      <c r="E79" s="41" t="s">
        <v>27</v>
      </c>
      <c r="F79" s="41" t="s">
        <v>179</v>
      </c>
      <c r="G79" s="41" t="s">
        <v>180</v>
      </c>
      <c r="H79" s="41" t="s">
        <v>29</v>
      </c>
      <c r="I79" s="41" t="s">
        <v>30</v>
      </c>
      <c r="J79" s="42" t="s">
        <v>31</v>
      </c>
      <c r="K79" s="42" t="s">
        <v>32</v>
      </c>
      <c r="L79" s="42" t="s">
        <v>33</v>
      </c>
      <c r="M79" s="50">
        <v>376238966</v>
      </c>
      <c r="N79" s="50">
        <v>0</v>
      </c>
      <c r="O79" s="50">
        <v>376238966</v>
      </c>
      <c r="P79" s="50">
        <v>376238966</v>
      </c>
      <c r="Q79" s="42" t="s">
        <v>3890</v>
      </c>
      <c r="R79" s="42" t="s">
        <v>844</v>
      </c>
      <c r="S79" s="42" t="s">
        <v>36</v>
      </c>
      <c r="T79" s="42" t="s">
        <v>36</v>
      </c>
      <c r="U79" s="42" t="s">
        <v>36</v>
      </c>
      <c r="V79" s="42" t="s">
        <v>36</v>
      </c>
      <c r="W79" s="42" t="s">
        <v>36</v>
      </c>
    </row>
    <row r="80" spans="1:23" x14ac:dyDescent="0.2">
      <c r="A80" s="41" t="s">
        <v>844</v>
      </c>
      <c r="B80" s="41" t="s">
        <v>3594</v>
      </c>
      <c r="C80" s="41" t="s">
        <v>3889</v>
      </c>
      <c r="D80" s="41" t="s">
        <v>26</v>
      </c>
      <c r="E80" s="41" t="s">
        <v>27</v>
      </c>
      <c r="F80" s="41" t="s">
        <v>28</v>
      </c>
      <c r="G80" s="41" t="s">
        <v>569</v>
      </c>
      <c r="H80" s="41" t="s">
        <v>29</v>
      </c>
      <c r="I80" s="41" t="s">
        <v>30</v>
      </c>
      <c r="J80" s="42" t="s">
        <v>31</v>
      </c>
      <c r="K80" s="42" t="s">
        <v>32</v>
      </c>
      <c r="L80" s="42" t="s">
        <v>33</v>
      </c>
      <c r="M80" s="50">
        <v>106294000</v>
      </c>
      <c r="N80" s="50">
        <v>0</v>
      </c>
      <c r="O80" s="50">
        <v>106294000</v>
      </c>
      <c r="P80" s="50">
        <v>106294000</v>
      </c>
      <c r="Q80" s="42" t="s">
        <v>3890</v>
      </c>
      <c r="R80" s="42" t="s">
        <v>844</v>
      </c>
      <c r="S80" s="42" t="s">
        <v>36</v>
      </c>
      <c r="T80" s="42" t="s">
        <v>36</v>
      </c>
      <c r="U80" s="42" t="s">
        <v>36</v>
      </c>
      <c r="V80" s="42" t="s">
        <v>36</v>
      </c>
      <c r="W80" s="42" t="s">
        <v>36</v>
      </c>
    </row>
    <row r="81" spans="1:23" x14ac:dyDescent="0.2">
      <c r="A81" s="41" t="s">
        <v>844</v>
      </c>
      <c r="B81" s="41" t="s">
        <v>3594</v>
      </c>
      <c r="C81" s="41" t="s">
        <v>3889</v>
      </c>
      <c r="D81" s="41" t="s">
        <v>26</v>
      </c>
      <c r="E81" s="41" t="s">
        <v>27</v>
      </c>
      <c r="F81" s="41" t="s">
        <v>68</v>
      </c>
      <c r="G81" s="41" t="s">
        <v>69</v>
      </c>
      <c r="H81" s="41" t="s">
        <v>29</v>
      </c>
      <c r="I81" s="41" t="s">
        <v>30</v>
      </c>
      <c r="J81" s="42" t="s">
        <v>31</v>
      </c>
      <c r="K81" s="42" t="s">
        <v>32</v>
      </c>
      <c r="L81" s="42" t="s">
        <v>33</v>
      </c>
      <c r="M81" s="50">
        <v>112424659</v>
      </c>
      <c r="N81" s="50">
        <v>0</v>
      </c>
      <c r="O81" s="50">
        <v>112424659</v>
      </c>
      <c r="P81" s="50">
        <v>112424659</v>
      </c>
      <c r="Q81" s="42" t="s">
        <v>3890</v>
      </c>
      <c r="R81" s="42" t="s">
        <v>844</v>
      </c>
      <c r="S81" s="42" t="s">
        <v>36</v>
      </c>
      <c r="T81" s="42" t="s">
        <v>36</v>
      </c>
      <c r="U81" s="42" t="s">
        <v>36</v>
      </c>
      <c r="V81" s="42" t="s">
        <v>36</v>
      </c>
      <c r="W81" s="42" t="s">
        <v>36</v>
      </c>
    </row>
    <row r="82" spans="1:23" x14ac:dyDescent="0.2">
      <c r="A82" s="41" t="s">
        <v>844</v>
      </c>
      <c r="B82" s="41" t="s">
        <v>3594</v>
      </c>
      <c r="C82" s="41" t="s">
        <v>3889</v>
      </c>
      <c r="D82" s="41" t="s">
        <v>26</v>
      </c>
      <c r="E82" s="41" t="s">
        <v>27</v>
      </c>
      <c r="F82" s="41" t="s">
        <v>230</v>
      </c>
      <c r="G82" s="41" t="s">
        <v>231</v>
      </c>
      <c r="H82" s="41" t="s">
        <v>29</v>
      </c>
      <c r="I82" s="41" t="s">
        <v>30</v>
      </c>
      <c r="J82" s="42" t="s">
        <v>47</v>
      </c>
      <c r="K82" s="42" t="s">
        <v>48</v>
      </c>
      <c r="L82" s="42" t="s">
        <v>33</v>
      </c>
      <c r="M82" s="50">
        <v>2000000</v>
      </c>
      <c r="N82" s="50">
        <v>0</v>
      </c>
      <c r="O82" s="50">
        <v>2000000</v>
      </c>
      <c r="P82" s="50">
        <v>2000000</v>
      </c>
      <c r="Q82" s="42" t="s">
        <v>3890</v>
      </c>
      <c r="R82" s="42" t="s">
        <v>844</v>
      </c>
      <c r="S82" s="42" t="s">
        <v>36</v>
      </c>
      <c r="T82" s="42" t="s">
        <v>36</v>
      </c>
      <c r="U82" s="42" t="s">
        <v>36</v>
      </c>
      <c r="V82" s="42" t="s">
        <v>36</v>
      </c>
      <c r="W82" s="42" t="s">
        <v>36</v>
      </c>
    </row>
    <row r="83" spans="1:23" x14ac:dyDescent="0.2">
      <c r="A83" s="41" t="s">
        <v>844</v>
      </c>
      <c r="B83" s="41" t="s">
        <v>3594</v>
      </c>
      <c r="C83" s="41" t="s">
        <v>3889</v>
      </c>
      <c r="D83" s="41" t="s">
        <v>26</v>
      </c>
      <c r="E83" s="41" t="s">
        <v>27</v>
      </c>
      <c r="F83" s="41" t="s">
        <v>117</v>
      </c>
      <c r="G83" s="41" t="s">
        <v>118</v>
      </c>
      <c r="H83" s="41" t="s">
        <v>29</v>
      </c>
      <c r="I83" s="41" t="s">
        <v>30</v>
      </c>
      <c r="J83" s="42" t="s">
        <v>47</v>
      </c>
      <c r="K83" s="42" t="s">
        <v>121</v>
      </c>
      <c r="L83" s="42" t="s">
        <v>33</v>
      </c>
      <c r="M83" s="50">
        <v>116305291</v>
      </c>
      <c r="N83" s="50">
        <v>0</v>
      </c>
      <c r="O83" s="50">
        <v>116305291</v>
      </c>
      <c r="P83" s="50">
        <v>116305291</v>
      </c>
      <c r="Q83" s="42" t="s">
        <v>3890</v>
      </c>
      <c r="R83" s="42" t="s">
        <v>844</v>
      </c>
      <c r="S83" s="42" t="s">
        <v>36</v>
      </c>
      <c r="T83" s="42" t="s">
        <v>36</v>
      </c>
      <c r="U83" s="42" t="s">
        <v>36</v>
      </c>
      <c r="V83" s="42" t="s">
        <v>36</v>
      </c>
      <c r="W83" s="42" t="s">
        <v>36</v>
      </c>
    </row>
    <row r="84" spans="1:23" x14ac:dyDescent="0.2">
      <c r="A84" s="41" t="s">
        <v>844</v>
      </c>
      <c r="B84" s="41" t="s">
        <v>3594</v>
      </c>
      <c r="C84" s="41" t="s">
        <v>3889</v>
      </c>
      <c r="D84" s="41" t="s">
        <v>26</v>
      </c>
      <c r="E84" s="41" t="s">
        <v>27</v>
      </c>
      <c r="F84" s="41" t="s">
        <v>174</v>
      </c>
      <c r="G84" s="41" t="s">
        <v>175</v>
      </c>
      <c r="H84" s="41" t="s">
        <v>29</v>
      </c>
      <c r="I84" s="41" t="s">
        <v>30</v>
      </c>
      <c r="J84" s="42" t="s">
        <v>47</v>
      </c>
      <c r="K84" s="42" t="s">
        <v>48</v>
      </c>
      <c r="L84" s="42" t="s">
        <v>33</v>
      </c>
      <c r="M84" s="50">
        <v>30000000</v>
      </c>
      <c r="N84" s="50">
        <v>0</v>
      </c>
      <c r="O84" s="50">
        <v>30000000</v>
      </c>
      <c r="P84" s="50">
        <v>30000000</v>
      </c>
      <c r="Q84" s="42" t="s">
        <v>3890</v>
      </c>
      <c r="R84" s="42" t="s">
        <v>844</v>
      </c>
      <c r="S84" s="42" t="s">
        <v>36</v>
      </c>
      <c r="T84" s="42" t="s">
        <v>36</v>
      </c>
      <c r="U84" s="42" t="s">
        <v>36</v>
      </c>
      <c r="V84" s="42" t="s">
        <v>36</v>
      </c>
      <c r="W84" s="42" t="s">
        <v>36</v>
      </c>
    </row>
    <row r="85" spans="1:23" x14ac:dyDescent="0.2">
      <c r="A85" s="41" t="s">
        <v>844</v>
      </c>
      <c r="B85" s="41" t="s">
        <v>3594</v>
      </c>
      <c r="C85" s="41" t="s">
        <v>3889</v>
      </c>
      <c r="D85" s="41" t="s">
        <v>26</v>
      </c>
      <c r="E85" s="41" t="s">
        <v>27</v>
      </c>
      <c r="F85" s="41" t="s">
        <v>55</v>
      </c>
      <c r="G85" s="41" t="s">
        <v>56</v>
      </c>
      <c r="H85" s="41" t="s">
        <v>57</v>
      </c>
      <c r="I85" s="41" t="s">
        <v>58</v>
      </c>
      <c r="J85" s="42" t="s">
        <v>31</v>
      </c>
      <c r="K85" s="42" t="s">
        <v>32</v>
      </c>
      <c r="L85" s="42" t="s">
        <v>33</v>
      </c>
      <c r="M85" s="50">
        <v>65204000</v>
      </c>
      <c r="N85" s="50">
        <v>0</v>
      </c>
      <c r="O85" s="50">
        <v>65204000</v>
      </c>
      <c r="P85" s="50">
        <v>65204000</v>
      </c>
      <c r="Q85" s="42" t="s">
        <v>3890</v>
      </c>
      <c r="R85" s="42" t="s">
        <v>844</v>
      </c>
      <c r="S85" s="42" t="s">
        <v>36</v>
      </c>
      <c r="T85" s="42" t="s">
        <v>36</v>
      </c>
      <c r="U85" s="42" t="s">
        <v>36</v>
      </c>
      <c r="V85" s="42" t="s">
        <v>36</v>
      </c>
      <c r="W85" s="42" t="s">
        <v>36</v>
      </c>
    </row>
    <row r="86" spans="1:23" x14ac:dyDescent="0.2">
      <c r="A86" s="41" t="s">
        <v>844</v>
      </c>
      <c r="B86" s="41" t="s">
        <v>3594</v>
      </c>
      <c r="C86" s="41" t="s">
        <v>3889</v>
      </c>
      <c r="D86" s="41" t="s">
        <v>26</v>
      </c>
      <c r="E86" s="41" t="s">
        <v>27</v>
      </c>
      <c r="F86" s="41" t="s">
        <v>3891</v>
      </c>
      <c r="G86" s="41" t="s">
        <v>3892</v>
      </c>
      <c r="H86" s="41" t="s">
        <v>29</v>
      </c>
      <c r="I86" s="41" t="s">
        <v>30</v>
      </c>
      <c r="J86" s="42" t="s">
        <v>31</v>
      </c>
      <c r="K86" s="42" t="s">
        <v>32</v>
      </c>
      <c r="L86" s="42" t="s">
        <v>33</v>
      </c>
      <c r="M86" s="50">
        <v>7000000</v>
      </c>
      <c r="N86" s="50">
        <v>0</v>
      </c>
      <c r="O86" s="50">
        <v>7000000</v>
      </c>
      <c r="P86" s="50">
        <v>7000000</v>
      </c>
      <c r="Q86" s="42" t="s">
        <v>3890</v>
      </c>
      <c r="R86" s="42" t="s">
        <v>844</v>
      </c>
      <c r="S86" s="42" t="s">
        <v>36</v>
      </c>
      <c r="T86" s="42" t="s">
        <v>36</v>
      </c>
      <c r="U86" s="42" t="s">
        <v>36</v>
      </c>
      <c r="V86" s="42" t="s">
        <v>36</v>
      </c>
      <c r="W86" s="42" t="s">
        <v>36</v>
      </c>
    </row>
    <row r="87" spans="1:23" x14ac:dyDescent="0.2">
      <c r="A87" s="41" t="s">
        <v>844</v>
      </c>
      <c r="B87" s="41" t="s">
        <v>3594</v>
      </c>
      <c r="C87" s="41" t="s">
        <v>3889</v>
      </c>
      <c r="D87" s="41" t="s">
        <v>26</v>
      </c>
      <c r="E87" s="41" t="s">
        <v>27</v>
      </c>
      <c r="F87" s="41" t="s">
        <v>197</v>
      </c>
      <c r="G87" s="41" t="s">
        <v>572</v>
      </c>
      <c r="H87" s="41" t="s">
        <v>29</v>
      </c>
      <c r="I87" s="41" t="s">
        <v>30</v>
      </c>
      <c r="J87" s="42" t="s">
        <v>31</v>
      </c>
      <c r="K87" s="42" t="s">
        <v>32</v>
      </c>
      <c r="L87" s="42" t="s">
        <v>33</v>
      </c>
      <c r="M87" s="50">
        <v>42676949</v>
      </c>
      <c r="N87" s="50">
        <v>0</v>
      </c>
      <c r="O87" s="50">
        <v>42676949</v>
      </c>
      <c r="P87" s="50">
        <v>42676949</v>
      </c>
      <c r="Q87" s="42" t="s">
        <v>3890</v>
      </c>
      <c r="R87" s="42" t="s">
        <v>844</v>
      </c>
      <c r="S87" s="42" t="s">
        <v>36</v>
      </c>
      <c r="T87" s="42" t="s">
        <v>36</v>
      </c>
      <c r="U87" s="42" t="s">
        <v>36</v>
      </c>
      <c r="V87" s="42" t="s">
        <v>36</v>
      </c>
      <c r="W87" s="42" t="s">
        <v>36</v>
      </c>
    </row>
    <row r="88" spans="1:23" x14ac:dyDescent="0.2">
      <c r="A88" s="41" t="s">
        <v>849</v>
      </c>
      <c r="B88" s="41" t="s">
        <v>3594</v>
      </c>
      <c r="C88" s="41" t="s">
        <v>3893</v>
      </c>
      <c r="D88" s="41" t="s">
        <v>26</v>
      </c>
      <c r="E88" s="41" t="s">
        <v>27</v>
      </c>
      <c r="F88" s="41" t="s">
        <v>117</v>
      </c>
      <c r="G88" s="41" t="s">
        <v>118</v>
      </c>
      <c r="H88" s="41" t="s">
        <v>29</v>
      </c>
      <c r="I88" s="41" t="s">
        <v>30</v>
      </c>
      <c r="J88" s="42" t="s">
        <v>47</v>
      </c>
      <c r="K88" s="42" t="s">
        <v>121</v>
      </c>
      <c r="L88" s="42" t="s">
        <v>33</v>
      </c>
      <c r="M88" s="50">
        <v>29425719</v>
      </c>
      <c r="N88" s="50">
        <v>0</v>
      </c>
      <c r="O88" s="50">
        <v>29425719</v>
      </c>
      <c r="P88" s="50">
        <v>29425719</v>
      </c>
      <c r="Q88" s="42" t="s">
        <v>3894</v>
      </c>
      <c r="R88" s="42" t="s">
        <v>849</v>
      </c>
      <c r="S88" s="42" t="s">
        <v>36</v>
      </c>
      <c r="T88" s="42" t="s">
        <v>36</v>
      </c>
      <c r="U88" s="42" t="s">
        <v>36</v>
      </c>
      <c r="V88" s="42" t="s">
        <v>36</v>
      </c>
      <c r="W88" s="42" t="s">
        <v>36</v>
      </c>
    </row>
    <row r="89" spans="1:23" x14ac:dyDescent="0.2">
      <c r="A89" s="41" t="s">
        <v>849</v>
      </c>
      <c r="B89" s="41" t="s">
        <v>3594</v>
      </c>
      <c r="C89" s="41" t="s">
        <v>3893</v>
      </c>
      <c r="D89" s="41" t="s">
        <v>26</v>
      </c>
      <c r="E89" s="41" t="s">
        <v>27</v>
      </c>
      <c r="F89" s="41" t="s">
        <v>187</v>
      </c>
      <c r="G89" s="41" t="s">
        <v>188</v>
      </c>
      <c r="H89" s="41" t="s">
        <v>29</v>
      </c>
      <c r="I89" s="41" t="s">
        <v>30</v>
      </c>
      <c r="J89" s="42" t="s">
        <v>47</v>
      </c>
      <c r="K89" s="42" t="s">
        <v>48</v>
      </c>
      <c r="L89" s="42" t="s">
        <v>33</v>
      </c>
      <c r="M89" s="50">
        <v>8692251</v>
      </c>
      <c r="N89" s="50">
        <v>0</v>
      </c>
      <c r="O89" s="50">
        <v>8692251</v>
      </c>
      <c r="P89" s="50">
        <v>8692251</v>
      </c>
      <c r="Q89" s="42" t="s">
        <v>3894</v>
      </c>
      <c r="R89" s="42" t="s">
        <v>849</v>
      </c>
      <c r="S89" s="42" t="s">
        <v>36</v>
      </c>
      <c r="T89" s="42" t="s">
        <v>36</v>
      </c>
      <c r="U89" s="42" t="s">
        <v>36</v>
      </c>
      <c r="V89" s="42" t="s">
        <v>36</v>
      </c>
      <c r="W89" s="42" t="s">
        <v>36</v>
      </c>
    </row>
    <row r="90" spans="1:23" x14ac:dyDescent="0.2">
      <c r="A90" s="41" t="s">
        <v>849</v>
      </c>
      <c r="B90" s="41" t="s">
        <v>3594</v>
      </c>
      <c r="C90" s="41" t="s">
        <v>3893</v>
      </c>
      <c r="D90" s="41" t="s">
        <v>26</v>
      </c>
      <c r="E90" s="41" t="s">
        <v>27</v>
      </c>
      <c r="F90" s="41" t="s">
        <v>55</v>
      </c>
      <c r="G90" s="41" t="s">
        <v>56</v>
      </c>
      <c r="H90" s="41" t="s">
        <v>29</v>
      </c>
      <c r="I90" s="41" t="s">
        <v>30</v>
      </c>
      <c r="J90" s="42" t="s">
        <v>47</v>
      </c>
      <c r="K90" s="42" t="s">
        <v>48</v>
      </c>
      <c r="L90" s="42" t="s">
        <v>33</v>
      </c>
      <c r="M90" s="50">
        <v>96800000</v>
      </c>
      <c r="N90" s="50">
        <v>0</v>
      </c>
      <c r="O90" s="50">
        <v>96800000</v>
      </c>
      <c r="P90" s="50">
        <v>96800000</v>
      </c>
      <c r="Q90" s="42" t="s">
        <v>3894</v>
      </c>
      <c r="R90" s="42" t="s">
        <v>849</v>
      </c>
      <c r="S90" s="42" t="s">
        <v>36</v>
      </c>
      <c r="T90" s="42" t="s">
        <v>36</v>
      </c>
      <c r="U90" s="42" t="s">
        <v>36</v>
      </c>
      <c r="V90" s="42" t="s">
        <v>36</v>
      </c>
      <c r="W90" s="42" t="s">
        <v>36</v>
      </c>
    </row>
    <row r="91" spans="1:23" x14ac:dyDescent="0.2">
      <c r="A91" s="41" t="s">
        <v>849</v>
      </c>
      <c r="B91" s="41" t="s">
        <v>3594</v>
      </c>
      <c r="C91" s="41" t="s">
        <v>3893</v>
      </c>
      <c r="D91" s="41" t="s">
        <v>26</v>
      </c>
      <c r="E91" s="41" t="s">
        <v>27</v>
      </c>
      <c r="F91" s="41" t="s">
        <v>45</v>
      </c>
      <c r="G91" s="41" t="s">
        <v>46</v>
      </c>
      <c r="H91" s="41" t="s">
        <v>29</v>
      </c>
      <c r="I91" s="41" t="s">
        <v>30</v>
      </c>
      <c r="J91" s="42" t="s">
        <v>47</v>
      </c>
      <c r="K91" s="42" t="s">
        <v>48</v>
      </c>
      <c r="L91" s="42" t="s">
        <v>33</v>
      </c>
      <c r="M91" s="50">
        <v>31702061</v>
      </c>
      <c r="N91" s="50">
        <v>0</v>
      </c>
      <c r="O91" s="50">
        <v>31702061</v>
      </c>
      <c r="P91" s="50">
        <v>31702061</v>
      </c>
      <c r="Q91" s="42" t="s">
        <v>3894</v>
      </c>
      <c r="R91" s="42" t="s">
        <v>849</v>
      </c>
      <c r="S91" s="42" t="s">
        <v>36</v>
      </c>
      <c r="T91" s="42" t="s">
        <v>36</v>
      </c>
      <c r="U91" s="42" t="s">
        <v>36</v>
      </c>
      <c r="V91" s="42" t="s">
        <v>36</v>
      </c>
      <c r="W91" s="42" t="s">
        <v>36</v>
      </c>
    </row>
    <row r="92" spans="1:23" x14ac:dyDescent="0.2">
      <c r="A92" s="41" t="s">
        <v>854</v>
      </c>
      <c r="B92" s="41" t="s">
        <v>3594</v>
      </c>
      <c r="C92" s="41" t="s">
        <v>3895</v>
      </c>
      <c r="D92" s="41" t="s">
        <v>26</v>
      </c>
      <c r="E92" s="41" t="s">
        <v>27</v>
      </c>
      <c r="F92" s="41" t="s">
        <v>28</v>
      </c>
      <c r="G92" s="41" t="s">
        <v>569</v>
      </c>
      <c r="H92" s="41" t="s">
        <v>29</v>
      </c>
      <c r="I92" s="41" t="s">
        <v>30</v>
      </c>
      <c r="J92" s="42" t="s">
        <v>31</v>
      </c>
      <c r="K92" s="42" t="s">
        <v>32</v>
      </c>
      <c r="L92" s="42" t="s">
        <v>33</v>
      </c>
      <c r="M92" s="50">
        <v>35000000</v>
      </c>
      <c r="N92" s="50">
        <v>0</v>
      </c>
      <c r="O92" s="50">
        <v>35000000</v>
      </c>
      <c r="P92" s="50">
        <v>35000000</v>
      </c>
      <c r="Q92" s="42" t="s">
        <v>3896</v>
      </c>
      <c r="R92" s="42" t="s">
        <v>854</v>
      </c>
      <c r="S92" s="42" t="s">
        <v>36</v>
      </c>
      <c r="T92" s="42" t="s">
        <v>36</v>
      </c>
      <c r="U92" s="42" t="s">
        <v>36</v>
      </c>
      <c r="V92" s="42" t="s">
        <v>36</v>
      </c>
      <c r="W92" s="42" t="s">
        <v>36</v>
      </c>
    </row>
    <row r="93" spans="1:23" x14ac:dyDescent="0.2">
      <c r="A93" s="41" t="s">
        <v>854</v>
      </c>
      <c r="B93" s="41" t="s">
        <v>3594</v>
      </c>
      <c r="C93" s="41" t="s">
        <v>3895</v>
      </c>
      <c r="D93" s="41" t="s">
        <v>26</v>
      </c>
      <c r="E93" s="41" t="s">
        <v>27</v>
      </c>
      <c r="F93" s="41" t="s">
        <v>68</v>
      </c>
      <c r="G93" s="41" t="s">
        <v>69</v>
      </c>
      <c r="H93" s="41" t="s">
        <v>29</v>
      </c>
      <c r="I93" s="41" t="s">
        <v>30</v>
      </c>
      <c r="J93" s="42" t="s">
        <v>31</v>
      </c>
      <c r="K93" s="42" t="s">
        <v>32</v>
      </c>
      <c r="L93" s="42" t="s">
        <v>33</v>
      </c>
      <c r="M93" s="50">
        <v>30000000</v>
      </c>
      <c r="N93" s="50">
        <v>0</v>
      </c>
      <c r="O93" s="50">
        <v>30000000</v>
      </c>
      <c r="P93" s="50">
        <v>30000000</v>
      </c>
      <c r="Q93" s="42" t="s">
        <v>3896</v>
      </c>
      <c r="R93" s="42" t="s">
        <v>854</v>
      </c>
      <c r="S93" s="42" t="s">
        <v>36</v>
      </c>
      <c r="T93" s="42" t="s">
        <v>36</v>
      </c>
      <c r="U93" s="42" t="s">
        <v>36</v>
      </c>
      <c r="V93" s="42" t="s">
        <v>36</v>
      </c>
      <c r="W93" s="42" t="s">
        <v>36</v>
      </c>
    </row>
    <row r="94" spans="1:23" x14ac:dyDescent="0.2">
      <c r="A94" s="41" t="s">
        <v>854</v>
      </c>
      <c r="B94" s="41" t="s">
        <v>3594</v>
      </c>
      <c r="C94" s="41" t="s">
        <v>3895</v>
      </c>
      <c r="D94" s="41" t="s">
        <v>26</v>
      </c>
      <c r="E94" s="41" t="s">
        <v>27</v>
      </c>
      <c r="F94" s="41" t="s">
        <v>179</v>
      </c>
      <c r="G94" s="41" t="s">
        <v>180</v>
      </c>
      <c r="H94" s="41" t="s">
        <v>29</v>
      </c>
      <c r="I94" s="41" t="s">
        <v>30</v>
      </c>
      <c r="J94" s="42" t="s">
        <v>31</v>
      </c>
      <c r="K94" s="42" t="s">
        <v>32</v>
      </c>
      <c r="L94" s="42" t="s">
        <v>33</v>
      </c>
      <c r="M94" s="50">
        <v>30000000</v>
      </c>
      <c r="N94" s="50">
        <v>0</v>
      </c>
      <c r="O94" s="50">
        <v>30000000</v>
      </c>
      <c r="P94" s="50">
        <v>30000000</v>
      </c>
      <c r="Q94" s="42" t="s">
        <v>3896</v>
      </c>
      <c r="R94" s="42" t="s">
        <v>854</v>
      </c>
      <c r="S94" s="42" t="s">
        <v>36</v>
      </c>
      <c r="T94" s="42" t="s">
        <v>36</v>
      </c>
      <c r="U94" s="42" t="s">
        <v>36</v>
      </c>
      <c r="V94" s="42" t="s">
        <v>36</v>
      </c>
      <c r="W94" s="42" t="s">
        <v>36</v>
      </c>
    </row>
    <row r="95" spans="1:23" x14ac:dyDescent="0.2">
      <c r="A95" s="41" t="s">
        <v>854</v>
      </c>
      <c r="B95" s="41" t="s">
        <v>3594</v>
      </c>
      <c r="C95" s="41" t="s">
        <v>3895</v>
      </c>
      <c r="D95" s="41" t="s">
        <v>26</v>
      </c>
      <c r="E95" s="41" t="s">
        <v>27</v>
      </c>
      <c r="F95" s="41" t="s">
        <v>55</v>
      </c>
      <c r="G95" s="41" t="s">
        <v>56</v>
      </c>
      <c r="H95" s="41" t="s">
        <v>57</v>
      </c>
      <c r="I95" s="41" t="s">
        <v>58</v>
      </c>
      <c r="J95" s="42" t="s">
        <v>31</v>
      </c>
      <c r="K95" s="42" t="s">
        <v>32</v>
      </c>
      <c r="L95" s="42" t="s">
        <v>33</v>
      </c>
      <c r="M95" s="50">
        <v>55000000</v>
      </c>
      <c r="N95" s="50">
        <v>0</v>
      </c>
      <c r="O95" s="50">
        <v>55000000</v>
      </c>
      <c r="P95" s="50">
        <v>55000000</v>
      </c>
      <c r="Q95" s="42" t="s">
        <v>3896</v>
      </c>
      <c r="R95" s="42" t="s">
        <v>854</v>
      </c>
      <c r="S95" s="42" t="s">
        <v>36</v>
      </c>
      <c r="T95" s="42" t="s">
        <v>36</v>
      </c>
      <c r="U95" s="42" t="s">
        <v>36</v>
      </c>
      <c r="V95" s="42" t="s">
        <v>36</v>
      </c>
      <c r="W95" s="42" t="s">
        <v>36</v>
      </c>
    </row>
    <row r="96" spans="1:23" x14ac:dyDescent="0.2">
      <c r="A96" s="41" t="s">
        <v>854</v>
      </c>
      <c r="B96" s="41" t="s">
        <v>3594</v>
      </c>
      <c r="C96" s="41" t="s">
        <v>3895</v>
      </c>
      <c r="D96" s="41" t="s">
        <v>26</v>
      </c>
      <c r="E96" s="41" t="s">
        <v>27</v>
      </c>
      <c r="F96" s="41" t="s">
        <v>230</v>
      </c>
      <c r="G96" s="41" t="s">
        <v>231</v>
      </c>
      <c r="H96" s="41" t="s">
        <v>29</v>
      </c>
      <c r="I96" s="41" t="s">
        <v>30</v>
      </c>
      <c r="J96" s="42" t="s">
        <v>47</v>
      </c>
      <c r="K96" s="42" t="s">
        <v>48</v>
      </c>
      <c r="L96" s="42" t="s">
        <v>33</v>
      </c>
      <c r="M96" s="50">
        <v>22000000</v>
      </c>
      <c r="N96" s="50">
        <v>0</v>
      </c>
      <c r="O96" s="50">
        <v>22000000</v>
      </c>
      <c r="P96" s="50">
        <v>22000000</v>
      </c>
      <c r="Q96" s="42" t="s">
        <v>3896</v>
      </c>
      <c r="R96" s="42" t="s">
        <v>854</v>
      </c>
      <c r="S96" s="42" t="s">
        <v>36</v>
      </c>
      <c r="T96" s="42" t="s">
        <v>36</v>
      </c>
      <c r="U96" s="42" t="s">
        <v>36</v>
      </c>
      <c r="V96" s="42" t="s">
        <v>36</v>
      </c>
      <c r="W96" s="42" t="s">
        <v>36</v>
      </c>
    </row>
    <row r="97" spans="1:23" x14ac:dyDescent="0.2">
      <c r="A97" s="41" t="s">
        <v>859</v>
      </c>
      <c r="B97" s="41" t="s">
        <v>3897</v>
      </c>
      <c r="C97" s="41" t="s">
        <v>3898</v>
      </c>
      <c r="D97" s="41" t="s">
        <v>26</v>
      </c>
      <c r="E97" s="41" t="s">
        <v>27</v>
      </c>
      <c r="F97" s="41" t="s">
        <v>3899</v>
      </c>
      <c r="G97" s="41" t="s">
        <v>3900</v>
      </c>
      <c r="H97" s="41" t="s">
        <v>29</v>
      </c>
      <c r="I97" s="41" t="s">
        <v>30</v>
      </c>
      <c r="J97" s="42" t="s">
        <v>31</v>
      </c>
      <c r="K97" s="42" t="s">
        <v>32</v>
      </c>
      <c r="L97" s="42" t="s">
        <v>33</v>
      </c>
      <c r="M97" s="50">
        <v>38558830</v>
      </c>
      <c r="N97" s="50">
        <v>0</v>
      </c>
      <c r="O97" s="50">
        <v>38558830</v>
      </c>
      <c r="P97" s="50">
        <v>38558830</v>
      </c>
      <c r="Q97" s="42" t="s">
        <v>3901</v>
      </c>
      <c r="R97" s="42" t="s">
        <v>859</v>
      </c>
      <c r="S97" s="42" t="s">
        <v>36</v>
      </c>
      <c r="T97" s="42" t="s">
        <v>36</v>
      </c>
      <c r="U97" s="42" t="s">
        <v>36</v>
      </c>
      <c r="V97" s="42" t="s">
        <v>36</v>
      </c>
      <c r="W97" s="42" t="s">
        <v>36</v>
      </c>
    </row>
    <row r="98" spans="1:23" x14ac:dyDescent="0.2">
      <c r="A98" s="41" t="s">
        <v>865</v>
      </c>
      <c r="B98" s="41" t="s">
        <v>4630</v>
      </c>
      <c r="C98" s="41" t="s">
        <v>4631</v>
      </c>
      <c r="D98" s="41" t="s">
        <v>26</v>
      </c>
      <c r="E98" s="41" t="s">
        <v>27</v>
      </c>
      <c r="F98" s="41" t="s">
        <v>55</v>
      </c>
      <c r="G98" s="41" t="s">
        <v>56</v>
      </c>
      <c r="H98" s="41" t="s">
        <v>29</v>
      </c>
      <c r="I98" s="41" t="s">
        <v>30</v>
      </c>
      <c r="J98" s="42" t="s">
        <v>31</v>
      </c>
      <c r="K98" s="42" t="s">
        <v>32</v>
      </c>
      <c r="L98" s="42" t="s">
        <v>33</v>
      </c>
      <c r="M98" s="50">
        <v>25837331</v>
      </c>
      <c r="N98" s="50">
        <v>0</v>
      </c>
      <c r="O98" s="50">
        <v>25837331</v>
      </c>
      <c r="P98" s="50">
        <v>25837331</v>
      </c>
      <c r="Q98" s="42" t="s">
        <v>4632</v>
      </c>
      <c r="R98" s="42" t="s">
        <v>865</v>
      </c>
      <c r="S98" s="42" t="s">
        <v>36</v>
      </c>
      <c r="T98" s="42" t="s">
        <v>36</v>
      </c>
      <c r="U98" s="42" t="s">
        <v>36</v>
      </c>
      <c r="V98" s="42" t="s">
        <v>36</v>
      </c>
      <c r="W98" s="42" t="s">
        <v>36</v>
      </c>
    </row>
    <row r="99" spans="1:23" x14ac:dyDescent="0.2">
      <c r="A99" s="41" t="s">
        <v>869</v>
      </c>
      <c r="B99" s="41" t="s">
        <v>4630</v>
      </c>
      <c r="C99" s="41" t="s">
        <v>4633</v>
      </c>
      <c r="D99" s="41" t="s">
        <v>26</v>
      </c>
      <c r="E99" s="41" t="s">
        <v>27</v>
      </c>
      <c r="F99" s="41" t="s">
        <v>140</v>
      </c>
      <c r="G99" s="41" t="s">
        <v>141</v>
      </c>
      <c r="H99" s="41" t="s">
        <v>142</v>
      </c>
      <c r="I99" s="41" t="s">
        <v>143</v>
      </c>
      <c r="J99" s="42" t="s">
        <v>31</v>
      </c>
      <c r="K99" s="42" t="s">
        <v>32</v>
      </c>
      <c r="L99" s="42" t="s">
        <v>33</v>
      </c>
      <c r="M99" s="50">
        <v>100000000</v>
      </c>
      <c r="N99" s="50">
        <v>0</v>
      </c>
      <c r="O99" s="50">
        <v>100000000</v>
      </c>
      <c r="P99" s="50">
        <v>100000000</v>
      </c>
      <c r="Q99" s="42" t="s">
        <v>4634</v>
      </c>
      <c r="R99" s="42" t="s">
        <v>869</v>
      </c>
      <c r="S99" s="42" t="s">
        <v>36</v>
      </c>
      <c r="T99" s="42" t="s">
        <v>36</v>
      </c>
      <c r="U99" s="42" t="s">
        <v>36</v>
      </c>
      <c r="V99" s="42" t="s">
        <v>36</v>
      </c>
      <c r="W99" s="42" t="s">
        <v>36</v>
      </c>
    </row>
    <row r="100" spans="1:23" x14ac:dyDescent="0.2">
      <c r="A100" s="41" t="s">
        <v>869</v>
      </c>
      <c r="B100" s="41" t="s">
        <v>4630</v>
      </c>
      <c r="C100" s="41" t="s">
        <v>4633</v>
      </c>
      <c r="D100" s="41" t="s">
        <v>26</v>
      </c>
      <c r="E100" s="41" t="s">
        <v>27</v>
      </c>
      <c r="F100" s="41" t="s">
        <v>207</v>
      </c>
      <c r="G100" s="41" t="s">
        <v>208</v>
      </c>
      <c r="H100" s="41" t="s">
        <v>142</v>
      </c>
      <c r="I100" s="41" t="s">
        <v>143</v>
      </c>
      <c r="J100" s="42" t="s">
        <v>47</v>
      </c>
      <c r="K100" s="42" t="s">
        <v>48</v>
      </c>
      <c r="L100" s="42" t="s">
        <v>33</v>
      </c>
      <c r="M100" s="50">
        <v>20000000</v>
      </c>
      <c r="N100" s="50">
        <v>0</v>
      </c>
      <c r="O100" s="50">
        <v>20000000</v>
      </c>
      <c r="P100" s="50">
        <v>20000000</v>
      </c>
      <c r="Q100" s="42" t="s">
        <v>4634</v>
      </c>
      <c r="R100" s="42" t="s">
        <v>869</v>
      </c>
      <c r="S100" s="42" t="s">
        <v>36</v>
      </c>
      <c r="T100" s="42" t="s">
        <v>36</v>
      </c>
      <c r="U100" s="42" t="s">
        <v>36</v>
      </c>
      <c r="V100" s="42" t="s">
        <v>36</v>
      </c>
      <c r="W100" s="42" t="s">
        <v>36</v>
      </c>
    </row>
    <row r="101" spans="1:23" x14ac:dyDescent="0.2">
      <c r="A101" s="41" t="s">
        <v>874</v>
      </c>
      <c r="B101" s="41" t="s">
        <v>4630</v>
      </c>
      <c r="C101" s="41" t="s">
        <v>4635</v>
      </c>
      <c r="D101" s="41" t="s">
        <v>26</v>
      </c>
      <c r="E101" s="41" t="s">
        <v>27</v>
      </c>
      <c r="F101" s="41" t="s">
        <v>238</v>
      </c>
      <c r="G101" s="41" t="s">
        <v>239</v>
      </c>
      <c r="H101" s="41" t="s">
        <v>251</v>
      </c>
      <c r="I101" s="41" t="s">
        <v>252</v>
      </c>
      <c r="J101" s="42" t="s">
        <v>47</v>
      </c>
      <c r="K101" s="42" t="s">
        <v>76</v>
      </c>
      <c r="L101" s="42" t="s">
        <v>33</v>
      </c>
      <c r="M101" s="50">
        <v>125000000</v>
      </c>
      <c r="N101" s="50">
        <v>0</v>
      </c>
      <c r="O101" s="50">
        <v>125000000</v>
      </c>
      <c r="P101" s="50">
        <v>125000000</v>
      </c>
      <c r="Q101" s="42" t="s">
        <v>4636</v>
      </c>
      <c r="R101" s="42" t="s">
        <v>874</v>
      </c>
      <c r="S101" s="42" t="s">
        <v>36</v>
      </c>
      <c r="T101" s="42" t="s">
        <v>36</v>
      </c>
      <c r="U101" s="42" t="s">
        <v>36</v>
      </c>
      <c r="V101" s="42" t="s">
        <v>36</v>
      </c>
      <c r="W101" s="42" t="s">
        <v>36</v>
      </c>
    </row>
    <row r="102" spans="1:23" x14ac:dyDescent="0.2">
      <c r="A102" s="41" t="s">
        <v>879</v>
      </c>
      <c r="B102" s="41" t="s">
        <v>4630</v>
      </c>
      <c r="C102" s="41" t="s">
        <v>4637</v>
      </c>
      <c r="D102" s="41" t="s">
        <v>26</v>
      </c>
      <c r="E102" s="41" t="s">
        <v>27</v>
      </c>
      <c r="F102" s="41" t="s">
        <v>238</v>
      </c>
      <c r="G102" s="41" t="s">
        <v>239</v>
      </c>
      <c r="H102" s="41" t="s">
        <v>251</v>
      </c>
      <c r="I102" s="41" t="s">
        <v>252</v>
      </c>
      <c r="J102" s="42" t="s">
        <v>47</v>
      </c>
      <c r="K102" s="42" t="s">
        <v>76</v>
      </c>
      <c r="L102" s="42" t="s">
        <v>33</v>
      </c>
      <c r="M102" s="50">
        <v>113886250</v>
      </c>
      <c r="N102" s="50">
        <v>0</v>
      </c>
      <c r="O102" s="50">
        <v>113886250</v>
      </c>
      <c r="P102" s="50">
        <v>113886250</v>
      </c>
      <c r="Q102" s="42" t="s">
        <v>4638</v>
      </c>
      <c r="R102" s="42" t="s">
        <v>879</v>
      </c>
      <c r="S102" s="42" t="s">
        <v>36</v>
      </c>
      <c r="T102" s="42" t="s">
        <v>36</v>
      </c>
      <c r="U102" s="42" t="s">
        <v>36</v>
      </c>
      <c r="V102" s="42" t="s">
        <v>36</v>
      </c>
      <c r="W102" s="42" t="s">
        <v>36</v>
      </c>
    </row>
    <row r="103" spans="1:23" x14ac:dyDescent="0.2">
      <c r="A103" s="41" t="s">
        <v>884</v>
      </c>
      <c r="B103" s="41" t="s">
        <v>4630</v>
      </c>
      <c r="C103" s="41" t="s">
        <v>4639</v>
      </c>
      <c r="D103" s="41" t="s">
        <v>26</v>
      </c>
      <c r="E103" s="41" t="s">
        <v>27</v>
      </c>
      <c r="F103" s="41" t="s">
        <v>238</v>
      </c>
      <c r="G103" s="41" t="s">
        <v>239</v>
      </c>
      <c r="H103" s="41" t="s">
        <v>251</v>
      </c>
      <c r="I103" s="41" t="s">
        <v>252</v>
      </c>
      <c r="J103" s="42" t="s">
        <v>47</v>
      </c>
      <c r="K103" s="42" t="s">
        <v>76</v>
      </c>
      <c r="L103" s="42" t="s">
        <v>33</v>
      </c>
      <c r="M103" s="50">
        <v>130000000</v>
      </c>
      <c r="N103" s="50">
        <v>0</v>
      </c>
      <c r="O103" s="50">
        <v>130000000</v>
      </c>
      <c r="P103" s="50">
        <v>130000000</v>
      </c>
      <c r="Q103" s="42" t="s">
        <v>4640</v>
      </c>
      <c r="R103" s="42" t="s">
        <v>884</v>
      </c>
      <c r="S103" s="42" t="s">
        <v>36</v>
      </c>
      <c r="T103" s="42" t="s">
        <v>36</v>
      </c>
      <c r="U103" s="42" t="s">
        <v>36</v>
      </c>
      <c r="V103" s="42" t="s">
        <v>36</v>
      </c>
      <c r="W103" s="42" t="s">
        <v>36</v>
      </c>
    </row>
    <row r="104" spans="1:23" x14ac:dyDescent="0.2">
      <c r="A104" s="41" t="s">
        <v>890</v>
      </c>
      <c r="B104" s="41" t="s">
        <v>4630</v>
      </c>
      <c r="C104" s="41" t="s">
        <v>4641</v>
      </c>
      <c r="D104" s="41" t="s">
        <v>26</v>
      </c>
      <c r="E104" s="41" t="s">
        <v>27</v>
      </c>
      <c r="F104" s="41" t="s">
        <v>174</v>
      </c>
      <c r="G104" s="41" t="s">
        <v>175</v>
      </c>
      <c r="H104" s="41" t="s">
        <v>29</v>
      </c>
      <c r="I104" s="41" t="s">
        <v>30</v>
      </c>
      <c r="J104" s="42" t="s">
        <v>47</v>
      </c>
      <c r="K104" s="42" t="s">
        <v>48</v>
      </c>
      <c r="L104" s="42" t="s">
        <v>33</v>
      </c>
      <c r="M104" s="50">
        <v>30000000</v>
      </c>
      <c r="N104" s="50">
        <v>0</v>
      </c>
      <c r="O104" s="50">
        <v>30000000</v>
      </c>
      <c r="P104" s="50">
        <v>30000000</v>
      </c>
      <c r="Q104" s="42" t="s">
        <v>3890</v>
      </c>
      <c r="R104" s="42" t="s">
        <v>890</v>
      </c>
      <c r="S104" s="42" t="s">
        <v>36</v>
      </c>
      <c r="T104" s="42" t="s">
        <v>36</v>
      </c>
      <c r="U104" s="42" t="s">
        <v>36</v>
      </c>
      <c r="V104" s="42" t="s">
        <v>36</v>
      </c>
      <c r="W104" s="42" t="s">
        <v>36</v>
      </c>
    </row>
  </sheetData>
  <conditionalFormatting sqref="A1:A1048576">
    <cfRule type="duplicateValues" dxfId="74"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CDD68-D2EE-4110-9D36-839AA5F64072}">
  <sheetPr codeName="Hoja10">
    <tabColor rgb="FFFFC000"/>
  </sheetPr>
  <dimension ref="A1:AI569"/>
  <sheetViews>
    <sheetView topLeftCell="A22" zoomScale="171" workbookViewId="0">
      <selection activeCell="B101" sqref="B101"/>
    </sheetView>
  </sheetViews>
  <sheetFormatPr baseColWidth="10" defaultColWidth="11.5" defaultRowHeight="15" x14ac:dyDescent="0.2"/>
  <cols>
    <col min="1" max="2" width="17.1640625" customWidth="1"/>
    <col min="3" max="3" width="30.5" customWidth="1"/>
    <col min="4" max="4" width="11.5" customWidth="1"/>
    <col min="5" max="5" width="17.1640625" customWidth="1"/>
    <col min="6" max="6" width="22.83203125" customWidth="1"/>
    <col min="7" max="7" width="14.33203125" customWidth="1"/>
    <col min="8" max="8" width="71.5" customWidth="1"/>
    <col min="9" max="9" width="8.5" customWidth="1"/>
    <col min="10" max="10" width="20" customWidth="1"/>
    <col min="11" max="11" width="8.5" customWidth="1"/>
    <col min="12" max="15" width="17.1640625" customWidth="1"/>
    <col min="16" max="16" width="22.83203125" customWidth="1"/>
    <col min="17" max="17" width="17.1640625" customWidth="1"/>
    <col min="18" max="18" width="85.6640625" customWidth="1"/>
    <col min="19" max="23" width="17.1640625" customWidth="1"/>
    <col min="24" max="24" width="57.1640625" customWidth="1"/>
    <col min="25" max="34" width="42.83203125" customWidth="1"/>
    <col min="35" max="35" width="85.6640625" customWidth="1"/>
  </cols>
  <sheetData>
    <row r="1" spans="1:35" x14ac:dyDescent="0.2">
      <c r="A1" s="40" t="s">
        <v>0</v>
      </c>
      <c r="B1" s="40" t="s">
        <v>1</v>
      </c>
      <c r="C1" s="40" t="s">
        <v>2</v>
      </c>
      <c r="D1" s="40" t="s">
        <v>4</v>
      </c>
      <c r="E1" s="40" t="s">
        <v>5</v>
      </c>
      <c r="F1" s="40" t="s">
        <v>6</v>
      </c>
      <c r="G1" s="40" t="s">
        <v>7</v>
      </c>
      <c r="H1" s="40" t="s">
        <v>8</v>
      </c>
      <c r="I1" s="40" t="s">
        <v>9</v>
      </c>
      <c r="J1" s="40" t="s">
        <v>10</v>
      </c>
      <c r="K1" s="40" t="s">
        <v>294</v>
      </c>
      <c r="L1" s="40" t="s">
        <v>12</v>
      </c>
      <c r="M1" s="40" t="s">
        <v>13</v>
      </c>
      <c r="N1" s="40" t="s">
        <v>14</v>
      </c>
      <c r="O1" s="40" t="s">
        <v>295</v>
      </c>
      <c r="P1" s="40" t="s">
        <v>296</v>
      </c>
      <c r="Q1" s="40" t="s">
        <v>297</v>
      </c>
      <c r="R1" s="40" t="s">
        <v>298</v>
      </c>
      <c r="S1" s="40" t="s">
        <v>299</v>
      </c>
      <c r="T1" s="40" t="s">
        <v>300</v>
      </c>
      <c r="U1" s="40" t="s">
        <v>301</v>
      </c>
      <c r="V1" s="40" t="s">
        <v>302</v>
      </c>
      <c r="W1" s="40" t="s">
        <v>303</v>
      </c>
      <c r="X1" s="40" t="s">
        <v>304</v>
      </c>
      <c r="Y1" s="40" t="s">
        <v>17</v>
      </c>
      <c r="Z1" s="40" t="s">
        <v>305</v>
      </c>
      <c r="AA1" s="40" t="s">
        <v>18</v>
      </c>
      <c r="AB1" s="40" t="s">
        <v>19</v>
      </c>
      <c r="AC1" s="40" t="s">
        <v>20</v>
      </c>
      <c r="AD1" s="40" t="s">
        <v>21</v>
      </c>
      <c r="AE1" s="40" t="s">
        <v>22</v>
      </c>
      <c r="AF1" s="40" t="s">
        <v>306</v>
      </c>
      <c r="AG1" s="40" t="s">
        <v>307</v>
      </c>
      <c r="AH1" s="40" t="s">
        <v>308</v>
      </c>
      <c r="AI1" s="40" t="s">
        <v>309</v>
      </c>
    </row>
    <row r="2" spans="1:35" x14ac:dyDescent="0.2">
      <c r="A2" s="53">
        <v>125</v>
      </c>
      <c r="B2" s="41" t="s">
        <v>310</v>
      </c>
      <c r="C2" s="41" t="s">
        <v>311</v>
      </c>
      <c r="D2" s="41" t="s">
        <v>312</v>
      </c>
      <c r="E2" s="55">
        <v>923210</v>
      </c>
      <c r="F2" s="41" t="s">
        <v>56</v>
      </c>
      <c r="G2" s="41" t="s">
        <v>29</v>
      </c>
      <c r="H2" s="41" t="s">
        <v>30</v>
      </c>
      <c r="I2" s="41" t="s">
        <v>47</v>
      </c>
      <c r="J2" s="41" t="s">
        <v>48</v>
      </c>
      <c r="K2" s="41" t="s">
        <v>33</v>
      </c>
      <c r="L2" s="50">
        <v>695250</v>
      </c>
      <c r="M2" s="50">
        <v>0</v>
      </c>
      <c r="N2" s="50">
        <v>695250</v>
      </c>
      <c r="O2" s="50">
        <v>0</v>
      </c>
      <c r="P2" s="43" t="s">
        <v>314</v>
      </c>
      <c r="Q2" s="40">
        <v>860063875</v>
      </c>
      <c r="R2" s="41" t="s">
        <v>315</v>
      </c>
      <c r="S2" s="41" t="s">
        <v>316</v>
      </c>
      <c r="T2" s="41" t="s">
        <v>317</v>
      </c>
      <c r="U2" s="41" t="s">
        <v>318</v>
      </c>
      <c r="V2" s="41" t="s">
        <v>319</v>
      </c>
      <c r="W2" s="40">
        <v>860050750</v>
      </c>
      <c r="X2" s="41" t="s">
        <v>321</v>
      </c>
      <c r="Y2" s="40">
        <v>1225</v>
      </c>
      <c r="Z2" s="40">
        <v>1225</v>
      </c>
      <c r="AA2" s="40">
        <v>125</v>
      </c>
      <c r="AB2" s="41" t="s">
        <v>23</v>
      </c>
      <c r="AC2" s="41" t="s">
        <v>23</v>
      </c>
      <c r="AD2" s="41" t="s">
        <v>322</v>
      </c>
      <c r="AE2" s="41"/>
      <c r="AF2" s="41" t="s">
        <v>310</v>
      </c>
      <c r="AG2" s="41" t="s">
        <v>323</v>
      </c>
      <c r="AH2" s="41" t="s">
        <v>324</v>
      </c>
      <c r="AI2" s="41" t="s">
        <v>325</v>
      </c>
    </row>
    <row r="3" spans="1:35" x14ac:dyDescent="0.2">
      <c r="A3" s="53">
        <v>225</v>
      </c>
      <c r="B3" s="41" t="s">
        <v>310</v>
      </c>
      <c r="C3" s="41" t="s">
        <v>326</v>
      </c>
      <c r="D3" s="41" t="s">
        <v>312</v>
      </c>
      <c r="E3" s="55">
        <v>923210</v>
      </c>
      <c r="F3" s="41" t="s">
        <v>56</v>
      </c>
      <c r="G3" s="41" t="s">
        <v>29</v>
      </c>
      <c r="H3" s="41" t="s">
        <v>30</v>
      </c>
      <c r="I3" s="41" t="s">
        <v>47</v>
      </c>
      <c r="J3" s="41" t="s">
        <v>48</v>
      </c>
      <c r="K3" s="41" t="s">
        <v>33</v>
      </c>
      <c r="L3" s="50">
        <v>173592.35</v>
      </c>
      <c r="M3" s="50">
        <v>0</v>
      </c>
      <c r="N3" s="50">
        <v>173592.35</v>
      </c>
      <c r="O3" s="50">
        <v>0</v>
      </c>
      <c r="P3" s="43" t="s">
        <v>314</v>
      </c>
      <c r="Q3" s="40">
        <v>899999115</v>
      </c>
      <c r="R3" s="41" t="s">
        <v>327</v>
      </c>
      <c r="S3" s="41" t="s">
        <v>316</v>
      </c>
      <c r="T3" s="41" t="s">
        <v>328</v>
      </c>
      <c r="U3" s="41" t="s">
        <v>329</v>
      </c>
      <c r="V3" s="41" t="s">
        <v>319</v>
      </c>
      <c r="W3" s="40">
        <v>860051135</v>
      </c>
      <c r="X3" s="41" t="s">
        <v>331</v>
      </c>
      <c r="Y3" s="40">
        <v>1225</v>
      </c>
      <c r="Z3" s="40">
        <v>1225</v>
      </c>
      <c r="AA3" s="40">
        <v>225</v>
      </c>
      <c r="AB3" s="41" t="s">
        <v>594</v>
      </c>
      <c r="AC3" s="41" t="s">
        <v>595</v>
      </c>
      <c r="AD3" s="41" t="s">
        <v>596</v>
      </c>
      <c r="AE3" s="41"/>
      <c r="AF3" s="41" t="s">
        <v>310</v>
      </c>
      <c r="AG3" s="41" t="s">
        <v>323</v>
      </c>
      <c r="AH3" s="41" t="s">
        <v>332</v>
      </c>
      <c r="AI3" s="41" t="s">
        <v>333</v>
      </c>
    </row>
    <row r="4" spans="1:35" x14ac:dyDescent="0.2">
      <c r="A4" s="53">
        <v>325</v>
      </c>
      <c r="B4" s="41" t="s">
        <v>310</v>
      </c>
      <c r="C4" s="41" t="s">
        <v>334</v>
      </c>
      <c r="D4" s="41" t="s">
        <v>312</v>
      </c>
      <c r="E4" s="55">
        <v>923210</v>
      </c>
      <c r="F4" s="41" t="s">
        <v>56</v>
      </c>
      <c r="G4" s="41" t="s">
        <v>29</v>
      </c>
      <c r="H4" s="41" t="s">
        <v>30</v>
      </c>
      <c r="I4" s="41" t="s">
        <v>47</v>
      </c>
      <c r="J4" s="41" t="s">
        <v>48</v>
      </c>
      <c r="K4" s="41" t="s">
        <v>33</v>
      </c>
      <c r="L4" s="50">
        <v>2722450</v>
      </c>
      <c r="M4" s="50">
        <v>0</v>
      </c>
      <c r="N4" s="50">
        <v>2722450</v>
      </c>
      <c r="O4" s="50">
        <v>0</v>
      </c>
      <c r="P4" s="43" t="s">
        <v>314</v>
      </c>
      <c r="Q4" s="40">
        <v>899999115</v>
      </c>
      <c r="R4" s="41" t="s">
        <v>327</v>
      </c>
      <c r="S4" s="41" t="s">
        <v>316</v>
      </c>
      <c r="T4" s="41" t="s">
        <v>328</v>
      </c>
      <c r="U4" s="41" t="s">
        <v>329</v>
      </c>
      <c r="V4" s="41" t="s">
        <v>319</v>
      </c>
      <c r="W4" s="40">
        <v>860051135</v>
      </c>
      <c r="X4" s="41" t="s">
        <v>331</v>
      </c>
      <c r="Y4" s="40">
        <v>1225</v>
      </c>
      <c r="Z4" s="40">
        <v>1225</v>
      </c>
      <c r="AA4" s="40">
        <v>325</v>
      </c>
      <c r="AB4" s="41" t="s">
        <v>597</v>
      </c>
      <c r="AC4" s="41" t="s">
        <v>598</v>
      </c>
      <c r="AD4" s="41" t="s">
        <v>599</v>
      </c>
      <c r="AE4" s="41"/>
      <c r="AF4" s="41" t="s">
        <v>310</v>
      </c>
      <c r="AG4" s="41" t="s">
        <v>323</v>
      </c>
      <c r="AH4" s="41" t="s">
        <v>335</v>
      </c>
      <c r="AI4" s="41" t="s">
        <v>336</v>
      </c>
    </row>
    <row r="5" spans="1:35" x14ac:dyDescent="0.2">
      <c r="A5" s="53">
        <v>425</v>
      </c>
      <c r="B5" s="41" t="s">
        <v>310</v>
      </c>
      <c r="C5" s="41" t="s">
        <v>337</v>
      </c>
      <c r="D5" s="41" t="s">
        <v>312</v>
      </c>
      <c r="E5" s="55">
        <v>923210</v>
      </c>
      <c r="F5" s="41" t="s">
        <v>56</v>
      </c>
      <c r="G5" s="41" t="s">
        <v>29</v>
      </c>
      <c r="H5" s="41" t="s">
        <v>30</v>
      </c>
      <c r="I5" s="41" t="s">
        <v>47</v>
      </c>
      <c r="J5" s="41" t="s">
        <v>48</v>
      </c>
      <c r="K5" s="41" t="s">
        <v>33</v>
      </c>
      <c r="L5" s="50">
        <v>4390</v>
      </c>
      <c r="M5" s="50">
        <v>0</v>
      </c>
      <c r="N5" s="50">
        <v>4390</v>
      </c>
      <c r="O5" s="50">
        <v>0</v>
      </c>
      <c r="P5" s="43" t="s">
        <v>314</v>
      </c>
      <c r="Q5" s="40">
        <v>800007813</v>
      </c>
      <c r="R5" s="41" t="s">
        <v>339</v>
      </c>
      <c r="S5" s="41" t="s">
        <v>316</v>
      </c>
      <c r="T5" s="41" t="s">
        <v>317</v>
      </c>
      <c r="U5" s="41" t="s">
        <v>340</v>
      </c>
      <c r="V5" s="41" t="s">
        <v>319</v>
      </c>
      <c r="W5" s="40">
        <v>890903938</v>
      </c>
      <c r="X5" s="41" t="s">
        <v>342</v>
      </c>
      <c r="Y5" s="40">
        <v>1225</v>
      </c>
      <c r="Z5" s="40">
        <v>1225</v>
      </c>
      <c r="AA5" s="40">
        <v>425</v>
      </c>
      <c r="AB5" s="41" t="s">
        <v>40</v>
      </c>
      <c r="AC5" s="41" t="s">
        <v>40</v>
      </c>
      <c r="AD5" s="41" t="s">
        <v>600</v>
      </c>
      <c r="AE5" s="41"/>
      <c r="AF5" s="41" t="s">
        <v>310</v>
      </c>
      <c r="AG5" s="41" t="s">
        <v>323</v>
      </c>
      <c r="AH5" s="41" t="s">
        <v>343</v>
      </c>
      <c r="AI5" s="41" t="s">
        <v>344</v>
      </c>
    </row>
    <row r="6" spans="1:35" x14ac:dyDescent="0.2">
      <c r="A6" s="53">
        <v>525</v>
      </c>
      <c r="B6" s="41" t="s">
        <v>310</v>
      </c>
      <c r="C6" s="41" t="s">
        <v>345</v>
      </c>
      <c r="D6" s="41" t="s">
        <v>312</v>
      </c>
      <c r="E6" s="55">
        <v>923210</v>
      </c>
      <c r="F6" s="41" t="s">
        <v>56</v>
      </c>
      <c r="G6" s="41" t="s">
        <v>29</v>
      </c>
      <c r="H6" s="41" t="s">
        <v>30</v>
      </c>
      <c r="I6" s="41" t="s">
        <v>47</v>
      </c>
      <c r="J6" s="41" t="s">
        <v>48</v>
      </c>
      <c r="K6" s="41" t="s">
        <v>33</v>
      </c>
      <c r="L6" s="50">
        <v>2262280</v>
      </c>
      <c r="M6" s="50">
        <v>0</v>
      </c>
      <c r="N6" s="50">
        <v>2262280</v>
      </c>
      <c r="O6" s="50">
        <v>0</v>
      </c>
      <c r="P6" s="43" t="s">
        <v>314</v>
      </c>
      <c r="Q6" s="40">
        <v>860063875</v>
      </c>
      <c r="R6" s="41" t="s">
        <v>315</v>
      </c>
      <c r="S6" s="41" t="s">
        <v>316</v>
      </c>
      <c r="T6" s="41" t="s">
        <v>317</v>
      </c>
      <c r="U6" s="41" t="s">
        <v>318</v>
      </c>
      <c r="V6" s="41" t="s">
        <v>319</v>
      </c>
      <c r="W6" s="40">
        <v>860050750</v>
      </c>
      <c r="X6" s="41" t="s">
        <v>321</v>
      </c>
      <c r="Y6" s="40">
        <v>1225</v>
      </c>
      <c r="Z6" s="40">
        <v>1225</v>
      </c>
      <c r="AA6" s="40">
        <v>525</v>
      </c>
      <c r="AB6" s="41" t="s">
        <v>37</v>
      </c>
      <c r="AC6" s="41" t="s">
        <v>37</v>
      </c>
      <c r="AD6" s="41" t="s">
        <v>601</v>
      </c>
      <c r="AE6" s="41"/>
      <c r="AF6" s="41" t="s">
        <v>310</v>
      </c>
      <c r="AG6" s="41" t="s">
        <v>323</v>
      </c>
      <c r="AH6" s="41" t="s">
        <v>347</v>
      </c>
      <c r="AI6" s="41" t="s">
        <v>348</v>
      </c>
    </row>
    <row r="7" spans="1:35" x14ac:dyDescent="0.2">
      <c r="A7" s="53">
        <v>625</v>
      </c>
      <c r="B7" s="41" t="s">
        <v>349</v>
      </c>
      <c r="C7" s="41" t="s">
        <v>350</v>
      </c>
      <c r="D7" s="41" t="s">
        <v>312</v>
      </c>
      <c r="E7" s="55">
        <v>923210</v>
      </c>
      <c r="F7" s="41" t="s">
        <v>56</v>
      </c>
      <c r="G7" s="41" t="s">
        <v>29</v>
      </c>
      <c r="H7" s="41" t="s">
        <v>30</v>
      </c>
      <c r="I7" s="41" t="s">
        <v>31</v>
      </c>
      <c r="J7" s="41" t="s">
        <v>32</v>
      </c>
      <c r="K7" s="41" t="s">
        <v>33</v>
      </c>
      <c r="L7" s="50">
        <v>71070000</v>
      </c>
      <c r="M7" s="50">
        <v>0</v>
      </c>
      <c r="N7" s="50">
        <v>71070000</v>
      </c>
      <c r="O7" s="50">
        <v>61800000</v>
      </c>
      <c r="P7" s="43" t="s">
        <v>351</v>
      </c>
      <c r="Q7" s="40">
        <v>1072428066</v>
      </c>
      <c r="R7" s="41" t="s">
        <v>352</v>
      </c>
      <c r="S7" s="41" t="s">
        <v>316</v>
      </c>
      <c r="T7" s="41" t="s">
        <v>317</v>
      </c>
      <c r="U7" s="41" t="s">
        <v>353</v>
      </c>
      <c r="V7" s="41" t="s">
        <v>319</v>
      </c>
      <c r="W7" s="40">
        <v>860034313</v>
      </c>
      <c r="X7" s="41" t="s">
        <v>355</v>
      </c>
      <c r="Y7" s="40">
        <v>1925</v>
      </c>
      <c r="Z7" s="40">
        <v>1925</v>
      </c>
      <c r="AA7" s="40">
        <v>625</v>
      </c>
      <c r="AB7" s="41"/>
      <c r="AC7" s="41" t="s">
        <v>3921</v>
      </c>
      <c r="AD7" s="41" t="s">
        <v>3922</v>
      </c>
      <c r="AE7" s="41"/>
      <c r="AF7" s="41" t="s">
        <v>349</v>
      </c>
      <c r="AG7" s="41" t="s">
        <v>356</v>
      </c>
      <c r="AH7" s="41" t="s">
        <v>357</v>
      </c>
      <c r="AI7" s="41" t="s">
        <v>358</v>
      </c>
    </row>
    <row r="8" spans="1:35" x14ac:dyDescent="0.2">
      <c r="A8" s="53">
        <v>725</v>
      </c>
      <c r="B8" s="41" t="s">
        <v>349</v>
      </c>
      <c r="C8" s="41" t="s">
        <v>359</v>
      </c>
      <c r="D8" s="41" t="s">
        <v>312</v>
      </c>
      <c r="E8" s="55">
        <v>923210</v>
      </c>
      <c r="F8" s="41" t="s">
        <v>56</v>
      </c>
      <c r="G8" s="41" t="s">
        <v>29</v>
      </c>
      <c r="H8" s="41" t="s">
        <v>30</v>
      </c>
      <c r="I8" s="41" t="s">
        <v>31</v>
      </c>
      <c r="J8" s="41" t="s">
        <v>32</v>
      </c>
      <c r="K8" s="41" t="s">
        <v>33</v>
      </c>
      <c r="L8" s="50">
        <v>27243500</v>
      </c>
      <c r="M8" s="50">
        <v>0</v>
      </c>
      <c r="N8" s="50">
        <v>27243500</v>
      </c>
      <c r="O8" s="50">
        <v>23690000</v>
      </c>
      <c r="P8" s="43" t="s">
        <v>351</v>
      </c>
      <c r="Q8" s="40">
        <v>1023367986</v>
      </c>
      <c r="R8" s="41" t="s">
        <v>360</v>
      </c>
      <c r="S8" s="41" t="s">
        <v>316</v>
      </c>
      <c r="T8" s="41" t="s">
        <v>317</v>
      </c>
      <c r="U8" s="41" t="s">
        <v>361</v>
      </c>
      <c r="V8" s="41" t="s">
        <v>319</v>
      </c>
      <c r="W8" s="40">
        <v>860034313</v>
      </c>
      <c r="X8" s="41" t="s">
        <v>355</v>
      </c>
      <c r="Y8" s="40">
        <v>1925</v>
      </c>
      <c r="Z8" s="40">
        <v>1925</v>
      </c>
      <c r="AA8" s="40">
        <v>725</v>
      </c>
      <c r="AB8" s="41"/>
      <c r="AC8" s="41" t="s">
        <v>3923</v>
      </c>
      <c r="AD8" s="41" t="s">
        <v>3924</v>
      </c>
      <c r="AE8" s="41"/>
      <c r="AF8" s="41" t="s">
        <v>349</v>
      </c>
      <c r="AG8" s="41" t="s">
        <v>362</v>
      </c>
      <c r="AH8" s="41" t="s">
        <v>363</v>
      </c>
      <c r="AI8" s="41" t="s">
        <v>364</v>
      </c>
    </row>
    <row r="9" spans="1:35" x14ac:dyDescent="0.2">
      <c r="A9" s="53">
        <v>825</v>
      </c>
      <c r="B9" s="41" t="s">
        <v>349</v>
      </c>
      <c r="C9" s="41" t="s">
        <v>365</v>
      </c>
      <c r="D9" s="41" t="s">
        <v>312</v>
      </c>
      <c r="E9" s="55">
        <v>923224</v>
      </c>
      <c r="F9" s="41" t="s">
        <v>239</v>
      </c>
      <c r="G9" s="41" t="s">
        <v>240</v>
      </c>
      <c r="H9" s="41" t="s">
        <v>241</v>
      </c>
      <c r="I9" s="41" t="s">
        <v>47</v>
      </c>
      <c r="J9" s="41" t="s">
        <v>76</v>
      </c>
      <c r="K9" s="41" t="s">
        <v>33</v>
      </c>
      <c r="L9" s="50">
        <v>57886400</v>
      </c>
      <c r="M9" s="50">
        <v>0</v>
      </c>
      <c r="N9" s="50">
        <v>57886400</v>
      </c>
      <c r="O9" s="50">
        <v>50336000</v>
      </c>
      <c r="P9" s="43" t="s">
        <v>351</v>
      </c>
      <c r="Q9" s="40">
        <v>1070592669</v>
      </c>
      <c r="R9" s="41" t="s">
        <v>366</v>
      </c>
      <c r="S9" s="41" t="s">
        <v>316</v>
      </c>
      <c r="T9" s="41" t="s">
        <v>317</v>
      </c>
      <c r="U9" s="41" t="s">
        <v>367</v>
      </c>
      <c r="V9" s="41" t="s">
        <v>319</v>
      </c>
      <c r="W9" s="40">
        <v>890903938</v>
      </c>
      <c r="X9" s="41" t="s">
        <v>342</v>
      </c>
      <c r="Y9" s="40">
        <v>5425</v>
      </c>
      <c r="Z9" s="40">
        <v>5425</v>
      </c>
      <c r="AA9" s="40">
        <v>825</v>
      </c>
      <c r="AB9" s="41"/>
      <c r="AC9" s="41" t="s">
        <v>3925</v>
      </c>
      <c r="AD9" s="41" t="s">
        <v>3926</v>
      </c>
      <c r="AE9" s="41"/>
      <c r="AF9" s="41" t="s">
        <v>349</v>
      </c>
      <c r="AG9" s="41" t="s">
        <v>356</v>
      </c>
      <c r="AH9" s="41" t="s">
        <v>368</v>
      </c>
      <c r="AI9" s="41" t="s">
        <v>369</v>
      </c>
    </row>
    <row r="10" spans="1:35" x14ac:dyDescent="0.2">
      <c r="A10" s="53">
        <v>925</v>
      </c>
      <c r="B10" s="41" t="s">
        <v>349</v>
      </c>
      <c r="C10" s="41" t="s">
        <v>370</v>
      </c>
      <c r="D10" s="41" t="s">
        <v>312</v>
      </c>
      <c r="E10" s="55">
        <v>923210</v>
      </c>
      <c r="F10" s="41" t="s">
        <v>56</v>
      </c>
      <c r="G10" s="41" t="s">
        <v>29</v>
      </c>
      <c r="H10" s="41" t="s">
        <v>30</v>
      </c>
      <c r="I10" s="41" t="s">
        <v>31</v>
      </c>
      <c r="J10" s="41" t="s">
        <v>32</v>
      </c>
      <c r="K10" s="41" t="s">
        <v>33</v>
      </c>
      <c r="L10" s="50">
        <v>53302500</v>
      </c>
      <c r="M10" s="50">
        <v>0</v>
      </c>
      <c r="N10" s="50">
        <v>53302500</v>
      </c>
      <c r="O10" s="50">
        <v>46350000</v>
      </c>
      <c r="P10" s="43" t="s">
        <v>351</v>
      </c>
      <c r="Q10" s="40">
        <v>1010244141</v>
      </c>
      <c r="R10" s="41" t="s">
        <v>371</v>
      </c>
      <c r="S10" s="41" t="s">
        <v>316</v>
      </c>
      <c r="T10" s="41" t="s">
        <v>317</v>
      </c>
      <c r="U10" s="41" t="s">
        <v>372</v>
      </c>
      <c r="V10" s="41" t="s">
        <v>319</v>
      </c>
      <c r="W10" s="40">
        <v>860034594</v>
      </c>
      <c r="X10" s="41" t="s">
        <v>374</v>
      </c>
      <c r="Y10" s="40">
        <v>1925</v>
      </c>
      <c r="Z10" s="40">
        <v>1925</v>
      </c>
      <c r="AA10" s="40">
        <v>925</v>
      </c>
      <c r="AB10" s="41"/>
      <c r="AC10" s="41" t="s">
        <v>3927</v>
      </c>
      <c r="AD10" s="41" t="s">
        <v>3928</v>
      </c>
      <c r="AE10" s="41"/>
      <c r="AF10" s="41" t="s">
        <v>349</v>
      </c>
      <c r="AG10" s="41" t="s">
        <v>356</v>
      </c>
      <c r="AH10" s="41" t="s">
        <v>375</v>
      </c>
      <c r="AI10" s="41" t="s">
        <v>376</v>
      </c>
    </row>
    <row r="11" spans="1:35" x14ac:dyDescent="0.2">
      <c r="A11" s="53">
        <v>1025</v>
      </c>
      <c r="B11" s="41" t="s">
        <v>349</v>
      </c>
      <c r="C11" s="41" t="s">
        <v>377</v>
      </c>
      <c r="D11" s="41" t="s">
        <v>312</v>
      </c>
      <c r="E11" s="55">
        <v>923210</v>
      </c>
      <c r="F11" s="41" t="s">
        <v>56</v>
      </c>
      <c r="G11" s="41" t="s">
        <v>29</v>
      </c>
      <c r="H11" s="41" t="s">
        <v>30</v>
      </c>
      <c r="I11" s="41" t="s">
        <v>31</v>
      </c>
      <c r="J11" s="41" t="s">
        <v>32</v>
      </c>
      <c r="K11" s="41" t="s">
        <v>33</v>
      </c>
      <c r="L11" s="50">
        <v>52298263</v>
      </c>
      <c r="M11" s="50">
        <v>0</v>
      </c>
      <c r="N11" s="50">
        <v>52298263</v>
      </c>
      <c r="O11" s="50">
        <v>45476750</v>
      </c>
      <c r="P11" s="43" t="s">
        <v>351</v>
      </c>
      <c r="Q11" s="40">
        <v>1121825496</v>
      </c>
      <c r="R11" s="41" t="s">
        <v>378</v>
      </c>
      <c r="S11" s="41" t="s">
        <v>316</v>
      </c>
      <c r="T11" s="41" t="s">
        <v>317</v>
      </c>
      <c r="U11" s="41" t="s">
        <v>379</v>
      </c>
      <c r="V11" s="41" t="s">
        <v>319</v>
      </c>
      <c r="W11" s="40">
        <v>860007335</v>
      </c>
      <c r="X11" s="41" t="s">
        <v>381</v>
      </c>
      <c r="Y11" s="40">
        <v>1925</v>
      </c>
      <c r="Z11" s="40">
        <v>1925</v>
      </c>
      <c r="AA11" s="40">
        <v>1025</v>
      </c>
      <c r="AB11" s="41"/>
      <c r="AC11" s="41" t="s">
        <v>3929</v>
      </c>
      <c r="AD11" s="41" t="s">
        <v>3930</v>
      </c>
      <c r="AE11" s="41"/>
      <c r="AF11" s="41" t="s">
        <v>349</v>
      </c>
      <c r="AG11" s="41" t="s">
        <v>356</v>
      </c>
      <c r="AH11" s="41" t="s">
        <v>382</v>
      </c>
      <c r="AI11" s="41" t="s">
        <v>383</v>
      </c>
    </row>
    <row r="12" spans="1:35" x14ac:dyDescent="0.2">
      <c r="A12" s="53">
        <v>1125</v>
      </c>
      <c r="B12" s="41" t="s">
        <v>349</v>
      </c>
      <c r="C12" s="41" t="s">
        <v>384</v>
      </c>
      <c r="D12" s="41" t="s">
        <v>312</v>
      </c>
      <c r="E12" s="55">
        <v>923224</v>
      </c>
      <c r="F12" s="41" t="s">
        <v>239</v>
      </c>
      <c r="G12" s="41" t="s">
        <v>240</v>
      </c>
      <c r="H12" s="41" t="s">
        <v>241</v>
      </c>
      <c r="I12" s="41" t="s">
        <v>47</v>
      </c>
      <c r="J12" s="41" t="s">
        <v>76</v>
      </c>
      <c r="K12" s="41" t="s">
        <v>33</v>
      </c>
      <c r="L12" s="50">
        <v>34777277</v>
      </c>
      <c r="M12" s="50">
        <v>0</v>
      </c>
      <c r="N12" s="50">
        <v>34777277</v>
      </c>
      <c r="O12" s="50">
        <v>30241110</v>
      </c>
      <c r="P12" s="43" t="s">
        <v>351</v>
      </c>
      <c r="Q12" s="40">
        <v>1019101173</v>
      </c>
      <c r="R12" s="41" t="s">
        <v>385</v>
      </c>
      <c r="S12" s="41" t="s">
        <v>316</v>
      </c>
      <c r="T12" s="41" t="s">
        <v>317</v>
      </c>
      <c r="U12" s="41" t="s">
        <v>386</v>
      </c>
      <c r="V12" s="41" t="s">
        <v>319</v>
      </c>
      <c r="W12" s="40">
        <v>860034313</v>
      </c>
      <c r="X12" s="41" t="s">
        <v>355</v>
      </c>
      <c r="Y12" s="40">
        <v>5425</v>
      </c>
      <c r="Z12" s="40">
        <v>5425</v>
      </c>
      <c r="AA12" s="40">
        <v>1125</v>
      </c>
      <c r="AB12" s="41"/>
      <c r="AC12" s="41" t="s">
        <v>3931</v>
      </c>
      <c r="AD12" s="41" t="s">
        <v>3932</v>
      </c>
      <c r="AE12" s="41"/>
      <c r="AF12" s="41" t="s">
        <v>349</v>
      </c>
      <c r="AG12" s="41" t="s">
        <v>356</v>
      </c>
      <c r="AH12" s="41" t="s">
        <v>387</v>
      </c>
      <c r="AI12" s="41" t="s">
        <v>388</v>
      </c>
    </row>
    <row r="13" spans="1:35" x14ac:dyDescent="0.2">
      <c r="A13" s="53">
        <v>1225</v>
      </c>
      <c r="B13" s="41" t="s">
        <v>349</v>
      </c>
      <c r="C13" s="41" t="s">
        <v>389</v>
      </c>
      <c r="D13" s="41" t="s">
        <v>312</v>
      </c>
      <c r="E13" s="55">
        <v>923290</v>
      </c>
      <c r="F13" s="41" t="s">
        <v>208</v>
      </c>
      <c r="G13" s="41" t="s">
        <v>29</v>
      </c>
      <c r="H13" s="41" t="s">
        <v>30</v>
      </c>
      <c r="I13" s="41" t="s">
        <v>31</v>
      </c>
      <c r="J13" s="41" t="s">
        <v>32</v>
      </c>
      <c r="K13" s="41" t="s">
        <v>33</v>
      </c>
      <c r="L13" s="50">
        <v>60950000</v>
      </c>
      <c r="M13" s="50">
        <v>0</v>
      </c>
      <c r="N13" s="50">
        <v>60950000</v>
      </c>
      <c r="O13" s="50">
        <v>53000000</v>
      </c>
      <c r="P13" s="43" t="s">
        <v>351</v>
      </c>
      <c r="Q13" s="40">
        <v>1012449137</v>
      </c>
      <c r="R13" s="41" t="s">
        <v>390</v>
      </c>
      <c r="S13" s="41" t="s">
        <v>316</v>
      </c>
      <c r="T13" s="41" t="s">
        <v>317</v>
      </c>
      <c r="U13" s="41" t="s">
        <v>391</v>
      </c>
      <c r="V13" s="41" t="s">
        <v>319</v>
      </c>
      <c r="W13" s="40">
        <v>860003020</v>
      </c>
      <c r="X13" s="41" t="s">
        <v>393</v>
      </c>
      <c r="Y13" s="40">
        <v>5025</v>
      </c>
      <c r="Z13" s="40">
        <v>5025</v>
      </c>
      <c r="AA13" s="40">
        <v>1225</v>
      </c>
      <c r="AB13" s="41"/>
      <c r="AC13" s="41" t="s">
        <v>3933</v>
      </c>
      <c r="AD13" s="41" t="s">
        <v>3934</v>
      </c>
      <c r="AE13" s="41"/>
      <c r="AF13" s="41" t="s">
        <v>349</v>
      </c>
      <c r="AG13" s="41" t="s">
        <v>356</v>
      </c>
      <c r="AH13" s="41" t="s">
        <v>394</v>
      </c>
      <c r="AI13" s="41" t="s">
        <v>395</v>
      </c>
    </row>
    <row r="14" spans="1:35" x14ac:dyDescent="0.2">
      <c r="A14" s="53">
        <v>1325</v>
      </c>
      <c r="B14" s="41" t="s">
        <v>349</v>
      </c>
      <c r="C14" s="41" t="s">
        <v>396</v>
      </c>
      <c r="D14" s="41" t="s">
        <v>312</v>
      </c>
      <c r="E14" s="55">
        <v>923227</v>
      </c>
      <c r="F14" s="41" t="s">
        <v>141</v>
      </c>
      <c r="G14" s="41" t="s">
        <v>142</v>
      </c>
      <c r="H14" s="41" t="s">
        <v>143</v>
      </c>
      <c r="I14" s="41" t="s">
        <v>31</v>
      </c>
      <c r="J14" s="41" t="s">
        <v>32</v>
      </c>
      <c r="K14" s="41" t="s">
        <v>33</v>
      </c>
      <c r="L14" s="50">
        <v>59225000</v>
      </c>
      <c r="M14" s="50">
        <v>0</v>
      </c>
      <c r="N14" s="50">
        <v>59225000</v>
      </c>
      <c r="O14" s="50">
        <v>51500000</v>
      </c>
      <c r="P14" s="43" t="s">
        <v>351</v>
      </c>
      <c r="Q14" s="40">
        <v>40325709</v>
      </c>
      <c r="R14" s="41" t="s">
        <v>397</v>
      </c>
      <c r="S14" s="41" t="s">
        <v>316</v>
      </c>
      <c r="T14" s="41" t="s">
        <v>317</v>
      </c>
      <c r="U14" s="41" t="s">
        <v>398</v>
      </c>
      <c r="V14" s="41" t="s">
        <v>319</v>
      </c>
      <c r="W14" s="40">
        <v>900047981</v>
      </c>
      <c r="X14" s="41" t="s">
        <v>399</v>
      </c>
      <c r="Y14" s="40">
        <v>3225</v>
      </c>
      <c r="Z14" s="40">
        <v>3225</v>
      </c>
      <c r="AA14" s="40">
        <v>1325</v>
      </c>
      <c r="AB14" s="41"/>
      <c r="AC14" s="41" t="s">
        <v>3935</v>
      </c>
      <c r="AD14" s="41" t="s">
        <v>3936</v>
      </c>
      <c r="AE14" s="41"/>
      <c r="AF14" s="41" t="s">
        <v>349</v>
      </c>
      <c r="AG14" s="41" t="s">
        <v>356</v>
      </c>
      <c r="AH14" s="41" t="s">
        <v>602</v>
      </c>
      <c r="AI14" s="41" t="s">
        <v>401</v>
      </c>
    </row>
    <row r="15" spans="1:35" x14ac:dyDescent="0.2">
      <c r="A15" s="53">
        <v>1425</v>
      </c>
      <c r="B15" s="41" t="s">
        <v>349</v>
      </c>
      <c r="C15" s="41" t="s">
        <v>402</v>
      </c>
      <c r="D15" s="41" t="s">
        <v>312</v>
      </c>
      <c r="E15" s="55">
        <v>923224</v>
      </c>
      <c r="F15" s="41" t="s">
        <v>239</v>
      </c>
      <c r="G15" s="41" t="s">
        <v>240</v>
      </c>
      <c r="H15" s="41" t="s">
        <v>241</v>
      </c>
      <c r="I15" s="41" t="s">
        <v>47</v>
      </c>
      <c r="J15" s="41" t="s">
        <v>76</v>
      </c>
      <c r="K15" s="41" t="s">
        <v>33</v>
      </c>
      <c r="L15" s="50">
        <v>57886400</v>
      </c>
      <c r="M15" s="50">
        <v>0</v>
      </c>
      <c r="N15" s="50">
        <v>57886400</v>
      </c>
      <c r="O15" s="50">
        <v>50336000</v>
      </c>
      <c r="P15" s="43" t="s">
        <v>351</v>
      </c>
      <c r="Q15" s="40">
        <v>53093999</v>
      </c>
      <c r="R15" s="41" t="s">
        <v>403</v>
      </c>
      <c r="S15" s="41" t="s">
        <v>316</v>
      </c>
      <c r="T15" s="41" t="s">
        <v>317</v>
      </c>
      <c r="U15" s="41" t="s">
        <v>404</v>
      </c>
      <c r="V15" s="41" t="s">
        <v>319</v>
      </c>
      <c r="W15" s="40">
        <v>890903938</v>
      </c>
      <c r="X15" s="41" t="s">
        <v>342</v>
      </c>
      <c r="Y15" s="40">
        <v>5425</v>
      </c>
      <c r="Z15" s="40">
        <v>5425</v>
      </c>
      <c r="AA15" s="40">
        <v>1425</v>
      </c>
      <c r="AB15" s="41"/>
      <c r="AC15" s="41" t="s">
        <v>3937</v>
      </c>
      <c r="AD15" s="41" t="s">
        <v>3938</v>
      </c>
      <c r="AE15" s="41"/>
      <c r="AF15" s="41" t="s">
        <v>349</v>
      </c>
      <c r="AG15" s="41" t="s">
        <v>356</v>
      </c>
      <c r="AH15" s="41" t="s">
        <v>400</v>
      </c>
      <c r="AI15" s="41" t="s">
        <v>405</v>
      </c>
    </row>
    <row r="16" spans="1:35" x14ac:dyDescent="0.2">
      <c r="A16" s="53">
        <v>1525</v>
      </c>
      <c r="B16" s="41" t="s">
        <v>349</v>
      </c>
      <c r="C16" s="41" t="s">
        <v>406</v>
      </c>
      <c r="D16" s="41" t="s">
        <v>312</v>
      </c>
      <c r="E16" s="55">
        <v>923227</v>
      </c>
      <c r="F16" s="41" t="s">
        <v>141</v>
      </c>
      <c r="G16" s="41" t="s">
        <v>142</v>
      </c>
      <c r="H16" s="41" t="s">
        <v>143</v>
      </c>
      <c r="I16" s="41" t="s">
        <v>31</v>
      </c>
      <c r="J16" s="41" t="s">
        <v>32</v>
      </c>
      <c r="K16" s="41" t="s">
        <v>33</v>
      </c>
      <c r="L16" s="50">
        <v>35001975</v>
      </c>
      <c r="M16" s="50">
        <v>0</v>
      </c>
      <c r="N16" s="50">
        <v>35001975</v>
      </c>
      <c r="O16" s="50">
        <v>30436500</v>
      </c>
      <c r="P16" s="43" t="s">
        <v>351</v>
      </c>
      <c r="Q16" s="40">
        <v>1012379960</v>
      </c>
      <c r="R16" s="41" t="s">
        <v>407</v>
      </c>
      <c r="S16" s="41" t="s">
        <v>316</v>
      </c>
      <c r="T16" s="41" t="s">
        <v>317</v>
      </c>
      <c r="U16" s="41" t="s">
        <v>408</v>
      </c>
      <c r="V16" s="41" t="s">
        <v>319</v>
      </c>
      <c r="W16" s="40">
        <v>860007335</v>
      </c>
      <c r="X16" s="41" t="s">
        <v>381</v>
      </c>
      <c r="Y16" s="40">
        <v>3225</v>
      </c>
      <c r="Z16" s="40">
        <v>3225</v>
      </c>
      <c r="AA16" s="40">
        <v>1525</v>
      </c>
      <c r="AB16" s="41"/>
      <c r="AC16" s="41" t="s">
        <v>3939</v>
      </c>
      <c r="AD16" s="41" t="s">
        <v>3940</v>
      </c>
      <c r="AE16" s="41"/>
      <c r="AF16" s="41" t="s">
        <v>349</v>
      </c>
      <c r="AG16" s="41" t="s">
        <v>362</v>
      </c>
      <c r="AH16" s="41" t="s">
        <v>409</v>
      </c>
      <c r="AI16" s="41" t="s">
        <v>410</v>
      </c>
    </row>
    <row r="17" spans="1:35" x14ac:dyDescent="0.2">
      <c r="A17" s="53">
        <v>1625</v>
      </c>
      <c r="B17" s="41" t="s">
        <v>349</v>
      </c>
      <c r="C17" s="41" t="s">
        <v>411</v>
      </c>
      <c r="D17" s="41" t="s">
        <v>312</v>
      </c>
      <c r="E17" s="55">
        <v>923227</v>
      </c>
      <c r="F17" s="41" t="s">
        <v>141</v>
      </c>
      <c r="G17" s="41" t="s">
        <v>142</v>
      </c>
      <c r="H17" s="41" t="s">
        <v>143</v>
      </c>
      <c r="I17" s="41" t="s">
        <v>31</v>
      </c>
      <c r="J17" s="41" t="s">
        <v>32</v>
      </c>
      <c r="K17" s="41" t="s">
        <v>33</v>
      </c>
      <c r="L17" s="50">
        <v>35001975</v>
      </c>
      <c r="M17" s="50">
        <v>0</v>
      </c>
      <c r="N17" s="50">
        <v>35001975</v>
      </c>
      <c r="O17" s="50">
        <v>30436500</v>
      </c>
      <c r="P17" s="43" t="s">
        <v>351</v>
      </c>
      <c r="Q17" s="40">
        <v>1073697700</v>
      </c>
      <c r="R17" s="41" t="s">
        <v>412</v>
      </c>
      <c r="S17" s="41" t="s">
        <v>316</v>
      </c>
      <c r="T17" s="41" t="s">
        <v>317</v>
      </c>
      <c r="U17" s="41" t="s">
        <v>413</v>
      </c>
      <c r="V17" s="41" t="s">
        <v>319</v>
      </c>
      <c r="W17" s="40">
        <v>860034313</v>
      </c>
      <c r="X17" s="41" t="s">
        <v>355</v>
      </c>
      <c r="Y17" s="40">
        <v>3225</v>
      </c>
      <c r="Z17" s="40">
        <v>3225</v>
      </c>
      <c r="AA17" s="40">
        <v>1625</v>
      </c>
      <c r="AB17" s="41"/>
      <c r="AC17" s="41" t="s">
        <v>3941</v>
      </c>
      <c r="AD17" s="41" t="s">
        <v>3942</v>
      </c>
      <c r="AE17" s="41"/>
      <c r="AF17" s="41" t="s">
        <v>349</v>
      </c>
      <c r="AG17" s="41" t="s">
        <v>362</v>
      </c>
      <c r="AH17" s="41" t="s">
        <v>414</v>
      </c>
      <c r="AI17" s="41" t="s">
        <v>410</v>
      </c>
    </row>
    <row r="18" spans="1:35" x14ac:dyDescent="0.2">
      <c r="A18" s="53">
        <v>1725</v>
      </c>
      <c r="B18" s="41" t="s">
        <v>349</v>
      </c>
      <c r="C18" s="41" t="s">
        <v>415</v>
      </c>
      <c r="D18" s="41" t="s">
        <v>312</v>
      </c>
      <c r="E18" s="55">
        <v>923227</v>
      </c>
      <c r="F18" s="41" t="s">
        <v>141</v>
      </c>
      <c r="G18" s="41" t="s">
        <v>142</v>
      </c>
      <c r="H18" s="41" t="s">
        <v>143</v>
      </c>
      <c r="I18" s="41" t="s">
        <v>31</v>
      </c>
      <c r="J18" s="41" t="s">
        <v>32</v>
      </c>
      <c r="K18" s="41" t="s">
        <v>33</v>
      </c>
      <c r="L18" s="50">
        <v>35001975</v>
      </c>
      <c r="M18" s="50">
        <v>0</v>
      </c>
      <c r="N18" s="50">
        <v>35001975</v>
      </c>
      <c r="O18" s="50">
        <v>30436500</v>
      </c>
      <c r="P18" s="43" t="s">
        <v>351</v>
      </c>
      <c r="Q18" s="40">
        <v>80030739</v>
      </c>
      <c r="R18" s="41" t="s">
        <v>416</v>
      </c>
      <c r="S18" s="41" t="s">
        <v>316</v>
      </c>
      <c r="T18" s="41" t="s">
        <v>317</v>
      </c>
      <c r="U18" s="41" t="s">
        <v>417</v>
      </c>
      <c r="V18" s="41" t="s">
        <v>319</v>
      </c>
      <c r="W18" s="40">
        <v>860002964</v>
      </c>
      <c r="X18" s="41" t="s">
        <v>419</v>
      </c>
      <c r="Y18" s="40">
        <v>3225</v>
      </c>
      <c r="Z18" s="40">
        <v>3225</v>
      </c>
      <c r="AA18" s="40">
        <v>1725</v>
      </c>
      <c r="AB18" s="41"/>
      <c r="AC18" s="41" t="s">
        <v>3943</v>
      </c>
      <c r="AD18" s="41" t="s">
        <v>3944</v>
      </c>
      <c r="AE18" s="41"/>
      <c r="AF18" s="41" t="s">
        <v>349</v>
      </c>
      <c r="AG18" s="41" t="s">
        <v>362</v>
      </c>
      <c r="AH18" s="41" t="s">
        <v>420</v>
      </c>
      <c r="AI18" s="41" t="s">
        <v>410</v>
      </c>
    </row>
    <row r="19" spans="1:35" x14ac:dyDescent="0.2">
      <c r="A19" s="53">
        <v>1825</v>
      </c>
      <c r="B19" s="41" t="s">
        <v>421</v>
      </c>
      <c r="C19" s="41" t="s">
        <v>422</v>
      </c>
      <c r="D19" s="41" t="s">
        <v>312</v>
      </c>
      <c r="E19" s="55">
        <v>923210</v>
      </c>
      <c r="F19" s="41" t="s">
        <v>56</v>
      </c>
      <c r="G19" s="41" t="s">
        <v>29</v>
      </c>
      <c r="H19" s="41" t="s">
        <v>30</v>
      </c>
      <c r="I19" s="41" t="s">
        <v>31</v>
      </c>
      <c r="J19" s="41" t="s">
        <v>32</v>
      </c>
      <c r="K19" s="41" t="s">
        <v>33</v>
      </c>
      <c r="L19" s="50">
        <v>36043264</v>
      </c>
      <c r="M19" s="50">
        <v>0</v>
      </c>
      <c r="N19" s="50">
        <v>36043264</v>
      </c>
      <c r="O19" s="50">
        <v>31802880</v>
      </c>
      <c r="P19" s="43" t="s">
        <v>351</v>
      </c>
      <c r="Q19" s="40">
        <v>1024533099</v>
      </c>
      <c r="R19" s="41" t="s">
        <v>423</v>
      </c>
      <c r="S19" s="41" t="s">
        <v>316</v>
      </c>
      <c r="T19" s="41" t="s">
        <v>317</v>
      </c>
      <c r="U19" s="41" t="s">
        <v>424</v>
      </c>
      <c r="V19" s="41" t="s">
        <v>319</v>
      </c>
      <c r="W19" s="40">
        <v>860002964</v>
      </c>
      <c r="X19" s="41" t="s">
        <v>419</v>
      </c>
      <c r="Y19" s="40">
        <v>1925</v>
      </c>
      <c r="Z19" s="40">
        <v>1925</v>
      </c>
      <c r="AA19" s="40">
        <v>1825</v>
      </c>
      <c r="AB19" s="41"/>
      <c r="AC19" s="41" t="s">
        <v>3945</v>
      </c>
      <c r="AD19" s="41" t="s">
        <v>3946</v>
      </c>
      <c r="AE19" s="41"/>
      <c r="AF19" s="41" t="s">
        <v>421</v>
      </c>
      <c r="AG19" s="41" t="s">
        <v>362</v>
      </c>
      <c r="AH19" s="41" t="s">
        <v>425</v>
      </c>
      <c r="AI19" s="41" t="s">
        <v>426</v>
      </c>
    </row>
    <row r="20" spans="1:35" x14ac:dyDescent="0.2">
      <c r="A20" s="53">
        <v>1925</v>
      </c>
      <c r="B20" s="41" t="s">
        <v>291</v>
      </c>
      <c r="C20" s="41" t="s">
        <v>427</v>
      </c>
      <c r="D20" s="41" t="s">
        <v>312</v>
      </c>
      <c r="E20" s="55">
        <v>923210</v>
      </c>
      <c r="F20" s="41" t="s">
        <v>56</v>
      </c>
      <c r="G20" s="41" t="s">
        <v>29</v>
      </c>
      <c r="H20" s="41" t="s">
        <v>30</v>
      </c>
      <c r="I20" s="41" t="s">
        <v>47</v>
      </c>
      <c r="J20" s="41" t="s">
        <v>48</v>
      </c>
      <c r="K20" s="41" t="s">
        <v>33</v>
      </c>
      <c r="L20" s="50">
        <v>4390</v>
      </c>
      <c r="M20" s="50">
        <v>0</v>
      </c>
      <c r="N20" s="50">
        <v>4390</v>
      </c>
      <c r="O20" s="50">
        <v>0</v>
      </c>
      <c r="P20" s="43" t="s">
        <v>314</v>
      </c>
      <c r="Q20" s="40">
        <v>800007813</v>
      </c>
      <c r="R20" s="41" t="s">
        <v>339</v>
      </c>
      <c r="S20" s="41" t="s">
        <v>316</v>
      </c>
      <c r="T20" s="41" t="s">
        <v>317</v>
      </c>
      <c r="U20" s="41" t="s">
        <v>340</v>
      </c>
      <c r="V20" s="41" t="s">
        <v>319</v>
      </c>
      <c r="W20" s="40">
        <v>890903938</v>
      </c>
      <c r="X20" s="41" t="s">
        <v>342</v>
      </c>
      <c r="Y20" s="40">
        <v>1225</v>
      </c>
      <c r="Z20" s="40">
        <v>1225</v>
      </c>
      <c r="AA20" s="40">
        <v>1925</v>
      </c>
      <c r="AB20" s="41" t="s">
        <v>66</v>
      </c>
      <c r="AC20" s="41" t="s">
        <v>63</v>
      </c>
      <c r="AD20" s="41" t="s">
        <v>603</v>
      </c>
      <c r="AE20" s="41"/>
      <c r="AF20" s="41" t="s">
        <v>291</v>
      </c>
      <c r="AG20" s="41" t="s">
        <v>323</v>
      </c>
      <c r="AH20" s="41" t="s">
        <v>428</v>
      </c>
      <c r="AI20" s="41" t="s">
        <v>429</v>
      </c>
    </row>
    <row r="21" spans="1:35" x14ac:dyDescent="0.2">
      <c r="A21" s="53">
        <v>2025</v>
      </c>
      <c r="B21" s="41" t="s">
        <v>291</v>
      </c>
      <c r="C21" s="41" t="s">
        <v>430</v>
      </c>
      <c r="D21" s="41" t="s">
        <v>312</v>
      </c>
      <c r="E21" s="55">
        <v>923210</v>
      </c>
      <c r="F21" s="41" t="s">
        <v>56</v>
      </c>
      <c r="G21" s="41" t="s">
        <v>29</v>
      </c>
      <c r="H21" s="41" t="s">
        <v>30</v>
      </c>
      <c r="I21" s="41" t="s">
        <v>47</v>
      </c>
      <c r="J21" s="41" t="s">
        <v>48</v>
      </c>
      <c r="K21" s="41" t="s">
        <v>33</v>
      </c>
      <c r="L21" s="50">
        <v>26070</v>
      </c>
      <c r="M21" s="50">
        <v>0</v>
      </c>
      <c r="N21" s="50">
        <v>26070</v>
      </c>
      <c r="O21" s="50">
        <v>0</v>
      </c>
      <c r="P21" s="43" t="s">
        <v>314</v>
      </c>
      <c r="Q21" s="40">
        <v>899999094</v>
      </c>
      <c r="R21" s="41" t="s">
        <v>432</v>
      </c>
      <c r="S21" s="41" t="s">
        <v>316</v>
      </c>
      <c r="T21" s="41" t="s">
        <v>317</v>
      </c>
      <c r="U21" s="41" t="s">
        <v>433</v>
      </c>
      <c r="V21" s="41" t="s">
        <v>319</v>
      </c>
      <c r="W21" s="40">
        <v>860034313</v>
      </c>
      <c r="X21" s="41" t="s">
        <v>355</v>
      </c>
      <c r="Y21" s="40">
        <v>1225</v>
      </c>
      <c r="Z21" s="40">
        <v>1225</v>
      </c>
      <c r="AA21" s="40">
        <v>2025</v>
      </c>
      <c r="AB21" s="41" t="s">
        <v>63</v>
      </c>
      <c r="AC21" s="41" t="s">
        <v>60</v>
      </c>
      <c r="AD21" s="41" t="s">
        <v>604</v>
      </c>
      <c r="AE21" s="41"/>
      <c r="AF21" s="41" t="s">
        <v>291</v>
      </c>
      <c r="AG21" s="41" t="s">
        <v>323</v>
      </c>
      <c r="AH21" s="41" t="s">
        <v>434</v>
      </c>
      <c r="AI21" s="41" t="s">
        <v>435</v>
      </c>
    </row>
    <row r="22" spans="1:35" x14ac:dyDescent="0.2">
      <c r="A22" s="53">
        <v>2125</v>
      </c>
      <c r="B22" s="41" t="s">
        <v>291</v>
      </c>
      <c r="C22" s="41" t="s">
        <v>436</v>
      </c>
      <c r="D22" s="41" t="s">
        <v>312</v>
      </c>
      <c r="E22" s="55">
        <v>923210</v>
      </c>
      <c r="F22" s="41" t="s">
        <v>56</v>
      </c>
      <c r="G22" s="41" t="s">
        <v>29</v>
      </c>
      <c r="H22" s="41" t="s">
        <v>30</v>
      </c>
      <c r="I22" s="41" t="s">
        <v>47</v>
      </c>
      <c r="J22" s="41" t="s">
        <v>48</v>
      </c>
      <c r="K22" s="41" t="s">
        <v>33</v>
      </c>
      <c r="L22" s="50">
        <v>1327160</v>
      </c>
      <c r="M22" s="50">
        <v>0</v>
      </c>
      <c r="N22" s="50">
        <v>1327160</v>
      </c>
      <c r="O22" s="50">
        <v>0</v>
      </c>
      <c r="P22" s="43" t="s">
        <v>314</v>
      </c>
      <c r="Q22" s="40">
        <v>899999094</v>
      </c>
      <c r="R22" s="41" t="s">
        <v>432</v>
      </c>
      <c r="S22" s="41" t="s">
        <v>316</v>
      </c>
      <c r="T22" s="41" t="s">
        <v>317</v>
      </c>
      <c r="U22" s="41" t="s">
        <v>433</v>
      </c>
      <c r="V22" s="41" t="s">
        <v>319</v>
      </c>
      <c r="W22" s="40">
        <v>860034313</v>
      </c>
      <c r="X22" s="41" t="s">
        <v>355</v>
      </c>
      <c r="Y22" s="40">
        <v>1225</v>
      </c>
      <c r="Z22" s="40">
        <v>1225</v>
      </c>
      <c r="AA22" s="40">
        <v>2125</v>
      </c>
      <c r="AB22" s="41" t="s">
        <v>60</v>
      </c>
      <c r="AC22" s="41" t="s">
        <v>53</v>
      </c>
      <c r="AD22" s="41" t="s">
        <v>605</v>
      </c>
      <c r="AE22" s="41"/>
      <c r="AF22" s="41" t="s">
        <v>291</v>
      </c>
      <c r="AG22" s="41" t="s">
        <v>323</v>
      </c>
      <c r="AH22" s="41" t="s">
        <v>438</v>
      </c>
      <c r="AI22" s="41" t="s">
        <v>439</v>
      </c>
    </row>
    <row r="23" spans="1:35" x14ac:dyDescent="0.2">
      <c r="A23" s="53">
        <v>2225</v>
      </c>
      <c r="B23" s="41" t="s">
        <v>606</v>
      </c>
      <c r="C23" s="41" t="s">
        <v>607</v>
      </c>
      <c r="D23" s="41" t="s">
        <v>312</v>
      </c>
      <c r="E23" s="55">
        <v>923210</v>
      </c>
      <c r="F23" s="41" t="s">
        <v>56</v>
      </c>
      <c r="G23" s="41" t="s">
        <v>29</v>
      </c>
      <c r="H23" s="41" t="s">
        <v>30</v>
      </c>
      <c r="I23" s="41" t="s">
        <v>31</v>
      </c>
      <c r="J23" s="41" t="s">
        <v>32</v>
      </c>
      <c r="K23" s="41" t="s">
        <v>33</v>
      </c>
      <c r="L23" s="50">
        <v>29612495</v>
      </c>
      <c r="M23" s="50">
        <v>0</v>
      </c>
      <c r="N23" s="50">
        <v>29612495</v>
      </c>
      <c r="O23" s="50">
        <v>26920450</v>
      </c>
      <c r="P23" s="43" t="s">
        <v>351</v>
      </c>
      <c r="Q23" s="40">
        <v>1007695451</v>
      </c>
      <c r="R23" s="41" t="s">
        <v>608</v>
      </c>
      <c r="S23" s="41" t="s">
        <v>316</v>
      </c>
      <c r="T23" s="41" t="s">
        <v>317</v>
      </c>
      <c r="U23" s="41" t="s">
        <v>609</v>
      </c>
      <c r="V23" s="41" t="s">
        <v>319</v>
      </c>
      <c r="W23" s="40">
        <v>860034313</v>
      </c>
      <c r="X23" s="41" t="s">
        <v>355</v>
      </c>
      <c r="Y23" s="40">
        <v>1925</v>
      </c>
      <c r="Z23" s="40">
        <v>1925</v>
      </c>
      <c r="AA23" s="40">
        <v>2225</v>
      </c>
      <c r="AB23" s="41"/>
      <c r="AC23" s="41" t="s">
        <v>1186</v>
      </c>
      <c r="AD23" s="41" t="s">
        <v>2922</v>
      </c>
      <c r="AE23" s="41"/>
      <c r="AF23" s="41" t="s">
        <v>606</v>
      </c>
      <c r="AG23" s="41" t="s">
        <v>362</v>
      </c>
      <c r="AH23" s="41" t="s">
        <v>610</v>
      </c>
      <c r="AI23" s="41" t="s">
        <v>611</v>
      </c>
    </row>
    <row r="24" spans="1:35" x14ac:dyDescent="0.2">
      <c r="A24" s="53">
        <v>2325</v>
      </c>
      <c r="B24" s="41" t="s">
        <v>606</v>
      </c>
      <c r="C24" s="41" t="s">
        <v>612</v>
      </c>
      <c r="D24" s="41" t="s">
        <v>312</v>
      </c>
      <c r="E24" s="55">
        <v>923210</v>
      </c>
      <c r="F24" s="41" t="s">
        <v>56</v>
      </c>
      <c r="G24" s="41" t="s">
        <v>29</v>
      </c>
      <c r="H24" s="41" t="s">
        <v>30</v>
      </c>
      <c r="I24" s="41" t="s">
        <v>31</v>
      </c>
      <c r="J24" s="41" t="s">
        <v>32</v>
      </c>
      <c r="K24" s="41" t="s">
        <v>33</v>
      </c>
      <c r="L24" s="50">
        <v>25300000</v>
      </c>
      <c r="M24" s="50">
        <v>0</v>
      </c>
      <c r="N24" s="50">
        <v>25300000</v>
      </c>
      <c r="O24" s="50">
        <v>23000000</v>
      </c>
      <c r="P24" s="43" t="s">
        <v>351</v>
      </c>
      <c r="Q24" s="40">
        <v>1073672380</v>
      </c>
      <c r="R24" s="41" t="s">
        <v>613</v>
      </c>
      <c r="S24" s="41" t="s">
        <v>316</v>
      </c>
      <c r="T24" s="41" t="s">
        <v>317</v>
      </c>
      <c r="U24" s="41" t="s">
        <v>614</v>
      </c>
      <c r="V24" s="41" t="s">
        <v>319</v>
      </c>
      <c r="W24" s="40">
        <v>860007335</v>
      </c>
      <c r="X24" s="41" t="s">
        <v>381</v>
      </c>
      <c r="Y24" s="40">
        <v>1925</v>
      </c>
      <c r="Z24" s="40">
        <v>1925</v>
      </c>
      <c r="AA24" s="40">
        <v>2325</v>
      </c>
      <c r="AB24" s="41"/>
      <c r="AC24" s="41" t="s">
        <v>1191</v>
      </c>
      <c r="AD24" s="41" t="s">
        <v>2925</v>
      </c>
      <c r="AE24" s="41"/>
      <c r="AF24" s="41" t="s">
        <v>606</v>
      </c>
      <c r="AG24" s="41" t="s">
        <v>362</v>
      </c>
      <c r="AH24" s="41" t="s">
        <v>615</v>
      </c>
      <c r="AI24" s="41" t="s">
        <v>616</v>
      </c>
    </row>
    <row r="25" spans="1:35" x14ac:dyDescent="0.2">
      <c r="A25" s="53">
        <v>2425</v>
      </c>
      <c r="B25" s="41" t="s">
        <v>606</v>
      </c>
      <c r="C25" s="41" t="s">
        <v>617</v>
      </c>
      <c r="D25" s="41" t="s">
        <v>312</v>
      </c>
      <c r="E25" s="55">
        <v>923210</v>
      </c>
      <c r="F25" s="41" t="s">
        <v>56</v>
      </c>
      <c r="G25" s="41" t="s">
        <v>29</v>
      </c>
      <c r="H25" s="41" t="s">
        <v>30</v>
      </c>
      <c r="I25" s="41" t="s">
        <v>31</v>
      </c>
      <c r="J25" s="41" t="s">
        <v>32</v>
      </c>
      <c r="K25" s="41" t="s">
        <v>33</v>
      </c>
      <c r="L25" s="50">
        <v>29612495</v>
      </c>
      <c r="M25" s="50">
        <v>0</v>
      </c>
      <c r="N25" s="50">
        <v>29612495</v>
      </c>
      <c r="O25" s="50">
        <v>26920450</v>
      </c>
      <c r="P25" s="43" t="s">
        <v>351</v>
      </c>
      <c r="Q25" s="40">
        <v>1030689405</v>
      </c>
      <c r="R25" s="41" t="s">
        <v>618</v>
      </c>
      <c r="S25" s="41" t="s">
        <v>316</v>
      </c>
      <c r="T25" s="41" t="s">
        <v>317</v>
      </c>
      <c r="U25" s="41" t="s">
        <v>619</v>
      </c>
      <c r="V25" s="41" t="s">
        <v>319</v>
      </c>
      <c r="W25" s="40">
        <v>890903938</v>
      </c>
      <c r="X25" s="41" t="s">
        <v>342</v>
      </c>
      <c r="Y25" s="40">
        <v>1925</v>
      </c>
      <c r="Z25" s="40">
        <v>1925</v>
      </c>
      <c r="AA25" s="40">
        <v>2425</v>
      </c>
      <c r="AB25" s="41"/>
      <c r="AC25" s="41" t="s">
        <v>1196</v>
      </c>
      <c r="AD25" s="41" t="s">
        <v>2928</v>
      </c>
      <c r="AE25" s="41"/>
      <c r="AF25" s="41" t="s">
        <v>606</v>
      </c>
      <c r="AG25" s="41" t="s">
        <v>362</v>
      </c>
      <c r="AH25" s="41" t="s">
        <v>620</v>
      </c>
      <c r="AI25" s="41" t="s">
        <v>621</v>
      </c>
    </row>
    <row r="26" spans="1:35" x14ac:dyDescent="0.2">
      <c r="A26" s="53">
        <v>2525</v>
      </c>
      <c r="B26" s="41" t="s">
        <v>606</v>
      </c>
      <c r="C26" s="41" t="s">
        <v>622</v>
      </c>
      <c r="D26" s="41" t="s">
        <v>312</v>
      </c>
      <c r="E26" s="55">
        <v>923210</v>
      </c>
      <c r="F26" s="41" t="s">
        <v>56</v>
      </c>
      <c r="G26" s="41" t="s">
        <v>29</v>
      </c>
      <c r="H26" s="41" t="s">
        <v>30</v>
      </c>
      <c r="I26" s="41" t="s">
        <v>31</v>
      </c>
      <c r="J26" s="41" t="s">
        <v>32</v>
      </c>
      <c r="K26" s="41" t="s">
        <v>33</v>
      </c>
      <c r="L26" s="50">
        <v>29612495</v>
      </c>
      <c r="M26" s="50">
        <v>0</v>
      </c>
      <c r="N26" s="50">
        <v>29612495</v>
      </c>
      <c r="O26" s="50">
        <v>26920450</v>
      </c>
      <c r="P26" s="43" t="s">
        <v>351</v>
      </c>
      <c r="Q26" s="40">
        <v>1024473687</v>
      </c>
      <c r="R26" s="41" t="s">
        <v>623</v>
      </c>
      <c r="S26" s="41" t="s">
        <v>316</v>
      </c>
      <c r="T26" s="41" t="s">
        <v>317</v>
      </c>
      <c r="U26" s="41" t="s">
        <v>624</v>
      </c>
      <c r="V26" s="41" t="s">
        <v>319</v>
      </c>
      <c r="W26" s="40">
        <v>890903938</v>
      </c>
      <c r="X26" s="41" t="s">
        <v>342</v>
      </c>
      <c r="Y26" s="40">
        <v>1925</v>
      </c>
      <c r="Z26" s="40">
        <v>1925</v>
      </c>
      <c r="AA26" s="40">
        <v>2525</v>
      </c>
      <c r="AB26" s="41"/>
      <c r="AC26" s="41" t="s">
        <v>1201</v>
      </c>
      <c r="AD26" s="41" t="s">
        <v>2930</v>
      </c>
      <c r="AE26" s="41"/>
      <c r="AF26" s="41" t="s">
        <v>606</v>
      </c>
      <c r="AG26" s="41" t="s">
        <v>362</v>
      </c>
      <c r="AH26" s="41" t="s">
        <v>625</v>
      </c>
      <c r="AI26" s="41" t="s">
        <v>626</v>
      </c>
    </row>
    <row r="27" spans="1:35" x14ac:dyDescent="0.2">
      <c r="A27" s="53">
        <v>2625</v>
      </c>
      <c r="B27" s="41" t="s">
        <v>606</v>
      </c>
      <c r="C27" s="41" t="s">
        <v>627</v>
      </c>
      <c r="D27" s="41" t="s">
        <v>312</v>
      </c>
      <c r="E27" s="55">
        <v>923210</v>
      </c>
      <c r="F27" s="41" t="s">
        <v>56</v>
      </c>
      <c r="G27" s="41" t="s">
        <v>29</v>
      </c>
      <c r="H27" s="41" t="s">
        <v>30</v>
      </c>
      <c r="I27" s="41" t="s">
        <v>31</v>
      </c>
      <c r="J27" s="41" t="s">
        <v>32</v>
      </c>
      <c r="K27" s="41" t="s">
        <v>33</v>
      </c>
      <c r="L27" s="50">
        <v>58665618</v>
      </c>
      <c r="M27" s="50">
        <v>0</v>
      </c>
      <c r="N27" s="50">
        <v>58665618</v>
      </c>
      <c r="O27" s="50">
        <v>53332380</v>
      </c>
      <c r="P27" s="43" t="s">
        <v>351</v>
      </c>
      <c r="Q27" s="40">
        <v>1069745447</v>
      </c>
      <c r="R27" s="41" t="s">
        <v>628</v>
      </c>
      <c r="S27" s="41" t="s">
        <v>316</v>
      </c>
      <c r="T27" s="41" t="s">
        <v>317</v>
      </c>
      <c r="U27" s="41" t="s">
        <v>629</v>
      </c>
      <c r="V27" s="41" t="s">
        <v>319</v>
      </c>
      <c r="W27" s="40">
        <v>860034313</v>
      </c>
      <c r="X27" s="41" t="s">
        <v>355</v>
      </c>
      <c r="Y27" s="40">
        <v>1925</v>
      </c>
      <c r="Z27" s="40">
        <v>1925</v>
      </c>
      <c r="AA27" s="40">
        <v>2625</v>
      </c>
      <c r="AB27" s="41"/>
      <c r="AC27" s="41" t="s">
        <v>1205</v>
      </c>
      <c r="AD27" s="41" t="s">
        <v>2932</v>
      </c>
      <c r="AE27" s="41"/>
      <c r="AF27" s="41" t="s">
        <v>606</v>
      </c>
      <c r="AG27" s="41" t="s">
        <v>362</v>
      </c>
      <c r="AH27" s="41" t="s">
        <v>630</v>
      </c>
      <c r="AI27" s="41" t="s">
        <v>631</v>
      </c>
    </row>
    <row r="28" spans="1:35" x14ac:dyDescent="0.2">
      <c r="A28" s="53">
        <v>2725</v>
      </c>
      <c r="B28" s="41" t="s">
        <v>606</v>
      </c>
      <c r="C28" s="41" t="s">
        <v>632</v>
      </c>
      <c r="D28" s="41" t="s">
        <v>312</v>
      </c>
      <c r="E28" s="55">
        <v>923210</v>
      </c>
      <c r="F28" s="41" t="s">
        <v>56</v>
      </c>
      <c r="G28" s="41" t="s">
        <v>29</v>
      </c>
      <c r="H28" s="41" t="s">
        <v>30</v>
      </c>
      <c r="I28" s="41" t="s">
        <v>47</v>
      </c>
      <c r="J28" s="41" t="s">
        <v>48</v>
      </c>
      <c r="K28" s="41" t="s">
        <v>33</v>
      </c>
      <c r="L28" s="50">
        <v>158900</v>
      </c>
      <c r="M28" s="50">
        <v>0</v>
      </c>
      <c r="N28" s="50">
        <v>158900</v>
      </c>
      <c r="O28" s="50">
        <v>0</v>
      </c>
      <c r="P28" s="43" t="s">
        <v>314</v>
      </c>
      <c r="Q28" s="40">
        <v>900171710</v>
      </c>
      <c r="R28" s="41" t="s">
        <v>634</v>
      </c>
      <c r="S28" s="41" t="s">
        <v>635</v>
      </c>
      <c r="T28" s="54"/>
      <c r="U28" s="54"/>
      <c r="V28" s="54"/>
      <c r="W28" s="54"/>
      <c r="X28" s="54"/>
      <c r="Y28" s="40">
        <v>1225</v>
      </c>
      <c r="Z28" s="40">
        <v>1225</v>
      </c>
      <c r="AA28" s="40">
        <v>2725</v>
      </c>
      <c r="AB28" s="41" t="s">
        <v>126</v>
      </c>
      <c r="AC28" s="41" t="s">
        <v>93</v>
      </c>
      <c r="AD28" s="41" t="s">
        <v>636</v>
      </c>
      <c r="AE28" s="41"/>
      <c r="AF28" s="41" t="s">
        <v>606</v>
      </c>
      <c r="AG28" s="41" t="s">
        <v>323</v>
      </c>
      <c r="AH28" s="41" t="s">
        <v>637</v>
      </c>
      <c r="AI28" s="41" t="s">
        <v>638</v>
      </c>
    </row>
    <row r="29" spans="1:35" x14ac:dyDescent="0.2">
      <c r="A29" s="53">
        <v>2825</v>
      </c>
      <c r="B29" s="41" t="s">
        <v>639</v>
      </c>
      <c r="C29" s="41" t="s">
        <v>640</v>
      </c>
      <c r="D29" s="41" t="s">
        <v>312</v>
      </c>
      <c r="E29" s="55">
        <v>923211</v>
      </c>
      <c r="F29" s="41" t="s">
        <v>69</v>
      </c>
      <c r="G29" s="41" t="s">
        <v>29</v>
      </c>
      <c r="H29" s="41" t="s">
        <v>30</v>
      </c>
      <c r="I29" s="41" t="s">
        <v>31</v>
      </c>
      <c r="J29" s="41" t="s">
        <v>32</v>
      </c>
      <c r="K29" s="41" t="s">
        <v>33</v>
      </c>
      <c r="L29" s="50">
        <v>45995110</v>
      </c>
      <c r="M29" s="50">
        <v>0</v>
      </c>
      <c r="N29" s="50">
        <v>45995110</v>
      </c>
      <c r="O29" s="50">
        <v>42775452</v>
      </c>
      <c r="P29" s="43" t="s">
        <v>351</v>
      </c>
      <c r="Q29" s="40">
        <v>10261633</v>
      </c>
      <c r="R29" s="41" t="s">
        <v>641</v>
      </c>
      <c r="S29" s="41" t="s">
        <v>316</v>
      </c>
      <c r="T29" s="41" t="s">
        <v>317</v>
      </c>
      <c r="U29" s="41" t="s">
        <v>642</v>
      </c>
      <c r="V29" s="41" t="s">
        <v>319</v>
      </c>
      <c r="W29" s="40">
        <v>860007335</v>
      </c>
      <c r="X29" s="41" t="s">
        <v>381</v>
      </c>
      <c r="Y29" s="40">
        <v>2125</v>
      </c>
      <c r="Z29" s="40">
        <v>2125</v>
      </c>
      <c r="AA29" s="40">
        <v>2825</v>
      </c>
      <c r="AB29" s="41"/>
      <c r="AC29" s="41" t="s">
        <v>1210</v>
      </c>
      <c r="AD29" s="41" t="s">
        <v>2935</v>
      </c>
      <c r="AE29" s="41"/>
      <c r="AF29" s="41" t="s">
        <v>639</v>
      </c>
      <c r="AG29" s="41" t="s">
        <v>356</v>
      </c>
      <c r="AH29" s="41" t="s">
        <v>643</v>
      </c>
      <c r="AI29" s="41" t="s">
        <v>644</v>
      </c>
    </row>
    <row r="30" spans="1:35" x14ac:dyDescent="0.2">
      <c r="A30" s="53">
        <v>2925</v>
      </c>
      <c r="B30" s="41" t="s">
        <v>639</v>
      </c>
      <c r="C30" s="41" t="s">
        <v>645</v>
      </c>
      <c r="D30" s="41" t="s">
        <v>312</v>
      </c>
      <c r="E30" s="55">
        <v>923211</v>
      </c>
      <c r="F30" s="41" t="s">
        <v>69</v>
      </c>
      <c r="G30" s="41" t="s">
        <v>29</v>
      </c>
      <c r="H30" s="41" t="s">
        <v>30</v>
      </c>
      <c r="I30" s="41" t="s">
        <v>31</v>
      </c>
      <c r="J30" s="41" t="s">
        <v>32</v>
      </c>
      <c r="K30" s="41" t="s">
        <v>33</v>
      </c>
      <c r="L30" s="50">
        <v>45995110</v>
      </c>
      <c r="M30" s="50">
        <v>0</v>
      </c>
      <c r="N30" s="50">
        <v>45995110</v>
      </c>
      <c r="O30" s="50">
        <v>42775452</v>
      </c>
      <c r="P30" s="43" t="s">
        <v>351</v>
      </c>
      <c r="Q30" s="40">
        <v>38254826</v>
      </c>
      <c r="R30" s="41" t="s">
        <v>646</v>
      </c>
      <c r="S30" s="41" t="s">
        <v>316</v>
      </c>
      <c r="T30" s="41" t="s">
        <v>317</v>
      </c>
      <c r="U30" s="41" t="s">
        <v>647</v>
      </c>
      <c r="V30" s="41" t="s">
        <v>319</v>
      </c>
      <c r="W30" s="40">
        <v>890903938</v>
      </c>
      <c r="X30" s="41" t="s">
        <v>342</v>
      </c>
      <c r="Y30" s="40">
        <v>2125</v>
      </c>
      <c r="Z30" s="40">
        <v>2125</v>
      </c>
      <c r="AA30" s="40">
        <v>2925</v>
      </c>
      <c r="AB30" s="41"/>
      <c r="AC30" s="41" t="s">
        <v>1215</v>
      </c>
      <c r="AD30" s="41" t="s">
        <v>2938</v>
      </c>
      <c r="AE30" s="41"/>
      <c r="AF30" s="41" t="s">
        <v>639</v>
      </c>
      <c r="AG30" s="41" t="s">
        <v>356</v>
      </c>
      <c r="AH30" s="41" t="s">
        <v>648</v>
      </c>
      <c r="AI30" s="41" t="s">
        <v>644</v>
      </c>
    </row>
    <row r="31" spans="1:35" x14ac:dyDescent="0.2">
      <c r="A31" s="53">
        <v>3025</v>
      </c>
      <c r="B31" s="41" t="s">
        <v>639</v>
      </c>
      <c r="C31" s="41" t="s">
        <v>649</v>
      </c>
      <c r="D31" s="41" t="s">
        <v>312</v>
      </c>
      <c r="E31" s="55">
        <v>923211</v>
      </c>
      <c r="F31" s="41" t="s">
        <v>69</v>
      </c>
      <c r="G31" s="41" t="s">
        <v>29</v>
      </c>
      <c r="H31" s="41" t="s">
        <v>30</v>
      </c>
      <c r="I31" s="41" t="s">
        <v>31</v>
      </c>
      <c r="J31" s="41" t="s">
        <v>32</v>
      </c>
      <c r="K31" s="41" t="s">
        <v>33</v>
      </c>
      <c r="L31" s="50">
        <v>45995110</v>
      </c>
      <c r="M31" s="50">
        <v>0</v>
      </c>
      <c r="N31" s="50">
        <v>45995110</v>
      </c>
      <c r="O31" s="50">
        <v>42775452</v>
      </c>
      <c r="P31" s="43" t="s">
        <v>351</v>
      </c>
      <c r="Q31" s="40">
        <v>39545179</v>
      </c>
      <c r="R31" s="41" t="s">
        <v>650</v>
      </c>
      <c r="S31" s="41" t="s">
        <v>316</v>
      </c>
      <c r="T31" s="41" t="s">
        <v>317</v>
      </c>
      <c r="U31" s="41" t="s">
        <v>651</v>
      </c>
      <c r="V31" s="41" t="s">
        <v>319</v>
      </c>
      <c r="W31" s="40">
        <v>860035827</v>
      </c>
      <c r="X31" s="41" t="s">
        <v>653</v>
      </c>
      <c r="Y31" s="40">
        <v>2125</v>
      </c>
      <c r="Z31" s="40">
        <v>2125</v>
      </c>
      <c r="AA31" s="40">
        <v>3025</v>
      </c>
      <c r="AB31" s="41"/>
      <c r="AC31" s="41" t="s">
        <v>1220</v>
      </c>
      <c r="AD31" s="41" t="s">
        <v>2940</v>
      </c>
      <c r="AE31" s="41"/>
      <c r="AF31" s="41" t="s">
        <v>639</v>
      </c>
      <c r="AG31" s="41" t="s">
        <v>356</v>
      </c>
      <c r="AH31" s="41" t="s">
        <v>654</v>
      </c>
      <c r="AI31" s="41" t="s">
        <v>655</v>
      </c>
    </row>
    <row r="32" spans="1:35" x14ac:dyDescent="0.2">
      <c r="A32" s="53">
        <v>3125</v>
      </c>
      <c r="B32" s="41" t="s">
        <v>639</v>
      </c>
      <c r="C32" s="41" t="s">
        <v>656</v>
      </c>
      <c r="D32" s="41" t="s">
        <v>312</v>
      </c>
      <c r="E32" s="55">
        <v>923211</v>
      </c>
      <c r="F32" s="41" t="s">
        <v>69</v>
      </c>
      <c r="G32" s="41" t="s">
        <v>29</v>
      </c>
      <c r="H32" s="41" t="s">
        <v>30</v>
      </c>
      <c r="I32" s="41" t="s">
        <v>31</v>
      </c>
      <c r="J32" s="41" t="s">
        <v>32</v>
      </c>
      <c r="K32" s="41" t="s">
        <v>33</v>
      </c>
      <c r="L32" s="50">
        <v>45995110</v>
      </c>
      <c r="M32" s="50">
        <v>0</v>
      </c>
      <c r="N32" s="50">
        <v>45995110</v>
      </c>
      <c r="O32" s="50">
        <v>42775452</v>
      </c>
      <c r="P32" s="43" t="s">
        <v>351</v>
      </c>
      <c r="Q32" s="40">
        <v>93127405</v>
      </c>
      <c r="R32" s="41" t="s">
        <v>657</v>
      </c>
      <c r="S32" s="41" t="s">
        <v>316</v>
      </c>
      <c r="T32" s="41" t="s">
        <v>317</v>
      </c>
      <c r="U32" s="41" t="s">
        <v>658</v>
      </c>
      <c r="V32" s="41" t="s">
        <v>319</v>
      </c>
      <c r="W32" s="40">
        <v>800037800</v>
      </c>
      <c r="X32" s="41" t="s">
        <v>660</v>
      </c>
      <c r="Y32" s="40">
        <v>2125</v>
      </c>
      <c r="Z32" s="40">
        <v>2125</v>
      </c>
      <c r="AA32" s="40">
        <v>3125</v>
      </c>
      <c r="AB32" s="41"/>
      <c r="AC32" s="41" t="s">
        <v>1225</v>
      </c>
      <c r="AD32" s="41" t="s">
        <v>2942</v>
      </c>
      <c r="AE32" s="41"/>
      <c r="AF32" s="41" t="s">
        <v>639</v>
      </c>
      <c r="AG32" s="41" t="s">
        <v>356</v>
      </c>
      <c r="AH32" s="41" t="s">
        <v>661</v>
      </c>
      <c r="AI32" s="41" t="s">
        <v>644</v>
      </c>
    </row>
    <row r="33" spans="1:35" x14ac:dyDescent="0.2">
      <c r="A33" s="53">
        <v>3225</v>
      </c>
      <c r="B33" s="41" t="s">
        <v>639</v>
      </c>
      <c r="C33" s="41" t="s">
        <v>662</v>
      </c>
      <c r="D33" s="41" t="s">
        <v>312</v>
      </c>
      <c r="E33" s="55">
        <v>923211</v>
      </c>
      <c r="F33" s="41" t="s">
        <v>69</v>
      </c>
      <c r="G33" s="41" t="s">
        <v>29</v>
      </c>
      <c r="H33" s="41" t="s">
        <v>30</v>
      </c>
      <c r="I33" s="41" t="s">
        <v>31</v>
      </c>
      <c r="J33" s="41" t="s">
        <v>32</v>
      </c>
      <c r="K33" s="41" t="s">
        <v>33</v>
      </c>
      <c r="L33" s="50">
        <v>45995110</v>
      </c>
      <c r="M33" s="50">
        <v>0</v>
      </c>
      <c r="N33" s="50">
        <v>45995110</v>
      </c>
      <c r="O33" s="50">
        <v>42775452</v>
      </c>
      <c r="P33" s="43" t="s">
        <v>351</v>
      </c>
      <c r="Q33" s="40">
        <v>18224037</v>
      </c>
      <c r="R33" s="41" t="s">
        <v>663</v>
      </c>
      <c r="S33" s="41" t="s">
        <v>316</v>
      </c>
      <c r="T33" s="41" t="s">
        <v>317</v>
      </c>
      <c r="U33" s="41" t="s">
        <v>664</v>
      </c>
      <c r="V33" s="41" t="s">
        <v>319</v>
      </c>
      <c r="W33" s="40">
        <v>890903938</v>
      </c>
      <c r="X33" s="41" t="s">
        <v>342</v>
      </c>
      <c r="Y33" s="40">
        <v>2125</v>
      </c>
      <c r="Z33" s="40">
        <v>2125</v>
      </c>
      <c r="AA33" s="40">
        <v>3225</v>
      </c>
      <c r="AB33" s="41"/>
      <c r="AC33" s="41" t="s">
        <v>1230</v>
      </c>
      <c r="AD33" s="41" t="s">
        <v>2944</v>
      </c>
      <c r="AE33" s="41"/>
      <c r="AF33" s="41" t="s">
        <v>639</v>
      </c>
      <c r="AG33" s="41" t="s">
        <v>356</v>
      </c>
      <c r="AH33" s="41" t="s">
        <v>665</v>
      </c>
      <c r="AI33" s="41" t="s">
        <v>644</v>
      </c>
    </row>
    <row r="34" spans="1:35" x14ac:dyDescent="0.2">
      <c r="A34" s="53">
        <v>3325</v>
      </c>
      <c r="B34" s="41" t="s">
        <v>639</v>
      </c>
      <c r="C34" s="41" t="s">
        <v>666</v>
      </c>
      <c r="D34" s="41" t="s">
        <v>312</v>
      </c>
      <c r="E34" s="55">
        <v>923211</v>
      </c>
      <c r="F34" s="41" t="s">
        <v>69</v>
      </c>
      <c r="G34" s="41" t="s">
        <v>29</v>
      </c>
      <c r="H34" s="41" t="s">
        <v>30</v>
      </c>
      <c r="I34" s="41" t="s">
        <v>31</v>
      </c>
      <c r="J34" s="41" t="s">
        <v>32</v>
      </c>
      <c r="K34" s="41" t="s">
        <v>33</v>
      </c>
      <c r="L34" s="50">
        <v>45995110</v>
      </c>
      <c r="M34" s="50">
        <v>0</v>
      </c>
      <c r="N34" s="50">
        <v>45995110</v>
      </c>
      <c r="O34" s="50">
        <v>42775452</v>
      </c>
      <c r="P34" s="43" t="s">
        <v>351</v>
      </c>
      <c r="Q34" s="40">
        <v>71310631</v>
      </c>
      <c r="R34" s="41" t="s">
        <v>667</v>
      </c>
      <c r="S34" s="41" t="s">
        <v>316</v>
      </c>
      <c r="T34" s="41" t="s">
        <v>317</v>
      </c>
      <c r="U34" s="41" t="s">
        <v>668</v>
      </c>
      <c r="V34" s="41" t="s">
        <v>319</v>
      </c>
      <c r="W34" s="40">
        <v>860034313</v>
      </c>
      <c r="X34" s="41" t="s">
        <v>355</v>
      </c>
      <c r="Y34" s="40">
        <v>2125</v>
      </c>
      <c r="Z34" s="40">
        <v>2125</v>
      </c>
      <c r="AA34" s="40">
        <v>3325</v>
      </c>
      <c r="AB34" s="41"/>
      <c r="AC34" s="41" t="s">
        <v>1235</v>
      </c>
      <c r="AD34" s="41" t="s">
        <v>2946</v>
      </c>
      <c r="AE34" s="41"/>
      <c r="AF34" s="41" t="s">
        <v>639</v>
      </c>
      <c r="AG34" s="41" t="s">
        <v>356</v>
      </c>
      <c r="AH34" s="41" t="s">
        <v>669</v>
      </c>
      <c r="AI34" s="41" t="s">
        <v>644</v>
      </c>
    </row>
    <row r="35" spans="1:35" x14ac:dyDescent="0.2">
      <c r="A35" s="53">
        <v>3425</v>
      </c>
      <c r="B35" s="41" t="s">
        <v>639</v>
      </c>
      <c r="C35" s="41" t="s">
        <v>670</v>
      </c>
      <c r="D35" s="41" t="s">
        <v>312</v>
      </c>
      <c r="E35" s="55">
        <v>923211</v>
      </c>
      <c r="F35" s="41" t="s">
        <v>69</v>
      </c>
      <c r="G35" s="41" t="s">
        <v>29</v>
      </c>
      <c r="H35" s="41" t="s">
        <v>30</v>
      </c>
      <c r="I35" s="41" t="s">
        <v>31</v>
      </c>
      <c r="J35" s="41" t="s">
        <v>32</v>
      </c>
      <c r="K35" s="41" t="s">
        <v>33</v>
      </c>
      <c r="L35" s="50">
        <v>46716950</v>
      </c>
      <c r="M35" s="50">
        <v>0</v>
      </c>
      <c r="N35" s="50">
        <v>46716950</v>
      </c>
      <c r="O35" s="50">
        <v>42045255</v>
      </c>
      <c r="P35" s="43" t="s">
        <v>351</v>
      </c>
      <c r="Q35" s="40">
        <v>11223758</v>
      </c>
      <c r="R35" s="41" t="s">
        <v>671</v>
      </c>
      <c r="S35" s="41" t="s">
        <v>316</v>
      </c>
      <c r="T35" s="41" t="s">
        <v>317</v>
      </c>
      <c r="U35" s="41" t="s">
        <v>672</v>
      </c>
      <c r="V35" s="41" t="s">
        <v>319</v>
      </c>
      <c r="W35" s="40">
        <v>890903938</v>
      </c>
      <c r="X35" s="41" t="s">
        <v>342</v>
      </c>
      <c r="Y35" s="40">
        <v>1125</v>
      </c>
      <c r="Z35" s="40">
        <v>1025</v>
      </c>
      <c r="AA35" s="40">
        <v>3425</v>
      </c>
      <c r="AB35" s="41"/>
      <c r="AC35" s="41" t="s">
        <v>1241</v>
      </c>
      <c r="AD35" s="41" t="s">
        <v>2948</v>
      </c>
      <c r="AE35" s="41"/>
      <c r="AF35" s="41" t="s">
        <v>639</v>
      </c>
      <c r="AG35" s="41" t="s">
        <v>356</v>
      </c>
      <c r="AH35" s="41" t="s">
        <v>673</v>
      </c>
      <c r="AI35" s="41" t="s">
        <v>674</v>
      </c>
    </row>
    <row r="36" spans="1:35" x14ac:dyDescent="0.2">
      <c r="A36" s="53">
        <v>3525</v>
      </c>
      <c r="B36" s="41" t="s">
        <v>639</v>
      </c>
      <c r="C36" s="41" t="s">
        <v>675</v>
      </c>
      <c r="D36" s="41" t="s">
        <v>312</v>
      </c>
      <c r="E36" s="55">
        <v>923211</v>
      </c>
      <c r="F36" s="41" t="s">
        <v>69</v>
      </c>
      <c r="G36" s="41" t="s">
        <v>29</v>
      </c>
      <c r="H36" s="41" t="s">
        <v>30</v>
      </c>
      <c r="I36" s="41" t="s">
        <v>31</v>
      </c>
      <c r="J36" s="41" t="s">
        <v>32</v>
      </c>
      <c r="K36" s="41" t="s">
        <v>33</v>
      </c>
      <c r="L36" s="50">
        <v>46716950</v>
      </c>
      <c r="M36" s="50">
        <v>0</v>
      </c>
      <c r="N36" s="50">
        <v>46716950</v>
      </c>
      <c r="O36" s="50">
        <v>42045255</v>
      </c>
      <c r="P36" s="43" t="s">
        <v>351</v>
      </c>
      <c r="Q36" s="40">
        <v>11313776</v>
      </c>
      <c r="R36" s="41" t="s">
        <v>676</v>
      </c>
      <c r="S36" s="41" t="s">
        <v>316</v>
      </c>
      <c r="T36" s="41" t="s">
        <v>317</v>
      </c>
      <c r="U36" s="41" t="s">
        <v>2123</v>
      </c>
      <c r="V36" s="41" t="s">
        <v>319</v>
      </c>
      <c r="W36" s="40">
        <v>890903938</v>
      </c>
      <c r="X36" s="41" t="s">
        <v>342</v>
      </c>
      <c r="Y36" s="40">
        <v>1125</v>
      </c>
      <c r="Z36" s="40">
        <v>1025</v>
      </c>
      <c r="AA36" s="40">
        <v>3525</v>
      </c>
      <c r="AB36" s="41"/>
      <c r="AC36" s="41" t="s">
        <v>1246</v>
      </c>
      <c r="AD36" s="41" t="s">
        <v>4642</v>
      </c>
      <c r="AE36" s="41"/>
      <c r="AF36" s="41" t="s">
        <v>639</v>
      </c>
      <c r="AG36" s="41" t="s">
        <v>356</v>
      </c>
      <c r="AH36" s="41" t="s">
        <v>677</v>
      </c>
      <c r="AI36" s="41" t="s">
        <v>678</v>
      </c>
    </row>
    <row r="37" spans="1:35" x14ac:dyDescent="0.2">
      <c r="A37" s="53">
        <v>3625</v>
      </c>
      <c r="B37" s="41" t="s">
        <v>639</v>
      </c>
      <c r="C37" s="41" t="s">
        <v>679</v>
      </c>
      <c r="D37" s="41" t="s">
        <v>312</v>
      </c>
      <c r="E37" s="55">
        <v>923290</v>
      </c>
      <c r="F37" s="41" t="s">
        <v>208</v>
      </c>
      <c r="G37" s="41" t="s">
        <v>29</v>
      </c>
      <c r="H37" s="41" t="s">
        <v>30</v>
      </c>
      <c r="I37" s="41" t="s">
        <v>31</v>
      </c>
      <c r="J37" s="41" t="s">
        <v>32</v>
      </c>
      <c r="K37" s="41" t="s">
        <v>33</v>
      </c>
      <c r="L37" s="50">
        <v>33440000</v>
      </c>
      <c r="M37" s="50">
        <v>0</v>
      </c>
      <c r="N37" s="50">
        <v>33440000</v>
      </c>
      <c r="O37" s="50">
        <v>30400000</v>
      </c>
      <c r="P37" s="43" t="s">
        <v>351</v>
      </c>
      <c r="Q37" s="40">
        <v>1010030940</v>
      </c>
      <c r="R37" s="41" t="s">
        <v>680</v>
      </c>
      <c r="S37" s="41" t="s">
        <v>316</v>
      </c>
      <c r="T37" s="41" t="s">
        <v>317</v>
      </c>
      <c r="U37" s="41" t="s">
        <v>681</v>
      </c>
      <c r="V37" s="41" t="s">
        <v>319</v>
      </c>
      <c r="W37" s="40">
        <v>860007335</v>
      </c>
      <c r="X37" s="41" t="s">
        <v>381</v>
      </c>
      <c r="Y37" s="40">
        <v>5025</v>
      </c>
      <c r="Z37" s="40">
        <v>5025</v>
      </c>
      <c r="AA37" s="40">
        <v>3625</v>
      </c>
      <c r="AB37" s="41"/>
      <c r="AC37" s="41" t="s">
        <v>1251</v>
      </c>
      <c r="AD37" s="41" t="s">
        <v>2951</v>
      </c>
      <c r="AE37" s="41"/>
      <c r="AF37" s="41" t="s">
        <v>639</v>
      </c>
      <c r="AG37" s="41" t="s">
        <v>362</v>
      </c>
      <c r="AH37" s="41" t="s">
        <v>682</v>
      </c>
      <c r="AI37" s="41" t="s">
        <v>683</v>
      </c>
    </row>
    <row r="38" spans="1:35" x14ac:dyDescent="0.2">
      <c r="A38" s="53">
        <v>3725</v>
      </c>
      <c r="B38" s="41" t="s">
        <v>639</v>
      </c>
      <c r="C38" s="41" t="s">
        <v>684</v>
      </c>
      <c r="D38" s="41" t="s">
        <v>312</v>
      </c>
      <c r="E38" s="55">
        <v>923210</v>
      </c>
      <c r="F38" s="41" t="s">
        <v>56</v>
      </c>
      <c r="G38" s="41" t="s">
        <v>29</v>
      </c>
      <c r="H38" s="41" t="s">
        <v>30</v>
      </c>
      <c r="I38" s="41" t="s">
        <v>31</v>
      </c>
      <c r="J38" s="41" t="s">
        <v>32</v>
      </c>
      <c r="K38" s="41" t="s">
        <v>33</v>
      </c>
      <c r="L38" s="50">
        <v>21163989</v>
      </c>
      <c r="M38" s="50">
        <v>0</v>
      </c>
      <c r="N38" s="50">
        <v>21163989</v>
      </c>
      <c r="O38" s="50">
        <v>19239990</v>
      </c>
      <c r="P38" s="43" t="s">
        <v>351</v>
      </c>
      <c r="Q38" s="40">
        <v>1073720676</v>
      </c>
      <c r="R38" s="41" t="s">
        <v>685</v>
      </c>
      <c r="S38" s="41" t="s">
        <v>316</v>
      </c>
      <c r="T38" s="41" t="s">
        <v>317</v>
      </c>
      <c r="U38" s="41" t="s">
        <v>686</v>
      </c>
      <c r="V38" s="41" t="s">
        <v>319</v>
      </c>
      <c r="W38" s="40">
        <v>860007335</v>
      </c>
      <c r="X38" s="41" t="s">
        <v>381</v>
      </c>
      <c r="Y38" s="40">
        <v>1925</v>
      </c>
      <c r="Z38" s="40">
        <v>1925</v>
      </c>
      <c r="AA38" s="40">
        <v>3725</v>
      </c>
      <c r="AB38" s="41"/>
      <c r="AC38" s="41" t="s">
        <v>1256</v>
      </c>
      <c r="AD38" s="41" t="s">
        <v>2954</v>
      </c>
      <c r="AE38" s="41"/>
      <c r="AF38" s="41" t="s">
        <v>639</v>
      </c>
      <c r="AG38" s="41" t="s">
        <v>362</v>
      </c>
      <c r="AH38" s="41" t="s">
        <v>687</v>
      </c>
      <c r="AI38" s="41" t="s">
        <v>688</v>
      </c>
    </row>
    <row r="39" spans="1:35" x14ac:dyDescent="0.2">
      <c r="A39" s="53">
        <v>3825</v>
      </c>
      <c r="B39" s="41" t="s">
        <v>639</v>
      </c>
      <c r="C39" s="41" t="s">
        <v>689</v>
      </c>
      <c r="D39" s="41" t="s">
        <v>312</v>
      </c>
      <c r="E39" s="55">
        <v>923210</v>
      </c>
      <c r="F39" s="41" t="s">
        <v>56</v>
      </c>
      <c r="G39" s="41" t="s">
        <v>29</v>
      </c>
      <c r="H39" s="41" t="s">
        <v>30</v>
      </c>
      <c r="I39" s="41" t="s">
        <v>31</v>
      </c>
      <c r="J39" s="41" t="s">
        <v>32</v>
      </c>
      <c r="K39" s="41" t="s">
        <v>33</v>
      </c>
      <c r="L39" s="50">
        <v>22550000</v>
      </c>
      <c r="M39" s="50">
        <v>0</v>
      </c>
      <c r="N39" s="50">
        <v>22550000</v>
      </c>
      <c r="O39" s="50">
        <v>20500000</v>
      </c>
      <c r="P39" s="43" t="s">
        <v>351</v>
      </c>
      <c r="Q39" s="40">
        <v>1073713412</v>
      </c>
      <c r="R39" s="41" t="s">
        <v>690</v>
      </c>
      <c r="S39" s="41" t="s">
        <v>316</v>
      </c>
      <c r="T39" s="41" t="s">
        <v>317</v>
      </c>
      <c r="U39" s="41" t="s">
        <v>691</v>
      </c>
      <c r="V39" s="41" t="s">
        <v>319</v>
      </c>
      <c r="W39" s="40">
        <v>890903938</v>
      </c>
      <c r="X39" s="41" t="s">
        <v>342</v>
      </c>
      <c r="Y39" s="40">
        <v>1925</v>
      </c>
      <c r="Z39" s="40">
        <v>1925</v>
      </c>
      <c r="AA39" s="40">
        <v>3825</v>
      </c>
      <c r="AB39" s="41"/>
      <c r="AC39" s="41" t="s">
        <v>1261</v>
      </c>
      <c r="AD39" s="41" t="s">
        <v>2957</v>
      </c>
      <c r="AE39" s="41"/>
      <c r="AF39" s="41" t="s">
        <v>639</v>
      </c>
      <c r="AG39" s="41" t="s">
        <v>362</v>
      </c>
      <c r="AH39" s="41" t="s">
        <v>692</v>
      </c>
      <c r="AI39" s="41" t="s">
        <v>693</v>
      </c>
    </row>
    <row r="40" spans="1:35" x14ac:dyDescent="0.2">
      <c r="A40" s="53">
        <v>3925</v>
      </c>
      <c r="B40" s="41" t="s">
        <v>639</v>
      </c>
      <c r="C40" s="41" t="s">
        <v>694</v>
      </c>
      <c r="D40" s="41" t="s">
        <v>312</v>
      </c>
      <c r="E40" s="55">
        <v>923210</v>
      </c>
      <c r="F40" s="41" t="s">
        <v>56</v>
      </c>
      <c r="G40" s="41" t="s">
        <v>29</v>
      </c>
      <c r="H40" s="41" t="s">
        <v>30</v>
      </c>
      <c r="I40" s="41" t="s">
        <v>31</v>
      </c>
      <c r="J40" s="41" t="s">
        <v>32</v>
      </c>
      <c r="K40" s="41" t="s">
        <v>33</v>
      </c>
      <c r="L40" s="50">
        <v>26059000</v>
      </c>
      <c r="M40" s="50">
        <v>0</v>
      </c>
      <c r="N40" s="50">
        <v>26059000</v>
      </c>
      <c r="O40" s="50">
        <v>23690000</v>
      </c>
      <c r="P40" s="43" t="s">
        <v>351</v>
      </c>
      <c r="Q40" s="40">
        <v>80728407</v>
      </c>
      <c r="R40" s="41" t="s">
        <v>695</v>
      </c>
      <c r="S40" s="41" t="s">
        <v>316</v>
      </c>
      <c r="T40" s="41" t="s">
        <v>317</v>
      </c>
      <c r="U40" s="41" t="s">
        <v>696</v>
      </c>
      <c r="V40" s="41" t="s">
        <v>319</v>
      </c>
      <c r="W40" s="40">
        <v>860002964</v>
      </c>
      <c r="X40" s="41" t="s">
        <v>419</v>
      </c>
      <c r="Y40" s="40">
        <v>1925</v>
      </c>
      <c r="Z40" s="40">
        <v>1925</v>
      </c>
      <c r="AA40" s="40">
        <v>3925</v>
      </c>
      <c r="AB40" s="41"/>
      <c r="AC40" s="41" t="s">
        <v>1266</v>
      </c>
      <c r="AD40" s="41" t="s">
        <v>2960</v>
      </c>
      <c r="AE40" s="41"/>
      <c r="AF40" s="41" t="s">
        <v>639</v>
      </c>
      <c r="AG40" s="41" t="s">
        <v>362</v>
      </c>
      <c r="AH40" s="41" t="s">
        <v>697</v>
      </c>
      <c r="AI40" s="41" t="s">
        <v>698</v>
      </c>
    </row>
    <row r="41" spans="1:35" x14ac:dyDescent="0.2">
      <c r="A41" s="53">
        <v>4025</v>
      </c>
      <c r="B41" s="41" t="s">
        <v>699</v>
      </c>
      <c r="C41" s="41" t="s">
        <v>700</v>
      </c>
      <c r="D41" s="41" t="s">
        <v>312</v>
      </c>
      <c r="E41" s="55">
        <v>923228</v>
      </c>
      <c r="F41" s="41" t="s">
        <v>158</v>
      </c>
      <c r="G41" s="41" t="s">
        <v>159</v>
      </c>
      <c r="H41" s="41" t="s">
        <v>160</v>
      </c>
      <c r="I41" s="41" t="s">
        <v>31</v>
      </c>
      <c r="J41" s="41" t="s">
        <v>32</v>
      </c>
      <c r="K41" s="41" t="s">
        <v>33</v>
      </c>
      <c r="L41" s="50">
        <v>29480000</v>
      </c>
      <c r="M41" s="50">
        <v>0</v>
      </c>
      <c r="N41" s="50">
        <v>29480000</v>
      </c>
      <c r="O41" s="50">
        <v>26800000</v>
      </c>
      <c r="P41" s="43" t="s">
        <v>351</v>
      </c>
      <c r="Q41" s="40">
        <v>1023364186</v>
      </c>
      <c r="R41" s="41" t="s">
        <v>701</v>
      </c>
      <c r="S41" s="41" t="s">
        <v>316</v>
      </c>
      <c r="T41" s="41" t="s">
        <v>317</v>
      </c>
      <c r="U41" s="41" t="s">
        <v>702</v>
      </c>
      <c r="V41" s="41" t="s">
        <v>319</v>
      </c>
      <c r="W41" s="40">
        <v>890903938</v>
      </c>
      <c r="X41" s="41" t="s">
        <v>342</v>
      </c>
      <c r="Y41" s="40">
        <v>3525</v>
      </c>
      <c r="Z41" s="40">
        <v>3525</v>
      </c>
      <c r="AA41" s="40">
        <v>4025</v>
      </c>
      <c r="AB41" s="41"/>
      <c r="AC41" s="41" t="s">
        <v>1270</v>
      </c>
      <c r="AD41" s="41" t="s">
        <v>2962</v>
      </c>
      <c r="AE41" s="41"/>
      <c r="AF41" s="41" t="s">
        <v>699</v>
      </c>
      <c r="AG41" s="41" t="s">
        <v>362</v>
      </c>
      <c r="AH41" s="41" t="s">
        <v>703</v>
      </c>
      <c r="AI41" s="41" t="s">
        <v>704</v>
      </c>
    </row>
    <row r="42" spans="1:35" x14ac:dyDescent="0.2">
      <c r="A42" s="53">
        <v>4125</v>
      </c>
      <c r="B42" s="41" t="s">
        <v>699</v>
      </c>
      <c r="C42" s="41" t="s">
        <v>705</v>
      </c>
      <c r="D42" s="41" t="s">
        <v>312</v>
      </c>
      <c r="E42" s="55">
        <v>923242</v>
      </c>
      <c r="F42" s="41" t="s">
        <v>175</v>
      </c>
      <c r="G42" s="41" t="s">
        <v>29</v>
      </c>
      <c r="H42" s="41" t="s">
        <v>30</v>
      </c>
      <c r="I42" s="41" t="s">
        <v>31</v>
      </c>
      <c r="J42" s="41" t="s">
        <v>32</v>
      </c>
      <c r="K42" s="41" t="s">
        <v>33</v>
      </c>
      <c r="L42" s="50">
        <v>28325000</v>
      </c>
      <c r="M42" s="50">
        <v>0</v>
      </c>
      <c r="N42" s="50">
        <v>28325000</v>
      </c>
      <c r="O42" s="50">
        <v>25750000</v>
      </c>
      <c r="P42" s="43" t="s">
        <v>351</v>
      </c>
      <c r="Q42" s="40">
        <v>79295238</v>
      </c>
      <c r="R42" s="41" t="s">
        <v>706</v>
      </c>
      <c r="S42" s="41" t="s">
        <v>316</v>
      </c>
      <c r="T42" s="41" t="s">
        <v>317</v>
      </c>
      <c r="U42" s="41" t="s">
        <v>707</v>
      </c>
      <c r="V42" s="41" t="s">
        <v>319</v>
      </c>
      <c r="W42" s="40">
        <v>900047981</v>
      </c>
      <c r="X42" s="41" t="s">
        <v>399</v>
      </c>
      <c r="Y42" s="40">
        <v>3625</v>
      </c>
      <c r="Z42" s="40">
        <v>3625</v>
      </c>
      <c r="AA42" s="40">
        <v>4125</v>
      </c>
      <c r="AB42" s="41"/>
      <c r="AC42" s="41" t="s">
        <v>1275</v>
      </c>
      <c r="AD42" s="41" t="s">
        <v>2965</v>
      </c>
      <c r="AE42" s="41"/>
      <c r="AF42" s="41" t="s">
        <v>699</v>
      </c>
      <c r="AG42" s="41" t="s">
        <v>362</v>
      </c>
      <c r="AH42" s="41" t="s">
        <v>708</v>
      </c>
      <c r="AI42" s="41" t="s">
        <v>709</v>
      </c>
    </row>
    <row r="43" spans="1:35" x14ac:dyDescent="0.2">
      <c r="A43" s="53">
        <v>4225</v>
      </c>
      <c r="B43" s="41" t="s">
        <v>699</v>
      </c>
      <c r="C43" s="41" t="s">
        <v>710</v>
      </c>
      <c r="D43" s="41" t="s">
        <v>312</v>
      </c>
      <c r="E43" s="55">
        <v>923242</v>
      </c>
      <c r="F43" s="41" t="s">
        <v>175</v>
      </c>
      <c r="G43" s="41" t="s">
        <v>29</v>
      </c>
      <c r="H43" s="41" t="s">
        <v>30</v>
      </c>
      <c r="I43" s="41" t="s">
        <v>31</v>
      </c>
      <c r="J43" s="41" t="s">
        <v>32</v>
      </c>
      <c r="K43" s="41" t="s">
        <v>33</v>
      </c>
      <c r="L43" s="50">
        <v>28325000</v>
      </c>
      <c r="M43" s="50">
        <v>0</v>
      </c>
      <c r="N43" s="50">
        <v>28325000</v>
      </c>
      <c r="O43" s="50">
        <v>25750000</v>
      </c>
      <c r="P43" s="43" t="s">
        <v>351</v>
      </c>
      <c r="Q43" s="40">
        <v>1024548351</v>
      </c>
      <c r="R43" s="41" t="s">
        <v>711</v>
      </c>
      <c r="S43" s="41" t="s">
        <v>316</v>
      </c>
      <c r="T43" s="41" t="s">
        <v>317</v>
      </c>
      <c r="U43" s="41" t="s">
        <v>712</v>
      </c>
      <c r="V43" s="41" t="s">
        <v>319</v>
      </c>
      <c r="W43" s="40">
        <v>860034313</v>
      </c>
      <c r="X43" s="41" t="s">
        <v>355</v>
      </c>
      <c r="Y43" s="40">
        <v>3625</v>
      </c>
      <c r="Z43" s="40">
        <v>3625</v>
      </c>
      <c r="AA43" s="40">
        <v>4225</v>
      </c>
      <c r="AB43" s="41"/>
      <c r="AC43" s="41" t="s">
        <v>1280</v>
      </c>
      <c r="AD43" s="41" t="s">
        <v>2967</v>
      </c>
      <c r="AE43" s="41"/>
      <c r="AF43" s="41" t="s">
        <v>699</v>
      </c>
      <c r="AG43" s="41" t="s">
        <v>362</v>
      </c>
      <c r="AH43" s="41" t="s">
        <v>713</v>
      </c>
      <c r="AI43" s="41" t="s">
        <v>714</v>
      </c>
    </row>
    <row r="44" spans="1:35" x14ac:dyDescent="0.2">
      <c r="A44" s="53">
        <v>4325</v>
      </c>
      <c r="B44" s="41" t="s">
        <v>699</v>
      </c>
      <c r="C44" s="41" t="s">
        <v>715</v>
      </c>
      <c r="D44" s="41" t="s">
        <v>312</v>
      </c>
      <c r="E44" s="55">
        <v>923242</v>
      </c>
      <c r="F44" s="41" t="s">
        <v>175</v>
      </c>
      <c r="G44" s="41" t="s">
        <v>29</v>
      </c>
      <c r="H44" s="41" t="s">
        <v>30</v>
      </c>
      <c r="I44" s="41" t="s">
        <v>31</v>
      </c>
      <c r="J44" s="41" t="s">
        <v>32</v>
      </c>
      <c r="K44" s="41" t="s">
        <v>33</v>
      </c>
      <c r="L44" s="50">
        <v>28325000</v>
      </c>
      <c r="M44" s="50">
        <v>0</v>
      </c>
      <c r="N44" s="50">
        <v>28325000</v>
      </c>
      <c r="O44" s="50">
        <v>25750000</v>
      </c>
      <c r="P44" s="43" t="s">
        <v>351</v>
      </c>
      <c r="Q44" s="40">
        <v>20939549</v>
      </c>
      <c r="R44" s="41" t="s">
        <v>716</v>
      </c>
      <c r="S44" s="41" t="s">
        <v>316</v>
      </c>
      <c r="T44" s="41" t="s">
        <v>317</v>
      </c>
      <c r="U44" s="41" t="s">
        <v>717</v>
      </c>
      <c r="V44" s="41" t="s">
        <v>319</v>
      </c>
      <c r="W44" s="40">
        <v>860007335</v>
      </c>
      <c r="X44" s="41" t="s">
        <v>381</v>
      </c>
      <c r="Y44" s="40">
        <v>3625</v>
      </c>
      <c r="Z44" s="40">
        <v>3625</v>
      </c>
      <c r="AA44" s="40">
        <v>4325</v>
      </c>
      <c r="AB44" s="41"/>
      <c r="AC44" s="41" t="s">
        <v>1284</v>
      </c>
      <c r="AD44" s="41" t="s">
        <v>2969</v>
      </c>
      <c r="AE44" s="41"/>
      <c r="AF44" s="41" t="s">
        <v>699</v>
      </c>
      <c r="AG44" s="41" t="s">
        <v>362</v>
      </c>
      <c r="AH44" s="41" t="s">
        <v>718</v>
      </c>
      <c r="AI44" s="41" t="s">
        <v>719</v>
      </c>
    </row>
    <row r="45" spans="1:35" x14ac:dyDescent="0.2">
      <c r="A45" s="53">
        <v>4425</v>
      </c>
      <c r="B45" s="41" t="s">
        <v>699</v>
      </c>
      <c r="C45" s="41" t="s">
        <v>720</v>
      </c>
      <c r="D45" s="41" t="s">
        <v>312</v>
      </c>
      <c r="E45" s="55">
        <v>923245</v>
      </c>
      <c r="F45" s="41" t="s">
        <v>180</v>
      </c>
      <c r="G45" s="41" t="s">
        <v>29</v>
      </c>
      <c r="H45" s="41" t="s">
        <v>30</v>
      </c>
      <c r="I45" s="41" t="s">
        <v>31</v>
      </c>
      <c r="J45" s="41" t="s">
        <v>32</v>
      </c>
      <c r="K45" s="41" t="s">
        <v>33</v>
      </c>
      <c r="L45" s="50">
        <v>50287986</v>
      </c>
      <c r="M45" s="50">
        <v>0</v>
      </c>
      <c r="N45" s="50">
        <v>50287986</v>
      </c>
      <c r="O45" s="50">
        <v>45995110</v>
      </c>
      <c r="P45" s="43" t="s">
        <v>351</v>
      </c>
      <c r="Q45" s="40">
        <v>1073669268</v>
      </c>
      <c r="R45" s="41" t="s">
        <v>721</v>
      </c>
      <c r="S45" s="41" t="s">
        <v>316</v>
      </c>
      <c r="T45" s="41" t="s">
        <v>317</v>
      </c>
      <c r="U45" s="41" t="s">
        <v>722</v>
      </c>
      <c r="V45" s="41" t="s">
        <v>319</v>
      </c>
      <c r="W45" s="40">
        <v>890903938</v>
      </c>
      <c r="X45" s="41" t="s">
        <v>342</v>
      </c>
      <c r="Y45" s="40">
        <v>3825</v>
      </c>
      <c r="Z45" s="40">
        <v>3825</v>
      </c>
      <c r="AA45" s="40">
        <v>4425</v>
      </c>
      <c r="AB45" s="41"/>
      <c r="AC45" s="41" t="s">
        <v>1289</v>
      </c>
      <c r="AD45" s="41" t="s">
        <v>2971</v>
      </c>
      <c r="AE45" s="41"/>
      <c r="AF45" s="41" t="s">
        <v>699</v>
      </c>
      <c r="AG45" s="41" t="s">
        <v>356</v>
      </c>
      <c r="AH45" s="41" t="s">
        <v>723</v>
      </c>
      <c r="AI45" s="41" t="s">
        <v>724</v>
      </c>
    </row>
    <row r="46" spans="1:35" x14ac:dyDescent="0.2">
      <c r="A46" s="53">
        <v>4525</v>
      </c>
      <c r="B46" s="41" t="s">
        <v>699</v>
      </c>
      <c r="C46" s="41" t="s">
        <v>725</v>
      </c>
      <c r="D46" s="41" t="s">
        <v>312</v>
      </c>
      <c r="E46" s="55">
        <v>923245</v>
      </c>
      <c r="F46" s="41" t="s">
        <v>180</v>
      </c>
      <c r="G46" s="41" t="s">
        <v>29</v>
      </c>
      <c r="H46" s="41" t="s">
        <v>30</v>
      </c>
      <c r="I46" s="41" t="s">
        <v>31</v>
      </c>
      <c r="J46" s="41" t="s">
        <v>32</v>
      </c>
      <c r="K46" s="41" t="s">
        <v>33</v>
      </c>
      <c r="L46" s="50">
        <v>50287986</v>
      </c>
      <c r="M46" s="50">
        <v>0</v>
      </c>
      <c r="N46" s="50">
        <v>50287986</v>
      </c>
      <c r="O46" s="50">
        <v>45995110</v>
      </c>
      <c r="P46" s="43" t="s">
        <v>351</v>
      </c>
      <c r="Q46" s="40">
        <v>1012333352</v>
      </c>
      <c r="R46" s="41" t="s">
        <v>726</v>
      </c>
      <c r="S46" s="41" t="s">
        <v>316</v>
      </c>
      <c r="T46" s="41" t="s">
        <v>317</v>
      </c>
      <c r="U46" s="41" t="s">
        <v>727</v>
      </c>
      <c r="V46" s="41" t="s">
        <v>319</v>
      </c>
      <c r="W46" s="40">
        <v>860002964</v>
      </c>
      <c r="X46" s="41" t="s">
        <v>419</v>
      </c>
      <c r="Y46" s="40">
        <v>3825</v>
      </c>
      <c r="Z46" s="40">
        <v>3825</v>
      </c>
      <c r="AA46" s="40">
        <v>4525</v>
      </c>
      <c r="AB46" s="41"/>
      <c r="AC46" s="41" t="s">
        <v>869</v>
      </c>
      <c r="AD46" s="41" t="s">
        <v>2803</v>
      </c>
      <c r="AE46" s="41"/>
      <c r="AF46" s="41" t="s">
        <v>699</v>
      </c>
      <c r="AG46" s="41" t="s">
        <v>356</v>
      </c>
      <c r="AH46" s="41" t="s">
        <v>728</v>
      </c>
      <c r="AI46" s="41" t="s">
        <v>724</v>
      </c>
    </row>
    <row r="47" spans="1:35" x14ac:dyDescent="0.2">
      <c r="A47" s="53">
        <v>4625</v>
      </c>
      <c r="B47" s="41" t="s">
        <v>699</v>
      </c>
      <c r="C47" s="41" t="s">
        <v>729</v>
      </c>
      <c r="D47" s="41" t="s">
        <v>312</v>
      </c>
      <c r="E47" s="55">
        <v>923245</v>
      </c>
      <c r="F47" s="41" t="s">
        <v>180</v>
      </c>
      <c r="G47" s="41" t="s">
        <v>29</v>
      </c>
      <c r="H47" s="41" t="s">
        <v>30</v>
      </c>
      <c r="I47" s="41" t="s">
        <v>31</v>
      </c>
      <c r="J47" s="41" t="s">
        <v>32</v>
      </c>
      <c r="K47" s="41" t="s">
        <v>33</v>
      </c>
      <c r="L47" s="50">
        <v>50287986</v>
      </c>
      <c r="M47" s="50">
        <v>0</v>
      </c>
      <c r="N47" s="50">
        <v>50287986</v>
      </c>
      <c r="O47" s="50">
        <v>45995110</v>
      </c>
      <c r="P47" s="43" t="s">
        <v>351</v>
      </c>
      <c r="Q47" s="40">
        <v>1065630928</v>
      </c>
      <c r="R47" s="41" t="s">
        <v>730</v>
      </c>
      <c r="S47" s="41" t="s">
        <v>316</v>
      </c>
      <c r="T47" s="41" t="s">
        <v>317</v>
      </c>
      <c r="U47" s="41" t="s">
        <v>731</v>
      </c>
      <c r="V47" s="41" t="s">
        <v>319</v>
      </c>
      <c r="W47" s="40">
        <v>860034313</v>
      </c>
      <c r="X47" s="41" t="s">
        <v>355</v>
      </c>
      <c r="Y47" s="40">
        <v>3825</v>
      </c>
      <c r="Z47" s="40">
        <v>3825</v>
      </c>
      <c r="AA47" s="40">
        <v>4625</v>
      </c>
      <c r="AB47" s="41"/>
      <c r="AC47" s="41" t="s">
        <v>874</v>
      </c>
      <c r="AD47" s="41" t="s">
        <v>2807</v>
      </c>
      <c r="AE47" s="41"/>
      <c r="AF47" s="41" t="s">
        <v>699</v>
      </c>
      <c r="AG47" s="41" t="s">
        <v>356</v>
      </c>
      <c r="AH47" s="41" t="s">
        <v>732</v>
      </c>
      <c r="AI47" s="41" t="s">
        <v>724</v>
      </c>
    </row>
    <row r="48" spans="1:35" x14ac:dyDescent="0.2">
      <c r="A48" s="53">
        <v>4725</v>
      </c>
      <c r="B48" s="41" t="s">
        <v>699</v>
      </c>
      <c r="C48" s="41" t="s">
        <v>733</v>
      </c>
      <c r="D48" s="41" t="s">
        <v>312</v>
      </c>
      <c r="E48" s="55">
        <v>923245</v>
      </c>
      <c r="F48" s="41" t="s">
        <v>180</v>
      </c>
      <c r="G48" s="41" t="s">
        <v>29</v>
      </c>
      <c r="H48" s="41" t="s">
        <v>30</v>
      </c>
      <c r="I48" s="41" t="s">
        <v>31</v>
      </c>
      <c r="J48" s="41" t="s">
        <v>32</v>
      </c>
      <c r="K48" s="41" t="s">
        <v>33</v>
      </c>
      <c r="L48" s="50">
        <v>50287986</v>
      </c>
      <c r="M48" s="50">
        <v>0</v>
      </c>
      <c r="N48" s="50">
        <v>50287986</v>
      </c>
      <c r="O48" s="50">
        <v>45995110</v>
      </c>
      <c r="P48" s="43" t="s">
        <v>351</v>
      </c>
      <c r="Q48" s="40">
        <v>52954942</v>
      </c>
      <c r="R48" s="41" t="s">
        <v>734</v>
      </c>
      <c r="S48" s="41" t="s">
        <v>316</v>
      </c>
      <c r="T48" s="41" t="s">
        <v>317</v>
      </c>
      <c r="U48" s="41" t="s">
        <v>735</v>
      </c>
      <c r="V48" s="41" t="s">
        <v>319</v>
      </c>
      <c r="W48" s="40">
        <v>860034313</v>
      </c>
      <c r="X48" s="41" t="s">
        <v>355</v>
      </c>
      <c r="Y48" s="40">
        <v>3825</v>
      </c>
      <c r="Z48" s="40">
        <v>3825</v>
      </c>
      <c r="AA48" s="40">
        <v>4725</v>
      </c>
      <c r="AB48" s="41"/>
      <c r="AC48" s="41" t="s">
        <v>879</v>
      </c>
      <c r="AD48" s="41" t="s">
        <v>2809</v>
      </c>
      <c r="AE48" s="41"/>
      <c r="AF48" s="41" t="s">
        <v>699</v>
      </c>
      <c r="AG48" s="41" t="s">
        <v>356</v>
      </c>
      <c r="AH48" s="41" t="s">
        <v>736</v>
      </c>
      <c r="AI48" s="41" t="s">
        <v>724</v>
      </c>
    </row>
    <row r="49" spans="1:35" x14ac:dyDescent="0.2">
      <c r="A49" s="53">
        <v>4825</v>
      </c>
      <c r="B49" s="41" t="s">
        <v>737</v>
      </c>
      <c r="C49" s="41" t="s">
        <v>738</v>
      </c>
      <c r="D49" s="41" t="s">
        <v>312</v>
      </c>
      <c r="E49" s="55">
        <v>923285</v>
      </c>
      <c r="F49" s="41" t="s">
        <v>572</v>
      </c>
      <c r="G49" s="41" t="s">
        <v>29</v>
      </c>
      <c r="H49" s="41" t="s">
        <v>30</v>
      </c>
      <c r="I49" s="41" t="s">
        <v>31</v>
      </c>
      <c r="J49" s="41" t="s">
        <v>32</v>
      </c>
      <c r="K49" s="41" t="s">
        <v>33</v>
      </c>
      <c r="L49" s="50">
        <v>49061450</v>
      </c>
      <c r="M49" s="50">
        <v>0</v>
      </c>
      <c r="N49" s="50">
        <v>49061450</v>
      </c>
      <c r="O49" s="50">
        <v>44768573</v>
      </c>
      <c r="P49" s="43" t="s">
        <v>351</v>
      </c>
      <c r="Q49" s="40">
        <v>1018436224</v>
      </c>
      <c r="R49" s="41" t="s">
        <v>739</v>
      </c>
      <c r="S49" s="41" t="s">
        <v>316</v>
      </c>
      <c r="T49" s="41" t="s">
        <v>317</v>
      </c>
      <c r="U49" s="41" t="s">
        <v>740</v>
      </c>
      <c r="V49" s="41" t="s">
        <v>319</v>
      </c>
      <c r="W49" s="40">
        <v>890903938</v>
      </c>
      <c r="X49" s="41" t="s">
        <v>342</v>
      </c>
      <c r="Y49" s="40">
        <v>4225</v>
      </c>
      <c r="Z49" s="40">
        <v>4225</v>
      </c>
      <c r="AA49" s="40">
        <v>4825</v>
      </c>
      <c r="AB49" s="41"/>
      <c r="AC49" s="41" t="s">
        <v>884</v>
      </c>
      <c r="AD49" s="41" t="s">
        <v>2811</v>
      </c>
      <c r="AE49" s="41"/>
      <c r="AF49" s="41" t="s">
        <v>737</v>
      </c>
      <c r="AG49" s="41" t="s">
        <v>356</v>
      </c>
      <c r="AH49" s="41" t="s">
        <v>741</v>
      </c>
      <c r="AI49" s="41" t="s">
        <v>742</v>
      </c>
    </row>
    <row r="50" spans="1:35" x14ac:dyDescent="0.2">
      <c r="A50" s="53">
        <v>4925</v>
      </c>
      <c r="B50" s="41" t="s">
        <v>743</v>
      </c>
      <c r="C50" s="41" t="s">
        <v>744</v>
      </c>
      <c r="D50" s="41" t="s">
        <v>312</v>
      </c>
      <c r="E50" s="55">
        <v>923245</v>
      </c>
      <c r="F50" s="41" t="s">
        <v>180</v>
      </c>
      <c r="G50" s="41" t="s">
        <v>29</v>
      </c>
      <c r="H50" s="41" t="s">
        <v>30</v>
      </c>
      <c r="I50" s="41" t="s">
        <v>31</v>
      </c>
      <c r="J50" s="41" t="s">
        <v>32</v>
      </c>
      <c r="K50" s="41" t="s">
        <v>33</v>
      </c>
      <c r="L50" s="50">
        <v>48294866</v>
      </c>
      <c r="M50" s="50">
        <v>0</v>
      </c>
      <c r="N50" s="50">
        <v>48294866</v>
      </c>
      <c r="O50" s="50">
        <v>44308623</v>
      </c>
      <c r="P50" s="43" t="s">
        <v>351</v>
      </c>
      <c r="Q50" s="40">
        <v>39669143</v>
      </c>
      <c r="R50" s="41" t="s">
        <v>745</v>
      </c>
      <c r="S50" s="41" t="s">
        <v>316</v>
      </c>
      <c r="T50" s="41" t="s">
        <v>317</v>
      </c>
      <c r="U50" s="41" t="s">
        <v>746</v>
      </c>
      <c r="V50" s="41" t="s">
        <v>319</v>
      </c>
      <c r="W50" s="40">
        <v>890903938</v>
      </c>
      <c r="X50" s="41" t="s">
        <v>342</v>
      </c>
      <c r="Y50" s="40">
        <v>3825</v>
      </c>
      <c r="Z50" s="40">
        <v>3825</v>
      </c>
      <c r="AA50" s="40">
        <v>4925</v>
      </c>
      <c r="AB50" s="41"/>
      <c r="AC50" s="41" t="s">
        <v>890</v>
      </c>
      <c r="AD50" s="41" t="s">
        <v>2814</v>
      </c>
      <c r="AE50" s="41"/>
      <c r="AF50" s="41" t="s">
        <v>743</v>
      </c>
      <c r="AG50" s="41" t="s">
        <v>356</v>
      </c>
      <c r="AH50" s="41" t="s">
        <v>747</v>
      </c>
      <c r="AI50" s="41" t="s">
        <v>748</v>
      </c>
    </row>
    <row r="51" spans="1:35" x14ac:dyDescent="0.2">
      <c r="A51" s="53">
        <v>5025</v>
      </c>
      <c r="B51" s="41" t="s">
        <v>743</v>
      </c>
      <c r="C51" s="41" t="s">
        <v>749</v>
      </c>
      <c r="D51" s="41" t="s">
        <v>312</v>
      </c>
      <c r="E51" s="55">
        <v>923245</v>
      </c>
      <c r="F51" s="41" t="s">
        <v>180</v>
      </c>
      <c r="G51" s="41" t="s">
        <v>29</v>
      </c>
      <c r="H51" s="41" t="s">
        <v>30</v>
      </c>
      <c r="I51" s="41" t="s">
        <v>31</v>
      </c>
      <c r="J51" s="41" t="s">
        <v>32</v>
      </c>
      <c r="K51" s="41" t="s">
        <v>33</v>
      </c>
      <c r="L51" s="50">
        <v>48294866</v>
      </c>
      <c r="M51" s="50">
        <v>0</v>
      </c>
      <c r="N51" s="50">
        <v>48294866</v>
      </c>
      <c r="O51" s="50">
        <v>44308623</v>
      </c>
      <c r="P51" s="43" t="s">
        <v>351</v>
      </c>
      <c r="Q51" s="40">
        <v>52506643</v>
      </c>
      <c r="R51" s="41" t="s">
        <v>750</v>
      </c>
      <c r="S51" s="41" t="s">
        <v>316</v>
      </c>
      <c r="T51" s="41" t="s">
        <v>317</v>
      </c>
      <c r="U51" s="41" t="s">
        <v>751</v>
      </c>
      <c r="V51" s="41" t="s">
        <v>319</v>
      </c>
      <c r="W51" s="40">
        <v>860034313</v>
      </c>
      <c r="X51" s="41" t="s">
        <v>355</v>
      </c>
      <c r="Y51" s="40">
        <v>3825</v>
      </c>
      <c r="Z51" s="40">
        <v>3825</v>
      </c>
      <c r="AA51" s="40">
        <v>5025</v>
      </c>
      <c r="AB51" s="41"/>
      <c r="AC51" s="41" t="s">
        <v>895</v>
      </c>
      <c r="AD51" s="41" t="s">
        <v>2817</v>
      </c>
      <c r="AE51" s="41"/>
      <c r="AF51" s="41" t="s">
        <v>743</v>
      </c>
      <c r="AG51" s="41" t="s">
        <v>356</v>
      </c>
      <c r="AH51" s="41" t="s">
        <v>752</v>
      </c>
      <c r="AI51" s="41" t="s">
        <v>748</v>
      </c>
    </row>
    <row r="52" spans="1:35" x14ac:dyDescent="0.2">
      <c r="A52" s="53">
        <v>5125</v>
      </c>
      <c r="B52" s="41" t="s">
        <v>743</v>
      </c>
      <c r="C52" s="41" t="s">
        <v>753</v>
      </c>
      <c r="D52" s="41" t="s">
        <v>312</v>
      </c>
      <c r="E52" s="55">
        <v>923245</v>
      </c>
      <c r="F52" s="41" t="s">
        <v>180</v>
      </c>
      <c r="G52" s="41" t="s">
        <v>29</v>
      </c>
      <c r="H52" s="41" t="s">
        <v>30</v>
      </c>
      <c r="I52" s="41" t="s">
        <v>31</v>
      </c>
      <c r="J52" s="41" t="s">
        <v>32</v>
      </c>
      <c r="K52" s="41" t="s">
        <v>33</v>
      </c>
      <c r="L52" s="50">
        <v>48294866</v>
      </c>
      <c r="M52" s="50">
        <v>0</v>
      </c>
      <c r="N52" s="50">
        <v>48294866</v>
      </c>
      <c r="O52" s="50">
        <v>44308623</v>
      </c>
      <c r="P52" s="43" t="s">
        <v>351</v>
      </c>
      <c r="Q52" s="40">
        <v>52803339</v>
      </c>
      <c r="R52" s="41" t="s">
        <v>754</v>
      </c>
      <c r="S52" s="41" t="s">
        <v>316</v>
      </c>
      <c r="T52" s="41" t="s">
        <v>317</v>
      </c>
      <c r="U52" s="41" t="s">
        <v>755</v>
      </c>
      <c r="V52" s="41" t="s">
        <v>319</v>
      </c>
      <c r="W52" s="40">
        <v>860034313</v>
      </c>
      <c r="X52" s="41" t="s">
        <v>355</v>
      </c>
      <c r="Y52" s="40">
        <v>3825</v>
      </c>
      <c r="Z52" s="40">
        <v>3825</v>
      </c>
      <c r="AA52" s="40">
        <v>5125</v>
      </c>
      <c r="AB52" s="41"/>
      <c r="AC52" s="41" t="s">
        <v>900</v>
      </c>
      <c r="AD52" s="41" t="s">
        <v>2819</v>
      </c>
      <c r="AE52" s="41"/>
      <c r="AF52" s="41" t="s">
        <v>743</v>
      </c>
      <c r="AG52" s="41" t="s">
        <v>356</v>
      </c>
      <c r="AH52" s="41" t="s">
        <v>756</v>
      </c>
      <c r="AI52" s="41" t="s">
        <v>748</v>
      </c>
    </row>
    <row r="53" spans="1:35" x14ac:dyDescent="0.2">
      <c r="A53" s="53">
        <v>5225</v>
      </c>
      <c r="B53" s="41" t="s">
        <v>743</v>
      </c>
      <c r="C53" s="41" t="s">
        <v>757</v>
      </c>
      <c r="D53" s="41" t="s">
        <v>312</v>
      </c>
      <c r="E53" s="55">
        <v>923245</v>
      </c>
      <c r="F53" s="41" t="s">
        <v>180</v>
      </c>
      <c r="G53" s="41" t="s">
        <v>29</v>
      </c>
      <c r="H53" s="41" t="s">
        <v>30</v>
      </c>
      <c r="I53" s="41" t="s">
        <v>31</v>
      </c>
      <c r="J53" s="41" t="s">
        <v>32</v>
      </c>
      <c r="K53" s="41" t="s">
        <v>33</v>
      </c>
      <c r="L53" s="50">
        <v>48294866</v>
      </c>
      <c r="M53" s="50">
        <v>0</v>
      </c>
      <c r="N53" s="50">
        <v>48294866</v>
      </c>
      <c r="O53" s="50">
        <v>44308623</v>
      </c>
      <c r="P53" s="43" t="s">
        <v>351</v>
      </c>
      <c r="Q53" s="40">
        <v>1022364660</v>
      </c>
      <c r="R53" s="41" t="s">
        <v>758</v>
      </c>
      <c r="S53" s="41" t="s">
        <v>316</v>
      </c>
      <c r="T53" s="41" t="s">
        <v>317</v>
      </c>
      <c r="U53" s="41" t="s">
        <v>759</v>
      </c>
      <c r="V53" s="41" t="s">
        <v>319</v>
      </c>
      <c r="W53" s="40">
        <v>860034313</v>
      </c>
      <c r="X53" s="41" t="s">
        <v>355</v>
      </c>
      <c r="Y53" s="40">
        <v>3825</v>
      </c>
      <c r="Z53" s="40">
        <v>3825</v>
      </c>
      <c r="AA53" s="40">
        <v>5225</v>
      </c>
      <c r="AB53" s="41"/>
      <c r="AC53" s="41" t="s">
        <v>905</v>
      </c>
      <c r="AD53" s="41" t="s">
        <v>2821</v>
      </c>
      <c r="AE53" s="41"/>
      <c r="AF53" s="41" t="s">
        <v>743</v>
      </c>
      <c r="AG53" s="41" t="s">
        <v>356</v>
      </c>
      <c r="AH53" s="41" t="s">
        <v>760</v>
      </c>
      <c r="AI53" s="41" t="s">
        <v>748</v>
      </c>
    </row>
    <row r="54" spans="1:35" x14ac:dyDescent="0.2">
      <c r="A54" s="53">
        <v>5325</v>
      </c>
      <c r="B54" s="41" t="s">
        <v>743</v>
      </c>
      <c r="C54" s="41" t="s">
        <v>761</v>
      </c>
      <c r="D54" s="41" t="s">
        <v>312</v>
      </c>
      <c r="E54" s="55">
        <v>923245</v>
      </c>
      <c r="F54" s="41" t="s">
        <v>180</v>
      </c>
      <c r="G54" s="41" t="s">
        <v>29</v>
      </c>
      <c r="H54" s="41" t="s">
        <v>30</v>
      </c>
      <c r="I54" s="41" t="s">
        <v>31</v>
      </c>
      <c r="J54" s="41" t="s">
        <v>32</v>
      </c>
      <c r="K54" s="41" t="s">
        <v>33</v>
      </c>
      <c r="L54" s="50">
        <v>48294866</v>
      </c>
      <c r="M54" s="50">
        <v>0</v>
      </c>
      <c r="N54" s="50">
        <v>48294866</v>
      </c>
      <c r="O54" s="50">
        <v>44308623</v>
      </c>
      <c r="P54" s="43" t="s">
        <v>351</v>
      </c>
      <c r="Q54" s="40">
        <v>52874856</v>
      </c>
      <c r="R54" s="41" t="s">
        <v>762</v>
      </c>
      <c r="S54" s="41" t="s">
        <v>316</v>
      </c>
      <c r="T54" s="41" t="s">
        <v>317</v>
      </c>
      <c r="U54" s="41" t="s">
        <v>763</v>
      </c>
      <c r="V54" s="41" t="s">
        <v>319</v>
      </c>
      <c r="W54" s="40">
        <v>860034313</v>
      </c>
      <c r="X54" s="41" t="s">
        <v>355</v>
      </c>
      <c r="Y54" s="40">
        <v>3825</v>
      </c>
      <c r="Z54" s="40">
        <v>3825</v>
      </c>
      <c r="AA54" s="40">
        <v>5325</v>
      </c>
      <c r="AB54" s="41"/>
      <c r="AC54" s="41" t="s">
        <v>910</v>
      </c>
      <c r="AD54" s="41" t="s">
        <v>2823</v>
      </c>
      <c r="AE54" s="41"/>
      <c r="AF54" s="41" t="s">
        <v>743</v>
      </c>
      <c r="AG54" s="41" t="s">
        <v>356</v>
      </c>
      <c r="AH54" s="41" t="s">
        <v>764</v>
      </c>
      <c r="AI54" s="41" t="s">
        <v>748</v>
      </c>
    </row>
    <row r="55" spans="1:35" x14ac:dyDescent="0.2">
      <c r="A55" s="53">
        <v>5425</v>
      </c>
      <c r="B55" s="41" t="s">
        <v>743</v>
      </c>
      <c r="C55" s="41" t="s">
        <v>765</v>
      </c>
      <c r="D55" s="41" t="s">
        <v>312</v>
      </c>
      <c r="E55" s="55">
        <v>923245</v>
      </c>
      <c r="F55" s="41" t="s">
        <v>180</v>
      </c>
      <c r="G55" s="41" t="s">
        <v>29</v>
      </c>
      <c r="H55" s="41" t="s">
        <v>30</v>
      </c>
      <c r="I55" s="41" t="s">
        <v>31</v>
      </c>
      <c r="J55" s="41" t="s">
        <v>32</v>
      </c>
      <c r="K55" s="41" t="s">
        <v>33</v>
      </c>
      <c r="L55" s="50">
        <v>48294866</v>
      </c>
      <c r="M55" s="50">
        <v>0</v>
      </c>
      <c r="N55" s="50">
        <v>48294866</v>
      </c>
      <c r="O55" s="50">
        <v>44308623</v>
      </c>
      <c r="P55" s="43" t="s">
        <v>351</v>
      </c>
      <c r="Q55" s="40">
        <v>52306195</v>
      </c>
      <c r="R55" s="41" t="s">
        <v>766</v>
      </c>
      <c r="S55" s="41" t="s">
        <v>316</v>
      </c>
      <c r="T55" s="41" t="s">
        <v>317</v>
      </c>
      <c r="U55" s="41" t="s">
        <v>767</v>
      </c>
      <c r="V55" s="41" t="s">
        <v>319</v>
      </c>
      <c r="W55" s="40">
        <v>860002964</v>
      </c>
      <c r="X55" s="41" t="s">
        <v>419</v>
      </c>
      <c r="Y55" s="40">
        <v>3825</v>
      </c>
      <c r="Z55" s="40">
        <v>3825</v>
      </c>
      <c r="AA55" s="40">
        <v>5425</v>
      </c>
      <c r="AB55" s="41"/>
      <c r="AC55" s="41" t="s">
        <v>915</v>
      </c>
      <c r="AD55" s="41" t="s">
        <v>2824</v>
      </c>
      <c r="AE55" s="41"/>
      <c r="AF55" s="41" t="s">
        <v>743</v>
      </c>
      <c r="AG55" s="41" t="s">
        <v>356</v>
      </c>
      <c r="AH55" s="41" t="s">
        <v>768</v>
      </c>
      <c r="AI55" s="41" t="s">
        <v>748</v>
      </c>
    </row>
    <row r="56" spans="1:35" x14ac:dyDescent="0.2">
      <c r="A56" s="53">
        <v>5525</v>
      </c>
      <c r="B56" s="41" t="s">
        <v>743</v>
      </c>
      <c r="C56" s="41" t="s">
        <v>769</v>
      </c>
      <c r="D56" s="41" t="s">
        <v>312</v>
      </c>
      <c r="E56" s="55">
        <v>923245</v>
      </c>
      <c r="F56" s="41" t="s">
        <v>180</v>
      </c>
      <c r="G56" s="41" t="s">
        <v>29</v>
      </c>
      <c r="H56" s="41" t="s">
        <v>30</v>
      </c>
      <c r="I56" s="41" t="s">
        <v>31</v>
      </c>
      <c r="J56" s="41" t="s">
        <v>32</v>
      </c>
      <c r="K56" s="41" t="s">
        <v>33</v>
      </c>
      <c r="L56" s="50">
        <v>48294866</v>
      </c>
      <c r="M56" s="50">
        <v>0</v>
      </c>
      <c r="N56" s="50">
        <v>48294866</v>
      </c>
      <c r="O56" s="50">
        <v>44308623</v>
      </c>
      <c r="P56" s="43" t="s">
        <v>351</v>
      </c>
      <c r="Q56" s="40">
        <v>52229415</v>
      </c>
      <c r="R56" s="41" t="s">
        <v>770</v>
      </c>
      <c r="S56" s="41" t="s">
        <v>316</v>
      </c>
      <c r="T56" s="41" t="s">
        <v>317</v>
      </c>
      <c r="U56" s="41" t="s">
        <v>771</v>
      </c>
      <c r="V56" s="41" t="s">
        <v>319</v>
      </c>
      <c r="W56" s="40">
        <v>860034313</v>
      </c>
      <c r="X56" s="41" t="s">
        <v>355</v>
      </c>
      <c r="Y56" s="40">
        <v>3825</v>
      </c>
      <c r="Z56" s="40">
        <v>3825</v>
      </c>
      <c r="AA56" s="40">
        <v>5525</v>
      </c>
      <c r="AB56" s="41"/>
      <c r="AC56" s="41" t="s">
        <v>920</v>
      </c>
      <c r="AD56" s="41" t="s">
        <v>2826</v>
      </c>
      <c r="AE56" s="41"/>
      <c r="AF56" s="41" t="s">
        <v>743</v>
      </c>
      <c r="AG56" s="41" t="s">
        <v>356</v>
      </c>
      <c r="AH56" s="41" t="s">
        <v>772</v>
      </c>
      <c r="AI56" s="41" t="s">
        <v>748</v>
      </c>
    </row>
    <row r="57" spans="1:35" x14ac:dyDescent="0.2">
      <c r="A57" s="53">
        <v>5625</v>
      </c>
      <c r="B57" s="41" t="s">
        <v>743</v>
      </c>
      <c r="C57" s="41" t="s">
        <v>773</v>
      </c>
      <c r="D57" s="41" t="s">
        <v>312</v>
      </c>
      <c r="E57" s="55">
        <v>923245</v>
      </c>
      <c r="F57" s="41" t="s">
        <v>180</v>
      </c>
      <c r="G57" s="41" t="s">
        <v>29</v>
      </c>
      <c r="H57" s="41" t="s">
        <v>30</v>
      </c>
      <c r="I57" s="41" t="s">
        <v>31</v>
      </c>
      <c r="J57" s="41" t="s">
        <v>32</v>
      </c>
      <c r="K57" s="41" t="s">
        <v>33</v>
      </c>
      <c r="L57" s="50">
        <v>48294866</v>
      </c>
      <c r="M57" s="50">
        <v>0</v>
      </c>
      <c r="N57" s="50">
        <v>48294866</v>
      </c>
      <c r="O57" s="50">
        <v>44308623</v>
      </c>
      <c r="P57" s="43" t="s">
        <v>351</v>
      </c>
      <c r="Q57" s="40">
        <v>1031123608</v>
      </c>
      <c r="R57" s="41" t="s">
        <v>774</v>
      </c>
      <c r="S57" s="41" t="s">
        <v>316</v>
      </c>
      <c r="T57" s="41" t="s">
        <v>317</v>
      </c>
      <c r="U57" s="41" t="s">
        <v>775</v>
      </c>
      <c r="V57" s="41" t="s">
        <v>319</v>
      </c>
      <c r="W57" s="40">
        <v>890903938</v>
      </c>
      <c r="X57" s="41" t="s">
        <v>342</v>
      </c>
      <c r="Y57" s="40">
        <v>3825</v>
      </c>
      <c r="Z57" s="40">
        <v>3825</v>
      </c>
      <c r="AA57" s="40">
        <v>5625</v>
      </c>
      <c r="AB57" s="41"/>
      <c r="AC57" s="41" t="s">
        <v>925</v>
      </c>
      <c r="AD57" s="41" t="s">
        <v>2828</v>
      </c>
      <c r="AE57" s="41"/>
      <c r="AF57" s="41" t="s">
        <v>743</v>
      </c>
      <c r="AG57" s="41" t="s">
        <v>356</v>
      </c>
      <c r="AH57" s="41" t="s">
        <v>776</v>
      </c>
      <c r="AI57" s="41" t="s">
        <v>748</v>
      </c>
    </row>
    <row r="58" spans="1:35" x14ac:dyDescent="0.2">
      <c r="A58" s="53">
        <v>5725</v>
      </c>
      <c r="B58" s="41" t="s">
        <v>743</v>
      </c>
      <c r="C58" s="41" t="s">
        <v>777</v>
      </c>
      <c r="D58" s="41" t="s">
        <v>312</v>
      </c>
      <c r="E58" s="55">
        <v>923245</v>
      </c>
      <c r="F58" s="41" t="s">
        <v>180</v>
      </c>
      <c r="G58" s="41" t="s">
        <v>29</v>
      </c>
      <c r="H58" s="41" t="s">
        <v>30</v>
      </c>
      <c r="I58" s="41" t="s">
        <v>31</v>
      </c>
      <c r="J58" s="41" t="s">
        <v>32</v>
      </c>
      <c r="K58" s="41" t="s">
        <v>33</v>
      </c>
      <c r="L58" s="50">
        <v>48294866</v>
      </c>
      <c r="M58" s="50">
        <v>0</v>
      </c>
      <c r="N58" s="50">
        <v>48294866</v>
      </c>
      <c r="O58" s="50">
        <v>44308623</v>
      </c>
      <c r="P58" s="43" t="s">
        <v>351</v>
      </c>
      <c r="Q58" s="40">
        <v>2994915</v>
      </c>
      <c r="R58" s="41" t="s">
        <v>778</v>
      </c>
      <c r="S58" s="41" t="s">
        <v>316</v>
      </c>
      <c r="T58" s="41" t="s">
        <v>317</v>
      </c>
      <c r="U58" s="41" t="s">
        <v>779</v>
      </c>
      <c r="V58" s="41" t="s">
        <v>319</v>
      </c>
      <c r="W58" s="40">
        <v>860034313</v>
      </c>
      <c r="X58" s="41" t="s">
        <v>355</v>
      </c>
      <c r="Y58" s="40">
        <v>3825</v>
      </c>
      <c r="Z58" s="40">
        <v>3825</v>
      </c>
      <c r="AA58" s="40">
        <v>5725</v>
      </c>
      <c r="AB58" s="41"/>
      <c r="AC58" s="41" t="s">
        <v>930</v>
      </c>
      <c r="AD58" s="41" t="s">
        <v>2830</v>
      </c>
      <c r="AE58" s="41"/>
      <c r="AF58" s="41" t="s">
        <v>743</v>
      </c>
      <c r="AG58" s="41" t="s">
        <v>356</v>
      </c>
      <c r="AH58" s="41" t="s">
        <v>780</v>
      </c>
      <c r="AI58" s="41" t="s">
        <v>748</v>
      </c>
    </row>
    <row r="59" spans="1:35" x14ac:dyDescent="0.2">
      <c r="A59" s="53">
        <v>5825</v>
      </c>
      <c r="B59" s="41" t="s">
        <v>743</v>
      </c>
      <c r="C59" s="41" t="s">
        <v>781</v>
      </c>
      <c r="D59" s="41" t="s">
        <v>312</v>
      </c>
      <c r="E59" s="55">
        <v>923245</v>
      </c>
      <c r="F59" s="41" t="s">
        <v>180</v>
      </c>
      <c r="G59" s="41" t="s">
        <v>29</v>
      </c>
      <c r="H59" s="41" t="s">
        <v>30</v>
      </c>
      <c r="I59" s="41" t="s">
        <v>31</v>
      </c>
      <c r="J59" s="41" t="s">
        <v>32</v>
      </c>
      <c r="K59" s="41" t="s">
        <v>33</v>
      </c>
      <c r="L59" s="50">
        <v>48294866</v>
      </c>
      <c r="M59" s="50">
        <v>0</v>
      </c>
      <c r="N59" s="50">
        <v>48294866</v>
      </c>
      <c r="O59" s="50">
        <v>44308623</v>
      </c>
      <c r="P59" s="43" t="s">
        <v>351</v>
      </c>
      <c r="Q59" s="40">
        <v>93117815</v>
      </c>
      <c r="R59" s="41" t="s">
        <v>782</v>
      </c>
      <c r="S59" s="41" t="s">
        <v>316</v>
      </c>
      <c r="T59" s="41" t="s">
        <v>317</v>
      </c>
      <c r="U59" s="41" t="s">
        <v>2834</v>
      </c>
      <c r="V59" s="41" t="s">
        <v>319</v>
      </c>
      <c r="W59" s="40">
        <v>860003020</v>
      </c>
      <c r="X59" s="41" t="s">
        <v>393</v>
      </c>
      <c r="Y59" s="40">
        <v>3825</v>
      </c>
      <c r="Z59" s="40">
        <v>3825</v>
      </c>
      <c r="AA59" s="40">
        <v>5825</v>
      </c>
      <c r="AB59" s="41"/>
      <c r="AC59" s="41" t="s">
        <v>935</v>
      </c>
      <c r="AD59" s="41" t="s">
        <v>2832</v>
      </c>
      <c r="AE59" s="41"/>
      <c r="AF59" s="41" t="s">
        <v>743</v>
      </c>
      <c r="AG59" s="41" t="s">
        <v>356</v>
      </c>
      <c r="AH59" s="41" t="s">
        <v>785</v>
      </c>
      <c r="AI59" s="41" t="s">
        <v>748</v>
      </c>
    </row>
    <row r="60" spans="1:35" x14ac:dyDescent="0.2">
      <c r="A60" s="53">
        <v>5925</v>
      </c>
      <c r="B60" s="41" t="s">
        <v>786</v>
      </c>
      <c r="C60" s="41" t="s">
        <v>787</v>
      </c>
      <c r="D60" s="41" t="s">
        <v>312</v>
      </c>
      <c r="E60" s="55">
        <v>923245</v>
      </c>
      <c r="F60" s="41" t="s">
        <v>180</v>
      </c>
      <c r="G60" s="41" t="s">
        <v>29</v>
      </c>
      <c r="H60" s="41" t="s">
        <v>30</v>
      </c>
      <c r="I60" s="41" t="s">
        <v>31</v>
      </c>
      <c r="J60" s="41" t="s">
        <v>32</v>
      </c>
      <c r="K60" s="41" t="s">
        <v>33</v>
      </c>
      <c r="L60" s="50">
        <v>48294866</v>
      </c>
      <c r="M60" s="50">
        <v>0</v>
      </c>
      <c r="N60" s="50">
        <v>48294866</v>
      </c>
      <c r="O60" s="50">
        <v>44308623</v>
      </c>
      <c r="P60" s="43" t="s">
        <v>351</v>
      </c>
      <c r="Q60" s="40">
        <v>79965721</v>
      </c>
      <c r="R60" s="41" t="s">
        <v>788</v>
      </c>
      <c r="S60" s="41" t="s">
        <v>316</v>
      </c>
      <c r="T60" s="41" t="s">
        <v>317</v>
      </c>
      <c r="U60" s="41" t="s">
        <v>789</v>
      </c>
      <c r="V60" s="41" t="s">
        <v>319</v>
      </c>
      <c r="W60" s="40">
        <v>860007335</v>
      </c>
      <c r="X60" s="41" t="s">
        <v>381</v>
      </c>
      <c r="Y60" s="40">
        <v>3825</v>
      </c>
      <c r="Z60" s="40">
        <v>3825</v>
      </c>
      <c r="AA60" s="40">
        <v>5925</v>
      </c>
      <c r="AB60" s="41"/>
      <c r="AC60" s="41" t="s">
        <v>940</v>
      </c>
      <c r="AD60" s="41" t="s">
        <v>2835</v>
      </c>
      <c r="AE60" s="41"/>
      <c r="AF60" s="41" t="s">
        <v>786</v>
      </c>
      <c r="AG60" s="41" t="s">
        <v>356</v>
      </c>
      <c r="AH60" s="41" t="s">
        <v>790</v>
      </c>
      <c r="AI60" s="41" t="s">
        <v>748</v>
      </c>
    </row>
    <row r="61" spans="1:35" x14ac:dyDescent="0.2">
      <c r="A61" s="53">
        <v>6025</v>
      </c>
      <c r="B61" s="41" t="s">
        <v>786</v>
      </c>
      <c r="C61" s="41" t="s">
        <v>791</v>
      </c>
      <c r="D61" s="41" t="s">
        <v>312</v>
      </c>
      <c r="E61" s="55">
        <v>923245</v>
      </c>
      <c r="F61" s="41" t="s">
        <v>180</v>
      </c>
      <c r="G61" s="41" t="s">
        <v>29</v>
      </c>
      <c r="H61" s="41" t="s">
        <v>30</v>
      </c>
      <c r="I61" s="41" t="s">
        <v>31</v>
      </c>
      <c r="J61" s="41" t="s">
        <v>32</v>
      </c>
      <c r="K61" s="41" t="s">
        <v>33</v>
      </c>
      <c r="L61" s="50">
        <v>48294866</v>
      </c>
      <c r="M61" s="50">
        <v>0</v>
      </c>
      <c r="N61" s="50">
        <v>48294866</v>
      </c>
      <c r="O61" s="50">
        <v>44308623</v>
      </c>
      <c r="P61" s="43" t="s">
        <v>351</v>
      </c>
      <c r="Q61" s="40">
        <v>79408514</v>
      </c>
      <c r="R61" s="41" t="s">
        <v>792</v>
      </c>
      <c r="S61" s="41" t="s">
        <v>316</v>
      </c>
      <c r="T61" s="41" t="s">
        <v>317</v>
      </c>
      <c r="U61" s="41" t="s">
        <v>793</v>
      </c>
      <c r="V61" s="41" t="s">
        <v>319</v>
      </c>
      <c r="W61" s="40">
        <v>900047981</v>
      </c>
      <c r="X61" s="41" t="s">
        <v>399</v>
      </c>
      <c r="Y61" s="40">
        <v>3825</v>
      </c>
      <c r="Z61" s="40">
        <v>3825</v>
      </c>
      <c r="AA61" s="40">
        <v>6025</v>
      </c>
      <c r="AB61" s="41"/>
      <c r="AC61" s="41" t="s">
        <v>945</v>
      </c>
      <c r="AD61" s="41" t="s">
        <v>2837</v>
      </c>
      <c r="AE61" s="41"/>
      <c r="AF61" s="41" t="s">
        <v>786</v>
      </c>
      <c r="AG61" s="41" t="s">
        <v>356</v>
      </c>
      <c r="AH61" s="41" t="s">
        <v>794</v>
      </c>
      <c r="AI61" s="41" t="s">
        <v>748</v>
      </c>
    </row>
    <row r="62" spans="1:35" x14ac:dyDescent="0.2">
      <c r="A62" s="53">
        <v>6125</v>
      </c>
      <c r="B62" s="41" t="s">
        <v>786</v>
      </c>
      <c r="C62" s="41" t="s">
        <v>795</v>
      </c>
      <c r="D62" s="41" t="s">
        <v>312</v>
      </c>
      <c r="E62" s="55">
        <v>923245</v>
      </c>
      <c r="F62" s="41" t="s">
        <v>180</v>
      </c>
      <c r="G62" s="41" t="s">
        <v>29</v>
      </c>
      <c r="H62" s="41" t="s">
        <v>30</v>
      </c>
      <c r="I62" s="41" t="s">
        <v>31</v>
      </c>
      <c r="J62" s="41" t="s">
        <v>32</v>
      </c>
      <c r="K62" s="41" t="s">
        <v>33</v>
      </c>
      <c r="L62" s="50">
        <v>48294866</v>
      </c>
      <c r="M62" s="50">
        <v>0</v>
      </c>
      <c r="N62" s="50">
        <v>48294866</v>
      </c>
      <c r="O62" s="50">
        <v>44308623</v>
      </c>
      <c r="P62" s="43" t="s">
        <v>351</v>
      </c>
      <c r="Q62" s="40">
        <v>93130667</v>
      </c>
      <c r="R62" s="41" t="s">
        <v>796</v>
      </c>
      <c r="S62" s="41" t="s">
        <v>316</v>
      </c>
      <c r="T62" s="41" t="s">
        <v>317</v>
      </c>
      <c r="U62" s="41" t="s">
        <v>797</v>
      </c>
      <c r="V62" s="41" t="s">
        <v>319</v>
      </c>
      <c r="W62" s="40">
        <v>860035827</v>
      </c>
      <c r="X62" s="41" t="s">
        <v>653</v>
      </c>
      <c r="Y62" s="40">
        <v>3825</v>
      </c>
      <c r="Z62" s="40">
        <v>3825</v>
      </c>
      <c r="AA62" s="40">
        <v>6125</v>
      </c>
      <c r="AB62" s="41"/>
      <c r="AC62" s="41" t="s">
        <v>950</v>
      </c>
      <c r="AD62" s="41" t="s">
        <v>2839</v>
      </c>
      <c r="AE62" s="41"/>
      <c r="AF62" s="41" t="s">
        <v>786</v>
      </c>
      <c r="AG62" s="41" t="s">
        <v>356</v>
      </c>
      <c r="AH62" s="41" t="s">
        <v>798</v>
      </c>
      <c r="AI62" s="41" t="s">
        <v>748</v>
      </c>
    </row>
    <row r="63" spans="1:35" x14ac:dyDescent="0.2">
      <c r="A63" s="53">
        <v>6225</v>
      </c>
      <c r="B63" s="41" t="s">
        <v>786</v>
      </c>
      <c r="C63" s="41" t="s">
        <v>799</v>
      </c>
      <c r="D63" s="41" t="s">
        <v>312</v>
      </c>
      <c r="E63" s="55">
        <v>923210</v>
      </c>
      <c r="F63" s="41" t="s">
        <v>56</v>
      </c>
      <c r="G63" s="41" t="s">
        <v>29</v>
      </c>
      <c r="H63" s="41" t="s">
        <v>30</v>
      </c>
      <c r="I63" s="41" t="s">
        <v>47</v>
      </c>
      <c r="J63" s="41" t="s">
        <v>48</v>
      </c>
      <c r="K63" s="41" t="s">
        <v>33</v>
      </c>
      <c r="L63" s="50">
        <v>3096240</v>
      </c>
      <c r="M63" s="50">
        <v>0</v>
      </c>
      <c r="N63" s="50">
        <v>3096240</v>
      </c>
      <c r="O63" s="50">
        <v>0</v>
      </c>
      <c r="P63" s="43" t="s">
        <v>314</v>
      </c>
      <c r="Q63" s="40">
        <v>860063875</v>
      </c>
      <c r="R63" s="41" t="s">
        <v>315</v>
      </c>
      <c r="S63" s="41" t="s">
        <v>316</v>
      </c>
      <c r="T63" s="41" t="s">
        <v>317</v>
      </c>
      <c r="U63" s="41" t="s">
        <v>318</v>
      </c>
      <c r="V63" s="41" t="s">
        <v>319</v>
      </c>
      <c r="W63" s="40">
        <v>860050750</v>
      </c>
      <c r="X63" s="41" t="s">
        <v>321</v>
      </c>
      <c r="Y63" s="40">
        <v>1225</v>
      </c>
      <c r="Z63" s="40">
        <v>1225</v>
      </c>
      <c r="AA63" s="40">
        <v>6225</v>
      </c>
      <c r="AB63" s="41" t="s">
        <v>78</v>
      </c>
      <c r="AC63" s="41" t="s">
        <v>74</v>
      </c>
      <c r="AD63" s="41" t="s">
        <v>801</v>
      </c>
      <c r="AE63" s="41"/>
      <c r="AF63" s="41" t="s">
        <v>786</v>
      </c>
      <c r="AG63" s="41" t="s">
        <v>323</v>
      </c>
      <c r="AH63" s="41" t="s">
        <v>802</v>
      </c>
      <c r="AI63" s="41" t="s">
        <v>803</v>
      </c>
    </row>
    <row r="64" spans="1:35" x14ac:dyDescent="0.2">
      <c r="A64" s="53">
        <v>6325</v>
      </c>
      <c r="B64" s="41" t="s">
        <v>786</v>
      </c>
      <c r="C64" s="41" t="s">
        <v>804</v>
      </c>
      <c r="D64" s="41" t="s">
        <v>312</v>
      </c>
      <c r="E64" s="55">
        <v>923245</v>
      </c>
      <c r="F64" s="41" t="s">
        <v>180</v>
      </c>
      <c r="G64" s="41" t="s">
        <v>29</v>
      </c>
      <c r="H64" s="41" t="s">
        <v>30</v>
      </c>
      <c r="I64" s="41" t="s">
        <v>31</v>
      </c>
      <c r="J64" s="41" t="s">
        <v>32</v>
      </c>
      <c r="K64" s="41" t="s">
        <v>33</v>
      </c>
      <c r="L64" s="50">
        <v>48294866</v>
      </c>
      <c r="M64" s="50">
        <v>0</v>
      </c>
      <c r="N64" s="50">
        <v>48294866</v>
      </c>
      <c r="O64" s="50">
        <v>44308623</v>
      </c>
      <c r="P64" s="43" t="s">
        <v>351</v>
      </c>
      <c r="Q64" s="40">
        <v>1032398395</v>
      </c>
      <c r="R64" s="41" t="s">
        <v>805</v>
      </c>
      <c r="S64" s="41" t="s">
        <v>316</v>
      </c>
      <c r="T64" s="41" t="s">
        <v>317</v>
      </c>
      <c r="U64" s="41" t="s">
        <v>806</v>
      </c>
      <c r="V64" s="41" t="s">
        <v>319</v>
      </c>
      <c r="W64" s="40">
        <v>860035827</v>
      </c>
      <c r="X64" s="41" t="s">
        <v>653</v>
      </c>
      <c r="Y64" s="40">
        <v>3825</v>
      </c>
      <c r="Z64" s="40">
        <v>3825</v>
      </c>
      <c r="AA64" s="40">
        <v>6325</v>
      </c>
      <c r="AB64" s="41"/>
      <c r="AC64" s="41" t="s">
        <v>955</v>
      </c>
      <c r="AD64" s="41" t="s">
        <v>2841</v>
      </c>
      <c r="AE64" s="41"/>
      <c r="AF64" s="41" t="s">
        <v>786</v>
      </c>
      <c r="AG64" s="41" t="s">
        <v>356</v>
      </c>
      <c r="AH64" s="41" t="s">
        <v>807</v>
      </c>
      <c r="AI64" s="41" t="s">
        <v>748</v>
      </c>
    </row>
    <row r="65" spans="1:35" x14ac:dyDescent="0.2">
      <c r="A65" s="53">
        <v>6425</v>
      </c>
      <c r="B65" s="41" t="s">
        <v>786</v>
      </c>
      <c r="C65" s="41" t="s">
        <v>808</v>
      </c>
      <c r="D65" s="41" t="s">
        <v>312</v>
      </c>
      <c r="E65" s="55">
        <v>923245</v>
      </c>
      <c r="F65" s="41" t="s">
        <v>180</v>
      </c>
      <c r="G65" s="41" t="s">
        <v>29</v>
      </c>
      <c r="H65" s="41" t="s">
        <v>30</v>
      </c>
      <c r="I65" s="41" t="s">
        <v>31</v>
      </c>
      <c r="J65" s="41" t="s">
        <v>32</v>
      </c>
      <c r="K65" s="41" t="s">
        <v>33</v>
      </c>
      <c r="L65" s="50">
        <v>48294866</v>
      </c>
      <c r="M65" s="50">
        <v>0</v>
      </c>
      <c r="N65" s="50">
        <v>48294866</v>
      </c>
      <c r="O65" s="50">
        <v>44308623</v>
      </c>
      <c r="P65" s="43" t="s">
        <v>351</v>
      </c>
      <c r="Q65" s="40">
        <v>1022338160</v>
      </c>
      <c r="R65" s="41" t="s">
        <v>809</v>
      </c>
      <c r="S65" s="41" t="s">
        <v>316</v>
      </c>
      <c r="T65" s="41" t="s">
        <v>317</v>
      </c>
      <c r="U65" s="41" t="s">
        <v>810</v>
      </c>
      <c r="V65" s="41" t="s">
        <v>319</v>
      </c>
      <c r="W65" s="40">
        <v>890903938</v>
      </c>
      <c r="X65" s="41" t="s">
        <v>342</v>
      </c>
      <c r="Y65" s="40">
        <v>3825</v>
      </c>
      <c r="Z65" s="40">
        <v>3825</v>
      </c>
      <c r="AA65" s="40">
        <v>6425</v>
      </c>
      <c r="AB65" s="41"/>
      <c r="AC65" s="41" t="s">
        <v>960</v>
      </c>
      <c r="AD65" s="41" t="s">
        <v>2843</v>
      </c>
      <c r="AE65" s="41"/>
      <c r="AF65" s="41" t="s">
        <v>786</v>
      </c>
      <c r="AG65" s="41" t="s">
        <v>356</v>
      </c>
      <c r="AH65" s="41" t="s">
        <v>811</v>
      </c>
      <c r="AI65" s="41" t="s">
        <v>748</v>
      </c>
    </row>
    <row r="66" spans="1:35" x14ac:dyDescent="0.2">
      <c r="A66" s="53">
        <v>6525</v>
      </c>
      <c r="B66" s="41" t="s">
        <v>786</v>
      </c>
      <c r="C66" s="41" t="s">
        <v>812</v>
      </c>
      <c r="D66" s="41" t="s">
        <v>312</v>
      </c>
      <c r="E66" s="55">
        <v>923245</v>
      </c>
      <c r="F66" s="41" t="s">
        <v>180</v>
      </c>
      <c r="G66" s="41" t="s">
        <v>29</v>
      </c>
      <c r="H66" s="41" t="s">
        <v>30</v>
      </c>
      <c r="I66" s="41" t="s">
        <v>31</v>
      </c>
      <c r="J66" s="41" t="s">
        <v>32</v>
      </c>
      <c r="K66" s="41" t="s">
        <v>33</v>
      </c>
      <c r="L66" s="50">
        <v>48294866</v>
      </c>
      <c r="M66" s="50">
        <v>0</v>
      </c>
      <c r="N66" s="50">
        <v>48294866</v>
      </c>
      <c r="O66" s="50">
        <v>44308623</v>
      </c>
      <c r="P66" s="43" t="s">
        <v>351</v>
      </c>
      <c r="Q66" s="40">
        <v>52505799</v>
      </c>
      <c r="R66" s="41" t="s">
        <v>813</v>
      </c>
      <c r="S66" s="41" t="s">
        <v>316</v>
      </c>
      <c r="T66" s="41" t="s">
        <v>317</v>
      </c>
      <c r="U66" s="41" t="s">
        <v>814</v>
      </c>
      <c r="V66" s="41" t="s">
        <v>319</v>
      </c>
      <c r="W66" s="40">
        <v>860034313</v>
      </c>
      <c r="X66" s="41" t="s">
        <v>355</v>
      </c>
      <c r="Y66" s="40">
        <v>3825</v>
      </c>
      <c r="Z66" s="40">
        <v>3825</v>
      </c>
      <c r="AA66" s="40">
        <v>6525</v>
      </c>
      <c r="AB66" s="41"/>
      <c r="AC66" s="41" t="s">
        <v>965</v>
      </c>
      <c r="AD66" s="41" t="s">
        <v>2844</v>
      </c>
      <c r="AE66" s="41"/>
      <c r="AF66" s="41" t="s">
        <v>786</v>
      </c>
      <c r="AG66" s="41" t="s">
        <v>356</v>
      </c>
      <c r="AH66" s="41" t="s">
        <v>815</v>
      </c>
      <c r="AI66" s="41" t="s">
        <v>748</v>
      </c>
    </row>
    <row r="67" spans="1:35" x14ac:dyDescent="0.2">
      <c r="A67" s="53">
        <v>6625</v>
      </c>
      <c r="B67" s="41" t="s">
        <v>786</v>
      </c>
      <c r="C67" s="41" t="s">
        <v>816</v>
      </c>
      <c r="D67" s="41" t="s">
        <v>312</v>
      </c>
      <c r="E67" s="55">
        <v>923245</v>
      </c>
      <c r="F67" s="41" t="s">
        <v>180</v>
      </c>
      <c r="G67" s="41" t="s">
        <v>29</v>
      </c>
      <c r="H67" s="41" t="s">
        <v>30</v>
      </c>
      <c r="I67" s="41" t="s">
        <v>31</v>
      </c>
      <c r="J67" s="41" t="s">
        <v>32</v>
      </c>
      <c r="K67" s="41" t="s">
        <v>33</v>
      </c>
      <c r="L67" s="50">
        <v>48294866</v>
      </c>
      <c r="M67" s="50">
        <v>0</v>
      </c>
      <c r="N67" s="50">
        <v>48294866</v>
      </c>
      <c r="O67" s="50">
        <v>44308623</v>
      </c>
      <c r="P67" s="43" t="s">
        <v>351</v>
      </c>
      <c r="Q67" s="40">
        <v>39668440</v>
      </c>
      <c r="R67" s="41" t="s">
        <v>817</v>
      </c>
      <c r="S67" s="41" t="s">
        <v>316</v>
      </c>
      <c r="T67" s="41" t="s">
        <v>317</v>
      </c>
      <c r="U67" s="41" t="s">
        <v>818</v>
      </c>
      <c r="V67" s="41" t="s">
        <v>319</v>
      </c>
      <c r="W67" s="40">
        <v>860034313</v>
      </c>
      <c r="X67" s="41" t="s">
        <v>355</v>
      </c>
      <c r="Y67" s="40">
        <v>3825</v>
      </c>
      <c r="Z67" s="40">
        <v>3825</v>
      </c>
      <c r="AA67" s="40">
        <v>6625</v>
      </c>
      <c r="AB67" s="41"/>
      <c r="AC67" s="41" t="s">
        <v>970</v>
      </c>
      <c r="AD67" s="41" t="s">
        <v>2846</v>
      </c>
      <c r="AE67" s="41"/>
      <c r="AF67" s="41" t="s">
        <v>786</v>
      </c>
      <c r="AG67" s="41" t="s">
        <v>356</v>
      </c>
      <c r="AH67" s="41" t="s">
        <v>819</v>
      </c>
      <c r="AI67" s="41" t="s">
        <v>748</v>
      </c>
    </row>
    <row r="68" spans="1:35" x14ac:dyDescent="0.2">
      <c r="A68" s="53">
        <v>6725</v>
      </c>
      <c r="B68" s="41" t="s">
        <v>786</v>
      </c>
      <c r="C68" s="41" t="s">
        <v>820</v>
      </c>
      <c r="D68" s="41" t="s">
        <v>312</v>
      </c>
      <c r="E68" s="55">
        <v>923245</v>
      </c>
      <c r="F68" s="41" t="s">
        <v>180</v>
      </c>
      <c r="G68" s="41" t="s">
        <v>29</v>
      </c>
      <c r="H68" s="41" t="s">
        <v>30</v>
      </c>
      <c r="I68" s="41" t="s">
        <v>31</v>
      </c>
      <c r="J68" s="41" t="s">
        <v>32</v>
      </c>
      <c r="K68" s="41" t="s">
        <v>33</v>
      </c>
      <c r="L68" s="50">
        <v>48294866</v>
      </c>
      <c r="M68" s="50">
        <v>0</v>
      </c>
      <c r="N68" s="50">
        <v>48294866</v>
      </c>
      <c r="O68" s="50">
        <v>44308623</v>
      </c>
      <c r="P68" s="43" t="s">
        <v>351</v>
      </c>
      <c r="Q68" s="40">
        <v>52487484</v>
      </c>
      <c r="R68" s="41" t="s">
        <v>821</v>
      </c>
      <c r="S68" s="41" t="s">
        <v>316</v>
      </c>
      <c r="T68" s="41" t="s">
        <v>317</v>
      </c>
      <c r="U68" s="41" t="s">
        <v>822</v>
      </c>
      <c r="V68" s="41" t="s">
        <v>319</v>
      </c>
      <c r="W68" s="40">
        <v>860035827</v>
      </c>
      <c r="X68" s="41" t="s">
        <v>653</v>
      </c>
      <c r="Y68" s="40">
        <v>3825</v>
      </c>
      <c r="Z68" s="40">
        <v>3825</v>
      </c>
      <c r="AA68" s="40">
        <v>6725</v>
      </c>
      <c r="AB68" s="41"/>
      <c r="AC68" s="41" t="s">
        <v>975</v>
      </c>
      <c r="AD68" s="41" t="s">
        <v>2848</v>
      </c>
      <c r="AE68" s="41"/>
      <c r="AF68" s="41" t="s">
        <v>786</v>
      </c>
      <c r="AG68" s="41" t="s">
        <v>356</v>
      </c>
      <c r="AH68" s="41" t="s">
        <v>823</v>
      </c>
      <c r="AI68" s="41" t="s">
        <v>748</v>
      </c>
    </row>
    <row r="69" spans="1:35" x14ac:dyDescent="0.2">
      <c r="A69" s="53">
        <v>6825</v>
      </c>
      <c r="B69" s="41" t="s">
        <v>786</v>
      </c>
      <c r="C69" s="41" t="s">
        <v>824</v>
      </c>
      <c r="D69" s="41" t="s">
        <v>312</v>
      </c>
      <c r="E69" s="55">
        <v>923245</v>
      </c>
      <c r="F69" s="41" t="s">
        <v>180</v>
      </c>
      <c r="G69" s="41" t="s">
        <v>29</v>
      </c>
      <c r="H69" s="41" t="s">
        <v>30</v>
      </c>
      <c r="I69" s="41" t="s">
        <v>31</v>
      </c>
      <c r="J69" s="41" t="s">
        <v>32</v>
      </c>
      <c r="K69" s="41" t="s">
        <v>33</v>
      </c>
      <c r="L69" s="50">
        <v>48294866</v>
      </c>
      <c r="M69" s="50">
        <v>0</v>
      </c>
      <c r="N69" s="50">
        <v>48294866</v>
      </c>
      <c r="O69" s="50">
        <v>44308623</v>
      </c>
      <c r="P69" s="43" t="s">
        <v>351</v>
      </c>
      <c r="Q69" s="40">
        <v>1105677068</v>
      </c>
      <c r="R69" s="41" t="s">
        <v>825</v>
      </c>
      <c r="S69" s="41" t="s">
        <v>316</v>
      </c>
      <c r="T69" s="41" t="s">
        <v>317</v>
      </c>
      <c r="U69" s="41" t="s">
        <v>826</v>
      </c>
      <c r="V69" s="41" t="s">
        <v>319</v>
      </c>
      <c r="W69" s="40">
        <v>890903938</v>
      </c>
      <c r="X69" s="41" t="s">
        <v>342</v>
      </c>
      <c r="Y69" s="40">
        <v>3825</v>
      </c>
      <c r="Z69" s="40">
        <v>3825</v>
      </c>
      <c r="AA69" s="40">
        <v>6825</v>
      </c>
      <c r="AB69" s="41"/>
      <c r="AC69" s="41" t="s">
        <v>980</v>
      </c>
      <c r="AD69" s="41" t="s">
        <v>2849</v>
      </c>
      <c r="AE69" s="41"/>
      <c r="AF69" s="41" t="s">
        <v>786</v>
      </c>
      <c r="AG69" s="41" t="s">
        <v>356</v>
      </c>
      <c r="AH69" s="41" t="s">
        <v>827</v>
      </c>
      <c r="AI69" s="41" t="s">
        <v>748</v>
      </c>
    </row>
    <row r="70" spans="1:35" x14ac:dyDescent="0.2">
      <c r="A70" s="53">
        <v>6925</v>
      </c>
      <c r="B70" s="41" t="s">
        <v>786</v>
      </c>
      <c r="C70" s="41" t="s">
        <v>828</v>
      </c>
      <c r="D70" s="41" t="s">
        <v>312</v>
      </c>
      <c r="E70" s="55">
        <v>923245</v>
      </c>
      <c r="F70" s="41" t="s">
        <v>180</v>
      </c>
      <c r="G70" s="41" t="s">
        <v>29</v>
      </c>
      <c r="H70" s="41" t="s">
        <v>30</v>
      </c>
      <c r="I70" s="41" t="s">
        <v>31</v>
      </c>
      <c r="J70" s="41" t="s">
        <v>32</v>
      </c>
      <c r="K70" s="41" t="s">
        <v>33</v>
      </c>
      <c r="L70" s="50">
        <v>48294866</v>
      </c>
      <c r="M70" s="50">
        <v>0</v>
      </c>
      <c r="N70" s="50">
        <v>48294866</v>
      </c>
      <c r="O70" s="50">
        <v>44308623</v>
      </c>
      <c r="P70" s="43" t="s">
        <v>351</v>
      </c>
      <c r="Q70" s="40">
        <v>51959382</v>
      </c>
      <c r="R70" s="41" t="s">
        <v>829</v>
      </c>
      <c r="S70" s="41" t="s">
        <v>316</v>
      </c>
      <c r="T70" s="41" t="s">
        <v>317</v>
      </c>
      <c r="U70" s="41" t="s">
        <v>830</v>
      </c>
      <c r="V70" s="41" t="s">
        <v>319</v>
      </c>
      <c r="W70" s="40">
        <v>890903938</v>
      </c>
      <c r="X70" s="41" t="s">
        <v>342</v>
      </c>
      <c r="Y70" s="40">
        <v>3825</v>
      </c>
      <c r="Z70" s="40">
        <v>3825</v>
      </c>
      <c r="AA70" s="40">
        <v>6925</v>
      </c>
      <c r="AB70" s="41"/>
      <c r="AC70" s="41" t="s">
        <v>985</v>
      </c>
      <c r="AD70" s="41" t="s">
        <v>2851</v>
      </c>
      <c r="AE70" s="41"/>
      <c r="AF70" s="41" t="s">
        <v>786</v>
      </c>
      <c r="AG70" s="41" t="s">
        <v>356</v>
      </c>
      <c r="AH70" s="41" t="s">
        <v>831</v>
      </c>
      <c r="AI70" s="41" t="s">
        <v>748</v>
      </c>
    </row>
    <row r="71" spans="1:35" x14ac:dyDescent="0.2">
      <c r="A71" s="53">
        <v>7025</v>
      </c>
      <c r="B71" s="41" t="s">
        <v>786</v>
      </c>
      <c r="C71" s="41" t="s">
        <v>832</v>
      </c>
      <c r="D71" s="41" t="s">
        <v>312</v>
      </c>
      <c r="E71" s="55">
        <v>923245</v>
      </c>
      <c r="F71" s="41" t="s">
        <v>180</v>
      </c>
      <c r="G71" s="41" t="s">
        <v>29</v>
      </c>
      <c r="H71" s="41" t="s">
        <v>30</v>
      </c>
      <c r="I71" s="41" t="s">
        <v>31</v>
      </c>
      <c r="J71" s="41" t="s">
        <v>32</v>
      </c>
      <c r="K71" s="41" t="s">
        <v>33</v>
      </c>
      <c r="L71" s="50">
        <v>48294866</v>
      </c>
      <c r="M71" s="50">
        <v>0</v>
      </c>
      <c r="N71" s="50">
        <v>48294866</v>
      </c>
      <c r="O71" s="50">
        <v>44308623</v>
      </c>
      <c r="P71" s="43" t="s">
        <v>351</v>
      </c>
      <c r="Q71" s="40">
        <v>20352018</v>
      </c>
      <c r="R71" s="41" t="s">
        <v>833</v>
      </c>
      <c r="S71" s="41" t="s">
        <v>316</v>
      </c>
      <c r="T71" s="41" t="s">
        <v>317</v>
      </c>
      <c r="U71" s="41" t="s">
        <v>834</v>
      </c>
      <c r="V71" s="41" t="s">
        <v>319</v>
      </c>
      <c r="W71" s="40">
        <v>890903938</v>
      </c>
      <c r="X71" s="41" t="s">
        <v>342</v>
      </c>
      <c r="Y71" s="40">
        <v>3825</v>
      </c>
      <c r="Z71" s="40">
        <v>3825</v>
      </c>
      <c r="AA71" s="40">
        <v>7025</v>
      </c>
      <c r="AB71" s="41"/>
      <c r="AC71" s="41" t="s">
        <v>990</v>
      </c>
      <c r="AD71" s="41" t="s">
        <v>2852</v>
      </c>
      <c r="AE71" s="41"/>
      <c r="AF71" s="41" t="s">
        <v>786</v>
      </c>
      <c r="AG71" s="41" t="s">
        <v>356</v>
      </c>
      <c r="AH71" s="41" t="s">
        <v>835</v>
      </c>
      <c r="AI71" s="41" t="s">
        <v>748</v>
      </c>
    </row>
    <row r="72" spans="1:35" x14ac:dyDescent="0.2">
      <c r="A72" s="53">
        <v>7125</v>
      </c>
      <c r="B72" s="41" t="s">
        <v>786</v>
      </c>
      <c r="C72" s="41" t="s">
        <v>836</v>
      </c>
      <c r="D72" s="41" t="s">
        <v>312</v>
      </c>
      <c r="E72" s="55">
        <v>923245</v>
      </c>
      <c r="F72" s="41" t="s">
        <v>180</v>
      </c>
      <c r="G72" s="41" t="s">
        <v>29</v>
      </c>
      <c r="H72" s="41" t="s">
        <v>30</v>
      </c>
      <c r="I72" s="41" t="s">
        <v>31</v>
      </c>
      <c r="J72" s="41" t="s">
        <v>32</v>
      </c>
      <c r="K72" s="41" t="s">
        <v>33</v>
      </c>
      <c r="L72" s="50">
        <v>48294866</v>
      </c>
      <c r="M72" s="50">
        <v>0</v>
      </c>
      <c r="N72" s="50">
        <v>48294866</v>
      </c>
      <c r="O72" s="50">
        <v>44308623</v>
      </c>
      <c r="P72" s="43" t="s">
        <v>351</v>
      </c>
      <c r="Q72" s="40">
        <v>1072195097</v>
      </c>
      <c r="R72" s="41" t="s">
        <v>837</v>
      </c>
      <c r="S72" s="41" t="s">
        <v>316</v>
      </c>
      <c r="T72" s="41" t="s">
        <v>317</v>
      </c>
      <c r="U72" s="41" t="s">
        <v>838</v>
      </c>
      <c r="V72" s="41" t="s">
        <v>319</v>
      </c>
      <c r="W72" s="40">
        <v>860034313</v>
      </c>
      <c r="X72" s="41" t="s">
        <v>355</v>
      </c>
      <c r="Y72" s="40">
        <v>3825</v>
      </c>
      <c r="Z72" s="40">
        <v>3825</v>
      </c>
      <c r="AA72" s="40">
        <v>7125</v>
      </c>
      <c r="AB72" s="41"/>
      <c r="AC72" s="41" t="s">
        <v>995</v>
      </c>
      <c r="AD72" s="41" t="s">
        <v>2853</v>
      </c>
      <c r="AE72" s="41"/>
      <c r="AF72" s="41" t="s">
        <v>786</v>
      </c>
      <c r="AG72" s="41" t="s">
        <v>356</v>
      </c>
      <c r="AH72" s="41" t="s">
        <v>839</v>
      </c>
      <c r="AI72" s="41" t="s">
        <v>840</v>
      </c>
    </row>
    <row r="73" spans="1:35" x14ac:dyDescent="0.2">
      <c r="A73" s="53">
        <v>7225</v>
      </c>
      <c r="B73" s="41" t="s">
        <v>786</v>
      </c>
      <c r="C73" s="41" t="s">
        <v>841</v>
      </c>
      <c r="D73" s="41" t="s">
        <v>312</v>
      </c>
      <c r="E73" s="55">
        <v>923245</v>
      </c>
      <c r="F73" s="41" t="s">
        <v>180</v>
      </c>
      <c r="G73" s="41" t="s">
        <v>29</v>
      </c>
      <c r="H73" s="41" t="s">
        <v>30</v>
      </c>
      <c r="I73" s="41" t="s">
        <v>31</v>
      </c>
      <c r="J73" s="41" t="s">
        <v>32</v>
      </c>
      <c r="K73" s="41" t="s">
        <v>33</v>
      </c>
      <c r="L73" s="50">
        <v>48294866</v>
      </c>
      <c r="M73" s="50">
        <v>0</v>
      </c>
      <c r="N73" s="50">
        <v>48294866</v>
      </c>
      <c r="O73" s="50">
        <v>44308623</v>
      </c>
      <c r="P73" s="43" t="s">
        <v>351</v>
      </c>
      <c r="Q73" s="40">
        <v>35254472</v>
      </c>
      <c r="R73" s="41" t="s">
        <v>842</v>
      </c>
      <c r="S73" s="41" t="s">
        <v>316</v>
      </c>
      <c r="T73" s="41" t="s">
        <v>317</v>
      </c>
      <c r="U73" s="41" t="s">
        <v>843</v>
      </c>
      <c r="V73" s="41" t="s">
        <v>319</v>
      </c>
      <c r="W73" s="40">
        <v>860007335</v>
      </c>
      <c r="X73" s="41" t="s">
        <v>381</v>
      </c>
      <c r="Y73" s="40">
        <v>3825</v>
      </c>
      <c r="Z73" s="40">
        <v>3825</v>
      </c>
      <c r="AA73" s="40">
        <v>7225</v>
      </c>
      <c r="AB73" s="41"/>
      <c r="AC73" s="41" t="s">
        <v>1000</v>
      </c>
      <c r="AD73" s="41" t="s">
        <v>2854</v>
      </c>
      <c r="AE73" s="41"/>
      <c r="AF73" s="41" t="s">
        <v>786</v>
      </c>
      <c r="AG73" s="41" t="s">
        <v>356</v>
      </c>
      <c r="AH73" s="41" t="s">
        <v>845</v>
      </c>
      <c r="AI73" s="41" t="s">
        <v>748</v>
      </c>
    </row>
    <row r="74" spans="1:35" x14ac:dyDescent="0.2">
      <c r="A74" s="53">
        <v>7325</v>
      </c>
      <c r="B74" s="41" t="s">
        <v>786</v>
      </c>
      <c r="C74" s="41" t="s">
        <v>846</v>
      </c>
      <c r="D74" s="41" t="s">
        <v>312</v>
      </c>
      <c r="E74" s="55">
        <v>923245</v>
      </c>
      <c r="F74" s="41" t="s">
        <v>180</v>
      </c>
      <c r="G74" s="41" t="s">
        <v>29</v>
      </c>
      <c r="H74" s="41" t="s">
        <v>30</v>
      </c>
      <c r="I74" s="41" t="s">
        <v>31</v>
      </c>
      <c r="J74" s="41" t="s">
        <v>32</v>
      </c>
      <c r="K74" s="41" t="s">
        <v>33</v>
      </c>
      <c r="L74" s="50">
        <v>48294866</v>
      </c>
      <c r="M74" s="50">
        <v>0</v>
      </c>
      <c r="N74" s="50">
        <v>48294866</v>
      </c>
      <c r="O74" s="50">
        <v>44308623</v>
      </c>
      <c r="P74" s="43" t="s">
        <v>351</v>
      </c>
      <c r="Q74" s="40">
        <v>65787530</v>
      </c>
      <c r="R74" s="41" t="s">
        <v>847</v>
      </c>
      <c r="S74" s="41" t="s">
        <v>316</v>
      </c>
      <c r="T74" s="41" t="s">
        <v>317</v>
      </c>
      <c r="U74" s="41" t="s">
        <v>848</v>
      </c>
      <c r="V74" s="41" t="s">
        <v>319</v>
      </c>
      <c r="W74" s="40">
        <v>860007335</v>
      </c>
      <c r="X74" s="41" t="s">
        <v>381</v>
      </c>
      <c r="Y74" s="40">
        <v>3825</v>
      </c>
      <c r="Z74" s="40">
        <v>3825</v>
      </c>
      <c r="AA74" s="40">
        <v>7325</v>
      </c>
      <c r="AB74" s="41"/>
      <c r="AC74" s="41" t="s">
        <v>1005</v>
      </c>
      <c r="AD74" s="41" t="s">
        <v>2856</v>
      </c>
      <c r="AE74" s="41"/>
      <c r="AF74" s="41" t="s">
        <v>786</v>
      </c>
      <c r="AG74" s="41" t="s">
        <v>356</v>
      </c>
      <c r="AH74" s="41" t="s">
        <v>850</v>
      </c>
      <c r="AI74" s="41" t="s">
        <v>748</v>
      </c>
    </row>
    <row r="75" spans="1:35" x14ac:dyDescent="0.2">
      <c r="A75" s="53">
        <v>7425</v>
      </c>
      <c r="B75" s="41" t="s">
        <v>786</v>
      </c>
      <c r="C75" s="41" t="s">
        <v>851</v>
      </c>
      <c r="D75" s="41" t="s">
        <v>312</v>
      </c>
      <c r="E75" s="55">
        <v>923245</v>
      </c>
      <c r="F75" s="41" t="s">
        <v>180</v>
      </c>
      <c r="G75" s="41" t="s">
        <v>29</v>
      </c>
      <c r="H75" s="41" t="s">
        <v>30</v>
      </c>
      <c r="I75" s="41" t="s">
        <v>31</v>
      </c>
      <c r="J75" s="41" t="s">
        <v>32</v>
      </c>
      <c r="K75" s="41" t="s">
        <v>33</v>
      </c>
      <c r="L75" s="50">
        <v>40475697</v>
      </c>
      <c r="M75" s="50">
        <v>0</v>
      </c>
      <c r="N75" s="50">
        <v>40475697</v>
      </c>
      <c r="O75" s="50">
        <v>36489454</v>
      </c>
      <c r="P75" s="43" t="s">
        <v>351</v>
      </c>
      <c r="Q75" s="40">
        <v>12644439</v>
      </c>
      <c r="R75" s="41" t="s">
        <v>852</v>
      </c>
      <c r="S75" s="41" t="s">
        <v>316</v>
      </c>
      <c r="T75" s="41" t="s">
        <v>317</v>
      </c>
      <c r="U75" s="41" t="s">
        <v>853</v>
      </c>
      <c r="V75" s="41" t="s">
        <v>319</v>
      </c>
      <c r="W75" s="40">
        <v>890903938</v>
      </c>
      <c r="X75" s="41" t="s">
        <v>342</v>
      </c>
      <c r="Y75" s="40">
        <v>3825</v>
      </c>
      <c r="Z75" s="40">
        <v>3825</v>
      </c>
      <c r="AA75" s="40">
        <v>7425</v>
      </c>
      <c r="AB75" s="41"/>
      <c r="AC75" s="41" t="s">
        <v>1010</v>
      </c>
      <c r="AD75" s="41" t="s">
        <v>2858</v>
      </c>
      <c r="AE75" s="41"/>
      <c r="AF75" s="41" t="s">
        <v>786</v>
      </c>
      <c r="AG75" s="41" t="s">
        <v>356</v>
      </c>
      <c r="AH75" s="41" t="s">
        <v>855</v>
      </c>
      <c r="AI75" s="41" t="s">
        <v>748</v>
      </c>
    </row>
    <row r="76" spans="1:35" x14ac:dyDescent="0.2">
      <c r="A76" s="53">
        <v>7525</v>
      </c>
      <c r="B76" s="41" t="s">
        <v>786</v>
      </c>
      <c r="C76" s="41" t="s">
        <v>856</v>
      </c>
      <c r="D76" s="41" t="s">
        <v>312</v>
      </c>
      <c r="E76" s="55">
        <v>923210</v>
      </c>
      <c r="F76" s="41" t="s">
        <v>56</v>
      </c>
      <c r="G76" s="41" t="s">
        <v>29</v>
      </c>
      <c r="H76" s="41" t="s">
        <v>30</v>
      </c>
      <c r="I76" s="41" t="s">
        <v>31</v>
      </c>
      <c r="J76" s="41" t="s">
        <v>32</v>
      </c>
      <c r="K76" s="41" t="s">
        <v>33</v>
      </c>
      <c r="L76" s="50">
        <v>24342633</v>
      </c>
      <c r="M76" s="50">
        <v>0</v>
      </c>
      <c r="N76" s="50">
        <v>24342633</v>
      </c>
      <c r="O76" s="50">
        <v>22333400</v>
      </c>
      <c r="P76" s="43" t="s">
        <v>351</v>
      </c>
      <c r="Q76" s="40">
        <v>39676109</v>
      </c>
      <c r="R76" s="41" t="s">
        <v>857</v>
      </c>
      <c r="S76" s="41" t="s">
        <v>316</v>
      </c>
      <c r="T76" s="41" t="s">
        <v>317</v>
      </c>
      <c r="U76" s="41" t="s">
        <v>858</v>
      </c>
      <c r="V76" s="41" t="s">
        <v>319</v>
      </c>
      <c r="W76" s="40">
        <v>890903938</v>
      </c>
      <c r="X76" s="41" t="s">
        <v>342</v>
      </c>
      <c r="Y76" s="40">
        <v>1925</v>
      </c>
      <c r="Z76" s="40">
        <v>1925</v>
      </c>
      <c r="AA76" s="40">
        <v>7525</v>
      </c>
      <c r="AB76" s="41"/>
      <c r="AC76" s="41" t="s">
        <v>1015</v>
      </c>
      <c r="AD76" s="41" t="s">
        <v>2860</v>
      </c>
      <c r="AE76" s="41"/>
      <c r="AF76" s="41" t="s">
        <v>786</v>
      </c>
      <c r="AG76" s="41" t="s">
        <v>356</v>
      </c>
      <c r="AH76" s="41" t="s">
        <v>860</v>
      </c>
      <c r="AI76" s="41" t="s">
        <v>861</v>
      </c>
    </row>
    <row r="77" spans="1:35" x14ac:dyDescent="0.2">
      <c r="A77" s="53">
        <v>7625</v>
      </c>
      <c r="B77" s="41" t="s">
        <v>786</v>
      </c>
      <c r="C77" s="41" t="s">
        <v>862</v>
      </c>
      <c r="D77" s="41" t="s">
        <v>312</v>
      </c>
      <c r="E77" s="55">
        <v>923245</v>
      </c>
      <c r="F77" s="41" t="s">
        <v>180</v>
      </c>
      <c r="G77" s="41" t="s">
        <v>29</v>
      </c>
      <c r="H77" s="41" t="s">
        <v>30</v>
      </c>
      <c r="I77" s="41" t="s">
        <v>31</v>
      </c>
      <c r="J77" s="41" t="s">
        <v>32</v>
      </c>
      <c r="K77" s="41" t="s">
        <v>33</v>
      </c>
      <c r="L77" s="50">
        <v>48294866</v>
      </c>
      <c r="M77" s="50">
        <v>0</v>
      </c>
      <c r="N77" s="50">
        <v>48294866</v>
      </c>
      <c r="O77" s="50">
        <v>44308623</v>
      </c>
      <c r="P77" s="43" t="s">
        <v>351</v>
      </c>
      <c r="Q77" s="40">
        <v>53119149</v>
      </c>
      <c r="R77" s="41" t="s">
        <v>863</v>
      </c>
      <c r="S77" s="41" t="s">
        <v>316</v>
      </c>
      <c r="T77" s="41" t="s">
        <v>317</v>
      </c>
      <c r="U77" s="41" t="s">
        <v>864</v>
      </c>
      <c r="V77" s="41" t="s">
        <v>319</v>
      </c>
      <c r="W77" s="40">
        <v>860002964</v>
      </c>
      <c r="X77" s="41" t="s">
        <v>419</v>
      </c>
      <c r="Y77" s="40">
        <v>3825</v>
      </c>
      <c r="Z77" s="40">
        <v>3825</v>
      </c>
      <c r="AA77" s="40">
        <v>7625</v>
      </c>
      <c r="AB77" s="41"/>
      <c r="AC77" s="41" t="s">
        <v>1020</v>
      </c>
      <c r="AD77" s="41" t="s">
        <v>2863</v>
      </c>
      <c r="AE77" s="41"/>
      <c r="AF77" s="41" t="s">
        <v>786</v>
      </c>
      <c r="AG77" s="41" t="s">
        <v>356</v>
      </c>
      <c r="AH77" s="41" t="s">
        <v>866</v>
      </c>
      <c r="AI77" s="41" t="s">
        <v>748</v>
      </c>
    </row>
    <row r="78" spans="1:35" x14ac:dyDescent="0.2">
      <c r="A78" s="53">
        <v>7725</v>
      </c>
      <c r="B78" s="41" t="s">
        <v>786</v>
      </c>
      <c r="C78" s="41" t="s">
        <v>867</v>
      </c>
      <c r="D78" s="41" t="s">
        <v>312</v>
      </c>
      <c r="E78" s="55">
        <v>923245</v>
      </c>
      <c r="F78" s="41" t="s">
        <v>180</v>
      </c>
      <c r="G78" s="41" t="s">
        <v>29</v>
      </c>
      <c r="H78" s="41" t="s">
        <v>30</v>
      </c>
      <c r="I78" s="41" t="s">
        <v>31</v>
      </c>
      <c r="J78" s="41" t="s">
        <v>32</v>
      </c>
      <c r="K78" s="41" t="s">
        <v>33</v>
      </c>
      <c r="L78" s="50">
        <v>48294866</v>
      </c>
      <c r="M78" s="50">
        <v>0</v>
      </c>
      <c r="N78" s="50">
        <v>48294866</v>
      </c>
      <c r="O78" s="50">
        <v>44308623</v>
      </c>
      <c r="P78" s="43" t="s">
        <v>351</v>
      </c>
      <c r="Q78" s="40">
        <v>80056517</v>
      </c>
      <c r="R78" s="41" t="s">
        <v>868</v>
      </c>
      <c r="S78" s="41" t="s">
        <v>316</v>
      </c>
      <c r="T78" s="41" t="s">
        <v>317</v>
      </c>
      <c r="U78" s="41" t="s">
        <v>2867</v>
      </c>
      <c r="V78" s="41" t="s">
        <v>319</v>
      </c>
      <c r="W78" s="40">
        <v>860051894</v>
      </c>
      <c r="X78" s="41" t="s">
        <v>2868</v>
      </c>
      <c r="Y78" s="40">
        <v>3825</v>
      </c>
      <c r="Z78" s="40">
        <v>3825</v>
      </c>
      <c r="AA78" s="40">
        <v>7725</v>
      </c>
      <c r="AB78" s="41"/>
      <c r="AC78" s="41" t="s">
        <v>1026</v>
      </c>
      <c r="AD78" s="41" t="s">
        <v>2865</v>
      </c>
      <c r="AE78" s="41"/>
      <c r="AF78" s="41" t="s">
        <v>786</v>
      </c>
      <c r="AG78" s="41" t="s">
        <v>356</v>
      </c>
      <c r="AH78" s="41" t="s">
        <v>870</v>
      </c>
      <c r="AI78" s="41" t="s">
        <v>748</v>
      </c>
    </row>
    <row r="79" spans="1:35" x14ac:dyDescent="0.2">
      <c r="A79" s="53">
        <v>7825</v>
      </c>
      <c r="B79" s="41" t="s">
        <v>786</v>
      </c>
      <c r="C79" s="41" t="s">
        <v>871</v>
      </c>
      <c r="D79" s="41" t="s">
        <v>312</v>
      </c>
      <c r="E79" s="55">
        <v>923245</v>
      </c>
      <c r="F79" s="41" t="s">
        <v>180</v>
      </c>
      <c r="G79" s="41" t="s">
        <v>29</v>
      </c>
      <c r="H79" s="41" t="s">
        <v>30</v>
      </c>
      <c r="I79" s="41" t="s">
        <v>31</v>
      </c>
      <c r="J79" s="41" t="s">
        <v>32</v>
      </c>
      <c r="K79" s="41" t="s">
        <v>33</v>
      </c>
      <c r="L79" s="50">
        <v>48294866</v>
      </c>
      <c r="M79" s="50">
        <v>0</v>
      </c>
      <c r="N79" s="50">
        <v>48294866</v>
      </c>
      <c r="O79" s="50">
        <v>44308623</v>
      </c>
      <c r="P79" s="43" t="s">
        <v>351</v>
      </c>
      <c r="Q79" s="40">
        <v>1022945222</v>
      </c>
      <c r="R79" s="41" t="s">
        <v>872</v>
      </c>
      <c r="S79" s="41" t="s">
        <v>316</v>
      </c>
      <c r="T79" s="41" t="s">
        <v>317</v>
      </c>
      <c r="U79" s="41" t="s">
        <v>873</v>
      </c>
      <c r="V79" s="41" t="s">
        <v>319</v>
      </c>
      <c r="W79" s="40">
        <v>900047981</v>
      </c>
      <c r="X79" s="41" t="s">
        <v>399</v>
      </c>
      <c r="Y79" s="40">
        <v>3825</v>
      </c>
      <c r="Z79" s="40">
        <v>3825</v>
      </c>
      <c r="AA79" s="40">
        <v>7825</v>
      </c>
      <c r="AB79" s="41"/>
      <c r="AC79" s="41" t="s">
        <v>1031</v>
      </c>
      <c r="AD79" s="41" t="s">
        <v>2869</v>
      </c>
      <c r="AE79" s="41"/>
      <c r="AF79" s="41" t="s">
        <v>786</v>
      </c>
      <c r="AG79" s="41" t="s">
        <v>356</v>
      </c>
      <c r="AH79" s="41" t="s">
        <v>875</v>
      </c>
      <c r="AI79" s="41" t="s">
        <v>748</v>
      </c>
    </row>
    <row r="80" spans="1:35" x14ac:dyDescent="0.2">
      <c r="A80" s="53">
        <v>7925</v>
      </c>
      <c r="B80" s="41" t="s">
        <v>786</v>
      </c>
      <c r="C80" s="41" t="s">
        <v>876</v>
      </c>
      <c r="D80" s="41" t="s">
        <v>312</v>
      </c>
      <c r="E80" s="55">
        <v>923245</v>
      </c>
      <c r="F80" s="41" t="s">
        <v>180</v>
      </c>
      <c r="G80" s="41" t="s">
        <v>29</v>
      </c>
      <c r="H80" s="41" t="s">
        <v>30</v>
      </c>
      <c r="I80" s="41" t="s">
        <v>31</v>
      </c>
      <c r="J80" s="41" t="s">
        <v>32</v>
      </c>
      <c r="K80" s="41" t="s">
        <v>33</v>
      </c>
      <c r="L80" s="50">
        <v>48294866</v>
      </c>
      <c r="M80" s="50">
        <v>0</v>
      </c>
      <c r="N80" s="50">
        <v>48294866</v>
      </c>
      <c r="O80" s="50">
        <v>44308623</v>
      </c>
      <c r="P80" s="43" t="s">
        <v>351</v>
      </c>
      <c r="Q80" s="40">
        <v>80047546</v>
      </c>
      <c r="R80" s="41" t="s">
        <v>877</v>
      </c>
      <c r="S80" s="41" t="s">
        <v>316</v>
      </c>
      <c r="T80" s="41" t="s">
        <v>317</v>
      </c>
      <c r="U80" s="41" t="s">
        <v>878</v>
      </c>
      <c r="V80" s="41" t="s">
        <v>319</v>
      </c>
      <c r="W80" s="40">
        <v>860034313</v>
      </c>
      <c r="X80" s="41" t="s">
        <v>355</v>
      </c>
      <c r="Y80" s="40">
        <v>3825</v>
      </c>
      <c r="Z80" s="40">
        <v>3825</v>
      </c>
      <c r="AA80" s="40">
        <v>7925</v>
      </c>
      <c r="AB80" s="41"/>
      <c r="AC80" s="41" t="s">
        <v>1036</v>
      </c>
      <c r="AD80" s="41" t="s">
        <v>2870</v>
      </c>
      <c r="AE80" s="41"/>
      <c r="AF80" s="41" t="s">
        <v>786</v>
      </c>
      <c r="AG80" s="41" t="s">
        <v>356</v>
      </c>
      <c r="AH80" s="41" t="s">
        <v>880</v>
      </c>
      <c r="AI80" s="41" t="s">
        <v>748</v>
      </c>
    </row>
    <row r="81" spans="1:35" x14ac:dyDescent="0.2">
      <c r="A81" s="53">
        <v>8025</v>
      </c>
      <c r="B81" s="41" t="s">
        <v>786</v>
      </c>
      <c r="C81" s="41" t="s">
        <v>881</v>
      </c>
      <c r="D81" s="41" t="s">
        <v>312</v>
      </c>
      <c r="E81" s="55">
        <v>923245</v>
      </c>
      <c r="F81" s="41" t="s">
        <v>180</v>
      </c>
      <c r="G81" s="41" t="s">
        <v>29</v>
      </c>
      <c r="H81" s="41" t="s">
        <v>30</v>
      </c>
      <c r="I81" s="41" t="s">
        <v>31</v>
      </c>
      <c r="J81" s="41" t="s">
        <v>32</v>
      </c>
      <c r="K81" s="41" t="s">
        <v>33</v>
      </c>
      <c r="L81" s="50">
        <v>48294866</v>
      </c>
      <c r="M81" s="50">
        <v>0</v>
      </c>
      <c r="N81" s="50">
        <v>48294866</v>
      </c>
      <c r="O81" s="50">
        <v>44308623</v>
      </c>
      <c r="P81" s="43" t="s">
        <v>351</v>
      </c>
      <c r="Q81" s="40">
        <v>1023876213</v>
      </c>
      <c r="R81" s="41" t="s">
        <v>882</v>
      </c>
      <c r="S81" s="41" t="s">
        <v>316</v>
      </c>
      <c r="T81" s="41" t="s">
        <v>317</v>
      </c>
      <c r="U81" s="41" t="s">
        <v>883</v>
      </c>
      <c r="V81" s="41" t="s">
        <v>319</v>
      </c>
      <c r="W81" s="40">
        <v>890903938</v>
      </c>
      <c r="X81" s="41" t="s">
        <v>342</v>
      </c>
      <c r="Y81" s="40">
        <v>3825</v>
      </c>
      <c r="Z81" s="40">
        <v>3825</v>
      </c>
      <c r="AA81" s="40">
        <v>8025</v>
      </c>
      <c r="AB81" s="41"/>
      <c r="AC81" s="41" t="s">
        <v>1041</v>
      </c>
      <c r="AD81" s="41" t="s">
        <v>2871</v>
      </c>
      <c r="AE81" s="41"/>
      <c r="AF81" s="41" t="s">
        <v>786</v>
      </c>
      <c r="AG81" s="41" t="s">
        <v>356</v>
      </c>
      <c r="AH81" s="41" t="s">
        <v>885</v>
      </c>
      <c r="AI81" s="41" t="s">
        <v>748</v>
      </c>
    </row>
    <row r="82" spans="1:35" x14ac:dyDescent="0.2">
      <c r="A82" s="53">
        <v>8125</v>
      </c>
      <c r="B82" s="41" t="s">
        <v>786</v>
      </c>
      <c r="C82" s="41" t="s">
        <v>886</v>
      </c>
      <c r="D82" s="41" t="s">
        <v>312</v>
      </c>
      <c r="E82" s="55">
        <v>923245</v>
      </c>
      <c r="F82" s="41" t="s">
        <v>180</v>
      </c>
      <c r="G82" s="41" t="s">
        <v>29</v>
      </c>
      <c r="H82" s="41" t="s">
        <v>30</v>
      </c>
      <c r="I82" s="41" t="s">
        <v>31</v>
      </c>
      <c r="J82" s="41" t="s">
        <v>32</v>
      </c>
      <c r="K82" s="41" t="s">
        <v>33</v>
      </c>
      <c r="L82" s="50">
        <v>48294866</v>
      </c>
      <c r="M82" s="50">
        <v>0</v>
      </c>
      <c r="N82" s="50">
        <v>48294866</v>
      </c>
      <c r="O82" s="50">
        <v>44308623</v>
      </c>
      <c r="P82" s="43" t="s">
        <v>887</v>
      </c>
      <c r="Q82" s="40">
        <v>474259</v>
      </c>
      <c r="R82" s="41" t="s">
        <v>888</v>
      </c>
      <c r="S82" s="41" t="s">
        <v>316</v>
      </c>
      <c r="T82" s="41" t="s">
        <v>317</v>
      </c>
      <c r="U82" s="41" t="s">
        <v>889</v>
      </c>
      <c r="V82" s="41" t="s">
        <v>319</v>
      </c>
      <c r="W82" s="40">
        <v>860034313</v>
      </c>
      <c r="X82" s="41" t="s">
        <v>355</v>
      </c>
      <c r="Y82" s="40">
        <v>3825</v>
      </c>
      <c r="Z82" s="40">
        <v>3825</v>
      </c>
      <c r="AA82" s="40">
        <v>8125</v>
      </c>
      <c r="AB82" s="41"/>
      <c r="AC82" s="41" t="s">
        <v>1047</v>
      </c>
      <c r="AD82" s="41" t="s">
        <v>2872</v>
      </c>
      <c r="AE82" s="41"/>
      <c r="AF82" s="41" t="s">
        <v>786</v>
      </c>
      <c r="AG82" s="41" t="s">
        <v>356</v>
      </c>
      <c r="AH82" s="41" t="s">
        <v>891</v>
      </c>
      <c r="AI82" s="41" t="s">
        <v>748</v>
      </c>
    </row>
    <row r="83" spans="1:35" x14ac:dyDescent="0.2">
      <c r="A83" s="53">
        <v>8225</v>
      </c>
      <c r="B83" s="41" t="s">
        <v>786</v>
      </c>
      <c r="C83" s="41" t="s">
        <v>892</v>
      </c>
      <c r="D83" s="41" t="s">
        <v>312</v>
      </c>
      <c r="E83" s="55">
        <v>923245</v>
      </c>
      <c r="F83" s="41" t="s">
        <v>180</v>
      </c>
      <c r="G83" s="41" t="s">
        <v>29</v>
      </c>
      <c r="H83" s="41" t="s">
        <v>30</v>
      </c>
      <c r="I83" s="41" t="s">
        <v>31</v>
      </c>
      <c r="J83" s="41" t="s">
        <v>32</v>
      </c>
      <c r="K83" s="41" t="s">
        <v>33</v>
      </c>
      <c r="L83" s="50">
        <v>48294866</v>
      </c>
      <c r="M83" s="50">
        <v>0</v>
      </c>
      <c r="N83" s="50">
        <v>48294866</v>
      </c>
      <c r="O83" s="50">
        <v>44308623</v>
      </c>
      <c r="P83" s="43" t="s">
        <v>351</v>
      </c>
      <c r="Q83" s="40">
        <v>1024470479</v>
      </c>
      <c r="R83" s="41" t="s">
        <v>893</v>
      </c>
      <c r="S83" s="41" t="s">
        <v>316</v>
      </c>
      <c r="T83" s="41" t="s">
        <v>317</v>
      </c>
      <c r="U83" s="41" t="s">
        <v>894</v>
      </c>
      <c r="V83" s="41" t="s">
        <v>319</v>
      </c>
      <c r="W83" s="40">
        <v>860034313</v>
      </c>
      <c r="X83" s="41" t="s">
        <v>355</v>
      </c>
      <c r="Y83" s="40">
        <v>3825</v>
      </c>
      <c r="Z83" s="40">
        <v>3825</v>
      </c>
      <c r="AA83" s="40">
        <v>8225</v>
      </c>
      <c r="AB83" s="41"/>
      <c r="AC83" s="41" t="s">
        <v>1052</v>
      </c>
      <c r="AD83" s="41" t="s">
        <v>2873</v>
      </c>
      <c r="AE83" s="41"/>
      <c r="AF83" s="41" t="s">
        <v>786</v>
      </c>
      <c r="AG83" s="41" t="s">
        <v>356</v>
      </c>
      <c r="AH83" s="41" t="s">
        <v>896</v>
      </c>
      <c r="AI83" s="41" t="s">
        <v>748</v>
      </c>
    </row>
    <row r="84" spans="1:35" x14ac:dyDescent="0.2">
      <c r="A84" s="53">
        <v>8325</v>
      </c>
      <c r="B84" s="41" t="s">
        <v>786</v>
      </c>
      <c r="C84" s="41" t="s">
        <v>897</v>
      </c>
      <c r="D84" s="41" t="s">
        <v>312</v>
      </c>
      <c r="E84" s="55">
        <v>923245</v>
      </c>
      <c r="F84" s="41" t="s">
        <v>180</v>
      </c>
      <c r="G84" s="41" t="s">
        <v>29</v>
      </c>
      <c r="H84" s="41" t="s">
        <v>30</v>
      </c>
      <c r="I84" s="41" t="s">
        <v>31</v>
      </c>
      <c r="J84" s="41" t="s">
        <v>32</v>
      </c>
      <c r="K84" s="41" t="s">
        <v>33</v>
      </c>
      <c r="L84" s="50">
        <v>48294866</v>
      </c>
      <c r="M84" s="50">
        <v>0</v>
      </c>
      <c r="N84" s="50">
        <v>48294866</v>
      </c>
      <c r="O84" s="50">
        <v>44308623</v>
      </c>
      <c r="P84" s="43" t="s">
        <v>351</v>
      </c>
      <c r="Q84" s="40">
        <v>1022415410</v>
      </c>
      <c r="R84" s="41" t="s">
        <v>898</v>
      </c>
      <c r="S84" s="41" t="s">
        <v>316</v>
      </c>
      <c r="T84" s="41" t="s">
        <v>317</v>
      </c>
      <c r="U84" s="41" t="s">
        <v>899</v>
      </c>
      <c r="V84" s="41" t="s">
        <v>319</v>
      </c>
      <c r="W84" s="40">
        <v>890903938</v>
      </c>
      <c r="X84" s="41" t="s">
        <v>342</v>
      </c>
      <c r="Y84" s="40">
        <v>3825</v>
      </c>
      <c r="Z84" s="40">
        <v>3825</v>
      </c>
      <c r="AA84" s="40">
        <v>8325</v>
      </c>
      <c r="AB84" s="41"/>
      <c r="AC84" s="41" t="s">
        <v>1057</v>
      </c>
      <c r="AD84" s="41" t="s">
        <v>2875</v>
      </c>
      <c r="AE84" s="41"/>
      <c r="AF84" s="41" t="s">
        <v>786</v>
      </c>
      <c r="AG84" s="41" t="s">
        <v>356</v>
      </c>
      <c r="AH84" s="41" t="s">
        <v>901</v>
      </c>
      <c r="AI84" s="41" t="s">
        <v>748</v>
      </c>
    </row>
    <row r="85" spans="1:35" x14ac:dyDescent="0.2">
      <c r="A85" s="53">
        <v>8425</v>
      </c>
      <c r="B85" s="41" t="s">
        <v>786</v>
      </c>
      <c r="C85" s="41" t="s">
        <v>902</v>
      </c>
      <c r="D85" s="41" t="s">
        <v>312</v>
      </c>
      <c r="E85" s="55">
        <v>923245</v>
      </c>
      <c r="F85" s="41" t="s">
        <v>180</v>
      </c>
      <c r="G85" s="41" t="s">
        <v>29</v>
      </c>
      <c r="H85" s="41" t="s">
        <v>30</v>
      </c>
      <c r="I85" s="41" t="s">
        <v>31</v>
      </c>
      <c r="J85" s="41" t="s">
        <v>32</v>
      </c>
      <c r="K85" s="41" t="s">
        <v>33</v>
      </c>
      <c r="L85" s="50">
        <v>48294866</v>
      </c>
      <c r="M85" s="50">
        <v>0</v>
      </c>
      <c r="N85" s="50">
        <v>48294866</v>
      </c>
      <c r="O85" s="50">
        <v>44308623</v>
      </c>
      <c r="P85" s="43" t="s">
        <v>351</v>
      </c>
      <c r="Q85" s="40">
        <v>91238336</v>
      </c>
      <c r="R85" s="41" t="s">
        <v>903</v>
      </c>
      <c r="S85" s="41" t="s">
        <v>316</v>
      </c>
      <c r="T85" s="41" t="s">
        <v>317</v>
      </c>
      <c r="U85" s="41" t="s">
        <v>904</v>
      </c>
      <c r="V85" s="41" t="s">
        <v>319</v>
      </c>
      <c r="W85" s="40">
        <v>890903938</v>
      </c>
      <c r="X85" s="41" t="s">
        <v>342</v>
      </c>
      <c r="Y85" s="40">
        <v>3825</v>
      </c>
      <c r="Z85" s="40">
        <v>3825</v>
      </c>
      <c r="AA85" s="40">
        <v>8425</v>
      </c>
      <c r="AB85" s="41"/>
      <c r="AC85" s="41" t="s">
        <v>1062</v>
      </c>
      <c r="AD85" s="41" t="s">
        <v>2877</v>
      </c>
      <c r="AE85" s="41"/>
      <c r="AF85" s="41" t="s">
        <v>786</v>
      </c>
      <c r="AG85" s="41" t="s">
        <v>356</v>
      </c>
      <c r="AH85" s="41" t="s">
        <v>906</v>
      </c>
      <c r="AI85" s="41" t="s">
        <v>748</v>
      </c>
    </row>
    <row r="86" spans="1:35" x14ac:dyDescent="0.2">
      <c r="A86" s="53">
        <v>8525</v>
      </c>
      <c r="B86" s="41" t="s">
        <v>786</v>
      </c>
      <c r="C86" s="41" t="s">
        <v>907</v>
      </c>
      <c r="D86" s="41" t="s">
        <v>312</v>
      </c>
      <c r="E86" s="55">
        <v>923245</v>
      </c>
      <c r="F86" s="41" t="s">
        <v>180</v>
      </c>
      <c r="G86" s="41" t="s">
        <v>29</v>
      </c>
      <c r="H86" s="41" t="s">
        <v>30</v>
      </c>
      <c r="I86" s="41" t="s">
        <v>31</v>
      </c>
      <c r="J86" s="41" t="s">
        <v>32</v>
      </c>
      <c r="K86" s="41" t="s">
        <v>33</v>
      </c>
      <c r="L86" s="50">
        <v>48294866</v>
      </c>
      <c r="M86" s="50">
        <v>0</v>
      </c>
      <c r="N86" s="50">
        <v>48294866</v>
      </c>
      <c r="O86" s="50">
        <v>44308623</v>
      </c>
      <c r="P86" s="43" t="s">
        <v>351</v>
      </c>
      <c r="Q86" s="40">
        <v>91536012</v>
      </c>
      <c r="R86" s="41" t="s">
        <v>908</v>
      </c>
      <c r="S86" s="41" t="s">
        <v>316</v>
      </c>
      <c r="T86" s="41" t="s">
        <v>317</v>
      </c>
      <c r="U86" s="41" t="s">
        <v>909</v>
      </c>
      <c r="V86" s="41" t="s">
        <v>319</v>
      </c>
      <c r="W86" s="40">
        <v>890903938</v>
      </c>
      <c r="X86" s="41" t="s">
        <v>342</v>
      </c>
      <c r="Y86" s="40">
        <v>3825</v>
      </c>
      <c r="Z86" s="40">
        <v>3825</v>
      </c>
      <c r="AA86" s="40">
        <v>8525</v>
      </c>
      <c r="AB86" s="41"/>
      <c r="AC86" s="41" t="s">
        <v>1067</v>
      </c>
      <c r="AD86" s="41" t="s">
        <v>2878</v>
      </c>
      <c r="AE86" s="41"/>
      <c r="AF86" s="41" t="s">
        <v>786</v>
      </c>
      <c r="AG86" s="41" t="s">
        <v>356</v>
      </c>
      <c r="AH86" s="41" t="s">
        <v>911</v>
      </c>
      <c r="AI86" s="41" t="s">
        <v>748</v>
      </c>
    </row>
    <row r="87" spans="1:35" x14ac:dyDescent="0.2">
      <c r="A87" s="53">
        <v>8625</v>
      </c>
      <c r="B87" s="41" t="s">
        <v>786</v>
      </c>
      <c r="C87" s="41" t="s">
        <v>912</v>
      </c>
      <c r="D87" s="41" t="s">
        <v>312</v>
      </c>
      <c r="E87" s="55">
        <v>923245</v>
      </c>
      <c r="F87" s="41" t="s">
        <v>180</v>
      </c>
      <c r="G87" s="41" t="s">
        <v>29</v>
      </c>
      <c r="H87" s="41" t="s">
        <v>30</v>
      </c>
      <c r="I87" s="41" t="s">
        <v>31</v>
      </c>
      <c r="J87" s="41" t="s">
        <v>32</v>
      </c>
      <c r="K87" s="41" t="s">
        <v>33</v>
      </c>
      <c r="L87" s="50">
        <v>48294866</v>
      </c>
      <c r="M87" s="50">
        <v>0</v>
      </c>
      <c r="N87" s="50">
        <v>48294866</v>
      </c>
      <c r="O87" s="50">
        <v>44308623</v>
      </c>
      <c r="P87" s="43" t="s">
        <v>351</v>
      </c>
      <c r="Q87" s="40">
        <v>19288738</v>
      </c>
      <c r="R87" s="41" t="s">
        <v>913</v>
      </c>
      <c r="S87" s="41" t="s">
        <v>316</v>
      </c>
      <c r="T87" s="41" t="s">
        <v>317</v>
      </c>
      <c r="U87" s="41" t="s">
        <v>914</v>
      </c>
      <c r="V87" s="41" t="s">
        <v>319</v>
      </c>
      <c r="W87" s="40">
        <v>860034313</v>
      </c>
      <c r="X87" s="41" t="s">
        <v>355</v>
      </c>
      <c r="Y87" s="40">
        <v>3825</v>
      </c>
      <c r="Z87" s="40">
        <v>3825</v>
      </c>
      <c r="AA87" s="40">
        <v>8625</v>
      </c>
      <c r="AB87" s="41"/>
      <c r="AC87" s="41" t="s">
        <v>1072</v>
      </c>
      <c r="AD87" s="41" t="s">
        <v>2880</v>
      </c>
      <c r="AE87" s="41"/>
      <c r="AF87" s="41" t="s">
        <v>786</v>
      </c>
      <c r="AG87" s="41" t="s">
        <v>356</v>
      </c>
      <c r="AH87" s="41" t="s">
        <v>916</v>
      </c>
      <c r="AI87" s="41" t="s">
        <v>748</v>
      </c>
    </row>
    <row r="88" spans="1:35" x14ac:dyDescent="0.2">
      <c r="A88" s="53">
        <v>8725</v>
      </c>
      <c r="B88" s="41" t="s">
        <v>786</v>
      </c>
      <c r="C88" s="41" t="s">
        <v>917</v>
      </c>
      <c r="D88" s="41" t="s">
        <v>312</v>
      </c>
      <c r="E88" s="55">
        <v>923245</v>
      </c>
      <c r="F88" s="41" t="s">
        <v>180</v>
      </c>
      <c r="G88" s="41" t="s">
        <v>29</v>
      </c>
      <c r="H88" s="41" t="s">
        <v>30</v>
      </c>
      <c r="I88" s="41" t="s">
        <v>31</v>
      </c>
      <c r="J88" s="41" t="s">
        <v>32</v>
      </c>
      <c r="K88" s="41" t="s">
        <v>33</v>
      </c>
      <c r="L88" s="50">
        <v>48294866</v>
      </c>
      <c r="M88" s="50">
        <v>0</v>
      </c>
      <c r="N88" s="50">
        <v>48294866</v>
      </c>
      <c r="O88" s="50">
        <v>44308623</v>
      </c>
      <c r="P88" s="43" t="s">
        <v>351</v>
      </c>
      <c r="Q88" s="40">
        <v>51902634</v>
      </c>
      <c r="R88" s="41" t="s">
        <v>918</v>
      </c>
      <c r="S88" s="41" t="s">
        <v>316</v>
      </c>
      <c r="T88" s="41" t="s">
        <v>328</v>
      </c>
      <c r="U88" s="41" t="s">
        <v>919</v>
      </c>
      <c r="V88" s="41" t="s">
        <v>319</v>
      </c>
      <c r="W88" s="40">
        <v>890903938</v>
      </c>
      <c r="X88" s="41" t="s">
        <v>342</v>
      </c>
      <c r="Y88" s="40">
        <v>3825</v>
      </c>
      <c r="Z88" s="40">
        <v>3825</v>
      </c>
      <c r="AA88" s="40">
        <v>8725</v>
      </c>
      <c r="AB88" s="41"/>
      <c r="AC88" s="41" t="s">
        <v>1077</v>
      </c>
      <c r="AD88" s="41" t="s">
        <v>2882</v>
      </c>
      <c r="AE88" s="41"/>
      <c r="AF88" s="41" t="s">
        <v>786</v>
      </c>
      <c r="AG88" s="41" t="s">
        <v>356</v>
      </c>
      <c r="AH88" s="41" t="s">
        <v>921</v>
      </c>
      <c r="AI88" s="41" t="s">
        <v>748</v>
      </c>
    </row>
    <row r="89" spans="1:35" x14ac:dyDescent="0.2">
      <c r="A89" s="53">
        <v>8825</v>
      </c>
      <c r="B89" s="41" t="s">
        <v>786</v>
      </c>
      <c r="C89" s="41" t="s">
        <v>922</v>
      </c>
      <c r="D89" s="41" t="s">
        <v>312</v>
      </c>
      <c r="E89" s="55">
        <v>923245</v>
      </c>
      <c r="F89" s="41" t="s">
        <v>180</v>
      </c>
      <c r="G89" s="41" t="s">
        <v>29</v>
      </c>
      <c r="H89" s="41" t="s">
        <v>30</v>
      </c>
      <c r="I89" s="41" t="s">
        <v>31</v>
      </c>
      <c r="J89" s="41" t="s">
        <v>32</v>
      </c>
      <c r="K89" s="41" t="s">
        <v>33</v>
      </c>
      <c r="L89" s="50">
        <v>48294866</v>
      </c>
      <c r="M89" s="50">
        <v>0</v>
      </c>
      <c r="N89" s="50">
        <v>48294866</v>
      </c>
      <c r="O89" s="50">
        <v>44308623</v>
      </c>
      <c r="P89" s="43" t="s">
        <v>351</v>
      </c>
      <c r="Q89" s="40">
        <v>79805062</v>
      </c>
      <c r="R89" s="41" t="s">
        <v>923</v>
      </c>
      <c r="S89" s="41" t="s">
        <v>316</v>
      </c>
      <c r="T89" s="41" t="s">
        <v>317</v>
      </c>
      <c r="U89" s="41" t="s">
        <v>924</v>
      </c>
      <c r="V89" s="41" t="s">
        <v>319</v>
      </c>
      <c r="W89" s="40">
        <v>860003020</v>
      </c>
      <c r="X89" s="41" t="s">
        <v>393</v>
      </c>
      <c r="Y89" s="40">
        <v>3825</v>
      </c>
      <c r="Z89" s="40">
        <v>3825</v>
      </c>
      <c r="AA89" s="40">
        <v>8825</v>
      </c>
      <c r="AB89" s="41"/>
      <c r="AC89" s="41" t="s">
        <v>1082</v>
      </c>
      <c r="AD89" s="41" t="s">
        <v>2883</v>
      </c>
      <c r="AE89" s="41"/>
      <c r="AF89" s="41" t="s">
        <v>786</v>
      </c>
      <c r="AG89" s="41" t="s">
        <v>356</v>
      </c>
      <c r="AH89" s="41" t="s">
        <v>926</v>
      </c>
      <c r="AI89" s="41" t="s">
        <v>748</v>
      </c>
    </row>
    <row r="90" spans="1:35" x14ac:dyDescent="0.2">
      <c r="A90" s="53">
        <v>8925</v>
      </c>
      <c r="B90" s="41" t="s">
        <v>786</v>
      </c>
      <c r="C90" s="41" t="s">
        <v>927</v>
      </c>
      <c r="D90" s="41" t="s">
        <v>312</v>
      </c>
      <c r="E90" s="55">
        <v>923245</v>
      </c>
      <c r="F90" s="41" t="s">
        <v>180</v>
      </c>
      <c r="G90" s="41" t="s">
        <v>29</v>
      </c>
      <c r="H90" s="41" t="s">
        <v>30</v>
      </c>
      <c r="I90" s="41" t="s">
        <v>31</v>
      </c>
      <c r="J90" s="41" t="s">
        <v>32</v>
      </c>
      <c r="K90" s="41" t="s">
        <v>33</v>
      </c>
      <c r="L90" s="50">
        <v>48294866</v>
      </c>
      <c r="M90" s="50">
        <v>0</v>
      </c>
      <c r="N90" s="50">
        <v>48294866</v>
      </c>
      <c r="O90" s="50">
        <v>44308623</v>
      </c>
      <c r="P90" s="43" t="s">
        <v>351</v>
      </c>
      <c r="Q90" s="40">
        <v>79218271</v>
      </c>
      <c r="R90" s="41" t="s">
        <v>928</v>
      </c>
      <c r="S90" s="41" t="s">
        <v>316</v>
      </c>
      <c r="T90" s="41" t="s">
        <v>317</v>
      </c>
      <c r="U90" s="41" t="s">
        <v>929</v>
      </c>
      <c r="V90" s="41" t="s">
        <v>319</v>
      </c>
      <c r="W90" s="40">
        <v>890903938</v>
      </c>
      <c r="X90" s="41" t="s">
        <v>342</v>
      </c>
      <c r="Y90" s="40">
        <v>3825</v>
      </c>
      <c r="Z90" s="40">
        <v>3825</v>
      </c>
      <c r="AA90" s="40">
        <v>8925</v>
      </c>
      <c r="AB90" s="41"/>
      <c r="AC90" s="41" t="s">
        <v>1087</v>
      </c>
      <c r="AD90" s="41" t="s">
        <v>2885</v>
      </c>
      <c r="AE90" s="41"/>
      <c r="AF90" s="41" t="s">
        <v>786</v>
      </c>
      <c r="AG90" s="41" t="s">
        <v>356</v>
      </c>
      <c r="AH90" s="41" t="s">
        <v>931</v>
      </c>
      <c r="AI90" s="41" t="s">
        <v>748</v>
      </c>
    </row>
    <row r="91" spans="1:35" x14ac:dyDescent="0.2">
      <c r="A91" s="53">
        <v>9025</v>
      </c>
      <c r="B91" s="41" t="s">
        <v>786</v>
      </c>
      <c r="C91" s="41" t="s">
        <v>932</v>
      </c>
      <c r="D91" s="41" t="s">
        <v>312</v>
      </c>
      <c r="E91" s="55">
        <v>923245</v>
      </c>
      <c r="F91" s="41" t="s">
        <v>180</v>
      </c>
      <c r="G91" s="41" t="s">
        <v>29</v>
      </c>
      <c r="H91" s="41" t="s">
        <v>30</v>
      </c>
      <c r="I91" s="41" t="s">
        <v>31</v>
      </c>
      <c r="J91" s="41" t="s">
        <v>32</v>
      </c>
      <c r="K91" s="41" t="s">
        <v>33</v>
      </c>
      <c r="L91" s="50">
        <v>48294866</v>
      </c>
      <c r="M91" s="50">
        <v>0</v>
      </c>
      <c r="N91" s="50">
        <v>48294866</v>
      </c>
      <c r="O91" s="50">
        <v>44308623</v>
      </c>
      <c r="P91" s="43" t="s">
        <v>351</v>
      </c>
      <c r="Q91" s="40">
        <v>53116478</v>
      </c>
      <c r="R91" s="41" t="s">
        <v>933</v>
      </c>
      <c r="S91" s="41" t="s">
        <v>316</v>
      </c>
      <c r="T91" s="41" t="s">
        <v>317</v>
      </c>
      <c r="U91" s="41" t="s">
        <v>934</v>
      </c>
      <c r="V91" s="41" t="s">
        <v>319</v>
      </c>
      <c r="W91" s="40">
        <v>860007335</v>
      </c>
      <c r="X91" s="41" t="s">
        <v>381</v>
      </c>
      <c r="Y91" s="40">
        <v>3825</v>
      </c>
      <c r="Z91" s="40">
        <v>3825</v>
      </c>
      <c r="AA91" s="40">
        <v>9025</v>
      </c>
      <c r="AB91" s="41"/>
      <c r="AC91" s="41" t="s">
        <v>1092</v>
      </c>
      <c r="AD91" s="41" t="s">
        <v>2887</v>
      </c>
      <c r="AE91" s="41"/>
      <c r="AF91" s="41" t="s">
        <v>786</v>
      </c>
      <c r="AG91" s="41" t="s">
        <v>356</v>
      </c>
      <c r="AH91" s="41" t="s">
        <v>936</v>
      </c>
      <c r="AI91" s="41" t="s">
        <v>748</v>
      </c>
    </row>
    <row r="92" spans="1:35" x14ac:dyDescent="0.2">
      <c r="A92" s="53">
        <v>9125</v>
      </c>
      <c r="B92" s="41" t="s">
        <v>786</v>
      </c>
      <c r="C92" s="41" t="s">
        <v>937</v>
      </c>
      <c r="D92" s="41" t="s">
        <v>312</v>
      </c>
      <c r="E92" s="55">
        <v>923245</v>
      </c>
      <c r="F92" s="41" t="s">
        <v>180</v>
      </c>
      <c r="G92" s="41" t="s">
        <v>29</v>
      </c>
      <c r="H92" s="41" t="s">
        <v>30</v>
      </c>
      <c r="I92" s="41" t="s">
        <v>31</v>
      </c>
      <c r="J92" s="41" t="s">
        <v>32</v>
      </c>
      <c r="K92" s="41" t="s">
        <v>33</v>
      </c>
      <c r="L92" s="50">
        <v>48294866</v>
      </c>
      <c r="M92" s="50">
        <v>0</v>
      </c>
      <c r="N92" s="50">
        <v>48294866</v>
      </c>
      <c r="O92" s="50">
        <v>44308623</v>
      </c>
      <c r="P92" s="43" t="s">
        <v>351</v>
      </c>
      <c r="Q92" s="40">
        <v>1075254883</v>
      </c>
      <c r="R92" s="41" t="s">
        <v>938</v>
      </c>
      <c r="S92" s="41" t="s">
        <v>316</v>
      </c>
      <c r="T92" s="41" t="s">
        <v>317</v>
      </c>
      <c r="U92" s="41" t="s">
        <v>939</v>
      </c>
      <c r="V92" s="41" t="s">
        <v>319</v>
      </c>
      <c r="W92" s="40">
        <v>860034313</v>
      </c>
      <c r="X92" s="41" t="s">
        <v>355</v>
      </c>
      <c r="Y92" s="40">
        <v>3825</v>
      </c>
      <c r="Z92" s="40">
        <v>3825</v>
      </c>
      <c r="AA92" s="40">
        <v>9125</v>
      </c>
      <c r="AB92" s="41"/>
      <c r="AC92" s="41" t="s">
        <v>1097</v>
      </c>
      <c r="AD92" s="41" t="s">
        <v>2888</v>
      </c>
      <c r="AE92" s="41"/>
      <c r="AF92" s="41" t="s">
        <v>786</v>
      </c>
      <c r="AG92" s="41" t="s">
        <v>356</v>
      </c>
      <c r="AH92" s="41" t="s">
        <v>941</v>
      </c>
      <c r="AI92" s="41" t="s">
        <v>748</v>
      </c>
    </row>
    <row r="93" spans="1:35" x14ac:dyDescent="0.2">
      <c r="A93" s="53">
        <v>9225</v>
      </c>
      <c r="B93" s="41" t="s">
        <v>786</v>
      </c>
      <c r="C93" s="41" t="s">
        <v>942</v>
      </c>
      <c r="D93" s="41" t="s">
        <v>312</v>
      </c>
      <c r="E93" s="55">
        <v>923245</v>
      </c>
      <c r="F93" s="41" t="s">
        <v>180</v>
      </c>
      <c r="G93" s="41" t="s">
        <v>29</v>
      </c>
      <c r="H93" s="41" t="s">
        <v>30</v>
      </c>
      <c r="I93" s="41" t="s">
        <v>31</v>
      </c>
      <c r="J93" s="41" t="s">
        <v>32</v>
      </c>
      <c r="K93" s="41" t="s">
        <v>33</v>
      </c>
      <c r="L93" s="50">
        <v>48294866</v>
      </c>
      <c r="M93" s="50">
        <v>0</v>
      </c>
      <c r="N93" s="50">
        <v>48294866</v>
      </c>
      <c r="O93" s="50">
        <v>44308623</v>
      </c>
      <c r="P93" s="43" t="s">
        <v>351</v>
      </c>
      <c r="Q93" s="40">
        <v>1069715619</v>
      </c>
      <c r="R93" s="41" t="s">
        <v>943</v>
      </c>
      <c r="S93" s="41" t="s">
        <v>316</v>
      </c>
      <c r="T93" s="41" t="s">
        <v>317</v>
      </c>
      <c r="U93" s="41" t="s">
        <v>944</v>
      </c>
      <c r="V93" s="41" t="s">
        <v>319</v>
      </c>
      <c r="W93" s="40">
        <v>890903938</v>
      </c>
      <c r="X93" s="41" t="s">
        <v>342</v>
      </c>
      <c r="Y93" s="40">
        <v>3825</v>
      </c>
      <c r="Z93" s="40">
        <v>3825</v>
      </c>
      <c r="AA93" s="40">
        <v>9225</v>
      </c>
      <c r="AB93" s="41"/>
      <c r="AC93" s="41" t="s">
        <v>1102</v>
      </c>
      <c r="AD93" s="41" t="s">
        <v>2889</v>
      </c>
      <c r="AE93" s="41"/>
      <c r="AF93" s="41" t="s">
        <v>786</v>
      </c>
      <c r="AG93" s="41" t="s">
        <v>356</v>
      </c>
      <c r="AH93" s="41" t="s">
        <v>946</v>
      </c>
      <c r="AI93" s="41" t="s">
        <v>748</v>
      </c>
    </row>
    <row r="94" spans="1:35" x14ac:dyDescent="0.2">
      <c r="A94" s="53">
        <v>9325</v>
      </c>
      <c r="B94" s="41" t="s">
        <v>786</v>
      </c>
      <c r="C94" s="41" t="s">
        <v>947</v>
      </c>
      <c r="D94" s="41" t="s">
        <v>312</v>
      </c>
      <c r="E94" s="55">
        <v>923245</v>
      </c>
      <c r="F94" s="41" t="s">
        <v>180</v>
      </c>
      <c r="G94" s="41" t="s">
        <v>29</v>
      </c>
      <c r="H94" s="41" t="s">
        <v>30</v>
      </c>
      <c r="I94" s="41" t="s">
        <v>31</v>
      </c>
      <c r="J94" s="41" t="s">
        <v>32</v>
      </c>
      <c r="K94" s="41" t="s">
        <v>33</v>
      </c>
      <c r="L94" s="50">
        <v>48294866</v>
      </c>
      <c r="M94" s="50">
        <v>0</v>
      </c>
      <c r="N94" s="50">
        <v>48294866</v>
      </c>
      <c r="O94" s="50">
        <v>44308623</v>
      </c>
      <c r="P94" s="43" t="s">
        <v>351</v>
      </c>
      <c r="Q94" s="40">
        <v>13478907</v>
      </c>
      <c r="R94" s="41" t="s">
        <v>948</v>
      </c>
      <c r="S94" s="41" t="s">
        <v>316</v>
      </c>
      <c r="T94" s="41" t="s">
        <v>317</v>
      </c>
      <c r="U94" s="41" t="s">
        <v>949</v>
      </c>
      <c r="V94" s="41" t="s">
        <v>319</v>
      </c>
      <c r="W94" s="40">
        <v>890903938</v>
      </c>
      <c r="X94" s="41" t="s">
        <v>342</v>
      </c>
      <c r="Y94" s="40">
        <v>3825</v>
      </c>
      <c r="Z94" s="40">
        <v>3825</v>
      </c>
      <c r="AA94" s="40">
        <v>9325</v>
      </c>
      <c r="AB94" s="41"/>
      <c r="AC94" s="41" t="s">
        <v>1107</v>
      </c>
      <c r="AD94" s="41" t="s">
        <v>2890</v>
      </c>
      <c r="AE94" s="41"/>
      <c r="AF94" s="41" t="s">
        <v>786</v>
      </c>
      <c r="AG94" s="41" t="s">
        <v>356</v>
      </c>
      <c r="AH94" s="41" t="s">
        <v>951</v>
      </c>
      <c r="AI94" s="41" t="s">
        <v>748</v>
      </c>
    </row>
    <row r="95" spans="1:35" x14ac:dyDescent="0.2">
      <c r="A95" s="53">
        <v>9425</v>
      </c>
      <c r="B95" s="41" t="s">
        <v>786</v>
      </c>
      <c r="C95" s="41" t="s">
        <v>952</v>
      </c>
      <c r="D95" s="41" t="s">
        <v>312</v>
      </c>
      <c r="E95" s="55">
        <v>923245</v>
      </c>
      <c r="F95" s="41" t="s">
        <v>180</v>
      </c>
      <c r="G95" s="41" t="s">
        <v>29</v>
      </c>
      <c r="H95" s="41" t="s">
        <v>30</v>
      </c>
      <c r="I95" s="41" t="s">
        <v>31</v>
      </c>
      <c r="J95" s="41" t="s">
        <v>32</v>
      </c>
      <c r="K95" s="41" t="s">
        <v>33</v>
      </c>
      <c r="L95" s="50">
        <v>37336656</v>
      </c>
      <c r="M95" s="50">
        <v>0</v>
      </c>
      <c r="N95" s="50">
        <v>37336656</v>
      </c>
      <c r="O95" s="50">
        <v>34254900</v>
      </c>
      <c r="P95" s="43" t="s">
        <v>351</v>
      </c>
      <c r="Q95" s="40">
        <v>31497288</v>
      </c>
      <c r="R95" s="41" t="s">
        <v>953</v>
      </c>
      <c r="S95" s="41" t="s">
        <v>316</v>
      </c>
      <c r="T95" s="41" t="s">
        <v>317</v>
      </c>
      <c r="U95" s="41" t="s">
        <v>954</v>
      </c>
      <c r="V95" s="41" t="s">
        <v>319</v>
      </c>
      <c r="W95" s="40">
        <v>860007335</v>
      </c>
      <c r="X95" s="41" t="s">
        <v>381</v>
      </c>
      <c r="Y95" s="40">
        <v>3825</v>
      </c>
      <c r="Z95" s="40">
        <v>3825</v>
      </c>
      <c r="AA95" s="40">
        <v>9425</v>
      </c>
      <c r="AB95" s="41"/>
      <c r="AC95" s="41" t="s">
        <v>1112</v>
      </c>
      <c r="AD95" s="41" t="s">
        <v>2891</v>
      </c>
      <c r="AE95" s="41"/>
      <c r="AF95" s="41" t="s">
        <v>786</v>
      </c>
      <c r="AG95" s="41" t="s">
        <v>356</v>
      </c>
      <c r="AH95" s="41" t="s">
        <v>956</v>
      </c>
      <c r="AI95" s="41" t="s">
        <v>748</v>
      </c>
    </row>
    <row r="96" spans="1:35" x14ac:dyDescent="0.2">
      <c r="A96" s="53">
        <v>9525</v>
      </c>
      <c r="B96" s="41" t="s">
        <v>786</v>
      </c>
      <c r="C96" s="41" t="s">
        <v>957</v>
      </c>
      <c r="D96" s="41" t="s">
        <v>312</v>
      </c>
      <c r="E96" s="55">
        <v>923245</v>
      </c>
      <c r="F96" s="41" t="s">
        <v>180</v>
      </c>
      <c r="G96" s="41" t="s">
        <v>29</v>
      </c>
      <c r="H96" s="41" t="s">
        <v>30</v>
      </c>
      <c r="I96" s="41" t="s">
        <v>31</v>
      </c>
      <c r="J96" s="41" t="s">
        <v>32</v>
      </c>
      <c r="K96" s="41" t="s">
        <v>33</v>
      </c>
      <c r="L96" s="50">
        <v>48294866</v>
      </c>
      <c r="M96" s="50">
        <v>0</v>
      </c>
      <c r="N96" s="50">
        <v>48294866</v>
      </c>
      <c r="O96" s="50">
        <v>44308623</v>
      </c>
      <c r="P96" s="43" t="s">
        <v>351</v>
      </c>
      <c r="Q96" s="40">
        <v>79806253</v>
      </c>
      <c r="R96" s="41" t="s">
        <v>958</v>
      </c>
      <c r="S96" s="41" t="s">
        <v>316</v>
      </c>
      <c r="T96" s="41" t="s">
        <v>317</v>
      </c>
      <c r="U96" s="41" t="s">
        <v>959</v>
      </c>
      <c r="V96" s="41" t="s">
        <v>319</v>
      </c>
      <c r="W96" s="40">
        <v>860034594</v>
      </c>
      <c r="X96" s="41" t="s">
        <v>374</v>
      </c>
      <c r="Y96" s="40">
        <v>3825</v>
      </c>
      <c r="Z96" s="40">
        <v>3825</v>
      </c>
      <c r="AA96" s="40">
        <v>9525</v>
      </c>
      <c r="AB96" s="41"/>
      <c r="AC96" s="41" t="s">
        <v>1117</v>
      </c>
      <c r="AD96" s="41" t="s">
        <v>2894</v>
      </c>
      <c r="AE96" s="41"/>
      <c r="AF96" s="41" t="s">
        <v>786</v>
      </c>
      <c r="AG96" s="41" t="s">
        <v>356</v>
      </c>
      <c r="AH96" s="41" t="s">
        <v>961</v>
      </c>
      <c r="AI96" s="41" t="s">
        <v>748</v>
      </c>
    </row>
    <row r="97" spans="1:35" x14ac:dyDescent="0.2">
      <c r="A97" s="53">
        <v>9625</v>
      </c>
      <c r="B97" s="41" t="s">
        <v>786</v>
      </c>
      <c r="C97" s="41" t="s">
        <v>962</v>
      </c>
      <c r="D97" s="41" t="s">
        <v>312</v>
      </c>
      <c r="E97" s="55">
        <v>923245</v>
      </c>
      <c r="F97" s="41" t="s">
        <v>180</v>
      </c>
      <c r="G97" s="41" t="s">
        <v>29</v>
      </c>
      <c r="H97" s="41" t="s">
        <v>30</v>
      </c>
      <c r="I97" s="41" t="s">
        <v>31</v>
      </c>
      <c r="J97" s="41" t="s">
        <v>32</v>
      </c>
      <c r="K97" s="41" t="s">
        <v>33</v>
      </c>
      <c r="L97" s="50">
        <v>48294866</v>
      </c>
      <c r="M97" s="50">
        <v>0</v>
      </c>
      <c r="N97" s="50">
        <v>48294866</v>
      </c>
      <c r="O97" s="50">
        <v>44308623</v>
      </c>
      <c r="P97" s="43" t="s">
        <v>351</v>
      </c>
      <c r="Q97" s="40">
        <v>39674828</v>
      </c>
      <c r="R97" s="41" t="s">
        <v>963</v>
      </c>
      <c r="S97" s="41" t="s">
        <v>316</v>
      </c>
      <c r="T97" s="41" t="s">
        <v>317</v>
      </c>
      <c r="U97" s="41" t="s">
        <v>964</v>
      </c>
      <c r="V97" s="41" t="s">
        <v>319</v>
      </c>
      <c r="W97" s="40">
        <v>860002964</v>
      </c>
      <c r="X97" s="41" t="s">
        <v>419</v>
      </c>
      <c r="Y97" s="40">
        <v>3825</v>
      </c>
      <c r="Z97" s="40">
        <v>3825</v>
      </c>
      <c r="AA97" s="40">
        <v>9625</v>
      </c>
      <c r="AB97" s="41"/>
      <c r="AC97" s="41" t="s">
        <v>1122</v>
      </c>
      <c r="AD97" s="41" t="s">
        <v>2896</v>
      </c>
      <c r="AE97" s="41"/>
      <c r="AF97" s="41" t="s">
        <v>786</v>
      </c>
      <c r="AG97" s="41" t="s">
        <v>356</v>
      </c>
      <c r="AH97" s="41" t="s">
        <v>966</v>
      </c>
      <c r="AI97" s="41" t="s">
        <v>748</v>
      </c>
    </row>
    <row r="98" spans="1:35" x14ac:dyDescent="0.2">
      <c r="A98" s="53">
        <v>9725</v>
      </c>
      <c r="B98" s="41" t="s">
        <v>786</v>
      </c>
      <c r="C98" s="41" t="s">
        <v>967</v>
      </c>
      <c r="D98" s="41" t="s">
        <v>312</v>
      </c>
      <c r="E98" s="55">
        <v>923245</v>
      </c>
      <c r="F98" s="41" t="s">
        <v>180</v>
      </c>
      <c r="G98" s="41" t="s">
        <v>29</v>
      </c>
      <c r="H98" s="41" t="s">
        <v>30</v>
      </c>
      <c r="I98" s="41" t="s">
        <v>31</v>
      </c>
      <c r="J98" s="41" t="s">
        <v>32</v>
      </c>
      <c r="K98" s="41" t="s">
        <v>33</v>
      </c>
      <c r="L98" s="50">
        <v>48294866</v>
      </c>
      <c r="M98" s="50">
        <v>0</v>
      </c>
      <c r="N98" s="50">
        <v>48294866</v>
      </c>
      <c r="O98" s="50">
        <v>44308623</v>
      </c>
      <c r="P98" s="43" t="s">
        <v>351</v>
      </c>
      <c r="Q98" s="40">
        <v>81740592</v>
      </c>
      <c r="R98" s="41" t="s">
        <v>968</v>
      </c>
      <c r="S98" s="41" t="s">
        <v>316</v>
      </c>
      <c r="T98" s="41" t="s">
        <v>317</v>
      </c>
      <c r="U98" s="41" t="s">
        <v>969</v>
      </c>
      <c r="V98" s="41" t="s">
        <v>319</v>
      </c>
      <c r="W98" s="40">
        <v>860003020</v>
      </c>
      <c r="X98" s="41" t="s">
        <v>393</v>
      </c>
      <c r="Y98" s="40">
        <v>3825</v>
      </c>
      <c r="Z98" s="40">
        <v>3825</v>
      </c>
      <c r="AA98" s="40">
        <v>9725</v>
      </c>
      <c r="AB98" s="41"/>
      <c r="AC98" s="41" t="s">
        <v>1127</v>
      </c>
      <c r="AD98" s="41" t="s">
        <v>2897</v>
      </c>
      <c r="AE98" s="41"/>
      <c r="AF98" s="41" t="s">
        <v>786</v>
      </c>
      <c r="AG98" s="41" t="s">
        <v>356</v>
      </c>
      <c r="AH98" s="41" t="s">
        <v>971</v>
      </c>
      <c r="AI98" s="41" t="s">
        <v>748</v>
      </c>
    </row>
    <row r="99" spans="1:35" x14ac:dyDescent="0.2">
      <c r="A99" s="53">
        <v>9825</v>
      </c>
      <c r="B99" s="41" t="s">
        <v>786</v>
      </c>
      <c r="C99" s="41" t="s">
        <v>972</v>
      </c>
      <c r="D99" s="41" t="s">
        <v>312</v>
      </c>
      <c r="E99" s="55">
        <v>923245</v>
      </c>
      <c r="F99" s="41" t="s">
        <v>180</v>
      </c>
      <c r="G99" s="41" t="s">
        <v>29</v>
      </c>
      <c r="H99" s="41" t="s">
        <v>30</v>
      </c>
      <c r="I99" s="41" t="s">
        <v>31</v>
      </c>
      <c r="J99" s="41" t="s">
        <v>32</v>
      </c>
      <c r="K99" s="41" t="s">
        <v>33</v>
      </c>
      <c r="L99" s="50">
        <v>48294866</v>
      </c>
      <c r="M99" s="50">
        <v>-46301745</v>
      </c>
      <c r="N99" s="50">
        <v>1993121</v>
      </c>
      <c r="O99" s="50">
        <v>0</v>
      </c>
      <c r="P99" s="43" t="s">
        <v>351</v>
      </c>
      <c r="Q99" s="40">
        <v>52854030</v>
      </c>
      <c r="R99" s="41" t="s">
        <v>973</v>
      </c>
      <c r="S99" s="41" t="s">
        <v>316</v>
      </c>
      <c r="T99" s="41" t="s">
        <v>317</v>
      </c>
      <c r="U99" s="41" t="s">
        <v>974</v>
      </c>
      <c r="V99" s="41" t="s">
        <v>319</v>
      </c>
      <c r="W99" s="40">
        <v>860007335</v>
      </c>
      <c r="X99" s="41" t="s">
        <v>381</v>
      </c>
      <c r="Y99" s="40">
        <v>3825</v>
      </c>
      <c r="Z99" s="40">
        <v>3825</v>
      </c>
      <c r="AA99" s="40">
        <v>9825</v>
      </c>
      <c r="AB99" s="41"/>
      <c r="AC99" s="41" t="s">
        <v>3536</v>
      </c>
      <c r="AD99" s="41" t="s">
        <v>3532</v>
      </c>
      <c r="AE99" s="41"/>
      <c r="AF99" s="41" t="s">
        <v>786</v>
      </c>
      <c r="AG99" s="41" t="s">
        <v>356</v>
      </c>
      <c r="AH99" s="41" t="s">
        <v>976</v>
      </c>
      <c r="AI99" s="41" t="s">
        <v>748</v>
      </c>
    </row>
    <row r="100" spans="1:35" x14ac:dyDescent="0.2">
      <c r="A100" s="53">
        <v>9925</v>
      </c>
      <c r="B100" s="41" t="s">
        <v>786</v>
      </c>
      <c r="C100" s="41" t="s">
        <v>977</v>
      </c>
      <c r="D100" s="41" t="s">
        <v>312</v>
      </c>
      <c r="E100" s="55">
        <v>923245</v>
      </c>
      <c r="F100" s="41" t="s">
        <v>180</v>
      </c>
      <c r="G100" s="41" t="s">
        <v>29</v>
      </c>
      <c r="H100" s="41" t="s">
        <v>30</v>
      </c>
      <c r="I100" s="41" t="s">
        <v>31</v>
      </c>
      <c r="J100" s="41" t="s">
        <v>32</v>
      </c>
      <c r="K100" s="41" t="s">
        <v>33</v>
      </c>
      <c r="L100" s="50">
        <v>48294866</v>
      </c>
      <c r="M100" s="50">
        <v>0</v>
      </c>
      <c r="N100" s="50">
        <v>48294866</v>
      </c>
      <c r="O100" s="50">
        <v>44308623</v>
      </c>
      <c r="P100" s="43" t="s">
        <v>351</v>
      </c>
      <c r="Q100" s="40">
        <v>79645434</v>
      </c>
      <c r="R100" s="41" t="s">
        <v>978</v>
      </c>
      <c r="S100" s="41" t="s">
        <v>316</v>
      </c>
      <c r="T100" s="41" t="s">
        <v>317</v>
      </c>
      <c r="U100" s="41" t="s">
        <v>979</v>
      </c>
      <c r="V100" s="41" t="s">
        <v>319</v>
      </c>
      <c r="W100" s="40">
        <v>860050750</v>
      </c>
      <c r="X100" s="41" t="s">
        <v>321</v>
      </c>
      <c r="Y100" s="40">
        <v>3825</v>
      </c>
      <c r="Z100" s="40">
        <v>3825</v>
      </c>
      <c r="AA100" s="40">
        <v>9925</v>
      </c>
      <c r="AB100" s="41"/>
      <c r="AC100" s="41" t="s">
        <v>1294</v>
      </c>
      <c r="AD100" s="41" t="s">
        <v>2973</v>
      </c>
      <c r="AE100" s="41"/>
      <c r="AF100" s="41" t="s">
        <v>786</v>
      </c>
      <c r="AG100" s="41" t="s">
        <v>356</v>
      </c>
      <c r="AH100" s="41" t="s">
        <v>981</v>
      </c>
      <c r="AI100" s="41" t="s">
        <v>748</v>
      </c>
    </row>
    <row r="101" spans="1:35" x14ac:dyDescent="0.2">
      <c r="A101" s="53">
        <v>10025</v>
      </c>
      <c r="B101" s="41" t="s">
        <v>786</v>
      </c>
      <c r="C101" s="41" t="s">
        <v>982</v>
      </c>
      <c r="D101" s="41" t="s">
        <v>312</v>
      </c>
      <c r="E101" s="55">
        <v>923245</v>
      </c>
      <c r="F101" s="41" t="s">
        <v>180</v>
      </c>
      <c r="G101" s="41" t="s">
        <v>29</v>
      </c>
      <c r="H101" s="41" t="s">
        <v>30</v>
      </c>
      <c r="I101" s="41" t="s">
        <v>31</v>
      </c>
      <c r="J101" s="41" t="s">
        <v>32</v>
      </c>
      <c r="K101" s="41" t="s">
        <v>33</v>
      </c>
      <c r="L101" s="50">
        <v>48294866</v>
      </c>
      <c r="M101" s="50">
        <v>0</v>
      </c>
      <c r="N101" s="50">
        <v>48294866</v>
      </c>
      <c r="O101" s="50">
        <v>44308623</v>
      </c>
      <c r="P101" s="43" t="s">
        <v>351</v>
      </c>
      <c r="Q101" s="40">
        <v>79431510</v>
      </c>
      <c r="R101" s="41" t="s">
        <v>983</v>
      </c>
      <c r="S101" s="41" t="s">
        <v>316</v>
      </c>
      <c r="T101" s="41" t="s">
        <v>317</v>
      </c>
      <c r="U101" s="41" t="s">
        <v>984</v>
      </c>
      <c r="V101" s="41" t="s">
        <v>319</v>
      </c>
      <c r="W101" s="40">
        <v>860002964</v>
      </c>
      <c r="X101" s="41" t="s">
        <v>419</v>
      </c>
      <c r="Y101" s="40">
        <v>3825</v>
      </c>
      <c r="Z101" s="40">
        <v>3825</v>
      </c>
      <c r="AA101" s="40">
        <v>10025</v>
      </c>
      <c r="AB101" s="41"/>
      <c r="AC101" s="41" t="s">
        <v>1299</v>
      </c>
      <c r="AD101" s="41" t="s">
        <v>2975</v>
      </c>
      <c r="AE101" s="41"/>
      <c r="AF101" s="41" t="s">
        <v>786</v>
      </c>
      <c r="AG101" s="41" t="s">
        <v>356</v>
      </c>
      <c r="AH101" s="41" t="s">
        <v>986</v>
      </c>
      <c r="AI101" s="41" t="s">
        <v>748</v>
      </c>
    </row>
    <row r="102" spans="1:35" x14ac:dyDescent="0.2">
      <c r="A102" s="53">
        <v>10125</v>
      </c>
      <c r="B102" s="41" t="s">
        <v>786</v>
      </c>
      <c r="C102" s="41" t="s">
        <v>987</v>
      </c>
      <c r="D102" s="41" t="s">
        <v>312</v>
      </c>
      <c r="E102" s="55">
        <v>923245</v>
      </c>
      <c r="F102" s="41" t="s">
        <v>180</v>
      </c>
      <c r="G102" s="41" t="s">
        <v>29</v>
      </c>
      <c r="H102" s="41" t="s">
        <v>30</v>
      </c>
      <c r="I102" s="41" t="s">
        <v>31</v>
      </c>
      <c r="J102" s="41" t="s">
        <v>32</v>
      </c>
      <c r="K102" s="41" t="s">
        <v>33</v>
      </c>
      <c r="L102" s="50">
        <v>48294866</v>
      </c>
      <c r="M102" s="50">
        <v>0</v>
      </c>
      <c r="N102" s="50">
        <v>48294866</v>
      </c>
      <c r="O102" s="50">
        <v>44308623</v>
      </c>
      <c r="P102" s="43" t="s">
        <v>351</v>
      </c>
      <c r="Q102" s="40">
        <v>53041779</v>
      </c>
      <c r="R102" s="41" t="s">
        <v>988</v>
      </c>
      <c r="S102" s="41" t="s">
        <v>316</v>
      </c>
      <c r="T102" s="41" t="s">
        <v>317</v>
      </c>
      <c r="U102" s="41" t="s">
        <v>989</v>
      </c>
      <c r="V102" s="41" t="s">
        <v>319</v>
      </c>
      <c r="W102" s="40">
        <v>860034313</v>
      </c>
      <c r="X102" s="41" t="s">
        <v>355</v>
      </c>
      <c r="Y102" s="40">
        <v>3825</v>
      </c>
      <c r="Z102" s="40">
        <v>3825</v>
      </c>
      <c r="AA102" s="40">
        <v>10125</v>
      </c>
      <c r="AB102" s="41"/>
      <c r="AC102" s="41" t="s">
        <v>1304</v>
      </c>
      <c r="AD102" s="41" t="s">
        <v>2976</v>
      </c>
      <c r="AE102" s="41"/>
      <c r="AF102" s="41" t="s">
        <v>786</v>
      </c>
      <c r="AG102" s="41" t="s">
        <v>356</v>
      </c>
      <c r="AH102" s="41" t="s">
        <v>991</v>
      </c>
      <c r="AI102" s="41" t="s">
        <v>748</v>
      </c>
    </row>
    <row r="103" spans="1:35" x14ac:dyDescent="0.2">
      <c r="A103" s="53">
        <v>10225</v>
      </c>
      <c r="B103" s="41" t="s">
        <v>786</v>
      </c>
      <c r="C103" s="41" t="s">
        <v>992</v>
      </c>
      <c r="D103" s="41" t="s">
        <v>312</v>
      </c>
      <c r="E103" s="55">
        <v>923245</v>
      </c>
      <c r="F103" s="41" t="s">
        <v>180</v>
      </c>
      <c r="G103" s="41" t="s">
        <v>29</v>
      </c>
      <c r="H103" s="41" t="s">
        <v>30</v>
      </c>
      <c r="I103" s="41" t="s">
        <v>31</v>
      </c>
      <c r="J103" s="41" t="s">
        <v>32</v>
      </c>
      <c r="K103" s="41" t="s">
        <v>33</v>
      </c>
      <c r="L103" s="50">
        <v>48294866</v>
      </c>
      <c r="M103" s="50">
        <v>0</v>
      </c>
      <c r="N103" s="50">
        <v>48294866</v>
      </c>
      <c r="O103" s="50">
        <v>44308623</v>
      </c>
      <c r="P103" s="43" t="s">
        <v>351</v>
      </c>
      <c r="Q103" s="40">
        <v>9396182</v>
      </c>
      <c r="R103" s="41" t="s">
        <v>993</v>
      </c>
      <c r="S103" s="41" t="s">
        <v>316</v>
      </c>
      <c r="T103" s="41" t="s">
        <v>317</v>
      </c>
      <c r="U103" s="41" t="s">
        <v>994</v>
      </c>
      <c r="V103" s="41" t="s">
        <v>319</v>
      </c>
      <c r="W103" s="40">
        <v>890903938</v>
      </c>
      <c r="X103" s="41" t="s">
        <v>342</v>
      </c>
      <c r="Y103" s="40">
        <v>3825</v>
      </c>
      <c r="Z103" s="40">
        <v>3825</v>
      </c>
      <c r="AA103" s="40">
        <v>10225</v>
      </c>
      <c r="AB103" s="41"/>
      <c r="AC103" s="41" t="s">
        <v>1309</v>
      </c>
      <c r="AD103" s="41" t="s">
        <v>2978</v>
      </c>
      <c r="AE103" s="41"/>
      <c r="AF103" s="41" t="s">
        <v>786</v>
      </c>
      <c r="AG103" s="41" t="s">
        <v>356</v>
      </c>
      <c r="AH103" s="41" t="s">
        <v>996</v>
      </c>
      <c r="AI103" s="41" t="s">
        <v>748</v>
      </c>
    </row>
    <row r="104" spans="1:35" x14ac:dyDescent="0.2">
      <c r="A104" s="53">
        <v>10325</v>
      </c>
      <c r="B104" s="41" t="s">
        <v>786</v>
      </c>
      <c r="C104" s="41" t="s">
        <v>997</v>
      </c>
      <c r="D104" s="41" t="s">
        <v>312</v>
      </c>
      <c r="E104" s="55">
        <v>923245</v>
      </c>
      <c r="F104" s="41" t="s">
        <v>180</v>
      </c>
      <c r="G104" s="41" t="s">
        <v>29</v>
      </c>
      <c r="H104" s="41" t="s">
        <v>30</v>
      </c>
      <c r="I104" s="41" t="s">
        <v>31</v>
      </c>
      <c r="J104" s="41" t="s">
        <v>32</v>
      </c>
      <c r="K104" s="41" t="s">
        <v>33</v>
      </c>
      <c r="L104" s="50">
        <v>48294866</v>
      </c>
      <c r="M104" s="50">
        <v>0</v>
      </c>
      <c r="N104" s="50">
        <v>48294866</v>
      </c>
      <c r="O104" s="50">
        <v>44308623</v>
      </c>
      <c r="P104" s="43" t="s">
        <v>351</v>
      </c>
      <c r="Q104" s="40">
        <v>21135366</v>
      </c>
      <c r="R104" s="41" t="s">
        <v>998</v>
      </c>
      <c r="S104" s="41" t="s">
        <v>316</v>
      </c>
      <c r="T104" s="41" t="s">
        <v>317</v>
      </c>
      <c r="U104" s="41" t="s">
        <v>999</v>
      </c>
      <c r="V104" s="41" t="s">
        <v>319</v>
      </c>
      <c r="W104" s="40">
        <v>860034313</v>
      </c>
      <c r="X104" s="41" t="s">
        <v>355</v>
      </c>
      <c r="Y104" s="40">
        <v>3825</v>
      </c>
      <c r="Z104" s="40">
        <v>3825</v>
      </c>
      <c r="AA104" s="40">
        <v>10325</v>
      </c>
      <c r="AB104" s="41"/>
      <c r="AC104" s="41" t="s">
        <v>1314</v>
      </c>
      <c r="AD104" s="41" t="s">
        <v>2980</v>
      </c>
      <c r="AE104" s="41"/>
      <c r="AF104" s="41" t="s">
        <v>786</v>
      </c>
      <c r="AG104" s="41" t="s">
        <v>356</v>
      </c>
      <c r="AH104" s="41" t="s">
        <v>1001</v>
      </c>
      <c r="AI104" s="41" t="s">
        <v>748</v>
      </c>
    </row>
    <row r="105" spans="1:35" x14ac:dyDescent="0.2">
      <c r="A105" s="53">
        <v>10425</v>
      </c>
      <c r="B105" s="41" t="s">
        <v>786</v>
      </c>
      <c r="C105" s="41" t="s">
        <v>1002</v>
      </c>
      <c r="D105" s="41" t="s">
        <v>312</v>
      </c>
      <c r="E105" s="55">
        <v>923245</v>
      </c>
      <c r="F105" s="41" t="s">
        <v>180</v>
      </c>
      <c r="G105" s="41" t="s">
        <v>29</v>
      </c>
      <c r="H105" s="41" t="s">
        <v>30</v>
      </c>
      <c r="I105" s="41" t="s">
        <v>31</v>
      </c>
      <c r="J105" s="41" t="s">
        <v>32</v>
      </c>
      <c r="K105" s="41" t="s">
        <v>33</v>
      </c>
      <c r="L105" s="50">
        <v>48294866</v>
      </c>
      <c r="M105" s="50">
        <v>0</v>
      </c>
      <c r="N105" s="50">
        <v>48294866</v>
      </c>
      <c r="O105" s="50">
        <v>44308623</v>
      </c>
      <c r="P105" s="43" t="s">
        <v>351</v>
      </c>
      <c r="Q105" s="40">
        <v>53070532</v>
      </c>
      <c r="R105" s="41" t="s">
        <v>1003</v>
      </c>
      <c r="S105" s="41" t="s">
        <v>316</v>
      </c>
      <c r="T105" s="41" t="s">
        <v>317</v>
      </c>
      <c r="U105" s="41" t="s">
        <v>1004</v>
      </c>
      <c r="V105" s="41" t="s">
        <v>319</v>
      </c>
      <c r="W105" s="40">
        <v>860007335</v>
      </c>
      <c r="X105" s="41" t="s">
        <v>381</v>
      </c>
      <c r="Y105" s="40">
        <v>3825</v>
      </c>
      <c r="Z105" s="40">
        <v>3825</v>
      </c>
      <c r="AA105" s="40">
        <v>10425</v>
      </c>
      <c r="AB105" s="41"/>
      <c r="AC105" s="41" t="s">
        <v>1319</v>
      </c>
      <c r="AD105" s="41" t="s">
        <v>2981</v>
      </c>
      <c r="AE105" s="41"/>
      <c r="AF105" s="41" t="s">
        <v>786</v>
      </c>
      <c r="AG105" s="41" t="s">
        <v>356</v>
      </c>
      <c r="AH105" s="41" t="s">
        <v>1006</v>
      </c>
      <c r="AI105" s="41" t="s">
        <v>748</v>
      </c>
    </row>
    <row r="106" spans="1:35" x14ac:dyDescent="0.2">
      <c r="A106" s="53">
        <v>10525</v>
      </c>
      <c r="B106" s="41" t="s">
        <v>786</v>
      </c>
      <c r="C106" s="41" t="s">
        <v>1007</v>
      </c>
      <c r="D106" s="41" t="s">
        <v>312</v>
      </c>
      <c r="E106" s="55">
        <v>923245</v>
      </c>
      <c r="F106" s="41" t="s">
        <v>180</v>
      </c>
      <c r="G106" s="41" t="s">
        <v>29</v>
      </c>
      <c r="H106" s="41" t="s">
        <v>30</v>
      </c>
      <c r="I106" s="41" t="s">
        <v>31</v>
      </c>
      <c r="J106" s="41" t="s">
        <v>32</v>
      </c>
      <c r="K106" s="41" t="s">
        <v>33</v>
      </c>
      <c r="L106" s="50">
        <v>48294866</v>
      </c>
      <c r="M106" s="50">
        <v>0</v>
      </c>
      <c r="N106" s="50">
        <v>48294866</v>
      </c>
      <c r="O106" s="50">
        <v>44308623</v>
      </c>
      <c r="P106" s="43" t="s">
        <v>351</v>
      </c>
      <c r="Q106" s="40">
        <v>51877430</v>
      </c>
      <c r="R106" s="41" t="s">
        <v>1008</v>
      </c>
      <c r="S106" s="41" t="s">
        <v>316</v>
      </c>
      <c r="T106" s="41" t="s">
        <v>317</v>
      </c>
      <c r="U106" s="41" t="s">
        <v>1009</v>
      </c>
      <c r="V106" s="41" t="s">
        <v>319</v>
      </c>
      <c r="W106" s="40">
        <v>890903938</v>
      </c>
      <c r="X106" s="41" t="s">
        <v>342</v>
      </c>
      <c r="Y106" s="40">
        <v>3825</v>
      </c>
      <c r="Z106" s="40">
        <v>3825</v>
      </c>
      <c r="AA106" s="40">
        <v>10525</v>
      </c>
      <c r="AB106" s="41"/>
      <c r="AC106" s="41" t="s">
        <v>1324</v>
      </c>
      <c r="AD106" s="41" t="s">
        <v>2982</v>
      </c>
      <c r="AE106" s="41"/>
      <c r="AF106" s="41" t="s">
        <v>786</v>
      </c>
      <c r="AG106" s="41" t="s">
        <v>356</v>
      </c>
      <c r="AH106" s="41" t="s">
        <v>1011</v>
      </c>
      <c r="AI106" s="41" t="s">
        <v>748</v>
      </c>
    </row>
    <row r="107" spans="1:35" x14ac:dyDescent="0.2">
      <c r="A107" s="53">
        <v>10625</v>
      </c>
      <c r="B107" s="41" t="s">
        <v>786</v>
      </c>
      <c r="C107" s="41" t="s">
        <v>1012</v>
      </c>
      <c r="D107" s="41" t="s">
        <v>312</v>
      </c>
      <c r="E107" s="55">
        <v>923245</v>
      </c>
      <c r="F107" s="41" t="s">
        <v>180</v>
      </c>
      <c r="G107" s="41" t="s">
        <v>29</v>
      </c>
      <c r="H107" s="41" t="s">
        <v>30</v>
      </c>
      <c r="I107" s="41" t="s">
        <v>31</v>
      </c>
      <c r="J107" s="41" t="s">
        <v>32</v>
      </c>
      <c r="K107" s="41" t="s">
        <v>33</v>
      </c>
      <c r="L107" s="50">
        <v>48294866</v>
      </c>
      <c r="M107" s="50">
        <v>0</v>
      </c>
      <c r="N107" s="50">
        <v>48294866</v>
      </c>
      <c r="O107" s="50">
        <v>44308623</v>
      </c>
      <c r="P107" s="43" t="s">
        <v>351</v>
      </c>
      <c r="Q107" s="40">
        <v>11379483</v>
      </c>
      <c r="R107" s="41" t="s">
        <v>1013</v>
      </c>
      <c r="S107" s="41" t="s">
        <v>316</v>
      </c>
      <c r="T107" s="41" t="s">
        <v>317</v>
      </c>
      <c r="U107" s="41" t="s">
        <v>1014</v>
      </c>
      <c r="V107" s="41" t="s">
        <v>319</v>
      </c>
      <c r="W107" s="40">
        <v>860002964</v>
      </c>
      <c r="X107" s="41" t="s">
        <v>419</v>
      </c>
      <c r="Y107" s="40">
        <v>3825</v>
      </c>
      <c r="Z107" s="40">
        <v>3825</v>
      </c>
      <c r="AA107" s="40">
        <v>10625</v>
      </c>
      <c r="AB107" s="41"/>
      <c r="AC107" s="41" t="s">
        <v>1330</v>
      </c>
      <c r="AD107" s="41" t="s">
        <v>2984</v>
      </c>
      <c r="AE107" s="41"/>
      <c r="AF107" s="41" t="s">
        <v>786</v>
      </c>
      <c r="AG107" s="41" t="s">
        <v>356</v>
      </c>
      <c r="AH107" s="41" t="s">
        <v>1016</v>
      </c>
      <c r="AI107" s="41" t="s">
        <v>748</v>
      </c>
    </row>
    <row r="108" spans="1:35" x14ac:dyDescent="0.2">
      <c r="A108" s="53">
        <v>10725</v>
      </c>
      <c r="B108" s="41" t="s">
        <v>786</v>
      </c>
      <c r="C108" s="41" t="s">
        <v>1017</v>
      </c>
      <c r="D108" s="41" t="s">
        <v>312</v>
      </c>
      <c r="E108" s="55">
        <v>923245</v>
      </c>
      <c r="F108" s="41" t="s">
        <v>180</v>
      </c>
      <c r="G108" s="41" t="s">
        <v>29</v>
      </c>
      <c r="H108" s="41" t="s">
        <v>30</v>
      </c>
      <c r="I108" s="41" t="s">
        <v>31</v>
      </c>
      <c r="J108" s="41" t="s">
        <v>32</v>
      </c>
      <c r="K108" s="41" t="s">
        <v>33</v>
      </c>
      <c r="L108" s="50">
        <v>48294866</v>
      </c>
      <c r="M108" s="50">
        <v>0</v>
      </c>
      <c r="N108" s="50">
        <v>48294866</v>
      </c>
      <c r="O108" s="50">
        <v>44308623</v>
      </c>
      <c r="P108" s="43" t="s">
        <v>351</v>
      </c>
      <c r="Q108" s="40">
        <v>1006862905</v>
      </c>
      <c r="R108" s="41" t="s">
        <v>1018</v>
      </c>
      <c r="S108" s="41" t="s">
        <v>316</v>
      </c>
      <c r="T108" s="41" t="s">
        <v>317</v>
      </c>
      <c r="U108" s="41" t="s">
        <v>1019</v>
      </c>
      <c r="V108" s="41" t="s">
        <v>319</v>
      </c>
      <c r="W108" s="40">
        <v>890903938</v>
      </c>
      <c r="X108" s="41" t="s">
        <v>342</v>
      </c>
      <c r="Y108" s="40">
        <v>3825</v>
      </c>
      <c r="Z108" s="40">
        <v>3825</v>
      </c>
      <c r="AA108" s="40">
        <v>10725</v>
      </c>
      <c r="AB108" s="41"/>
      <c r="AC108" s="41" t="s">
        <v>1336</v>
      </c>
      <c r="AD108" s="41" t="s">
        <v>2985</v>
      </c>
      <c r="AE108" s="41"/>
      <c r="AF108" s="41" t="s">
        <v>786</v>
      </c>
      <c r="AG108" s="41" t="s">
        <v>356</v>
      </c>
      <c r="AH108" s="41" t="s">
        <v>1021</v>
      </c>
      <c r="AI108" s="41" t="s">
        <v>748</v>
      </c>
    </row>
    <row r="109" spans="1:35" x14ac:dyDescent="0.2">
      <c r="A109" s="53">
        <v>10825</v>
      </c>
      <c r="B109" s="41" t="s">
        <v>1022</v>
      </c>
      <c r="C109" s="41" t="s">
        <v>1023</v>
      </c>
      <c r="D109" s="41" t="s">
        <v>312</v>
      </c>
      <c r="E109" s="55">
        <v>923245</v>
      </c>
      <c r="F109" s="41" t="s">
        <v>180</v>
      </c>
      <c r="G109" s="41" t="s">
        <v>29</v>
      </c>
      <c r="H109" s="41" t="s">
        <v>30</v>
      </c>
      <c r="I109" s="41" t="s">
        <v>31</v>
      </c>
      <c r="J109" s="41" t="s">
        <v>32</v>
      </c>
      <c r="K109" s="41" t="s">
        <v>33</v>
      </c>
      <c r="L109" s="50">
        <v>48294866</v>
      </c>
      <c r="M109" s="50">
        <v>0</v>
      </c>
      <c r="N109" s="50">
        <v>48294866</v>
      </c>
      <c r="O109" s="50">
        <v>44308623</v>
      </c>
      <c r="P109" s="43" t="s">
        <v>351</v>
      </c>
      <c r="Q109" s="40">
        <v>11298110</v>
      </c>
      <c r="R109" s="41" t="s">
        <v>1024</v>
      </c>
      <c r="S109" s="41" t="s">
        <v>316</v>
      </c>
      <c r="T109" s="41" t="s">
        <v>317</v>
      </c>
      <c r="U109" s="41" t="s">
        <v>1025</v>
      </c>
      <c r="V109" s="41" t="s">
        <v>319</v>
      </c>
      <c r="W109" s="40">
        <v>860034313</v>
      </c>
      <c r="X109" s="41" t="s">
        <v>355</v>
      </c>
      <c r="Y109" s="40">
        <v>3825</v>
      </c>
      <c r="Z109" s="40">
        <v>3825</v>
      </c>
      <c r="AA109" s="40">
        <v>10825</v>
      </c>
      <c r="AB109" s="41"/>
      <c r="AC109" s="41" t="s">
        <v>1341</v>
      </c>
      <c r="AD109" s="41" t="s">
        <v>2986</v>
      </c>
      <c r="AE109" s="41"/>
      <c r="AF109" s="41" t="s">
        <v>1022</v>
      </c>
      <c r="AG109" s="41" t="s">
        <v>356</v>
      </c>
      <c r="AH109" s="41" t="s">
        <v>1027</v>
      </c>
      <c r="AI109" s="41" t="s">
        <v>748</v>
      </c>
    </row>
    <row r="110" spans="1:35" x14ac:dyDescent="0.2">
      <c r="A110" s="53">
        <v>10925</v>
      </c>
      <c r="B110" s="41" t="s">
        <v>1022</v>
      </c>
      <c r="C110" s="41" t="s">
        <v>1028</v>
      </c>
      <c r="D110" s="41" t="s">
        <v>312</v>
      </c>
      <c r="E110" s="55">
        <v>923245</v>
      </c>
      <c r="F110" s="41" t="s">
        <v>180</v>
      </c>
      <c r="G110" s="41" t="s">
        <v>29</v>
      </c>
      <c r="H110" s="41" t="s">
        <v>30</v>
      </c>
      <c r="I110" s="41" t="s">
        <v>31</v>
      </c>
      <c r="J110" s="41" t="s">
        <v>32</v>
      </c>
      <c r="K110" s="41" t="s">
        <v>33</v>
      </c>
      <c r="L110" s="50">
        <v>37336656</v>
      </c>
      <c r="M110" s="50">
        <v>0</v>
      </c>
      <c r="N110" s="50">
        <v>37336656</v>
      </c>
      <c r="O110" s="50">
        <v>34254900</v>
      </c>
      <c r="P110" s="43" t="s">
        <v>351</v>
      </c>
      <c r="Q110" s="40">
        <v>52971648</v>
      </c>
      <c r="R110" s="41" t="s">
        <v>1029</v>
      </c>
      <c r="S110" s="41" t="s">
        <v>316</v>
      </c>
      <c r="T110" s="41" t="s">
        <v>317</v>
      </c>
      <c r="U110" s="41" t="s">
        <v>1030</v>
      </c>
      <c r="V110" s="41" t="s">
        <v>319</v>
      </c>
      <c r="W110" s="40">
        <v>890903938</v>
      </c>
      <c r="X110" s="41" t="s">
        <v>342</v>
      </c>
      <c r="Y110" s="40">
        <v>3825</v>
      </c>
      <c r="Z110" s="40">
        <v>3825</v>
      </c>
      <c r="AA110" s="40">
        <v>10925</v>
      </c>
      <c r="AB110" s="41"/>
      <c r="AC110" s="41" t="s">
        <v>1345</v>
      </c>
      <c r="AD110" s="41" t="s">
        <v>2988</v>
      </c>
      <c r="AE110" s="41"/>
      <c r="AF110" s="41" t="s">
        <v>1022</v>
      </c>
      <c r="AG110" s="41" t="s">
        <v>356</v>
      </c>
      <c r="AH110" s="41" t="s">
        <v>1032</v>
      </c>
      <c r="AI110" s="41" t="s">
        <v>748</v>
      </c>
    </row>
    <row r="111" spans="1:35" x14ac:dyDescent="0.2">
      <c r="A111" s="53">
        <v>11025</v>
      </c>
      <c r="B111" s="41" t="s">
        <v>1022</v>
      </c>
      <c r="C111" s="41" t="s">
        <v>1033</v>
      </c>
      <c r="D111" s="41" t="s">
        <v>312</v>
      </c>
      <c r="E111" s="55">
        <v>923245</v>
      </c>
      <c r="F111" s="41" t="s">
        <v>180</v>
      </c>
      <c r="G111" s="41" t="s">
        <v>29</v>
      </c>
      <c r="H111" s="41" t="s">
        <v>30</v>
      </c>
      <c r="I111" s="41" t="s">
        <v>31</v>
      </c>
      <c r="J111" s="41" t="s">
        <v>32</v>
      </c>
      <c r="K111" s="41" t="s">
        <v>33</v>
      </c>
      <c r="L111" s="50">
        <v>48294866</v>
      </c>
      <c r="M111" s="50">
        <v>0</v>
      </c>
      <c r="N111" s="50">
        <v>48294866</v>
      </c>
      <c r="O111" s="50">
        <v>44308623</v>
      </c>
      <c r="P111" s="43" t="s">
        <v>351</v>
      </c>
      <c r="Q111" s="40">
        <v>79649154</v>
      </c>
      <c r="R111" s="41" t="s">
        <v>1034</v>
      </c>
      <c r="S111" s="41" t="s">
        <v>316</v>
      </c>
      <c r="T111" s="41" t="s">
        <v>317</v>
      </c>
      <c r="U111" s="41" t="s">
        <v>1035</v>
      </c>
      <c r="V111" s="41" t="s">
        <v>319</v>
      </c>
      <c r="W111" s="40">
        <v>860034313</v>
      </c>
      <c r="X111" s="41" t="s">
        <v>355</v>
      </c>
      <c r="Y111" s="40">
        <v>3825</v>
      </c>
      <c r="Z111" s="40">
        <v>3825</v>
      </c>
      <c r="AA111" s="40">
        <v>11025</v>
      </c>
      <c r="AB111" s="41"/>
      <c r="AC111" s="41" t="s">
        <v>1351</v>
      </c>
      <c r="AD111" s="41" t="s">
        <v>2990</v>
      </c>
      <c r="AE111" s="41"/>
      <c r="AF111" s="41" t="s">
        <v>1022</v>
      </c>
      <c r="AG111" s="41" t="s">
        <v>356</v>
      </c>
      <c r="AH111" s="41" t="s">
        <v>1037</v>
      </c>
      <c r="AI111" s="41" t="s">
        <v>748</v>
      </c>
    </row>
    <row r="112" spans="1:35" x14ac:dyDescent="0.2">
      <c r="A112" s="53">
        <v>11125</v>
      </c>
      <c r="B112" s="41" t="s">
        <v>1022</v>
      </c>
      <c r="C112" s="41" t="s">
        <v>1038</v>
      </c>
      <c r="D112" s="41" t="s">
        <v>312</v>
      </c>
      <c r="E112" s="55">
        <v>923245</v>
      </c>
      <c r="F112" s="41" t="s">
        <v>180</v>
      </c>
      <c r="G112" s="41" t="s">
        <v>29</v>
      </c>
      <c r="H112" s="41" t="s">
        <v>30</v>
      </c>
      <c r="I112" s="41" t="s">
        <v>31</v>
      </c>
      <c r="J112" s="41" t="s">
        <v>32</v>
      </c>
      <c r="K112" s="41" t="s">
        <v>33</v>
      </c>
      <c r="L112" s="50">
        <v>48294866</v>
      </c>
      <c r="M112" s="50">
        <v>0</v>
      </c>
      <c r="N112" s="50">
        <v>48294866</v>
      </c>
      <c r="O112" s="50">
        <v>44308623</v>
      </c>
      <c r="P112" s="43" t="s">
        <v>351</v>
      </c>
      <c r="Q112" s="40">
        <v>80256718</v>
      </c>
      <c r="R112" s="41" t="s">
        <v>1039</v>
      </c>
      <c r="S112" s="41" t="s">
        <v>316</v>
      </c>
      <c r="T112" s="41" t="s">
        <v>317</v>
      </c>
      <c r="U112" s="41" t="s">
        <v>1040</v>
      </c>
      <c r="V112" s="41" t="s">
        <v>319</v>
      </c>
      <c r="W112" s="40">
        <v>860007335</v>
      </c>
      <c r="X112" s="41" t="s">
        <v>381</v>
      </c>
      <c r="Y112" s="40">
        <v>3825</v>
      </c>
      <c r="Z112" s="40">
        <v>3825</v>
      </c>
      <c r="AA112" s="40">
        <v>11125</v>
      </c>
      <c r="AB112" s="41"/>
      <c r="AC112" s="41" t="s">
        <v>1356</v>
      </c>
      <c r="AD112" s="41" t="s">
        <v>2991</v>
      </c>
      <c r="AE112" s="41"/>
      <c r="AF112" s="41" t="s">
        <v>1022</v>
      </c>
      <c r="AG112" s="41" t="s">
        <v>356</v>
      </c>
      <c r="AH112" s="41" t="s">
        <v>1042</v>
      </c>
      <c r="AI112" s="41" t="s">
        <v>748</v>
      </c>
    </row>
    <row r="113" spans="1:35" x14ac:dyDescent="0.2">
      <c r="A113" s="53">
        <v>11225</v>
      </c>
      <c r="B113" s="41" t="s">
        <v>1022</v>
      </c>
      <c r="C113" s="41" t="s">
        <v>1043</v>
      </c>
      <c r="D113" s="41" t="s">
        <v>312</v>
      </c>
      <c r="E113" s="55">
        <v>923245</v>
      </c>
      <c r="F113" s="41" t="s">
        <v>180</v>
      </c>
      <c r="G113" s="41" t="s">
        <v>29</v>
      </c>
      <c r="H113" s="41" t="s">
        <v>30</v>
      </c>
      <c r="I113" s="41" t="s">
        <v>31</v>
      </c>
      <c r="J113" s="41" t="s">
        <v>32</v>
      </c>
      <c r="K113" s="41" t="s">
        <v>33</v>
      </c>
      <c r="L113" s="50">
        <v>48294866</v>
      </c>
      <c r="M113" s="50">
        <v>0</v>
      </c>
      <c r="N113" s="50">
        <v>48294866</v>
      </c>
      <c r="O113" s="50">
        <v>44308623</v>
      </c>
      <c r="P113" s="43" t="s">
        <v>351</v>
      </c>
      <c r="Q113" s="40">
        <v>79646599</v>
      </c>
      <c r="R113" s="41" t="s">
        <v>1044</v>
      </c>
      <c r="S113" s="41" t="s">
        <v>316</v>
      </c>
      <c r="T113" s="41" t="s">
        <v>317</v>
      </c>
      <c r="U113" s="41" t="s">
        <v>1045</v>
      </c>
      <c r="V113" s="41" t="s">
        <v>319</v>
      </c>
      <c r="W113" s="40">
        <v>890903937</v>
      </c>
      <c r="X113" s="41" t="s">
        <v>1046</v>
      </c>
      <c r="Y113" s="40">
        <v>3825</v>
      </c>
      <c r="Z113" s="40">
        <v>3825</v>
      </c>
      <c r="AA113" s="40">
        <v>11225</v>
      </c>
      <c r="AB113" s="41"/>
      <c r="AC113" s="41" t="s">
        <v>1361</v>
      </c>
      <c r="AD113" s="41" t="s">
        <v>2993</v>
      </c>
      <c r="AE113" s="41"/>
      <c r="AF113" s="41" t="s">
        <v>1022</v>
      </c>
      <c r="AG113" s="41" t="s">
        <v>356</v>
      </c>
      <c r="AH113" s="41" t="s">
        <v>1048</v>
      </c>
      <c r="AI113" s="41" t="s">
        <v>748</v>
      </c>
    </row>
    <row r="114" spans="1:35" x14ac:dyDescent="0.2">
      <c r="A114" s="53">
        <v>11325</v>
      </c>
      <c r="B114" s="41" t="s">
        <v>1022</v>
      </c>
      <c r="C114" s="41" t="s">
        <v>1049</v>
      </c>
      <c r="D114" s="41" t="s">
        <v>312</v>
      </c>
      <c r="E114" s="55">
        <v>923245</v>
      </c>
      <c r="F114" s="41" t="s">
        <v>180</v>
      </c>
      <c r="G114" s="41" t="s">
        <v>29</v>
      </c>
      <c r="H114" s="41" t="s">
        <v>30</v>
      </c>
      <c r="I114" s="41" t="s">
        <v>31</v>
      </c>
      <c r="J114" s="41" t="s">
        <v>32</v>
      </c>
      <c r="K114" s="41" t="s">
        <v>33</v>
      </c>
      <c r="L114" s="50">
        <v>48294866</v>
      </c>
      <c r="M114" s="50">
        <v>0</v>
      </c>
      <c r="N114" s="50">
        <v>48294866</v>
      </c>
      <c r="O114" s="50">
        <v>44308623</v>
      </c>
      <c r="P114" s="43" t="s">
        <v>351</v>
      </c>
      <c r="Q114" s="40">
        <v>79216079</v>
      </c>
      <c r="R114" s="41" t="s">
        <v>1050</v>
      </c>
      <c r="S114" s="41" t="s">
        <v>316</v>
      </c>
      <c r="T114" s="41" t="s">
        <v>317</v>
      </c>
      <c r="U114" s="41" t="s">
        <v>1051</v>
      </c>
      <c r="V114" s="41" t="s">
        <v>319</v>
      </c>
      <c r="W114" s="40">
        <v>890903938</v>
      </c>
      <c r="X114" s="41" t="s">
        <v>342</v>
      </c>
      <c r="Y114" s="40">
        <v>3825</v>
      </c>
      <c r="Z114" s="40">
        <v>3825</v>
      </c>
      <c r="AA114" s="40">
        <v>11325</v>
      </c>
      <c r="AB114" s="41"/>
      <c r="AC114" s="41" t="s">
        <v>1365</v>
      </c>
      <c r="AD114" s="41" t="s">
        <v>2995</v>
      </c>
      <c r="AE114" s="41"/>
      <c r="AF114" s="41" t="s">
        <v>1022</v>
      </c>
      <c r="AG114" s="41" t="s">
        <v>356</v>
      </c>
      <c r="AH114" s="41" t="s">
        <v>1053</v>
      </c>
      <c r="AI114" s="41" t="s">
        <v>748</v>
      </c>
    </row>
    <row r="115" spans="1:35" x14ac:dyDescent="0.2">
      <c r="A115" s="53">
        <v>11425</v>
      </c>
      <c r="B115" s="41" t="s">
        <v>1022</v>
      </c>
      <c r="C115" s="41" t="s">
        <v>1054</v>
      </c>
      <c r="D115" s="41" t="s">
        <v>312</v>
      </c>
      <c r="E115" s="55">
        <v>923245</v>
      </c>
      <c r="F115" s="41" t="s">
        <v>180</v>
      </c>
      <c r="G115" s="41" t="s">
        <v>29</v>
      </c>
      <c r="H115" s="41" t="s">
        <v>30</v>
      </c>
      <c r="I115" s="41" t="s">
        <v>31</v>
      </c>
      <c r="J115" s="41" t="s">
        <v>32</v>
      </c>
      <c r="K115" s="41" t="s">
        <v>33</v>
      </c>
      <c r="L115" s="50">
        <v>48294866</v>
      </c>
      <c r="M115" s="50">
        <v>0</v>
      </c>
      <c r="N115" s="50">
        <v>48294866</v>
      </c>
      <c r="O115" s="50">
        <v>44308623</v>
      </c>
      <c r="P115" s="43" t="s">
        <v>351</v>
      </c>
      <c r="Q115" s="40">
        <v>1012439964</v>
      </c>
      <c r="R115" s="41" t="s">
        <v>1055</v>
      </c>
      <c r="S115" s="41" t="s">
        <v>316</v>
      </c>
      <c r="T115" s="41" t="s">
        <v>317</v>
      </c>
      <c r="U115" s="41" t="s">
        <v>1056</v>
      </c>
      <c r="V115" s="41" t="s">
        <v>319</v>
      </c>
      <c r="W115" s="40">
        <v>890903938</v>
      </c>
      <c r="X115" s="41" t="s">
        <v>342</v>
      </c>
      <c r="Y115" s="40">
        <v>3825</v>
      </c>
      <c r="Z115" s="40">
        <v>3825</v>
      </c>
      <c r="AA115" s="40">
        <v>11425</v>
      </c>
      <c r="AB115" s="41"/>
      <c r="AC115" s="41" t="s">
        <v>1370</v>
      </c>
      <c r="AD115" s="41" t="s">
        <v>2997</v>
      </c>
      <c r="AE115" s="41"/>
      <c r="AF115" s="41" t="s">
        <v>1022</v>
      </c>
      <c r="AG115" s="41" t="s">
        <v>356</v>
      </c>
      <c r="AH115" s="41" t="s">
        <v>1058</v>
      </c>
      <c r="AI115" s="41" t="s">
        <v>748</v>
      </c>
    </row>
    <row r="116" spans="1:35" x14ac:dyDescent="0.2">
      <c r="A116" s="53">
        <v>11525</v>
      </c>
      <c r="B116" s="41" t="s">
        <v>1022</v>
      </c>
      <c r="C116" s="41" t="s">
        <v>1059</v>
      </c>
      <c r="D116" s="41" t="s">
        <v>312</v>
      </c>
      <c r="E116" s="55">
        <v>923245</v>
      </c>
      <c r="F116" s="41" t="s">
        <v>180</v>
      </c>
      <c r="G116" s="41" t="s">
        <v>29</v>
      </c>
      <c r="H116" s="41" t="s">
        <v>30</v>
      </c>
      <c r="I116" s="41" t="s">
        <v>31</v>
      </c>
      <c r="J116" s="41" t="s">
        <v>32</v>
      </c>
      <c r="K116" s="41" t="s">
        <v>33</v>
      </c>
      <c r="L116" s="50">
        <v>48294866</v>
      </c>
      <c r="M116" s="50">
        <v>0</v>
      </c>
      <c r="N116" s="50">
        <v>48294866</v>
      </c>
      <c r="O116" s="50">
        <v>44308623</v>
      </c>
      <c r="P116" s="43" t="s">
        <v>351</v>
      </c>
      <c r="Q116" s="40">
        <v>79221542</v>
      </c>
      <c r="R116" s="41" t="s">
        <v>1060</v>
      </c>
      <c r="S116" s="41" t="s">
        <v>316</v>
      </c>
      <c r="T116" s="41" t="s">
        <v>317</v>
      </c>
      <c r="U116" s="41" t="s">
        <v>1061</v>
      </c>
      <c r="V116" s="41" t="s">
        <v>319</v>
      </c>
      <c r="W116" s="40">
        <v>860007335</v>
      </c>
      <c r="X116" s="41" t="s">
        <v>381</v>
      </c>
      <c r="Y116" s="40">
        <v>3825</v>
      </c>
      <c r="Z116" s="40">
        <v>3825</v>
      </c>
      <c r="AA116" s="40">
        <v>11525</v>
      </c>
      <c r="AB116" s="41"/>
      <c r="AC116" s="41" t="s">
        <v>1375</v>
      </c>
      <c r="AD116" s="41" t="s">
        <v>2999</v>
      </c>
      <c r="AE116" s="41"/>
      <c r="AF116" s="41" t="s">
        <v>1022</v>
      </c>
      <c r="AG116" s="41" t="s">
        <v>356</v>
      </c>
      <c r="AH116" s="41" t="s">
        <v>1063</v>
      </c>
      <c r="AI116" s="41" t="s">
        <v>748</v>
      </c>
    </row>
    <row r="117" spans="1:35" x14ac:dyDescent="0.2">
      <c r="A117" s="53">
        <v>11625</v>
      </c>
      <c r="B117" s="41" t="s">
        <v>1022</v>
      </c>
      <c r="C117" s="41" t="s">
        <v>1064</v>
      </c>
      <c r="D117" s="41" t="s">
        <v>312</v>
      </c>
      <c r="E117" s="55">
        <v>923245</v>
      </c>
      <c r="F117" s="41" t="s">
        <v>180</v>
      </c>
      <c r="G117" s="41" t="s">
        <v>29</v>
      </c>
      <c r="H117" s="41" t="s">
        <v>30</v>
      </c>
      <c r="I117" s="41" t="s">
        <v>31</v>
      </c>
      <c r="J117" s="41" t="s">
        <v>32</v>
      </c>
      <c r="K117" s="41" t="s">
        <v>33</v>
      </c>
      <c r="L117" s="50">
        <v>48294866</v>
      </c>
      <c r="M117" s="50">
        <v>0</v>
      </c>
      <c r="N117" s="50">
        <v>48294866</v>
      </c>
      <c r="O117" s="50">
        <v>44308623</v>
      </c>
      <c r="P117" s="43" t="s">
        <v>351</v>
      </c>
      <c r="Q117" s="40">
        <v>1032360333</v>
      </c>
      <c r="R117" s="41" t="s">
        <v>1065</v>
      </c>
      <c r="S117" s="41" t="s">
        <v>316</v>
      </c>
      <c r="T117" s="41" t="s">
        <v>317</v>
      </c>
      <c r="U117" s="41" t="s">
        <v>1066</v>
      </c>
      <c r="V117" s="41" t="s">
        <v>319</v>
      </c>
      <c r="W117" s="40">
        <v>890903938</v>
      </c>
      <c r="X117" s="41" t="s">
        <v>342</v>
      </c>
      <c r="Y117" s="40">
        <v>3825</v>
      </c>
      <c r="Z117" s="40">
        <v>3825</v>
      </c>
      <c r="AA117" s="40">
        <v>11625</v>
      </c>
      <c r="AB117" s="41"/>
      <c r="AC117" s="41" t="s">
        <v>1380</v>
      </c>
      <c r="AD117" s="41" t="s">
        <v>3001</v>
      </c>
      <c r="AE117" s="41"/>
      <c r="AF117" s="41" t="s">
        <v>1022</v>
      </c>
      <c r="AG117" s="41" t="s">
        <v>356</v>
      </c>
      <c r="AH117" s="41" t="s">
        <v>1068</v>
      </c>
      <c r="AI117" s="41" t="s">
        <v>748</v>
      </c>
    </row>
    <row r="118" spans="1:35" x14ac:dyDescent="0.2">
      <c r="A118" s="53">
        <v>11725</v>
      </c>
      <c r="B118" s="41" t="s">
        <v>1022</v>
      </c>
      <c r="C118" s="41" t="s">
        <v>1069</v>
      </c>
      <c r="D118" s="41" t="s">
        <v>312</v>
      </c>
      <c r="E118" s="55">
        <v>923245</v>
      </c>
      <c r="F118" s="41" t="s">
        <v>180</v>
      </c>
      <c r="G118" s="41" t="s">
        <v>29</v>
      </c>
      <c r="H118" s="41" t="s">
        <v>30</v>
      </c>
      <c r="I118" s="41" t="s">
        <v>31</v>
      </c>
      <c r="J118" s="41" t="s">
        <v>32</v>
      </c>
      <c r="K118" s="41" t="s">
        <v>33</v>
      </c>
      <c r="L118" s="50">
        <v>48294866</v>
      </c>
      <c r="M118" s="50">
        <v>0</v>
      </c>
      <c r="N118" s="50">
        <v>48294866</v>
      </c>
      <c r="O118" s="50">
        <v>44308623</v>
      </c>
      <c r="P118" s="43" t="s">
        <v>351</v>
      </c>
      <c r="Q118" s="40">
        <v>79938816</v>
      </c>
      <c r="R118" s="41" t="s">
        <v>1070</v>
      </c>
      <c r="S118" s="41" t="s">
        <v>316</v>
      </c>
      <c r="T118" s="41" t="s">
        <v>317</v>
      </c>
      <c r="U118" s="41" t="s">
        <v>1071</v>
      </c>
      <c r="V118" s="41" t="s">
        <v>319</v>
      </c>
      <c r="W118" s="40">
        <v>860034594</v>
      </c>
      <c r="X118" s="41" t="s">
        <v>374</v>
      </c>
      <c r="Y118" s="40">
        <v>3825</v>
      </c>
      <c r="Z118" s="40">
        <v>3825</v>
      </c>
      <c r="AA118" s="40">
        <v>11725</v>
      </c>
      <c r="AB118" s="41"/>
      <c r="AC118" s="41" t="s">
        <v>1384</v>
      </c>
      <c r="AD118" s="41" t="s">
        <v>3003</v>
      </c>
      <c r="AE118" s="41"/>
      <c r="AF118" s="41" t="s">
        <v>1022</v>
      </c>
      <c r="AG118" s="41" t="s">
        <v>356</v>
      </c>
      <c r="AH118" s="41" t="s">
        <v>1073</v>
      </c>
      <c r="AI118" s="41" t="s">
        <v>748</v>
      </c>
    </row>
    <row r="119" spans="1:35" x14ac:dyDescent="0.2">
      <c r="A119" s="53">
        <v>11825</v>
      </c>
      <c r="B119" s="41" t="s">
        <v>1022</v>
      </c>
      <c r="C119" s="41" t="s">
        <v>1074</v>
      </c>
      <c r="D119" s="41" t="s">
        <v>312</v>
      </c>
      <c r="E119" s="55">
        <v>923245</v>
      </c>
      <c r="F119" s="41" t="s">
        <v>180</v>
      </c>
      <c r="G119" s="41" t="s">
        <v>29</v>
      </c>
      <c r="H119" s="41" t="s">
        <v>30</v>
      </c>
      <c r="I119" s="41" t="s">
        <v>31</v>
      </c>
      <c r="J119" s="41" t="s">
        <v>32</v>
      </c>
      <c r="K119" s="41" t="s">
        <v>33</v>
      </c>
      <c r="L119" s="50">
        <v>48294866</v>
      </c>
      <c r="M119" s="50">
        <v>0</v>
      </c>
      <c r="N119" s="50">
        <v>48294866</v>
      </c>
      <c r="O119" s="50">
        <v>44308623</v>
      </c>
      <c r="P119" s="43" t="s">
        <v>351</v>
      </c>
      <c r="Q119" s="40">
        <v>52529189</v>
      </c>
      <c r="R119" s="41" t="s">
        <v>1075</v>
      </c>
      <c r="S119" s="41" t="s">
        <v>316</v>
      </c>
      <c r="T119" s="41" t="s">
        <v>317</v>
      </c>
      <c r="U119" s="41" t="s">
        <v>1076</v>
      </c>
      <c r="V119" s="41" t="s">
        <v>319</v>
      </c>
      <c r="W119" s="40">
        <v>890903938</v>
      </c>
      <c r="X119" s="41" t="s">
        <v>342</v>
      </c>
      <c r="Y119" s="40">
        <v>3825</v>
      </c>
      <c r="Z119" s="40">
        <v>3825</v>
      </c>
      <c r="AA119" s="40">
        <v>11825</v>
      </c>
      <c r="AB119" s="41"/>
      <c r="AC119" s="41" t="s">
        <v>1389</v>
      </c>
      <c r="AD119" s="41" t="s">
        <v>3005</v>
      </c>
      <c r="AE119" s="41"/>
      <c r="AF119" s="41" t="s">
        <v>1022</v>
      </c>
      <c r="AG119" s="41" t="s">
        <v>356</v>
      </c>
      <c r="AH119" s="41" t="s">
        <v>1078</v>
      </c>
      <c r="AI119" s="41" t="s">
        <v>748</v>
      </c>
    </row>
    <row r="120" spans="1:35" x14ac:dyDescent="0.2">
      <c r="A120" s="53">
        <v>11925</v>
      </c>
      <c r="B120" s="41" t="s">
        <v>1022</v>
      </c>
      <c r="C120" s="41" t="s">
        <v>1079</v>
      </c>
      <c r="D120" s="41" t="s">
        <v>312</v>
      </c>
      <c r="E120" s="55">
        <v>923245</v>
      </c>
      <c r="F120" s="41" t="s">
        <v>180</v>
      </c>
      <c r="G120" s="41" t="s">
        <v>29</v>
      </c>
      <c r="H120" s="41" t="s">
        <v>30</v>
      </c>
      <c r="I120" s="41" t="s">
        <v>31</v>
      </c>
      <c r="J120" s="41" t="s">
        <v>32</v>
      </c>
      <c r="K120" s="41" t="s">
        <v>33</v>
      </c>
      <c r="L120" s="50">
        <v>48294866</v>
      </c>
      <c r="M120" s="50">
        <v>0</v>
      </c>
      <c r="N120" s="50">
        <v>48294866</v>
      </c>
      <c r="O120" s="50">
        <v>44308623</v>
      </c>
      <c r="P120" s="43" t="s">
        <v>351</v>
      </c>
      <c r="Q120" s="40">
        <v>52542737</v>
      </c>
      <c r="R120" s="41" t="s">
        <v>1080</v>
      </c>
      <c r="S120" s="41" t="s">
        <v>316</v>
      </c>
      <c r="T120" s="41" t="s">
        <v>317</v>
      </c>
      <c r="U120" s="41" t="s">
        <v>1081</v>
      </c>
      <c r="V120" s="41" t="s">
        <v>319</v>
      </c>
      <c r="W120" s="40">
        <v>860035827</v>
      </c>
      <c r="X120" s="41" t="s">
        <v>653</v>
      </c>
      <c r="Y120" s="40">
        <v>3825</v>
      </c>
      <c r="Z120" s="40">
        <v>3825</v>
      </c>
      <c r="AA120" s="40">
        <v>11925</v>
      </c>
      <c r="AB120" s="41"/>
      <c r="AC120" s="41" t="s">
        <v>1393</v>
      </c>
      <c r="AD120" s="41" t="s">
        <v>3007</v>
      </c>
      <c r="AE120" s="41"/>
      <c r="AF120" s="41" t="s">
        <v>1022</v>
      </c>
      <c r="AG120" s="41" t="s">
        <v>356</v>
      </c>
      <c r="AH120" s="41" t="s">
        <v>1083</v>
      </c>
      <c r="AI120" s="41" t="s">
        <v>748</v>
      </c>
    </row>
    <row r="121" spans="1:35" x14ac:dyDescent="0.2">
      <c r="A121" s="53">
        <v>12025</v>
      </c>
      <c r="B121" s="41" t="s">
        <v>1022</v>
      </c>
      <c r="C121" s="41" t="s">
        <v>1084</v>
      </c>
      <c r="D121" s="41" t="s">
        <v>312</v>
      </c>
      <c r="E121" s="55">
        <v>923245</v>
      </c>
      <c r="F121" s="41" t="s">
        <v>180</v>
      </c>
      <c r="G121" s="41" t="s">
        <v>29</v>
      </c>
      <c r="H121" s="41" t="s">
        <v>30</v>
      </c>
      <c r="I121" s="41" t="s">
        <v>31</v>
      </c>
      <c r="J121" s="41" t="s">
        <v>32</v>
      </c>
      <c r="K121" s="41" t="s">
        <v>33</v>
      </c>
      <c r="L121" s="50">
        <v>48294866</v>
      </c>
      <c r="M121" s="50">
        <v>0</v>
      </c>
      <c r="N121" s="50">
        <v>48294866</v>
      </c>
      <c r="O121" s="50">
        <v>44308623</v>
      </c>
      <c r="P121" s="43" t="s">
        <v>351</v>
      </c>
      <c r="Q121" s="40">
        <v>52545500</v>
      </c>
      <c r="R121" s="41" t="s">
        <v>1085</v>
      </c>
      <c r="S121" s="41" t="s">
        <v>316</v>
      </c>
      <c r="T121" s="41" t="s">
        <v>317</v>
      </c>
      <c r="U121" s="41" t="s">
        <v>1086</v>
      </c>
      <c r="V121" s="41" t="s">
        <v>319</v>
      </c>
      <c r="W121" s="40">
        <v>860007335</v>
      </c>
      <c r="X121" s="41" t="s">
        <v>381</v>
      </c>
      <c r="Y121" s="40">
        <v>3825</v>
      </c>
      <c r="Z121" s="40">
        <v>3825</v>
      </c>
      <c r="AA121" s="40">
        <v>12025</v>
      </c>
      <c r="AB121" s="41"/>
      <c r="AC121" s="41" t="s">
        <v>1398</v>
      </c>
      <c r="AD121" s="41" t="s">
        <v>3008</v>
      </c>
      <c r="AE121" s="41"/>
      <c r="AF121" s="41" t="s">
        <v>1022</v>
      </c>
      <c r="AG121" s="41" t="s">
        <v>356</v>
      </c>
      <c r="AH121" s="41" t="s">
        <v>1088</v>
      </c>
      <c r="AI121" s="41" t="s">
        <v>748</v>
      </c>
    </row>
    <row r="122" spans="1:35" x14ac:dyDescent="0.2">
      <c r="A122" s="53">
        <v>12125</v>
      </c>
      <c r="B122" s="41" t="s">
        <v>1022</v>
      </c>
      <c r="C122" s="41" t="s">
        <v>1089</v>
      </c>
      <c r="D122" s="41" t="s">
        <v>312</v>
      </c>
      <c r="E122" s="55">
        <v>923245</v>
      </c>
      <c r="F122" s="41" t="s">
        <v>180</v>
      </c>
      <c r="G122" s="41" t="s">
        <v>29</v>
      </c>
      <c r="H122" s="41" t="s">
        <v>30</v>
      </c>
      <c r="I122" s="41" t="s">
        <v>31</v>
      </c>
      <c r="J122" s="41" t="s">
        <v>32</v>
      </c>
      <c r="K122" s="41" t="s">
        <v>33</v>
      </c>
      <c r="L122" s="50">
        <v>48294866</v>
      </c>
      <c r="M122" s="50">
        <v>0</v>
      </c>
      <c r="N122" s="50">
        <v>48294866</v>
      </c>
      <c r="O122" s="50">
        <v>44308623</v>
      </c>
      <c r="P122" s="43" t="s">
        <v>351</v>
      </c>
      <c r="Q122" s="40">
        <v>52823268</v>
      </c>
      <c r="R122" s="41" t="s">
        <v>1090</v>
      </c>
      <c r="S122" s="41" t="s">
        <v>316</v>
      </c>
      <c r="T122" s="41" t="s">
        <v>317</v>
      </c>
      <c r="U122" s="41" t="s">
        <v>1091</v>
      </c>
      <c r="V122" s="41" t="s">
        <v>319</v>
      </c>
      <c r="W122" s="40">
        <v>860007335</v>
      </c>
      <c r="X122" s="41" t="s">
        <v>381</v>
      </c>
      <c r="Y122" s="40">
        <v>3825</v>
      </c>
      <c r="Z122" s="40">
        <v>3825</v>
      </c>
      <c r="AA122" s="40">
        <v>12125</v>
      </c>
      <c r="AB122" s="41"/>
      <c r="AC122" s="41" t="s">
        <v>1403</v>
      </c>
      <c r="AD122" s="41" t="s">
        <v>3009</v>
      </c>
      <c r="AE122" s="41"/>
      <c r="AF122" s="41" t="s">
        <v>1022</v>
      </c>
      <c r="AG122" s="41" t="s">
        <v>356</v>
      </c>
      <c r="AH122" s="41" t="s">
        <v>1093</v>
      </c>
      <c r="AI122" s="41" t="s">
        <v>748</v>
      </c>
    </row>
    <row r="123" spans="1:35" x14ac:dyDescent="0.2">
      <c r="A123" s="53">
        <v>12225</v>
      </c>
      <c r="B123" s="41" t="s">
        <v>1022</v>
      </c>
      <c r="C123" s="41" t="s">
        <v>1094</v>
      </c>
      <c r="D123" s="41" t="s">
        <v>312</v>
      </c>
      <c r="E123" s="55">
        <v>923245</v>
      </c>
      <c r="F123" s="41" t="s">
        <v>180</v>
      </c>
      <c r="G123" s="41" t="s">
        <v>29</v>
      </c>
      <c r="H123" s="41" t="s">
        <v>30</v>
      </c>
      <c r="I123" s="41" t="s">
        <v>31</v>
      </c>
      <c r="J123" s="41" t="s">
        <v>32</v>
      </c>
      <c r="K123" s="41" t="s">
        <v>33</v>
      </c>
      <c r="L123" s="50">
        <v>48294866</v>
      </c>
      <c r="M123" s="50">
        <v>0</v>
      </c>
      <c r="N123" s="50">
        <v>48294866</v>
      </c>
      <c r="O123" s="50">
        <v>44308623</v>
      </c>
      <c r="P123" s="43" t="s">
        <v>351</v>
      </c>
      <c r="Q123" s="40">
        <v>20996655</v>
      </c>
      <c r="R123" s="41" t="s">
        <v>1095</v>
      </c>
      <c r="S123" s="41" t="s">
        <v>316</v>
      </c>
      <c r="T123" s="41" t="s">
        <v>317</v>
      </c>
      <c r="U123" s="41" t="s">
        <v>1096</v>
      </c>
      <c r="V123" s="41" t="s">
        <v>319</v>
      </c>
      <c r="W123" s="40">
        <v>890903938</v>
      </c>
      <c r="X123" s="41" t="s">
        <v>342</v>
      </c>
      <c r="Y123" s="40">
        <v>3825</v>
      </c>
      <c r="Z123" s="40">
        <v>3825</v>
      </c>
      <c r="AA123" s="40">
        <v>12225</v>
      </c>
      <c r="AB123" s="41"/>
      <c r="AC123" s="41" t="s">
        <v>1409</v>
      </c>
      <c r="AD123" s="41" t="s">
        <v>3010</v>
      </c>
      <c r="AE123" s="41"/>
      <c r="AF123" s="41" t="s">
        <v>1022</v>
      </c>
      <c r="AG123" s="41" t="s">
        <v>356</v>
      </c>
      <c r="AH123" s="41" t="s">
        <v>1098</v>
      </c>
      <c r="AI123" s="41" t="s">
        <v>748</v>
      </c>
    </row>
    <row r="124" spans="1:35" x14ac:dyDescent="0.2">
      <c r="A124" s="53">
        <v>12325</v>
      </c>
      <c r="B124" s="41" t="s">
        <v>1022</v>
      </c>
      <c r="C124" s="41" t="s">
        <v>1099</v>
      </c>
      <c r="D124" s="41" t="s">
        <v>312</v>
      </c>
      <c r="E124" s="55">
        <v>923245</v>
      </c>
      <c r="F124" s="41" t="s">
        <v>180</v>
      </c>
      <c r="G124" s="41" t="s">
        <v>29</v>
      </c>
      <c r="H124" s="41" t="s">
        <v>30</v>
      </c>
      <c r="I124" s="41" t="s">
        <v>31</v>
      </c>
      <c r="J124" s="41" t="s">
        <v>32</v>
      </c>
      <c r="K124" s="41" t="s">
        <v>33</v>
      </c>
      <c r="L124" s="50">
        <v>48294866</v>
      </c>
      <c r="M124" s="50">
        <v>0</v>
      </c>
      <c r="N124" s="50">
        <v>48294866</v>
      </c>
      <c r="O124" s="50">
        <v>44308623</v>
      </c>
      <c r="P124" s="43" t="s">
        <v>351</v>
      </c>
      <c r="Q124" s="40">
        <v>34990465</v>
      </c>
      <c r="R124" s="41" t="s">
        <v>1100</v>
      </c>
      <c r="S124" s="41" t="s">
        <v>316</v>
      </c>
      <c r="T124" s="41" t="s">
        <v>317</v>
      </c>
      <c r="U124" s="41" t="s">
        <v>1101</v>
      </c>
      <c r="V124" s="41" t="s">
        <v>319</v>
      </c>
      <c r="W124" s="40">
        <v>860034594</v>
      </c>
      <c r="X124" s="41" t="s">
        <v>374</v>
      </c>
      <c r="Y124" s="40">
        <v>3825</v>
      </c>
      <c r="Z124" s="40">
        <v>3825</v>
      </c>
      <c r="AA124" s="40">
        <v>12325</v>
      </c>
      <c r="AB124" s="41"/>
      <c r="AC124" s="41" t="s">
        <v>1414</v>
      </c>
      <c r="AD124" s="41" t="s">
        <v>3011</v>
      </c>
      <c r="AE124" s="41"/>
      <c r="AF124" s="41" t="s">
        <v>1022</v>
      </c>
      <c r="AG124" s="41" t="s">
        <v>356</v>
      </c>
      <c r="AH124" s="41" t="s">
        <v>1103</v>
      </c>
      <c r="AI124" s="41" t="s">
        <v>748</v>
      </c>
    </row>
    <row r="125" spans="1:35" x14ac:dyDescent="0.2">
      <c r="A125" s="53">
        <v>12425</v>
      </c>
      <c r="B125" s="41" t="s">
        <v>1022</v>
      </c>
      <c r="C125" s="41" t="s">
        <v>1104</v>
      </c>
      <c r="D125" s="41" t="s">
        <v>312</v>
      </c>
      <c r="E125" s="55">
        <v>923245</v>
      </c>
      <c r="F125" s="41" t="s">
        <v>180</v>
      </c>
      <c r="G125" s="41" t="s">
        <v>29</v>
      </c>
      <c r="H125" s="41" t="s">
        <v>30</v>
      </c>
      <c r="I125" s="41" t="s">
        <v>31</v>
      </c>
      <c r="J125" s="41" t="s">
        <v>32</v>
      </c>
      <c r="K125" s="41" t="s">
        <v>33</v>
      </c>
      <c r="L125" s="50">
        <v>48294866</v>
      </c>
      <c r="M125" s="50">
        <v>0</v>
      </c>
      <c r="N125" s="50">
        <v>48294866</v>
      </c>
      <c r="O125" s="50">
        <v>44308623</v>
      </c>
      <c r="P125" s="43" t="s">
        <v>351</v>
      </c>
      <c r="Q125" s="40">
        <v>93370817</v>
      </c>
      <c r="R125" s="41" t="s">
        <v>1105</v>
      </c>
      <c r="S125" s="41" t="s">
        <v>316</v>
      </c>
      <c r="T125" s="41" t="s">
        <v>317</v>
      </c>
      <c r="U125" s="41" t="s">
        <v>1106</v>
      </c>
      <c r="V125" s="41" t="s">
        <v>319</v>
      </c>
      <c r="W125" s="40">
        <v>860034313</v>
      </c>
      <c r="X125" s="41" t="s">
        <v>355</v>
      </c>
      <c r="Y125" s="40">
        <v>3825</v>
      </c>
      <c r="Z125" s="40">
        <v>3825</v>
      </c>
      <c r="AA125" s="40">
        <v>12425</v>
      </c>
      <c r="AB125" s="41"/>
      <c r="AC125" s="41" t="s">
        <v>1418</v>
      </c>
      <c r="AD125" s="41" t="s">
        <v>3012</v>
      </c>
      <c r="AE125" s="41"/>
      <c r="AF125" s="41" t="s">
        <v>1022</v>
      </c>
      <c r="AG125" s="41" t="s">
        <v>356</v>
      </c>
      <c r="AH125" s="41" t="s">
        <v>1108</v>
      </c>
      <c r="AI125" s="41" t="s">
        <v>748</v>
      </c>
    </row>
    <row r="126" spans="1:35" x14ac:dyDescent="0.2">
      <c r="A126" s="53">
        <v>12525</v>
      </c>
      <c r="B126" s="41" t="s">
        <v>1022</v>
      </c>
      <c r="C126" s="41" t="s">
        <v>1109</v>
      </c>
      <c r="D126" s="41" t="s">
        <v>312</v>
      </c>
      <c r="E126" s="55">
        <v>923245</v>
      </c>
      <c r="F126" s="41" t="s">
        <v>180</v>
      </c>
      <c r="G126" s="41" t="s">
        <v>29</v>
      </c>
      <c r="H126" s="41" t="s">
        <v>30</v>
      </c>
      <c r="I126" s="41" t="s">
        <v>31</v>
      </c>
      <c r="J126" s="41" t="s">
        <v>32</v>
      </c>
      <c r="K126" s="41" t="s">
        <v>33</v>
      </c>
      <c r="L126" s="50">
        <v>48294866</v>
      </c>
      <c r="M126" s="50">
        <v>0</v>
      </c>
      <c r="N126" s="50">
        <v>48294866</v>
      </c>
      <c r="O126" s="50">
        <v>44308623</v>
      </c>
      <c r="P126" s="43" t="s">
        <v>351</v>
      </c>
      <c r="Q126" s="40">
        <v>79643322</v>
      </c>
      <c r="R126" s="41" t="s">
        <v>1110</v>
      </c>
      <c r="S126" s="41" t="s">
        <v>316</v>
      </c>
      <c r="T126" s="41" t="s">
        <v>317</v>
      </c>
      <c r="U126" s="41" t="s">
        <v>1111</v>
      </c>
      <c r="V126" s="41" t="s">
        <v>319</v>
      </c>
      <c r="W126" s="40">
        <v>890903938</v>
      </c>
      <c r="X126" s="41" t="s">
        <v>342</v>
      </c>
      <c r="Y126" s="40">
        <v>3825</v>
      </c>
      <c r="Z126" s="40">
        <v>3825</v>
      </c>
      <c r="AA126" s="40">
        <v>12525</v>
      </c>
      <c r="AB126" s="41"/>
      <c r="AC126" s="41" t="s">
        <v>1423</v>
      </c>
      <c r="AD126" s="41" t="s">
        <v>3014</v>
      </c>
      <c r="AE126" s="41"/>
      <c r="AF126" s="41" t="s">
        <v>1022</v>
      </c>
      <c r="AG126" s="41" t="s">
        <v>356</v>
      </c>
      <c r="AH126" s="41" t="s">
        <v>1113</v>
      </c>
      <c r="AI126" s="41" t="s">
        <v>748</v>
      </c>
    </row>
    <row r="127" spans="1:35" x14ac:dyDescent="0.2">
      <c r="A127" s="53">
        <v>12625</v>
      </c>
      <c r="B127" s="41" t="s">
        <v>1022</v>
      </c>
      <c r="C127" s="41" t="s">
        <v>1114</v>
      </c>
      <c r="D127" s="41" t="s">
        <v>312</v>
      </c>
      <c r="E127" s="55">
        <v>923245</v>
      </c>
      <c r="F127" s="41" t="s">
        <v>180</v>
      </c>
      <c r="G127" s="41" t="s">
        <v>29</v>
      </c>
      <c r="H127" s="41" t="s">
        <v>30</v>
      </c>
      <c r="I127" s="41" t="s">
        <v>31</v>
      </c>
      <c r="J127" s="41" t="s">
        <v>32</v>
      </c>
      <c r="K127" s="41" t="s">
        <v>33</v>
      </c>
      <c r="L127" s="50">
        <v>48294866</v>
      </c>
      <c r="M127" s="50">
        <v>0</v>
      </c>
      <c r="N127" s="50">
        <v>48294866</v>
      </c>
      <c r="O127" s="50">
        <v>44308623</v>
      </c>
      <c r="P127" s="43" t="s">
        <v>351</v>
      </c>
      <c r="Q127" s="40">
        <v>35250064</v>
      </c>
      <c r="R127" s="41" t="s">
        <v>1115</v>
      </c>
      <c r="S127" s="41" t="s">
        <v>316</v>
      </c>
      <c r="T127" s="41" t="s">
        <v>317</v>
      </c>
      <c r="U127" s="41" t="s">
        <v>1116</v>
      </c>
      <c r="V127" s="41" t="s">
        <v>319</v>
      </c>
      <c r="W127" s="40">
        <v>890903938</v>
      </c>
      <c r="X127" s="41" t="s">
        <v>342</v>
      </c>
      <c r="Y127" s="40">
        <v>3825</v>
      </c>
      <c r="Z127" s="40">
        <v>3825</v>
      </c>
      <c r="AA127" s="40">
        <v>12625</v>
      </c>
      <c r="AB127" s="41"/>
      <c r="AC127" s="41" t="s">
        <v>1428</v>
      </c>
      <c r="AD127" s="41" t="s">
        <v>3015</v>
      </c>
      <c r="AE127" s="41"/>
      <c r="AF127" s="41" t="s">
        <v>1022</v>
      </c>
      <c r="AG127" s="41" t="s">
        <v>356</v>
      </c>
      <c r="AH127" s="41" t="s">
        <v>1118</v>
      </c>
      <c r="AI127" s="41" t="s">
        <v>748</v>
      </c>
    </row>
    <row r="128" spans="1:35" x14ac:dyDescent="0.2">
      <c r="A128" s="53">
        <v>12725</v>
      </c>
      <c r="B128" s="41" t="s">
        <v>1022</v>
      </c>
      <c r="C128" s="41" t="s">
        <v>1119</v>
      </c>
      <c r="D128" s="41" t="s">
        <v>312</v>
      </c>
      <c r="E128" s="55">
        <v>923245</v>
      </c>
      <c r="F128" s="41" t="s">
        <v>180</v>
      </c>
      <c r="G128" s="41" t="s">
        <v>29</v>
      </c>
      <c r="H128" s="41" t="s">
        <v>30</v>
      </c>
      <c r="I128" s="41" t="s">
        <v>31</v>
      </c>
      <c r="J128" s="41" t="s">
        <v>32</v>
      </c>
      <c r="K128" s="41" t="s">
        <v>33</v>
      </c>
      <c r="L128" s="50">
        <v>48294866</v>
      </c>
      <c r="M128" s="50">
        <v>0</v>
      </c>
      <c r="N128" s="50">
        <v>48294866</v>
      </c>
      <c r="O128" s="50">
        <v>44308623</v>
      </c>
      <c r="P128" s="43" t="s">
        <v>351</v>
      </c>
      <c r="Q128" s="40">
        <v>22519753</v>
      </c>
      <c r="R128" s="41" t="s">
        <v>1120</v>
      </c>
      <c r="S128" s="41" t="s">
        <v>316</v>
      </c>
      <c r="T128" s="41" t="s">
        <v>317</v>
      </c>
      <c r="U128" s="41" t="s">
        <v>1121</v>
      </c>
      <c r="V128" s="41" t="s">
        <v>319</v>
      </c>
      <c r="W128" s="40">
        <v>860034313</v>
      </c>
      <c r="X128" s="41" t="s">
        <v>355</v>
      </c>
      <c r="Y128" s="40">
        <v>3825</v>
      </c>
      <c r="Z128" s="40">
        <v>3825</v>
      </c>
      <c r="AA128" s="40">
        <v>12725</v>
      </c>
      <c r="AB128" s="41"/>
      <c r="AC128" s="41" t="s">
        <v>1434</v>
      </c>
      <c r="AD128" s="41" t="s">
        <v>3016</v>
      </c>
      <c r="AE128" s="41"/>
      <c r="AF128" s="41" t="s">
        <v>1022</v>
      </c>
      <c r="AG128" s="41" t="s">
        <v>356</v>
      </c>
      <c r="AH128" s="41" t="s">
        <v>1123</v>
      </c>
      <c r="AI128" s="41" t="s">
        <v>748</v>
      </c>
    </row>
    <row r="129" spans="1:35" x14ac:dyDescent="0.2">
      <c r="A129" s="53">
        <v>12825</v>
      </c>
      <c r="B129" s="41" t="s">
        <v>1022</v>
      </c>
      <c r="C129" s="41" t="s">
        <v>1124</v>
      </c>
      <c r="D129" s="41" t="s">
        <v>312</v>
      </c>
      <c r="E129" s="55">
        <v>923245</v>
      </c>
      <c r="F129" s="41" t="s">
        <v>180</v>
      </c>
      <c r="G129" s="41" t="s">
        <v>29</v>
      </c>
      <c r="H129" s="41" t="s">
        <v>30</v>
      </c>
      <c r="I129" s="41" t="s">
        <v>31</v>
      </c>
      <c r="J129" s="41" t="s">
        <v>32</v>
      </c>
      <c r="K129" s="41" t="s">
        <v>33</v>
      </c>
      <c r="L129" s="50">
        <v>48294866</v>
      </c>
      <c r="M129" s="50">
        <v>0</v>
      </c>
      <c r="N129" s="50">
        <v>48294866</v>
      </c>
      <c r="O129" s="50">
        <v>44308623</v>
      </c>
      <c r="P129" s="43" t="s">
        <v>351</v>
      </c>
      <c r="Q129" s="40">
        <v>51782526</v>
      </c>
      <c r="R129" s="41" t="s">
        <v>1125</v>
      </c>
      <c r="S129" s="41" t="s">
        <v>316</v>
      </c>
      <c r="T129" s="41" t="s">
        <v>317</v>
      </c>
      <c r="U129" s="41" t="s">
        <v>1126</v>
      </c>
      <c r="V129" s="41" t="s">
        <v>319</v>
      </c>
      <c r="W129" s="40">
        <v>860034313</v>
      </c>
      <c r="X129" s="41" t="s">
        <v>355</v>
      </c>
      <c r="Y129" s="40">
        <v>3825</v>
      </c>
      <c r="Z129" s="40">
        <v>3825</v>
      </c>
      <c r="AA129" s="40">
        <v>12825</v>
      </c>
      <c r="AB129" s="41"/>
      <c r="AC129" s="41" t="s">
        <v>1440</v>
      </c>
      <c r="AD129" s="41" t="s">
        <v>3017</v>
      </c>
      <c r="AE129" s="41"/>
      <c r="AF129" s="41" t="s">
        <v>1022</v>
      </c>
      <c r="AG129" s="41" t="s">
        <v>356</v>
      </c>
      <c r="AH129" s="41" t="s">
        <v>1128</v>
      </c>
      <c r="AI129" s="41" t="s">
        <v>748</v>
      </c>
    </row>
    <row r="130" spans="1:35" x14ac:dyDescent="0.2">
      <c r="A130" s="53">
        <v>12925</v>
      </c>
      <c r="B130" s="41" t="s">
        <v>1022</v>
      </c>
      <c r="C130" s="41" t="s">
        <v>1124</v>
      </c>
      <c r="D130" s="41" t="s">
        <v>312</v>
      </c>
      <c r="E130" s="55">
        <v>923245</v>
      </c>
      <c r="F130" s="41" t="s">
        <v>180</v>
      </c>
      <c r="G130" s="41" t="s">
        <v>29</v>
      </c>
      <c r="H130" s="41" t="s">
        <v>30</v>
      </c>
      <c r="I130" s="41" t="s">
        <v>31</v>
      </c>
      <c r="J130" s="41" t="s">
        <v>32</v>
      </c>
      <c r="K130" s="41" t="s">
        <v>33</v>
      </c>
      <c r="L130" s="50">
        <v>48294866</v>
      </c>
      <c r="M130" s="50">
        <v>0</v>
      </c>
      <c r="N130" s="50">
        <v>48294866</v>
      </c>
      <c r="O130" s="50">
        <v>44308623</v>
      </c>
      <c r="P130" s="43" t="s">
        <v>351</v>
      </c>
      <c r="Q130" s="40">
        <v>79470462</v>
      </c>
      <c r="R130" s="41" t="s">
        <v>1129</v>
      </c>
      <c r="S130" s="41" t="s">
        <v>316</v>
      </c>
      <c r="T130" s="41" t="s">
        <v>317</v>
      </c>
      <c r="U130" s="41" t="s">
        <v>1130</v>
      </c>
      <c r="V130" s="41" t="s">
        <v>319</v>
      </c>
      <c r="W130" s="40">
        <v>860007335</v>
      </c>
      <c r="X130" s="41" t="s">
        <v>381</v>
      </c>
      <c r="Y130" s="40">
        <v>3825</v>
      </c>
      <c r="Z130" s="40">
        <v>3825</v>
      </c>
      <c r="AA130" s="40">
        <v>12925</v>
      </c>
      <c r="AB130" s="41"/>
      <c r="AC130" s="41" t="s">
        <v>1446</v>
      </c>
      <c r="AD130" s="41" t="s">
        <v>3018</v>
      </c>
      <c r="AE130" s="41"/>
      <c r="AF130" s="41" t="s">
        <v>1022</v>
      </c>
      <c r="AG130" s="41" t="s">
        <v>356</v>
      </c>
      <c r="AH130" s="41" t="s">
        <v>1131</v>
      </c>
      <c r="AI130" s="41" t="s">
        <v>748</v>
      </c>
    </row>
    <row r="131" spans="1:35" x14ac:dyDescent="0.2">
      <c r="A131" s="53">
        <v>13025</v>
      </c>
      <c r="B131" s="41" t="s">
        <v>1022</v>
      </c>
      <c r="C131" s="41" t="s">
        <v>1132</v>
      </c>
      <c r="D131" s="41" t="s">
        <v>312</v>
      </c>
      <c r="E131" s="55">
        <v>923245</v>
      </c>
      <c r="F131" s="41" t="s">
        <v>180</v>
      </c>
      <c r="G131" s="41" t="s">
        <v>29</v>
      </c>
      <c r="H131" s="41" t="s">
        <v>30</v>
      </c>
      <c r="I131" s="41" t="s">
        <v>31</v>
      </c>
      <c r="J131" s="41" t="s">
        <v>32</v>
      </c>
      <c r="K131" s="41" t="s">
        <v>33</v>
      </c>
      <c r="L131" s="50">
        <v>48294866</v>
      </c>
      <c r="M131" s="50">
        <v>0</v>
      </c>
      <c r="N131" s="50">
        <v>48294866</v>
      </c>
      <c r="O131" s="50">
        <v>44308623</v>
      </c>
      <c r="P131" s="43" t="s">
        <v>351</v>
      </c>
      <c r="Q131" s="40">
        <v>19498591</v>
      </c>
      <c r="R131" s="41" t="s">
        <v>1133</v>
      </c>
      <c r="S131" s="41" t="s">
        <v>316</v>
      </c>
      <c r="T131" s="41" t="s">
        <v>317</v>
      </c>
      <c r="U131" s="41" t="s">
        <v>1134</v>
      </c>
      <c r="V131" s="41" t="s">
        <v>319</v>
      </c>
      <c r="W131" s="40">
        <v>860003020</v>
      </c>
      <c r="X131" s="41" t="s">
        <v>393</v>
      </c>
      <c r="Y131" s="40">
        <v>3825</v>
      </c>
      <c r="Z131" s="40">
        <v>3825</v>
      </c>
      <c r="AA131" s="40">
        <v>13025</v>
      </c>
      <c r="AB131" s="41"/>
      <c r="AC131" s="41" t="s">
        <v>1451</v>
      </c>
      <c r="AD131" s="41" t="s">
        <v>3019</v>
      </c>
      <c r="AE131" s="41"/>
      <c r="AF131" s="41" t="s">
        <v>1022</v>
      </c>
      <c r="AG131" s="41" t="s">
        <v>356</v>
      </c>
      <c r="AH131" s="41" t="s">
        <v>1135</v>
      </c>
      <c r="AI131" s="41" t="s">
        <v>748</v>
      </c>
    </row>
    <row r="132" spans="1:35" x14ac:dyDescent="0.2">
      <c r="A132" s="53">
        <v>13125</v>
      </c>
      <c r="B132" s="41" t="s">
        <v>1022</v>
      </c>
      <c r="C132" s="41" t="s">
        <v>1136</v>
      </c>
      <c r="D132" s="41" t="s">
        <v>312</v>
      </c>
      <c r="E132" s="55">
        <v>923245</v>
      </c>
      <c r="F132" s="41" t="s">
        <v>180</v>
      </c>
      <c r="G132" s="41" t="s">
        <v>29</v>
      </c>
      <c r="H132" s="41" t="s">
        <v>30</v>
      </c>
      <c r="I132" s="41" t="s">
        <v>31</v>
      </c>
      <c r="J132" s="41" t="s">
        <v>32</v>
      </c>
      <c r="K132" s="41" t="s">
        <v>33</v>
      </c>
      <c r="L132" s="50">
        <v>48294866</v>
      </c>
      <c r="M132" s="50">
        <v>0</v>
      </c>
      <c r="N132" s="50">
        <v>48294866</v>
      </c>
      <c r="O132" s="50">
        <v>44308623</v>
      </c>
      <c r="P132" s="43" t="s">
        <v>351</v>
      </c>
      <c r="Q132" s="40">
        <v>52365942</v>
      </c>
      <c r="R132" s="41" t="s">
        <v>1137</v>
      </c>
      <c r="S132" s="41" t="s">
        <v>316</v>
      </c>
      <c r="T132" s="41" t="s">
        <v>317</v>
      </c>
      <c r="U132" s="41" t="s">
        <v>1138</v>
      </c>
      <c r="V132" s="41" t="s">
        <v>319</v>
      </c>
      <c r="W132" s="40">
        <v>890903938</v>
      </c>
      <c r="X132" s="41" t="s">
        <v>342</v>
      </c>
      <c r="Y132" s="40">
        <v>3825</v>
      </c>
      <c r="Z132" s="40">
        <v>3825</v>
      </c>
      <c r="AA132" s="40">
        <v>13125</v>
      </c>
      <c r="AB132" s="41"/>
      <c r="AC132" s="41" t="s">
        <v>1456</v>
      </c>
      <c r="AD132" s="41" t="s">
        <v>3021</v>
      </c>
      <c r="AE132" s="41"/>
      <c r="AF132" s="41" t="s">
        <v>1022</v>
      </c>
      <c r="AG132" s="41" t="s">
        <v>356</v>
      </c>
      <c r="AH132" s="41" t="s">
        <v>1139</v>
      </c>
      <c r="AI132" s="41" t="s">
        <v>748</v>
      </c>
    </row>
    <row r="133" spans="1:35" x14ac:dyDescent="0.2">
      <c r="A133" s="53">
        <v>13225</v>
      </c>
      <c r="B133" s="41" t="s">
        <v>1022</v>
      </c>
      <c r="C133" s="41" t="s">
        <v>1140</v>
      </c>
      <c r="D133" s="41" t="s">
        <v>312</v>
      </c>
      <c r="E133" s="55">
        <v>923245</v>
      </c>
      <c r="F133" s="41" t="s">
        <v>180</v>
      </c>
      <c r="G133" s="41" t="s">
        <v>29</v>
      </c>
      <c r="H133" s="41" t="s">
        <v>30</v>
      </c>
      <c r="I133" s="41" t="s">
        <v>31</v>
      </c>
      <c r="J133" s="41" t="s">
        <v>32</v>
      </c>
      <c r="K133" s="41" t="s">
        <v>33</v>
      </c>
      <c r="L133" s="50">
        <v>48294866</v>
      </c>
      <c r="M133" s="50">
        <v>0</v>
      </c>
      <c r="N133" s="50">
        <v>48294866</v>
      </c>
      <c r="O133" s="50">
        <v>44308623</v>
      </c>
      <c r="P133" s="43" t="s">
        <v>351</v>
      </c>
      <c r="Q133" s="40">
        <v>35252659</v>
      </c>
      <c r="R133" s="41" t="s">
        <v>1141</v>
      </c>
      <c r="S133" s="41" t="s">
        <v>316</v>
      </c>
      <c r="T133" s="41" t="s">
        <v>317</v>
      </c>
      <c r="U133" s="41" t="s">
        <v>1142</v>
      </c>
      <c r="V133" s="41" t="s">
        <v>319</v>
      </c>
      <c r="W133" s="40">
        <v>890903938</v>
      </c>
      <c r="X133" s="41" t="s">
        <v>342</v>
      </c>
      <c r="Y133" s="40">
        <v>3825</v>
      </c>
      <c r="Z133" s="40">
        <v>3825</v>
      </c>
      <c r="AA133" s="40">
        <v>13225</v>
      </c>
      <c r="AB133" s="41"/>
      <c r="AC133" s="41" t="s">
        <v>1461</v>
      </c>
      <c r="AD133" s="41" t="s">
        <v>3023</v>
      </c>
      <c r="AE133" s="41"/>
      <c r="AF133" s="41" t="s">
        <v>1022</v>
      </c>
      <c r="AG133" s="41" t="s">
        <v>356</v>
      </c>
      <c r="AH133" s="41" t="s">
        <v>1143</v>
      </c>
      <c r="AI133" s="41" t="s">
        <v>748</v>
      </c>
    </row>
    <row r="134" spans="1:35" x14ac:dyDescent="0.2">
      <c r="A134" s="53">
        <v>13325</v>
      </c>
      <c r="B134" s="41" t="s">
        <v>578</v>
      </c>
      <c r="C134" s="41" t="s">
        <v>1144</v>
      </c>
      <c r="D134" s="41" t="s">
        <v>312</v>
      </c>
      <c r="E134" s="55">
        <v>923210</v>
      </c>
      <c r="F134" s="41" t="s">
        <v>56</v>
      </c>
      <c r="G134" s="41" t="s">
        <v>29</v>
      </c>
      <c r="H134" s="41" t="s">
        <v>30</v>
      </c>
      <c r="I134" s="41" t="s">
        <v>47</v>
      </c>
      <c r="J134" s="41" t="s">
        <v>48</v>
      </c>
      <c r="K134" s="41" t="s">
        <v>33</v>
      </c>
      <c r="L134" s="50">
        <v>4390</v>
      </c>
      <c r="M134" s="50">
        <v>0</v>
      </c>
      <c r="N134" s="50">
        <v>4390</v>
      </c>
      <c r="O134" s="50">
        <v>0</v>
      </c>
      <c r="P134" s="43" t="s">
        <v>314</v>
      </c>
      <c r="Q134" s="40">
        <v>800007813</v>
      </c>
      <c r="R134" s="41" t="s">
        <v>339</v>
      </c>
      <c r="S134" s="41" t="s">
        <v>316</v>
      </c>
      <c r="T134" s="41" t="s">
        <v>317</v>
      </c>
      <c r="U134" s="41" t="s">
        <v>340</v>
      </c>
      <c r="V134" s="41" t="s">
        <v>319</v>
      </c>
      <c r="W134" s="40">
        <v>890903938</v>
      </c>
      <c r="X134" s="41" t="s">
        <v>342</v>
      </c>
      <c r="Y134" s="40">
        <v>1225</v>
      </c>
      <c r="Z134" s="40">
        <v>1225</v>
      </c>
      <c r="AA134" s="40">
        <v>13325</v>
      </c>
      <c r="AB134" s="41" t="s">
        <v>129</v>
      </c>
      <c r="AC134" s="41" t="s">
        <v>96</v>
      </c>
      <c r="AD134" s="41" t="s">
        <v>1145</v>
      </c>
      <c r="AE134" s="41"/>
      <c r="AF134" s="41" t="s">
        <v>578</v>
      </c>
      <c r="AG134" s="41" t="s">
        <v>323</v>
      </c>
      <c r="AH134" s="41" t="s">
        <v>1146</v>
      </c>
      <c r="AI134" s="41" t="s">
        <v>1147</v>
      </c>
    </row>
    <row r="135" spans="1:35" x14ac:dyDescent="0.2">
      <c r="A135" s="53">
        <v>13425</v>
      </c>
      <c r="B135" s="41" t="s">
        <v>578</v>
      </c>
      <c r="C135" s="41" t="s">
        <v>1148</v>
      </c>
      <c r="D135" s="41" t="s">
        <v>312</v>
      </c>
      <c r="E135" s="55">
        <v>923210</v>
      </c>
      <c r="F135" s="41" t="s">
        <v>56</v>
      </c>
      <c r="G135" s="41" t="s">
        <v>29</v>
      </c>
      <c r="H135" s="41" t="s">
        <v>30</v>
      </c>
      <c r="I135" s="41" t="s">
        <v>47</v>
      </c>
      <c r="J135" s="41" t="s">
        <v>48</v>
      </c>
      <c r="K135" s="41" t="s">
        <v>33</v>
      </c>
      <c r="L135" s="50">
        <v>491540</v>
      </c>
      <c r="M135" s="50">
        <v>0</v>
      </c>
      <c r="N135" s="50">
        <v>491540</v>
      </c>
      <c r="O135" s="50">
        <v>0</v>
      </c>
      <c r="P135" s="43" t="s">
        <v>314</v>
      </c>
      <c r="Q135" s="40">
        <v>860063875</v>
      </c>
      <c r="R135" s="41" t="s">
        <v>315</v>
      </c>
      <c r="S135" s="41" t="s">
        <v>316</v>
      </c>
      <c r="T135" s="41" t="s">
        <v>317</v>
      </c>
      <c r="U135" s="41" t="s">
        <v>318</v>
      </c>
      <c r="V135" s="41" t="s">
        <v>319</v>
      </c>
      <c r="W135" s="40">
        <v>860050750</v>
      </c>
      <c r="X135" s="41" t="s">
        <v>321</v>
      </c>
      <c r="Y135" s="40">
        <v>1225</v>
      </c>
      <c r="Z135" s="40">
        <v>1225</v>
      </c>
      <c r="AA135" s="40">
        <v>13425</v>
      </c>
      <c r="AB135" s="41" t="s">
        <v>1150</v>
      </c>
      <c r="AC135" s="41" t="s">
        <v>99</v>
      </c>
      <c r="AD135" s="41" t="s">
        <v>1151</v>
      </c>
      <c r="AE135" s="41"/>
      <c r="AF135" s="41" t="s">
        <v>578</v>
      </c>
      <c r="AG135" s="41" t="s">
        <v>323</v>
      </c>
      <c r="AH135" s="41" t="s">
        <v>1152</v>
      </c>
      <c r="AI135" s="41" t="s">
        <v>1153</v>
      </c>
    </row>
    <row r="136" spans="1:35" x14ac:dyDescent="0.2">
      <c r="A136" s="53">
        <v>13525</v>
      </c>
      <c r="B136" s="41" t="s">
        <v>578</v>
      </c>
      <c r="C136" s="41" t="s">
        <v>1154</v>
      </c>
      <c r="D136" s="41" t="s">
        <v>312</v>
      </c>
      <c r="E136" s="55">
        <v>923211</v>
      </c>
      <c r="F136" s="41" t="s">
        <v>69</v>
      </c>
      <c r="G136" s="41" t="s">
        <v>29</v>
      </c>
      <c r="H136" s="41" t="s">
        <v>30</v>
      </c>
      <c r="I136" s="41" t="s">
        <v>31</v>
      </c>
      <c r="J136" s="41" t="s">
        <v>32</v>
      </c>
      <c r="K136" s="41" t="s">
        <v>33</v>
      </c>
      <c r="L136" s="50">
        <v>45995110</v>
      </c>
      <c r="M136" s="50">
        <v>0</v>
      </c>
      <c r="N136" s="50">
        <v>45995110</v>
      </c>
      <c r="O136" s="50">
        <v>42775452</v>
      </c>
      <c r="P136" s="43" t="s">
        <v>351</v>
      </c>
      <c r="Q136" s="40">
        <v>52187775</v>
      </c>
      <c r="R136" s="41" t="s">
        <v>1155</v>
      </c>
      <c r="S136" s="41" t="s">
        <v>316</v>
      </c>
      <c r="T136" s="41" t="s">
        <v>317</v>
      </c>
      <c r="U136" s="41" t="s">
        <v>1156</v>
      </c>
      <c r="V136" s="41" t="s">
        <v>319</v>
      </c>
      <c r="W136" s="40">
        <v>860007335</v>
      </c>
      <c r="X136" s="41" t="s">
        <v>381</v>
      </c>
      <c r="Y136" s="40">
        <v>2125</v>
      </c>
      <c r="Z136" s="40">
        <v>2125</v>
      </c>
      <c r="AA136" s="40">
        <v>13525</v>
      </c>
      <c r="AB136" s="41"/>
      <c r="AC136" s="41" t="s">
        <v>1466</v>
      </c>
      <c r="AD136" s="41" t="s">
        <v>3024</v>
      </c>
      <c r="AE136" s="41"/>
      <c r="AF136" s="41" t="s">
        <v>578</v>
      </c>
      <c r="AG136" s="41" t="s">
        <v>356</v>
      </c>
      <c r="AH136" s="41" t="s">
        <v>1157</v>
      </c>
      <c r="AI136" s="41" t="s">
        <v>1158</v>
      </c>
    </row>
    <row r="137" spans="1:35" x14ac:dyDescent="0.2">
      <c r="A137" s="53">
        <v>13625</v>
      </c>
      <c r="B137" s="41" t="s">
        <v>578</v>
      </c>
      <c r="C137" s="41" t="s">
        <v>1159</v>
      </c>
      <c r="D137" s="41" t="s">
        <v>312</v>
      </c>
      <c r="E137" s="55">
        <v>923211</v>
      </c>
      <c r="F137" s="41" t="s">
        <v>69</v>
      </c>
      <c r="G137" s="41" t="s">
        <v>29</v>
      </c>
      <c r="H137" s="41" t="s">
        <v>30</v>
      </c>
      <c r="I137" s="41" t="s">
        <v>31</v>
      </c>
      <c r="J137" s="41" t="s">
        <v>32</v>
      </c>
      <c r="K137" s="41" t="s">
        <v>33</v>
      </c>
      <c r="L137" s="50">
        <v>45995110</v>
      </c>
      <c r="M137" s="50">
        <v>0</v>
      </c>
      <c r="N137" s="50">
        <v>45995110</v>
      </c>
      <c r="O137" s="50">
        <v>42775452</v>
      </c>
      <c r="P137" s="43" t="s">
        <v>351</v>
      </c>
      <c r="Q137" s="40">
        <v>80436995</v>
      </c>
      <c r="R137" s="41" t="s">
        <v>1160</v>
      </c>
      <c r="S137" s="41" t="s">
        <v>316</v>
      </c>
      <c r="T137" s="41" t="s">
        <v>317</v>
      </c>
      <c r="U137" s="41" t="s">
        <v>1161</v>
      </c>
      <c r="V137" s="41" t="s">
        <v>319</v>
      </c>
      <c r="W137" s="40">
        <v>860007335</v>
      </c>
      <c r="X137" s="41" t="s">
        <v>381</v>
      </c>
      <c r="Y137" s="40">
        <v>2125</v>
      </c>
      <c r="Z137" s="40">
        <v>2125</v>
      </c>
      <c r="AA137" s="40">
        <v>13625</v>
      </c>
      <c r="AB137" s="41"/>
      <c r="AC137" s="41" t="s">
        <v>1471</v>
      </c>
      <c r="AD137" s="41" t="s">
        <v>3025</v>
      </c>
      <c r="AE137" s="41"/>
      <c r="AF137" s="41" t="s">
        <v>578</v>
      </c>
      <c r="AG137" s="41" t="s">
        <v>356</v>
      </c>
      <c r="AH137" s="41" t="s">
        <v>1162</v>
      </c>
      <c r="AI137" s="41" t="s">
        <v>1158</v>
      </c>
    </row>
    <row r="138" spans="1:35" x14ac:dyDescent="0.2">
      <c r="A138" s="53">
        <v>13725</v>
      </c>
      <c r="B138" s="41" t="s">
        <v>578</v>
      </c>
      <c r="C138" s="41" t="s">
        <v>1163</v>
      </c>
      <c r="D138" s="41" t="s">
        <v>312</v>
      </c>
      <c r="E138" s="55">
        <v>923211</v>
      </c>
      <c r="F138" s="41" t="s">
        <v>69</v>
      </c>
      <c r="G138" s="41" t="s">
        <v>29</v>
      </c>
      <c r="H138" s="41" t="s">
        <v>30</v>
      </c>
      <c r="I138" s="41" t="s">
        <v>31</v>
      </c>
      <c r="J138" s="41" t="s">
        <v>32</v>
      </c>
      <c r="K138" s="41" t="s">
        <v>33</v>
      </c>
      <c r="L138" s="50">
        <v>45995110</v>
      </c>
      <c r="M138" s="50">
        <v>0</v>
      </c>
      <c r="N138" s="50">
        <v>45995110</v>
      </c>
      <c r="O138" s="50">
        <v>42775452</v>
      </c>
      <c r="P138" s="43" t="s">
        <v>351</v>
      </c>
      <c r="Q138" s="40">
        <v>1032434209</v>
      </c>
      <c r="R138" s="41" t="s">
        <v>1164</v>
      </c>
      <c r="S138" s="41" t="s">
        <v>316</v>
      </c>
      <c r="T138" s="41" t="s">
        <v>317</v>
      </c>
      <c r="U138" s="41" t="s">
        <v>1165</v>
      </c>
      <c r="V138" s="41" t="s">
        <v>319</v>
      </c>
      <c r="W138" s="40">
        <v>890903938</v>
      </c>
      <c r="X138" s="41" t="s">
        <v>342</v>
      </c>
      <c r="Y138" s="40">
        <v>2125</v>
      </c>
      <c r="Z138" s="40">
        <v>2125</v>
      </c>
      <c r="AA138" s="40">
        <v>13725</v>
      </c>
      <c r="AB138" s="41"/>
      <c r="AC138" s="41" t="s">
        <v>1476</v>
      </c>
      <c r="AD138" s="41" t="s">
        <v>3027</v>
      </c>
      <c r="AE138" s="41"/>
      <c r="AF138" s="41" t="s">
        <v>578</v>
      </c>
      <c r="AG138" s="41" t="s">
        <v>356</v>
      </c>
      <c r="AH138" s="41" t="s">
        <v>1166</v>
      </c>
      <c r="AI138" s="41" t="s">
        <v>1158</v>
      </c>
    </row>
    <row r="139" spans="1:35" x14ac:dyDescent="0.2">
      <c r="A139" s="53">
        <v>13825</v>
      </c>
      <c r="B139" s="41" t="s">
        <v>578</v>
      </c>
      <c r="C139" s="41" t="s">
        <v>1167</v>
      </c>
      <c r="D139" s="41" t="s">
        <v>312</v>
      </c>
      <c r="E139" s="55">
        <v>923211</v>
      </c>
      <c r="F139" s="41" t="s">
        <v>69</v>
      </c>
      <c r="G139" s="41" t="s">
        <v>29</v>
      </c>
      <c r="H139" s="41" t="s">
        <v>30</v>
      </c>
      <c r="I139" s="41" t="s">
        <v>31</v>
      </c>
      <c r="J139" s="41" t="s">
        <v>32</v>
      </c>
      <c r="K139" s="41" t="s">
        <v>33</v>
      </c>
      <c r="L139" s="50">
        <v>45995110</v>
      </c>
      <c r="M139" s="50">
        <v>0</v>
      </c>
      <c r="N139" s="50">
        <v>45995110</v>
      </c>
      <c r="O139" s="50">
        <v>42775452</v>
      </c>
      <c r="P139" s="43" t="s">
        <v>351</v>
      </c>
      <c r="Q139" s="40">
        <v>35534775</v>
      </c>
      <c r="R139" s="41" t="s">
        <v>1168</v>
      </c>
      <c r="S139" s="41" t="s">
        <v>316</v>
      </c>
      <c r="T139" s="41" t="s">
        <v>317</v>
      </c>
      <c r="U139" s="41" t="s">
        <v>1169</v>
      </c>
      <c r="V139" s="41" t="s">
        <v>319</v>
      </c>
      <c r="W139" s="40">
        <v>860034313</v>
      </c>
      <c r="X139" s="41" t="s">
        <v>355</v>
      </c>
      <c r="Y139" s="40">
        <v>2125</v>
      </c>
      <c r="Z139" s="40">
        <v>2125</v>
      </c>
      <c r="AA139" s="40">
        <v>13825</v>
      </c>
      <c r="AB139" s="41"/>
      <c r="AC139" s="41" t="s">
        <v>1481</v>
      </c>
      <c r="AD139" s="41" t="s">
        <v>3029</v>
      </c>
      <c r="AE139" s="41"/>
      <c r="AF139" s="41" t="s">
        <v>578</v>
      </c>
      <c r="AG139" s="41" t="s">
        <v>356</v>
      </c>
      <c r="AH139" s="41" t="s">
        <v>1170</v>
      </c>
      <c r="AI139" s="41" t="s">
        <v>1158</v>
      </c>
    </row>
    <row r="140" spans="1:35" x14ac:dyDescent="0.2">
      <c r="A140" s="53">
        <v>13925</v>
      </c>
      <c r="B140" s="41" t="s">
        <v>578</v>
      </c>
      <c r="C140" s="41" t="s">
        <v>1171</v>
      </c>
      <c r="D140" s="41" t="s">
        <v>312</v>
      </c>
      <c r="E140" s="55">
        <v>923211</v>
      </c>
      <c r="F140" s="41" t="s">
        <v>69</v>
      </c>
      <c r="G140" s="41" t="s">
        <v>29</v>
      </c>
      <c r="H140" s="41" t="s">
        <v>30</v>
      </c>
      <c r="I140" s="41" t="s">
        <v>31</v>
      </c>
      <c r="J140" s="41" t="s">
        <v>32</v>
      </c>
      <c r="K140" s="41" t="s">
        <v>33</v>
      </c>
      <c r="L140" s="50">
        <v>45995110</v>
      </c>
      <c r="M140" s="50">
        <v>0</v>
      </c>
      <c r="N140" s="50">
        <v>45995110</v>
      </c>
      <c r="O140" s="50">
        <v>42775452</v>
      </c>
      <c r="P140" s="43" t="s">
        <v>351</v>
      </c>
      <c r="Q140" s="40">
        <v>25560681</v>
      </c>
      <c r="R140" s="41" t="s">
        <v>1172</v>
      </c>
      <c r="S140" s="41" t="s">
        <v>316</v>
      </c>
      <c r="T140" s="41" t="s">
        <v>317</v>
      </c>
      <c r="U140" s="41" t="s">
        <v>1173</v>
      </c>
      <c r="V140" s="41" t="s">
        <v>319</v>
      </c>
      <c r="W140" s="40">
        <v>890903938</v>
      </c>
      <c r="X140" s="41" t="s">
        <v>342</v>
      </c>
      <c r="Y140" s="40">
        <v>2125</v>
      </c>
      <c r="Z140" s="40">
        <v>2125</v>
      </c>
      <c r="AA140" s="40">
        <v>13925</v>
      </c>
      <c r="AB140" s="41"/>
      <c r="AC140" s="41" t="s">
        <v>1485</v>
      </c>
      <c r="AD140" s="41" t="s">
        <v>3031</v>
      </c>
      <c r="AE140" s="41"/>
      <c r="AF140" s="41" t="s">
        <v>578</v>
      </c>
      <c r="AG140" s="41" t="s">
        <v>356</v>
      </c>
      <c r="AH140" s="41" t="s">
        <v>1174</v>
      </c>
      <c r="AI140" s="41" t="s">
        <v>1158</v>
      </c>
    </row>
    <row r="141" spans="1:35" x14ac:dyDescent="0.2">
      <c r="A141" s="53">
        <v>14025</v>
      </c>
      <c r="B141" s="41" t="s">
        <v>578</v>
      </c>
      <c r="C141" s="41" t="s">
        <v>1175</v>
      </c>
      <c r="D141" s="41" t="s">
        <v>312</v>
      </c>
      <c r="E141" s="55">
        <v>923211</v>
      </c>
      <c r="F141" s="41" t="s">
        <v>69</v>
      </c>
      <c r="G141" s="41" t="s">
        <v>29</v>
      </c>
      <c r="H141" s="41" t="s">
        <v>30</v>
      </c>
      <c r="I141" s="41" t="s">
        <v>31</v>
      </c>
      <c r="J141" s="41" t="s">
        <v>32</v>
      </c>
      <c r="K141" s="41" t="s">
        <v>33</v>
      </c>
      <c r="L141" s="50">
        <v>45995110</v>
      </c>
      <c r="M141" s="50">
        <v>0</v>
      </c>
      <c r="N141" s="50">
        <v>45995110</v>
      </c>
      <c r="O141" s="50">
        <v>42775452</v>
      </c>
      <c r="P141" s="43" t="s">
        <v>351</v>
      </c>
      <c r="Q141" s="40">
        <v>33368355</v>
      </c>
      <c r="R141" s="41" t="s">
        <v>1176</v>
      </c>
      <c r="S141" s="41" t="s">
        <v>316</v>
      </c>
      <c r="T141" s="41" t="s">
        <v>317</v>
      </c>
      <c r="U141" s="41" t="s">
        <v>1177</v>
      </c>
      <c r="V141" s="41" t="s">
        <v>319</v>
      </c>
      <c r="W141" s="40">
        <v>890903938</v>
      </c>
      <c r="X141" s="41" t="s">
        <v>342</v>
      </c>
      <c r="Y141" s="40">
        <v>2125</v>
      </c>
      <c r="Z141" s="40">
        <v>2125</v>
      </c>
      <c r="AA141" s="40">
        <v>14025</v>
      </c>
      <c r="AB141" s="41"/>
      <c r="AC141" s="41" t="s">
        <v>1490</v>
      </c>
      <c r="AD141" s="41" t="s">
        <v>3032</v>
      </c>
      <c r="AE141" s="41"/>
      <c r="AF141" s="41" t="s">
        <v>578</v>
      </c>
      <c r="AG141" s="41" t="s">
        <v>356</v>
      </c>
      <c r="AH141" s="41" t="s">
        <v>1178</v>
      </c>
      <c r="AI141" s="41" t="s">
        <v>1158</v>
      </c>
    </row>
    <row r="142" spans="1:35" x14ac:dyDescent="0.2">
      <c r="A142" s="53">
        <v>14125</v>
      </c>
      <c r="B142" s="41" t="s">
        <v>578</v>
      </c>
      <c r="C142" s="41" t="s">
        <v>1179</v>
      </c>
      <c r="D142" s="41" t="s">
        <v>312</v>
      </c>
      <c r="E142" s="55">
        <v>923211</v>
      </c>
      <c r="F142" s="41" t="s">
        <v>69</v>
      </c>
      <c r="G142" s="41" t="s">
        <v>29</v>
      </c>
      <c r="H142" s="41" t="s">
        <v>30</v>
      </c>
      <c r="I142" s="41" t="s">
        <v>31</v>
      </c>
      <c r="J142" s="41" t="s">
        <v>32</v>
      </c>
      <c r="K142" s="41" t="s">
        <v>33</v>
      </c>
      <c r="L142" s="50">
        <v>45995110</v>
      </c>
      <c r="M142" s="50">
        <v>0</v>
      </c>
      <c r="N142" s="50">
        <v>45995110</v>
      </c>
      <c r="O142" s="50">
        <v>42775452</v>
      </c>
      <c r="P142" s="43" t="s">
        <v>351</v>
      </c>
      <c r="Q142" s="40">
        <v>37724921</v>
      </c>
      <c r="R142" s="41" t="s">
        <v>1180</v>
      </c>
      <c r="S142" s="41" t="s">
        <v>316</v>
      </c>
      <c r="T142" s="41" t="s">
        <v>317</v>
      </c>
      <c r="U142" s="41" t="s">
        <v>1181</v>
      </c>
      <c r="V142" s="41" t="s">
        <v>319</v>
      </c>
      <c r="W142" s="40">
        <v>860007335</v>
      </c>
      <c r="X142" s="41" t="s">
        <v>381</v>
      </c>
      <c r="Y142" s="40">
        <v>2125</v>
      </c>
      <c r="Z142" s="40">
        <v>2125</v>
      </c>
      <c r="AA142" s="40">
        <v>14125</v>
      </c>
      <c r="AB142" s="41"/>
      <c r="AC142" s="41" t="s">
        <v>1495</v>
      </c>
      <c r="AD142" s="41" t="s">
        <v>3034</v>
      </c>
      <c r="AE142" s="41"/>
      <c r="AF142" s="41" t="s">
        <v>578</v>
      </c>
      <c r="AG142" s="41" t="s">
        <v>356</v>
      </c>
      <c r="AH142" s="41" t="s">
        <v>1182</v>
      </c>
      <c r="AI142" s="41" t="s">
        <v>1158</v>
      </c>
    </row>
    <row r="143" spans="1:35" x14ac:dyDescent="0.2">
      <c r="A143" s="53">
        <v>14225</v>
      </c>
      <c r="B143" s="41" t="s">
        <v>578</v>
      </c>
      <c r="C143" s="41" t="s">
        <v>1183</v>
      </c>
      <c r="D143" s="41" t="s">
        <v>312</v>
      </c>
      <c r="E143" s="55">
        <v>923211</v>
      </c>
      <c r="F143" s="41" t="s">
        <v>69</v>
      </c>
      <c r="G143" s="41" t="s">
        <v>29</v>
      </c>
      <c r="H143" s="41" t="s">
        <v>30</v>
      </c>
      <c r="I143" s="41" t="s">
        <v>31</v>
      </c>
      <c r="J143" s="41" t="s">
        <v>32</v>
      </c>
      <c r="K143" s="41" t="s">
        <v>33</v>
      </c>
      <c r="L143" s="50">
        <v>45995110</v>
      </c>
      <c r="M143" s="50">
        <v>0</v>
      </c>
      <c r="N143" s="50">
        <v>45995110</v>
      </c>
      <c r="O143" s="50">
        <v>42775452</v>
      </c>
      <c r="P143" s="43" t="s">
        <v>351</v>
      </c>
      <c r="Q143" s="40">
        <v>52023447</v>
      </c>
      <c r="R143" s="41" t="s">
        <v>1184</v>
      </c>
      <c r="S143" s="41" t="s">
        <v>316</v>
      </c>
      <c r="T143" s="41" t="s">
        <v>317</v>
      </c>
      <c r="U143" s="41" t="s">
        <v>1185</v>
      </c>
      <c r="V143" s="41" t="s">
        <v>319</v>
      </c>
      <c r="W143" s="40">
        <v>860034313</v>
      </c>
      <c r="X143" s="41" t="s">
        <v>355</v>
      </c>
      <c r="Y143" s="40">
        <v>2125</v>
      </c>
      <c r="Z143" s="40">
        <v>2125</v>
      </c>
      <c r="AA143" s="40">
        <v>14225</v>
      </c>
      <c r="AB143" s="41"/>
      <c r="AC143" s="41" t="s">
        <v>1500</v>
      </c>
      <c r="AD143" s="41" t="s">
        <v>3035</v>
      </c>
      <c r="AE143" s="41"/>
      <c r="AF143" s="41" t="s">
        <v>578</v>
      </c>
      <c r="AG143" s="41" t="s">
        <v>356</v>
      </c>
      <c r="AH143" s="41" t="s">
        <v>1187</v>
      </c>
      <c r="AI143" s="41" t="s">
        <v>1158</v>
      </c>
    </row>
    <row r="144" spans="1:35" x14ac:dyDescent="0.2">
      <c r="A144" s="53">
        <v>14325</v>
      </c>
      <c r="B144" s="41" t="s">
        <v>578</v>
      </c>
      <c r="C144" s="41" t="s">
        <v>1188</v>
      </c>
      <c r="D144" s="41" t="s">
        <v>312</v>
      </c>
      <c r="E144" s="55">
        <v>923211</v>
      </c>
      <c r="F144" s="41" t="s">
        <v>69</v>
      </c>
      <c r="G144" s="41" t="s">
        <v>29</v>
      </c>
      <c r="H144" s="41" t="s">
        <v>30</v>
      </c>
      <c r="I144" s="41" t="s">
        <v>31</v>
      </c>
      <c r="J144" s="41" t="s">
        <v>32</v>
      </c>
      <c r="K144" s="41" t="s">
        <v>33</v>
      </c>
      <c r="L144" s="50">
        <v>45995110</v>
      </c>
      <c r="M144" s="50">
        <v>0</v>
      </c>
      <c r="N144" s="50">
        <v>45995110</v>
      </c>
      <c r="O144" s="50">
        <v>42775452</v>
      </c>
      <c r="P144" s="43" t="s">
        <v>351</v>
      </c>
      <c r="Q144" s="40">
        <v>52375951</v>
      </c>
      <c r="R144" s="41" t="s">
        <v>1189</v>
      </c>
      <c r="S144" s="41" t="s">
        <v>316</v>
      </c>
      <c r="T144" s="41" t="s">
        <v>317</v>
      </c>
      <c r="U144" s="41" t="s">
        <v>1190</v>
      </c>
      <c r="V144" s="41" t="s">
        <v>319</v>
      </c>
      <c r="W144" s="40">
        <v>890903938</v>
      </c>
      <c r="X144" s="41" t="s">
        <v>342</v>
      </c>
      <c r="Y144" s="40">
        <v>2125</v>
      </c>
      <c r="Z144" s="40">
        <v>2125</v>
      </c>
      <c r="AA144" s="40">
        <v>14325</v>
      </c>
      <c r="AB144" s="41"/>
      <c r="AC144" s="41" t="s">
        <v>1505</v>
      </c>
      <c r="AD144" s="41" t="s">
        <v>3037</v>
      </c>
      <c r="AE144" s="41"/>
      <c r="AF144" s="41" t="s">
        <v>578</v>
      </c>
      <c r="AG144" s="41" t="s">
        <v>356</v>
      </c>
      <c r="AH144" s="41" t="s">
        <v>1192</v>
      </c>
      <c r="AI144" s="41" t="s">
        <v>1158</v>
      </c>
    </row>
    <row r="145" spans="1:35" x14ac:dyDescent="0.2">
      <c r="A145" s="53">
        <v>14425</v>
      </c>
      <c r="B145" s="41" t="s">
        <v>578</v>
      </c>
      <c r="C145" s="41" t="s">
        <v>1193</v>
      </c>
      <c r="D145" s="41" t="s">
        <v>312</v>
      </c>
      <c r="E145" s="55">
        <v>923211</v>
      </c>
      <c r="F145" s="41" t="s">
        <v>69</v>
      </c>
      <c r="G145" s="41" t="s">
        <v>29</v>
      </c>
      <c r="H145" s="41" t="s">
        <v>30</v>
      </c>
      <c r="I145" s="41" t="s">
        <v>31</v>
      </c>
      <c r="J145" s="41" t="s">
        <v>32</v>
      </c>
      <c r="K145" s="41" t="s">
        <v>33</v>
      </c>
      <c r="L145" s="50">
        <v>45995110</v>
      </c>
      <c r="M145" s="50">
        <v>0</v>
      </c>
      <c r="N145" s="50">
        <v>45995110</v>
      </c>
      <c r="O145" s="50">
        <v>42775452</v>
      </c>
      <c r="P145" s="43" t="s">
        <v>351</v>
      </c>
      <c r="Q145" s="40">
        <v>53021282</v>
      </c>
      <c r="R145" s="41" t="s">
        <v>1194</v>
      </c>
      <c r="S145" s="41" t="s">
        <v>316</v>
      </c>
      <c r="T145" s="41" t="s">
        <v>317</v>
      </c>
      <c r="U145" s="41" t="s">
        <v>1195</v>
      </c>
      <c r="V145" s="41" t="s">
        <v>319</v>
      </c>
      <c r="W145" s="40">
        <v>890903938</v>
      </c>
      <c r="X145" s="41" t="s">
        <v>342</v>
      </c>
      <c r="Y145" s="40">
        <v>2125</v>
      </c>
      <c r="Z145" s="40">
        <v>2125</v>
      </c>
      <c r="AA145" s="40">
        <v>14425</v>
      </c>
      <c r="AB145" s="41"/>
      <c r="AC145" s="41" t="s">
        <v>1510</v>
      </c>
      <c r="AD145" s="41" t="s">
        <v>3039</v>
      </c>
      <c r="AE145" s="41"/>
      <c r="AF145" s="41" t="s">
        <v>578</v>
      </c>
      <c r="AG145" s="41" t="s">
        <v>356</v>
      </c>
      <c r="AH145" s="41" t="s">
        <v>1197</v>
      </c>
      <c r="AI145" s="41" t="s">
        <v>1158</v>
      </c>
    </row>
    <row r="146" spans="1:35" x14ac:dyDescent="0.2">
      <c r="A146" s="53">
        <v>14525</v>
      </c>
      <c r="B146" s="41" t="s">
        <v>578</v>
      </c>
      <c r="C146" s="41" t="s">
        <v>1198</v>
      </c>
      <c r="D146" s="41" t="s">
        <v>312</v>
      </c>
      <c r="E146" s="55">
        <v>923211</v>
      </c>
      <c r="F146" s="41" t="s">
        <v>69</v>
      </c>
      <c r="G146" s="41" t="s">
        <v>29</v>
      </c>
      <c r="H146" s="41" t="s">
        <v>30</v>
      </c>
      <c r="I146" s="41" t="s">
        <v>31</v>
      </c>
      <c r="J146" s="41" t="s">
        <v>32</v>
      </c>
      <c r="K146" s="41" t="s">
        <v>33</v>
      </c>
      <c r="L146" s="50">
        <v>45995110</v>
      </c>
      <c r="M146" s="50">
        <v>0</v>
      </c>
      <c r="N146" s="50">
        <v>45995110</v>
      </c>
      <c r="O146" s="50">
        <v>42775452</v>
      </c>
      <c r="P146" s="43" t="s">
        <v>351</v>
      </c>
      <c r="Q146" s="40">
        <v>53089812</v>
      </c>
      <c r="R146" s="41" t="s">
        <v>1199</v>
      </c>
      <c r="S146" s="41" t="s">
        <v>316</v>
      </c>
      <c r="T146" s="41" t="s">
        <v>317</v>
      </c>
      <c r="U146" s="41" t="s">
        <v>1200</v>
      </c>
      <c r="V146" s="41" t="s">
        <v>319</v>
      </c>
      <c r="W146" s="40">
        <v>860034313</v>
      </c>
      <c r="X146" s="41" t="s">
        <v>355</v>
      </c>
      <c r="Y146" s="40">
        <v>2125</v>
      </c>
      <c r="Z146" s="40">
        <v>2125</v>
      </c>
      <c r="AA146" s="40">
        <v>14525</v>
      </c>
      <c r="AB146" s="41"/>
      <c r="AC146" s="41" t="s">
        <v>1515</v>
      </c>
      <c r="AD146" s="41" t="s">
        <v>3041</v>
      </c>
      <c r="AE146" s="41"/>
      <c r="AF146" s="41" t="s">
        <v>578</v>
      </c>
      <c r="AG146" s="41" t="s">
        <v>356</v>
      </c>
      <c r="AH146" s="41" t="s">
        <v>1202</v>
      </c>
      <c r="AI146" s="41" t="s">
        <v>1158</v>
      </c>
    </row>
    <row r="147" spans="1:35" x14ac:dyDescent="0.2">
      <c r="A147" s="53">
        <v>14625</v>
      </c>
      <c r="B147" s="41" t="s">
        <v>578</v>
      </c>
      <c r="C147" s="41" t="s">
        <v>1198</v>
      </c>
      <c r="D147" s="41" t="s">
        <v>312</v>
      </c>
      <c r="E147" s="55">
        <v>923211</v>
      </c>
      <c r="F147" s="41" t="s">
        <v>69</v>
      </c>
      <c r="G147" s="41" t="s">
        <v>29</v>
      </c>
      <c r="H147" s="41" t="s">
        <v>30</v>
      </c>
      <c r="I147" s="41" t="s">
        <v>31</v>
      </c>
      <c r="J147" s="41" t="s">
        <v>32</v>
      </c>
      <c r="K147" s="41" t="s">
        <v>33</v>
      </c>
      <c r="L147" s="50">
        <v>45995110</v>
      </c>
      <c r="M147" s="50">
        <v>0</v>
      </c>
      <c r="N147" s="50">
        <v>45995110</v>
      </c>
      <c r="O147" s="50">
        <v>42775452</v>
      </c>
      <c r="P147" s="43" t="s">
        <v>351</v>
      </c>
      <c r="Q147" s="40">
        <v>53931238</v>
      </c>
      <c r="R147" s="41" t="s">
        <v>1203</v>
      </c>
      <c r="S147" s="41" t="s">
        <v>316</v>
      </c>
      <c r="T147" s="41" t="s">
        <v>317</v>
      </c>
      <c r="U147" s="41" t="s">
        <v>1204</v>
      </c>
      <c r="V147" s="41" t="s">
        <v>319</v>
      </c>
      <c r="W147" s="40">
        <v>860034313</v>
      </c>
      <c r="X147" s="41" t="s">
        <v>355</v>
      </c>
      <c r="Y147" s="40">
        <v>2125</v>
      </c>
      <c r="Z147" s="40">
        <v>2125</v>
      </c>
      <c r="AA147" s="40">
        <v>14625</v>
      </c>
      <c r="AB147" s="41"/>
      <c r="AC147" s="41" t="s">
        <v>1520</v>
      </c>
      <c r="AD147" s="41" t="s">
        <v>3043</v>
      </c>
      <c r="AE147" s="41"/>
      <c r="AF147" s="41" t="s">
        <v>578</v>
      </c>
      <c r="AG147" s="41" t="s">
        <v>356</v>
      </c>
      <c r="AH147" s="41" t="s">
        <v>1206</v>
      </c>
      <c r="AI147" s="41" t="s">
        <v>1158</v>
      </c>
    </row>
    <row r="148" spans="1:35" x14ac:dyDescent="0.2">
      <c r="A148" s="53">
        <v>14725</v>
      </c>
      <c r="B148" s="41" t="s">
        <v>578</v>
      </c>
      <c r="C148" s="41" t="s">
        <v>1207</v>
      </c>
      <c r="D148" s="41" t="s">
        <v>312</v>
      </c>
      <c r="E148" s="55">
        <v>923211</v>
      </c>
      <c r="F148" s="41" t="s">
        <v>69</v>
      </c>
      <c r="G148" s="41" t="s">
        <v>29</v>
      </c>
      <c r="H148" s="41" t="s">
        <v>30</v>
      </c>
      <c r="I148" s="41" t="s">
        <v>31</v>
      </c>
      <c r="J148" s="41" t="s">
        <v>32</v>
      </c>
      <c r="K148" s="41" t="s">
        <v>33</v>
      </c>
      <c r="L148" s="50">
        <v>45995110</v>
      </c>
      <c r="M148" s="50">
        <v>0</v>
      </c>
      <c r="N148" s="50">
        <v>45995110</v>
      </c>
      <c r="O148" s="50">
        <v>42775452</v>
      </c>
      <c r="P148" s="43" t="s">
        <v>351</v>
      </c>
      <c r="Q148" s="40">
        <v>79469155</v>
      </c>
      <c r="R148" s="41" t="s">
        <v>1208</v>
      </c>
      <c r="S148" s="41" t="s">
        <v>316</v>
      </c>
      <c r="T148" s="41" t="s">
        <v>317</v>
      </c>
      <c r="U148" s="41" t="s">
        <v>1209</v>
      </c>
      <c r="V148" s="41" t="s">
        <v>319</v>
      </c>
      <c r="W148" s="40">
        <v>860034313</v>
      </c>
      <c r="X148" s="41" t="s">
        <v>355</v>
      </c>
      <c r="Y148" s="40">
        <v>2125</v>
      </c>
      <c r="Z148" s="40">
        <v>2125</v>
      </c>
      <c r="AA148" s="40">
        <v>14725</v>
      </c>
      <c r="AB148" s="41"/>
      <c r="AC148" s="41" t="s">
        <v>1524</v>
      </c>
      <c r="AD148" s="41" t="s">
        <v>3045</v>
      </c>
      <c r="AE148" s="41"/>
      <c r="AF148" s="41" t="s">
        <v>578</v>
      </c>
      <c r="AG148" s="41" t="s">
        <v>356</v>
      </c>
      <c r="AH148" s="41" t="s">
        <v>1211</v>
      </c>
      <c r="AI148" s="41" t="s">
        <v>1158</v>
      </c>
    </row>
    <row r="149" spans="1:35" x14ac:dyDescent="0.2">
      <c r="A149" s="53">
        <v>14825</v>
      </c>
      <c r="B149" s="41" t="s">
        <v>578</v>
      </c>
      <c r="C149" s="41" t="s">
        <v>1212</v>
      </c>
      <c r="D149" s="41" t="s">
        <v>312</v>
      </c>
      <c r="E149" s="55">
        <v>923211</v>
      </c>
      <c r="F149" s="41" t="s">
        <v>69</v>
      </c>
      <c r="G149" s="41" t="s">
        <v>29</v>
      </c>
      <c r="H149" s="41" t="s">
        <v>30</v>
      </c>
      <c r="I149" s="41" t="s">
        <v>31</v>
      </c>
      <c r="J149" s="41" t="s">
        <v>32</v>
      </c>
      <c r="K149" s="41" t="s">
        <v>33</v>
      </c>
      <c r="L149" s="50">
        <v>45995110</v>
      </c>
      <c r="M149" s="50">
        <v>0</v>
      </c>
      <c r="N149" s="50">
        <v>45995110</v>
      </c>
      <c r="O149" s="50">
        <v>42775452</v>
      </c>
      <c r="P149" s="43" t="s">
        <v>351</v>
      </c>
      <c r="Q149" s="40">
        <v>1032373822</v>
      </c>
      <c r="R149" s="41" t="s">
        <v>1213</v>
      </c>
      <c r="S149" s="41" t="s">
        <v>316</v>
      </c>
      <c r="T149" s="41" t="s">
        <v>317</v>
      </c>
      <c r="U149" s="41" t="s">
        <v>1214</v>
      </c>
      <c r="V149" s="41" t="s">
        <v>319</v>
      </c>
      <c r="W149" s="40">
        <v>860002964</v>
      </c>
      <c r="X149" s="41" t="s">
        <v>419</v>
      </c>
      <c r="Y149" s="40">
        <v>2125</v>
      </c>
      <c r="Z149" s="40">
        <v>2125</v>
      </c>
      <c r="AA149" s="40">
        <v>14825</v>
      </c>
      <c r="AB149" s="41"/>
      <c r="AC149" s="41" t="s">
        <v>1530</v>
      </c>
      <c r="AD149" s="41" t="s">
        <v>3046</v>
      </c>
      <c r="AE149" s="41"/>
      <c r="AF149" s="41" t="s">
        <v>578</v>
      </c>
      <c r="AG149" s="41" t="s">
        <v>356</v>
      </c>
      <c r="AH149" s="41" t="s">
        <v>1216</v>
      </c>
      <c r="AI149" s="41" t="s">
        <v>1158</v>
      </c>
    </row>
    <row r="150" spans="1:35" x14ac:dyDescent="0.2">
      <c r="A150" s="53">
        <v>14925</v>
      </c>
      <c r="B150" s="41" t="s">
        <v>578</v>
      </c>
      <c r="C150" s="41" t="s">
        <v>1217</v>
      </c>
      <c r="D150" s="41" t="s">
        <v>312</v>
      </c>
      <c r="E150" s="55">
        <v>923211</v>
      </c>
      <c r="F150" s="41" t="s">
        <v>69</v>
      </c>
      <c r="G150" s="41" t="s">
        <v>29</v>
      </c>
      <c r="H150" s="41" t="s">
        <v>30</v>
      </c>
      <c r="I150" s="41" t="s">
        <v>31</v>
      </c>
      <c r="J150" s="41" t="s">
        <v>32</v>
      </c>
      <c r="K150" s="41" t="s">
        <v>33</v>
      </c>
      <c r="L150" s="50">
        <v>45995110</v>
      </c>
      <c r="M150" s="50">
        <v>0</v>
      </c>
      <c r="N150" s="50">
        <v>45995110</v>
      </c>
      <c r="O150" s="50">
        <v>42775452</v>
      </c>
      <c r="P150" s="43" t="s">
        <v>351</v>
      </c>
      <c r="Q150" s="40">
        <v>1032377506</v>
      </c>
      <c r="R150" s="41" t="s">
        <v>1218</v>
      </c>
      <c r="S150" s="41" t="s">
        <v>316</v>
      </c>
      <c r="T150" s="41" t="s">
        <v>317</v>
      </c>
      <c r="U150" s="41" t="s">
        <v>1219</v>
      </c>
      <c r="V150" s="41" t="s">
        <v>319</v>
      </c>
      <c r="W150" s="40">
        <v>860034313</v>
      </c>
      <c r="X150" s="41" t="s">
        <v>355</v>
      </c>
      <c r="Y150" s="40">
        <v>2125</v>
      </c>
      <c r="Z150" s="40">
        <v>2125</v>
      </c>
      <c r="AA150" s="40">
        <v>14925</v>
      </c>
      <c r="AB150" s="41"/>
      <c r="AC150" s="41" t="s">
        <v>1536</v>
      </c>
      <c r="AD150" s="41" t="s">
        <v>3048</v>
      </c>
      <c r="AE150" s="41"/>
      <c r="AF150" s="41" t="s">
        <v>578</v>
      </c>
      <c r="AG150" s="41" t="s">
        <v>356</v>
      </c>
      <c r="AH150" s="41" t="s">
        <v>1221</v>
      </c>
      <c r="AI150" s="41" t="s">
        <v>1158</v>
      </c>
    </row>
    <row r="151" spans="1:35" x14ac:dyDescent="0.2">
      <c r="A151" s="53">
        <v>15025</v>
      </c>
      <c r="B151" s="41" t="s">
        <v>578</v>
      </c>
      <c r="C151" s="41" t="s">
        <v>1222</v>
      </c>
      <c r="D151" s="41" t="s">
        <v>312</v>
      </c>
      <c r="E151" s="55">
        <v>923211</v>
      </c>
      <c r="F151" s="41" t="s">
        <v>69</v>
      </c>
      <c r="G151" s="41" t="s">
        <v>29</v>
      </c>
      <c r="H151" s="41" t="s">
        <v>30</v>
      </c>
      <c r="I151" s="41" t="s">
        <v>31</v>
      </c>
      <c r="J151" s="41" t="s">
        <v>32</v>
      </c>
      <c r="K151" s="41" t="s">
        <v>33</v>
      </c>
      <c r="L151" s="50">
        <v>45995110</v>
      </c>
      <c r="M151" s="50">
        <v>0</v>
      </c>
      <c r="N151" s="50">
        <v>45995110</v>
      </c>
      <c r="O151" s="50">
        <v>42775452</v>
      </c>
      <c r="P151" s="43" t="s">
        <v>351</v>
      </c>
      <c r="Q151" s="40">
        <v>52714850</v>
      </c>
      <c r="R151" s="41" t="s">
        <v>1223</v>
      </c>
      <c r="S151" s="41" t="s">
        <v>316</v>
      </c>
      <c r="T151" s="41" t="s">
        <v>317</v>
      </c>
      <c r="U151" s="41" t="s">
        <v>1224</v>
      </c>
      <c r="V151" s="41" t="s">
        <v>319</v>
      </c>
      <c r="W151" s="40">
        <v>860035827</v>
      </c>
      <c r="X151" s="41" t="s">
        <v>653</v>
      </c>
      <c r="Y151" s="40">
        <v>2125</v>
      </c>
      <c r="Z151" s="40">
        <v>2125</v>
      </c>
      <c r="AA151" s="40">
        <v>15025</v>
      </c>
      <c r="AB151" s="41"/>
      <c r="AC151" s="41" t="s">
        <v>1541</v>
      </c>
      <c r="AD151" s="41" t="s">
        <v>3050</v>
      </c>
      <c r="AE151" s="41"/>
      <c r="AF151" s="41" t="s">
        <v>578</v>
      </c>
      <c r="AG151" s="41" t="s">
        <v>356</v>
      </c>
      <c r="AH151" s="41" t="s">
        <v>1226</v>
      </c>
      <c r="AI151" s="41" t="s">
        <v>1158</v>
      </c>
    </row>
    <row r="152" spans="1:35" x14ac:dyDescent="0.2">
      <c r="A152" s="53">
        <v>15125</v>
      </c>
      <c r="B152" s="41" t="s">
        <v>578</v>
      </c>
      <c r="C152" s="41" t="s">
        <v>1227</v>
      </c>
      <c r="D152" s="41" t="s">
        <v>312</v>
      </c>
      <c r="E152" s="55">
        <v>923211</v>
      </c>
      <c r="F152" s="41" t="s">
        <v>69</v>
      </c>
      <c r="G152" s="41" t="s">
        <v>29</v>
      </c>
      <c r="H152" s="41" t="s">
        <v>30</v>
      </c>
      <c r="I152" s="41" t="s">
        <v>31</v>
      </c>
      <c r="J152" s="41" t="s">
        <v>32</v>
      </c>
      <c r="K152" s="41" t="s">
        <v>33</v>
      </c>
      <c r="L152" s="50">
        <v>45995110</v>
      </c>
      <c r="M152" s="50">
        <v>0</v>
      </c>
      <c r="N152" s="50">
        <v>45995110</v>
      </c>
      <c r="O152" s="50">
        <v>42775452</v>
      </c>
      <c r="P152" s="43" t="s">
        <v>351</v>
      </c>
      <c r="Q152" s="40">
        <v>1010215433</v>
      </c>
      <c r="R152" s="41" t="s">
        <v>1228</v>
      </c>
      <c r="S152" s="41" t="s">
        <v>316</v>
      </c>
      <c r="T152" s="41" t="s">
        <v>317</v>
      </c>
      <c r="U152" s="41" t="s">
        <v>1229</v>
      </c>
      <c r="V152" s="41" t="s">
        <v>319</v>
      </c>
      <c r="W152" s="40">
        <v>860034313</v>
      </c>
      <c r="X152" s="41" t="s">
        <v>355</v>
      </c>
      <c r="Y152" s="40">
        <v>2125</v>
      </c>
      <c r="Z152" s="40">
        <v>2125</v>
      </c>
      <c r="AA152" s="40">
        <v>15125</v>
      </c>
      <c r="AB152" s="41"/>
      <c r="AC152" s="41" t="s">
        <v>1546</v>
      </c>
      <c r="AD152" s="41" t="s">
        <v>3051</v>
      </c>
      <c r="AE152" s="41"/>
      <c r="AF152" s="41" t="s">
        <v>578</v>
      </c>
      <c r="AG152" s="41" t="s">
        <v>356</v>
      </c>
      <c r="AH152" s="41" t="s">
        <v>1231</v>
      </c>
      <c r="AI152" s="41" t="s">
        <v>1158</v>
      </c>
    </row>
    <row r="153" spans="1:35" x14ac:dyDescent="0.2">
      <c r="A153" s="53">
        <v>15225</v>
      </c>
      <c r="B153" s="41" t="s">
        <v>578</v>
      </c>
      <c r="C153" s="41" t="s">
        <v>1232</v>
      </c>
      <c r="D153" s="41" t="s">
        <v>312</v>
      </c>
      <c r="E153" s="55">
        <v>923211</v>
      </c>
      <c r="F153" s="41" t="s">
        <v>69</v>
      </c>
      <c r="G153" s="41" t="s">
        <v>29</v>
      </c>
      <c r="H153" s="41" t="s">
        <v>30</v>
      </c>
      <c r="I153" s="41" t="s">
        <v>31</v>
      </c>
      <c r="J153" s="41" t="s">
        <v>32</v>
      </c>
      <c r="K153" s="41" t="s">
        <v>33</v>
      </c>
      <c r="L153" s="50">
        <v>45995110</v>
      </c>
      <c r="M153" s="50">
        <v>0</v>
      </c>
      <c r="N153" s="50">
        <v>45995110</v>
      </c>
      <c r="O153" s="50">
        <v>42775452</v>
      </c>
      <c r="P153" s="43" t="s">
        <v>351</v>
      </c>
      <c r="Q153" s="40">
        <v>51964904</v>
      </c>
      <c r="R153" s="41" t="s">
        <v>1233</v>
      </c>
      <c r="S153" s="41" t="s">
        <v>316</v>
      </c>
      <c r="T153" s="41" t="s">
        <v>317</v>
      </c>
      <c r="U153" s="41" t="s">
        <v>1234</v>
      </c>
      <c r="V153" s="41" t="s">
        <v>319</v>
      </c>
      <c r="W153" s="40">
        <v>890903938</v>
      </c>
      <c r="X153" s="41" t="s">
        <v>342</v>
      </c>
      <c r="Y153" s="40">
        <v>2125</v>
      </c>
      <c r="Z153" s="40">
        <v>2125</v>
      </c>
      <c r="AA153" s="40">
        <v>15225</v>
      </c>
      <c r="AB153" s="41"/>
      <c r="AC153" s="41" t="s">
        <v>1552</v>
      </c>
      <c r="AD153" s="41" t="s">
        <v>3053</v>
      </c>
      <c r="AE153" s="41"/>
      <c r="AF153" s="41" t="s">
        <v>578</v>
      </c>
      <c r="AG153" s="41" t="s">
        <v>356</v>
      </c>
      <c r="AH153" s="41" t="s">
        <v>1236</v>
      </c>
      <c r="AI153" s="41" t="s">
        <v>1237</v>
      </c>
    </row>
    <row r="154" spans="1:35" x14ac:dyDescent="0.2">
      <c r="A154" s="53">
        <v>15325</v>
      </c>
      <c r="B154" s="41" t="s">
        <v>578</v>
      </c>
      <c r="C154" s="41" t="s">
        <v>1238</v>
      </c>
      <c r="D154" s="41" t="s">
        <v>312</v>
      </c>
      <c r="E154" s="55">
        <v>923211</v>
      </c>
      <c r="F154" s="41" t="s">
        <v>69</v>
      </c>
      <c r="G154" s="41" t="s">
        <v>29</v>
      </c>
      <c r="H154" s="41" t="s">
        <v>30</v>
      </c>
      <c r="I154" s="41" t="s">
        <v>31</v>
      </c>
      <c r="J154" s="41" t="s">
        <v>32</v>
      </c>
      <c r="K154" s="41" t="s">
        <v>33</v>
      </c>
      <c r="L154" s="50">
        <v>45995110</v>
      </c>
      <c r="M154" s="50">
        <v>0</v>
      </c>
      <c r="N154" s="50">
        <v>45995110</v>
      </c>
      <c r="O154" s="50">
        <v>42775452</v>
      </c>
      <c r="P154" s="43" t="s">
        <v>351</v>
      </c>
      <c r="Q154" s="40">
        <v>52323375</v>
      </c>
      <c r="R154" s="41" t="s">
        <v>1239</v>
      </c>
      <c r="S154" s="41" t="s">
        <v>316</v>
      </c>
      <c r="T154" s="41" t="s">
        <v>317</v>
      </c>
      <c r="U154" s="41" t="s">
        <v>1240</v>
      </c>
      <c r="V154" s="41" t="s">
        <v>319</v>
      </c>
      <c r="W154" s="40">
        <v>860034313</v>
      </c>
      <c r="X154" s="41" t="s">
        <v>355</v>
      </c>
      <c r="Y154" s="40">
        <v>2125</v>
      </c>
      <c r="Z154" s="40">
        <v>2125</v>
      </c>
      <c r="AA154" s="40">
        <v>15325</v>
      </c>
      <c r="AB154" s="41"/>
      <c r="AC154" s="41" t="s">
        <v>1557</v>
      </c>
      <c r="AD154" s="41" t="s">
        <v>3055</v>
      </c>
      <c r="AE154" s="41"/>
      <c r="AF154" s="41" t="s">
        <v>578</v>
      </c>
      <c r="AG154" s="41" t="s">
        <v>356</v>
      </c>
      <c r="AH154" s="41" t="s">
        <v>1242</v>
      </c>
      <c r="AI154" s="41" t="s">
        <v>1158</v>
      </c>
    </row>
    <row r="155" spans="1:35" x14ac:dyDescent="0.2">
      <c r="A155" s="53">
        <v>15425</v>
      </c>
      <c r="B155" s="41" t="s">
        <v>578</v>
      </c>
      <c r="C155" s="41" t="s">
        <v>1243</v>
      </c>
      <c r="D155" s="41" t="s">
        <v>312</v>
      </c>
      <c r="E155" s="55">
        <v>923211</v>
      </c>
      <c r="F155" s="41" t="s">
        <v>69</v>
      </c>
      <c r="G155" s="41" t="s">
        <v>29</v>
      </c>
      <c r="H155" s="41" t="s">
        <v>30</v>
      </c>
      <c r="I155" s="41" t="s">
        <v>31</v>
      </c>
      <c r="J155" s="41" t="s">
        <v>32</v>
      </c>
      <c r="K155" s="41" t="s">
        <v>33</v>
      </c>
      <c r="L155" s="50">
        <v>45995110</v>
      </c>
      <c r="M155" s="50">
        <v>0</v>
      </c>
      <c r="N155" s="50">
        <v>45995110</v>
      </c>
      <c r="O155" s="50">
        <v>42775452</v>
      </c>
      <c r="P155" s="43" t="s">
        <v>351</v>
      </c>
      <c r="Q155" s="40">
        <v>52766732</v>
      </c>
      <c r="R155" s="41" t="s">
        <v>1244</v>
      </c>
      <c r="S155" s="41" t="s">
        <v>316</v>
      </c>
      <c r="T155" s="41" t="s">
        <v>317</v>
      </c>
      <c r="U155" s="41" t="s">
        <v>1245</v>
      </c>
      <c r="V155" s="41" t="s">
        <v>319</v>
      </c>
      <c r="W155" s="40">
        <v>860003020</v>
      </c>
      <c r="X155" s="41" t="s">
        <v>393</v>
      </c>
      <c r="Y155" s="40">
        <v>2125</v>
      </c>
      <c r="Z155" s="40">
        <v>2125</v>
      </c>
      <c r="AA155" s="40">
        <v>15425</v>
      </c>
      <c r="AB155" s="41"/>
      <c r="AC155" s="41" t="s">
        <v>1562</v>
      </c>
      <c r="AD155" s="41" t="s">
        <v>3056</v>
      </c>
      <c r="AE155" s="41"/>
      <c r="AF155" s="41" t="s">
        <v>578</v>
      </c>
      <c r="AG155" s="41" t="s">
        <v>356</v>
      </c>
      <c r="AH155" s="41" t="s">
        <v>1247</v>
      </c>
      <c r="AI155" s="41" t="s">
        <v>1158</v>
      </c>
    </row>
    <row r="156" spans="1:35" x14ac:dyDescent="0.2">
      <c r="A156" s="53">
        <v>15525</v>
      </c>
      <c r="B156" s="41" t="s">
        <v>578</v>
      </c>
      <c r="C156" s="41" t="s">
        <v>1248</v>
      </c>
      <c r="D156" s="41" t="s">
        <v>312</v>
      </c>
      <c r="E156" s="55">
        <v>923211</v>
      </c>
      <c r="F156" s="41" t="s">
        <v>69</v>
      </c>
      <c r="G156" s="41" t="s">
        <v>29</v>
      </c>
      <c r="H156" s="41" t="s">
        <v>30</v>
      </c>
      <c r="I156" s="41" t="s">
        <v>31</v>
      </c>
      <c r="J156" s="41" t="s">
        <v>32</v>
      </c>
      <c r="K156" s="41" t="s">
        <v>33</v>
      </c>
      <c r="L156" s="50">
        <v>45995110</v>
      </c>
      <c r="M156" s="50">
        <v>0</v>
      </c>
      <c r="N156" s="50">
        <v>45995110</v>
      </c>
      <c r="O156" s="50">
        <v>42775452</v>
      </c>
      <c r="P156" s="43" t="s">
        <v>351</v>
      </c>
      <c r="Q156" s="40">
        <v>52787846</v>
      </c>
      <c r="R156" s="41" t="s">
        <v>1249</v>
      </c>
      <c r="S156" s="41" t="s">
        <v>316</v>
      </c>
      <c r="T156" s="41" t="s">
        <v>317</v>
      </c>
      <c r="U156" s="41" t="s">
        <v>1250</v>
      </c>
      <c r="V156" s="41" t="s">
        <v>319</v>
      </c>
      <c r="W156" s="40">
        <v>860034313</v>
      </c>
      <c r="X156" s="41" t="s">
        <v>355</v>
      </c>
      <c r="Y156" s="40">
        <v>2125</v>
      </c>
      <c r="Z156" s="40">
        <v>2125</v>
      </c>
      <c r="AA156" s="40">
        <v>15525</v>
      </c>
      <c r="AB156" s="41"/>
      <c r="AC156" s="41" t="s">
        <v>1567</v>
      </c>
      <c r="AD156" s="41" t="s">
        <v>3058</v>
      </c>
      <c r="AE156" s="41"/>
      <c r="AF156" s="41" t="s">
        <v>578</v>
      </c>
      <c r="AG156" s="41" t="s">
        <v>356</v>
      </c>
      <c r="AH156" s="41" t="s">
        <v>1252</v>
      </c>
      <c r="AI156" s="41" t="s">
        <v>1158</v>
      </c>
    </row>
    <row r="157" spans="1:35" x14ac:dyDescent="0.2">
      <c r="A157" s="53">
        <v>15625</v>
      </c>
      <c r="B157" s="41" t="s">
        <v>578</v>
      </c>
      <c r="C157" s="41" t="s">
        <v>1253</v>
      </c>
      <c r="D157" s="41" t="s">
        <v>312</v>
      </c>
      <c r="E157" s="55">
        <v>923211</v>
      </c>
      <c r="F157" s="41" t="s">
        <v>69</v>
      </c>
      <c r="G157" s="41" t="s">
        <v>29</v>
      </c>
      <c r="H157" s="41" t="s">
        <v>30</v>
      </c>
      <c r="I157" s="41" t="s">
        <v>31</v>
      </c>
      <c r="J157" s="41" t="s">
        <v>32</v>
      </c>
      <c r="K157" s="41" t="s">
        <v>33</v>
      </c>
      <c r="L157" s="50">
        <v>45995110</v>
      </c>
      <c r="M157" s="50">
        <v>0</v>
      </c>
      <c r="N157" s="50">
        <v>45995110</v>
      </c>
      <c r="O157" s="50">
        <v>42775452</v>
      </c>
      <c r="P157" s="43" t="s">
        <v>351</v>
      </c>
      <c r="Q157" s="40">
        <v>79207422</v>
      </c>
      <c r="R157" s="41" t="s">
        <v>1254</v>
      </c>
      <c r="S157" s="41" t="s">
        <v>316</v>
      </c>
      <c r="T157" s="41" t="s">
        <v>317</v>
      </c>
      <c r="U157" s="41" t="s">
        <v>1255</v>
      </c>
      <c r="V157" s="41" t="s">
        <v>319</v>
      </c>
      <c r="W157" s="40">
        <v>860034313</v>
      </c>
      <c r="X157" s="41" t="s">
        <v>355</v>
      </c>
      <c r="Y157" s="40">
        <v>2125</v>
      </c>
      <c r="Z157" s="40">
        <v>2125</v>
      </c>
      <c r="AA157" s="40">
        <v>15625</v>
      </c>
      <c r="AB157" s="41"/>
      <c r="AC157" s="41" t="s">
        <v>1571</v>
      </c>
      <c r="AD157" s="41" t="s">
        <v>3059</v>
      </c>
      <c r="AE157" s="41"/>
      <c r="AF157" s="41" t="s">
        <v>578</v>
      </c>
      <c r="AG157" s="41" t="s">
        <v>356</v>
      </c>
      <c r="AH157" s="41" t="s">
        <v>1257</v>
      </c>
      <c r="AI157" s="41" t="s">
        <v>1158</v>
      </c>
    </row>
    <row r="158" spans="1:35" x14ac:dyDescent="0.2">
      <c r="A158" s="53">
        <v>15725</v>
      </c>
      <c r="B158" s="41" t="s">
        <v>578</v>
      </c>
      <c r="C158" s="41" t="s">
        <v>1258</v>
      </c>
      <c r="D158" s="41" t="s">
        <v>312</v>
      </c>
      <c r="E158" s="55">
        <v>923211</v>
      </c>
      <c r="F158" s="41" t="s">
        <v>69</v>
      </c>
      <c r="G158" s="41" t="s">
        <v>29</v>
      </c>
      <c r="H158" s="41" t="s">
        <v>30</v>
      </c>
      <c r="I158" s="41" t="s">
        <v>31</v>
      </c>
      <c r="J158" s="41" t="s">
        <v>32</v>
      </c>
      <c r="K158" s="41" t="s">
        <v>33</v>
      </c>
      <c r="L158" s="50">
        <v>45995110</v>
      </c>
      <c r="M158" s="50">
        <v>0</v>
      </c>
      <c r="N158" s="50">
        <v>45995110</v>
      </c>
      <c r="O158" s="50">
        <v>42775452</v>
      </c>
      <c r="P158" s="43" t="s">
        <v>351</v>
      </c>
      <c r="Q158" s="40">
        <v>79507598</v>
      </c>
      <c r="R158" s="41" t="s">
        <v>1259</v>
      </c>
      <c r="S158" s="41" t="s">
        <v>316</v>
      </c>
      <c r="T158" s="41" t="s">
        <v>317</v>
      </c>
      <c r="U158" s="41" t="s">
        <v>1260</v>
      </c>
      <c r="V158" s="41" t="s">
        <v>319</v>
      </c>
      <c r="W158" s="40">
        <v>860002964</v>
      </c>
      <c r="X158" s="41" t="s">
        <v>419</v>
      </c>
      <c r="Y158" s="40">
        <v>2125</v>
      </c>
      <c r="Z158" s="40">
        <v>2125</v>
      </c>
      <c r="AA158" s="40">
        <v>15725</v>
      </c>
      <c r="AB158" s="41"/>
      <c r="AC158" s="41" t="s">
        <v>1576</v>
      </c>
      <c r="AD158" s="41" t="s">
        <v>3060</v>
      </c>
      <c r="AE158" s="41"/>
      <c r="AF158" s="41" t="s">
        <v>578</v>
      </c>
      <c r="AG158" s="41" t="s">
        <v>356</v>
      </c>
      <c r="AH158" s="41" t="s">
        <v>1262</v>
      </c>
      <c r="AI158" s="41" t="s">
        <v>1158</v>
      </c>
    </row>
    <row r="159" spans="1:35" x14ac:dyDescent="0.2">
      <c r="A159" s="53">
        <v>15825</v>
      </c>
      <c r="B159" s="41" t="s">
        <v>578</v>
      </c>
      <c r="C159" s="41" t="s">
        <v>1263</v>
      </c>
      <c r="D159" s="41" t="s">
        <v>312</v>
      </c>
      <c r="E159" s="55">
        <v>923211</v>
      </c>
      <c r="F159" s="41" t="s">
        <v>69</v>
      </c>
      <c r="G159" s="41" t="s">
        <v>29</v>
      </c>
      <c r="H159" s="41" t="s">
        <v>30</v>
      </c>
      <c r="I159" s="41" t="s">
        <v>31</v>
      </c>
      <c r="J159" s="41" t="s">
        <v>32</v>
      </c>
      <c r="K159" s="41" t="s">
        <v>33</v>
      </c>
      <c r="L159" s="50">
        <v>45995110</v>
      </c>
      <c r="M159" s="50">
        <v>0</v>
      </c>
      <c r="N159" s="50">
        <v>45995110</v>
      </c>
      <c r="O159" s="50">
        <v>42775452</v>
      </c>
      <c r="P159" s="43" t="s">
        <v>351</v>
      </c>
      <c r="Q159" s="40">
        <v>79750460</v>
      </c>
      <c r="R159" s="41" t="s">
        <v>1264</v>
      </c>
      <c r="S159" s="41" t="s">
        <v>316</v>
      </c>
      <c r="T159" s="41" t="s">
        <v>317</v>
      </c>
      <c r="U159" s="41" t="s">
        <v>1265</v>
      </c>
      <c r="V159" s="41" t="s">
        <v>319</v>
      </c>
      <c r="W159" s="40">
        <v>890903938</v>
      </c>
      <c r="X159" s="41" t="s">
        <v>342</v>
      </c>
      <c r="Y159" s="40">
        <v>2125</v>
      </c>
      <c r="Z159" s="40">
        <v>2125</v>
      </c>
      <c r="AA159" s="40">
        <v>15825</v>
      </c>
      <c r="AB159" s="41"/>
      <c r="AC159" s="41" t="s">
        <v>1581</v>
      </c>
      <c r="AD159" s="41" t="s">
        <v>3061</v>
      </c>
      <c r="AE159" s="41"/>
      <c r="AF159" s="41" t="s">
        <v>578</v>
      </c>
      <c r="AG159" s="41" t="s">
        <v>356</v>
      </c>
      <c r="AH159" s="41" t="s">
        <v>1267</v>
      </c>
      <c r="AI159" s="41" t="s">
        <v>1158</v>
      </c>
    </row>
    <row r="160" spans="1:35" x14ac:dyDescent="0.2">
      <c r="A160" s="53">
        <v>15925</v>
      </c>
      <c r="B160" s="41" t="s">
        <v>578</v>
      </c>
      <c r="C160" s="41" t="s">
        <v>1263</v>
      </c>
      <c r="D160" s="41" t="s">
        <v>312</v>
      </c>
      <c r="E160" s="55">
        <v>923211</v>
      </c>
      <c r="F160" s="41" t="s">
        <v>69</v>
      </c>
      <c r="G160" s="41" t="s">
        <v>29</v>
      </c>
      <c r="H160" s="41" t="s">
        <v>30</v>
      </c>
      <c r="I160" s="41" t="s">
        <v>31</v>
      </c>
      <c r="J160" s="41" t="s">
        <v>32</v>
      </c>
      <c r="K160" s="41" t="s">
        <v>33</v>
      </c>
      <c r="L160" s="50">
        <v>45995110</v>
      </c>
      <c r="M160" s="50">
        <v>0</v>
      </c>
      <c r="N160" s="50">
        <v>45995110</v>
      </c>
      <c r="O160" s="50">
        <v>42775452</v>
      </c>
      <c r="P160" s="43" t="s">
        <v>351</v>
      </c>
      <c r="Q160" s="40">
        <v>1024554710</v>
      </c>
      <c r="R160" s="41" t="s">
        <v>1268</v>
      </c>
      <c r="S160" s="41" t="s">
        <v>316</v>
      </c>
      <c r="T160" s="41" t="s">
        <v>317</v>
      </c>
      <c r="U160" s="41" t="s">
        <v>1269</v>
      </c>
      <c r="V160" s="41" t="s">
        <v>319</v>
      </c>
      <c r="W160" s="40">
        <v>860034313</v>
      </c>
      <c r="X160" s="41" t="s">
        <v>355</v>
      </c>
      <c r="Y160" s="40">
        <v>2125</v>
      </c>
      <c r="Z160" s="40">
        <v>2125</v>
      </c>
      <c r="AA160" s="40">
        <v>15925</v>
      </c>
      <c r="AB160" s="41"/>
      <c r="AC160" s="41" t="s">
        <v>1586</v>
      </c>
      <c r="AD160" s="41" t="s">
        <v>3063</v>
      </c>
      <c r="AE160" s="41"/>
      <c r="AF160" s="41" t="s">
        <v>578</v>
      </c>
      <c r="AG160" s="41" t="s">
        <v>356</v>
      </c>
      <c r="AH160" s="41" t="s">
        <v>1271</v>
      </c>
      <c r="AI160" s="41" t="s">
        <v>1158</v>
      </c>
    </row>
    <row r="161" spans="1:35" x14ac:dyDescent="0.2">
      <c r="A161" s="53">
        <v>16025</v>
      </c>
      <c r="B161" s="41" t="s">
        <v>578</v>
      </c>
      <c r="C161" s="41" t="s">
        <v>1272</v>
      </c>
      <c r="D161" s="41" t="s">
        <v>312</v>
      </c>
      <c r="E161" s="55">
        <v>923211</v>
      </c>
      <c r="F161" s="41" t="s">
        <v>69</v>
      </c>
      <c r="G161" s="41" t="s">
        <v>29</v>
      </c>
      <c r="H161" s="41" t="s">
        <v>30</v>
      </c>
      <c r="I161" s="41" t="s">
        <v>31</v>
      </c>
      <c r="J161" s="41" t="s">
        <v>32</v>
      </c>
      <c r="K161" s="41" t="s">
        <v>33</v>
      </c>
      <c r="L161" s="50">
        <v>45995110</v>
      </c>
      <c r="M161" s="50">
        <v>0</v>
      </c>
      <c r="N161" s="50">
        <v>45995110</v>
      </c>
      <c r="O161" s="50">
        <v>42775452</v>
      </c>
      <c r="P161" s="43" t="s">
        <v>351</v>
      </c>
      <c r="Q161" s="40">
        <v>3836898</v>
      </c>
      <c r="R161" s="41" t="s">
        <v>1273</v>
      </c>
      <c r="S161" s="41" t="s">
        <v>316</v>
      </c>
      <c r="T161" s="41" t="s">
        <v>317</v>
      </c>
      <c r="U161" s="41" t="s">
        <v>1274</v>
      </c>
      <c r="V161" s="41" t="s">
        <v>319</v>
      </c>
      <c r="W161" s="40">
        <v>890903938</v>
      </c>
      <c r="X161" s="41" t="s">
        <v>342</v>
      </c>
      <c r="Y161" s="40">
        <v>2125</v>
      </c>
      <c r="Z161" s="40">
        <v>2125</v>
      </c>
      <c r="AA161" s="40">
        <v>16025</v>
      </c>
      <c r="AB161" s="41"/>
      <c r="AC161" s="41" t="s">
        <v>1591</v>
      </c>
      <c r="AD161" s="41" t="s">
        <v>3064</v>
      </c>
      <c r="AE161" s="41"/>
      <c r="AF161" s="41" t="s">
        <v>578</v>
      </c>
      <c r="AG161" s="41" t="s">
        <v>356</v>
      </c>
      <c r="AH161" s="41" t="s">
        <v>1276</v>
      </c>
      <c r="AI161" s="41" t="s">
        <v>1158</v>
      </c>
    </row>
    <row r="162" spans="1:35" x14ac:dyDescent="0.2">
      <c r="A162" s="53">
        <v>16125</v>
      </c>
      <c r="B162" s="41" t="s">
        <v>578</v>
      </c>
      <c r="C162" s="41" t="s">
        <v>1277</v>
      </c>
      <c r="D162" s="41" t="s">
        <v>312</v>
      </c>
      <c r="E162" s="55">
        <v>923211</v>
      </c>
      <c r="F162" s="41" t="s">
        <v>69</v>
      </c>
      <c r="G162" s="41" t="s">
        <v>29</v>
      </c>
      <c r="H162" s="41" t="s">
        <v>30</v>
      </c>
      <c r="I162" s="41" t="s">
        <v>31</v>
      </c>
      <c r="J162" s="41" t="s">
        <v>32</v>
      </c>
      <c r="K162" s="41" t="s">
        <v>33</v>
      </c>
      <c r="L162" s="50">
        <v>45995110</v>
      </c>
      <c r="M162" s="50">
        <v>0</v>
      </c>
      <c r="N162" s="50">
        <v>45995110</v>
      </c>
      <c r="O162" s="50">
        <v>42775452</v>
      </c>
      <c r="P162" s="43" t="s">
        <v>351</v>
      </c>
      <c r="Q162" s="40">
        <v>7182568</v>
      </c>
      <c r="R162" s="41" t="s">
        <v>1278</v>
      </c>
      <c r="S162" s="41" t="s">
        <v>316</v>
      </c>
      <c r="T162" s="41" t="s">
        <v>317</v>
      </c>
      <c r="U162" s="41" t="s">
        <v>1279</v>
      </c>
      <c r="V162" s="41" t="s">
        <v>319</v>
      </c>
      <c r="W162" s="40">
        <v>860003020</v>
      </c>
      <c r="X162" s="41" t="s">
        <v>393</v>
      </c>
      <c r="Y162" s="40">
        <v>2125</v>
      </c>
      <c r="Z162" s="40">
        <v>2125</v>
      </c>
      <c r="AA162" s="40">
        <v>16125</v>
      </c>
      <c r="AB162" s="41"/>
      <c r="AC162" s="41" t="s">
        <v>1595</v>
      </c>
      <c r="AD162" s="41" t="s">
        <v>3065</v>
      </c>
      <c r="AE162" s="41"/>
      <c r="AF162" s="41" t="s">
        <v>578</v>
      </c>
      <c r="AG162" s="41" t="s">
        <v>356</v>
      </c>
      <c r="AH162" s="41" t="s">
        <v>1281</v>
      </c>
      <c r="AI162" s="41" t="s">
        <v>1158</v>
      </c>
    </row>
    <row r="163" spans="1:35" x14ac:dyDescent="0.2">
      <c r="A163" s="53">
        <v>16225</v>
      </c>
      <c r="B163" s="41" t="s">
        <v>578</v>
      </c>
      <c r="C163" s="41" t="s">
        <v>1282</v>
      </c>
      <c r="D163" s="41" t="s">
        <v>312</v>
      </c>
      <c r="E163" s="55">
        <v>923211</v>
      </c>
      <c r="F163" s="41" t="s">
        <v>69</v>
      </c>
      <c r="G163" s="41" t="s">
        <v>29</v>
      </c>
      <c r="H163" s="41" t="s">
        <v>30</v>
      </c>
      <c r="I163" s="41" t="s">
        <v>31</v>
      </c>
      <c r="J163" s="41" t="s">
        <v>32</v>
      </c>
      <c r="K163" s="41" t="s">
        <v>33</v>
      </c>
      <c r="L163" s="50">
        <v>45995110</v>
      </c>
      <c r="M163" s="50">
        <v>0</v>
      </c>
      <c r="N163" s="50">
        <v>45995110</v>
      </c>
      <c r="O163" s="50">
        <v>42775452</v>
      </c>
      <c r="P163" s="43" t="s">
        <v>351</v>
      </c>
      <c r="Q163" s="40">
        <v>79137299</v>
      </c>
      <c r="R163" s="41" t="s">
        <v>1283</v>
      </c>
      <c r="S163" s="41" t="s">
        <v>316</v>
      </c>
      <c r="T163" s="41" t="s">
        <v>317</v>
      </c>
      <c r="U163" s="41" t="s">
        <v>3069</v>
      </c>
      <c r="V163" s="41" t="s">
        <v>319</v>
      </c>
      <c r="W163" s="40">
        <v>860007335</v>
      </c>
      <c r="X163" s="41" t="s">
        <v>381</v>
      </c>
      <c r="Y163" s="40">
        <v>2125</v>
      </c>
      <c r="Z163" s="40">
        <v>2125</v>
      </c>
      <c r="AA163" s="40">
        <v>16225</v>
      </c>
      <c r="AB163" s="41"/>
      <c r="AC163" s="41" t="s">
        <v>1600</v>
      </c>
      <c r="AD163" s="41" t="s">
        <v>3067</v>
      </c>
      <c r="AE163" s="41"/>
      <c r="AF163" s="41" t="s">
        <v>578</v>
      </c>
      <c r="AG163" s="41" t="s">
        <v>356</v>
      </c>
      <c r="AH163" s="41" t="s">
        <v>1285</v>
      </c>
      <c r="AI163" s="41" t="s">
        <v>1158</v>
      </c>
    </row>
    <row r="164" spans="1:35" x14ac:dyDescent="0.2">
      <c r="A164" s="53">
        <v>16325</v>
      </c>
      <c r="B164" s="41" t="s">
        <v>578</v>
      </c>
      <c r="C164" s="41" t="s">
        <v>1286</v>
      </c>
      <c r="D164" s="41" t="s">
        <v>312</v>
      </c>
      <c r="E164" s="55">
        <v>923211</v>
      </c>
      <c r="F164" s="41" t="s">
        <v>69</v>
      </c>
      <c r="G164" s="41" t="s">
        <v>29</v>
      </c>
      <c r="H164" s="41" t="s">
        <v>30</v>
      </c>
      <c r="I164" s="41" t="s">
        <v>31</v>
      </c>
      <c r="J164" s="41" t="s">
        <v>32</v>
      </c>
      <c r="K164" s="41" t="s">
        <v>33</v>
      </c>
      <c r="L164" s="50">
        <v>45995110</v>
      </c>
      <c r="M164" s="50">
        <v>0</v>
      </c>
      <c r="N164" s="50">
        <v>45995110</v>
      </c>
      <c r="O164" s="50">
        <v>42775452</v>
      </c>
      <c r="P164" s="43" t="s">
        <v>351</v>
      </c>
      <c r="Q164" s="40">
        <v>79536962</v>
      </c>
      <c r="R164" s="41" t="s">
        <v>1287</v>
      </c>
      <c r="S164" s="41" t="s">
        <v>316</v>
      </c>
      <c r="T164" s="41" t="s">
        <v>317</v>
      </c>
      <c r="U164" s="41" t="s">
        <v>1288</v>
      </c>
      <c r="V164" s="41" t="s">
        <v>319</v>
      </c>
      <c r="W164" s="40">
        <v>860034313</v>
      </c>
      <c r="X164" s="41" t="s">
        <v>355</v>
      </c>
      <c r="Y164" s="40">
        <v>2125</v>
      </c>
      <c r="Z164" s="40">
        <v>2125</v>
      </c>
      <c r="AA164" s="40">
        <v>16325</v>
      </c>
      <c r="AB164" s="41"/>
      <c r="AC164" s="41" t="s">
        <v>1605</v>
      </c>
      <c r="AD164" s="41" t="s">
        <v>3070</v>
      </c>
      <c r="AE164" s="41"/>
      <c r="AF164" s="41" t="s">
        <v>578</v>
      </c>
      <c r="AG164" s="41" t="s">
        <v>356</v>
      </c>
      <c r="AH164" s="41" t="s">
        <v>1290</v>
      </c>
      <c r="AI164" s="41" t="s">
        <v>1158</v>
      </c>
    </row>
    <row r="165" spans="1:35" x14ac:dyDescent="0.2">
      <c r="A165" s="53">
        <v>16425</v>
      </c>
      <c r="B165" s="41" t="s">
        <v>578</v>
      </c>
      <c r="C165" s="41" t="s">
        <v>1291</v>
      </c>
      <c r="D165" s="41" t="s">
        <v>312</v>
      </c>
      <c r="E165" s="55">
        <v>923211</v>
      </c>
      <c r="F165" s="41" t="s">
        <v>69</v>
      </c>
      <c r="G165" s="41" t="s">
        <v>29</v>
      </c>
      <c r="H165" s="41" t="s">
        <v>30</v>
      </c>
      <c r="I165" s="41" t="s">
        <v>31</v>
      </c>
      <c r="J165" s="41" t="s">
        <v>32</v>
      </c>
      <c r="K165" s="41" t="s">
        <v>33</v>
      </c>
      <c r="L165" s="50">
        <v>45995110</v>
      </c>
      <c r="M165" s="50">
        <v>0</v>
      </c>
      <c r="N165" s="50">
        <v>45995110</v>
      </c>
      <c r="O165" s="50">
        <v>42775452</v>
      </c>
      <c r="P165" s="43" t="s">
        <v>351</v>
      </c>
      <c r="Q165" s="40">
        <v>80830255</v>
      </c>
      <c r="R165" s="41" t="s">
        <v>1292</v>
      </c>
      <c r="S165" s="41" t="s">
        <v>316</v>
      </c>
      <c r="T165" s="41" t="s">
        <v>317</v>
      </c>
      <c r="U165" s="41" t="s">
        <v>1293</v>
      </c>
      <c r="V165" s="41" t="s">
        <v>319</v>
      </c>
      <c r="W165" s="40">
        <v>890903938</v>
      </c>
      <c r="X165" s="41" t="s">
        <v>342</v>
      </c>
      <c r="Y165" s="40">
        <v>2125</v>
      </c>
      <c r="Z165" s="40">
        <v>2125</v>
      </c>
      <c r="AA165" s="40">
        <v>16425</v>
      </c>
      <c r="AB165" s="41"/>
      <c r="AC165" s="41" t="s">
        <v>1610</v>
      </c>
      <c r="AD165" s="41" t="s">
        <v>3072</v>
      </c>
      <c r="AE165" s="41"/>
      <c r="AF165" s="41" t="s">
        <v>578</v>
      </c>
      <c r="AG165" s="41" t="s">
        <v>356</v>
      </c>
      <c r="AH165" s="41" t="s">
        <v>1295</v>
      </c>
      <c r="AI165" s="41" t="s">
        <v>1158</v>
      </c>
    </row>
    <row r="166" spans="1:35" x14ac:dyDescent="0.2">
      <c r="A166" s="53">
        <v>16525</v>
      </c>
      <c r="B166" s="41" t="s">
        <v>578</v>
      </c>
      <c r="C166" s="41" t="s">
        <v>1296</v>
      </c>
      <c r="D166" s="41" t="s">
        <v>312</v>
      </c>
      <c r="E166" s="55">
        <v>923211</v>
      </c>
      <c r="F166" s="41" t="s">
        <v>69</v>
      </c>
      <c r="G166" s="41" t="s">
        <v>29</v>
      </c>
      <c r="H166" s="41" t="s">
        <v>30</v>
      </c>
      <c r="I166" s="41" t="s">
        <v>31</v>
      </c>
      <c r="J166" s="41" t="s">
        <v>32</v>
      </c>
      <c r="K166" s="41" t="s">
        <v>33</v>
      </c>
      <c r="L166" s="50">
        <v>45995110</v>
      </c>
      <c r="M166" s="50">
        <v>0</v>
      </c>
      <c r="N166" s="50">
        <v>45995110</v>
      </c>
      <c r="O166" s="50">
        <v>42775452</v>
      </c>
      <c r="P166" s="43" t="s">
        <v>351</v>
      </c>
      <c r="Q166" s="40">
        <v>93300406</v>
      </c>
      <c r="R166" s="41" t="s">
        <v>1297</v>
      </c>
      <c r="S166" s="41" t="s">
        <v>316</v>
      </c>
      <c r="T166" s="41" t="s">
        <v>317</v>
      </c>
      <c r="U166" s="41" t="s">
        <v>1298</v>
      </c>
      <c r="V166" s="41" t="s">
        <v>319</v>
      </c>
      <c r="W166" s="40">
        <v>860007335</v>
      </c>
      <c r="X166" s="41" t="s">
        <v>381</v>
      </c>
      <c r="Y166" s="40">
        <v>2125</v>
      </c>
      <c r="Z166" s="40">
        <v>2125</v>
      </c>
      <c r="AA166" s="40">
        <v>16525</v>
      </c>
      <c r="AB166" s="41"/>
      <c r="AC166" s="41" t="s">
        <v>1615</v>
      </c>
      <c r="AD166" s="41" t="s">
        <v>3074</v>
      </c>
      <c r="AE166" s="41"/>
      <c r="AF166" s="41" t="s">
        <v>578</v>
      </c>
      <c r="AG166" s="41" t="s">
        <v>356</v>
      </c>
      <c r="AH166" s="41" t="s">
        <v>1300</v>
      </c>
      <c r="AI166" s="41" t="s">
        <v>1158</v>
      </c>
    </row>
    <row r="167" spans="1:35" x14ac:dyDescent="0.2">
      <c r="A167" s="53">
        <v>16625</v>
      </c>
      <c r="B167" s="41" t="s">
        <v>578</v>
      </c>
      <c r="C167" s="41" t="s">
        <v>1301</v>
      </c>
      <c r="D167" s="41" t="s">
        <v>312</v>
      </c>
      <c r="E167" s="55">
        <v>923211</v>
      </c>
      <c r="F167" s="41" t="s">
        <v>69</v>
      </c>
      <c r="G167" s="41" t="s">
        <v>29</v>
      </c>
      <c r="H167" s="41" t="s">
        <v>30</v>
      </c>
      <c r="I167" s="41" t="s">
        <v>31</v>
      </c>
      <c r="J167" s="41" t="s">
        <v>32</v>
      </c>
      <c r="K167" s="41" t="s">
        <v>33</v>
      </c>
      <c r="L167" s="50">
        <v>45995110</v>
      </c>
      <c r="M167" s="50">
        <v>0</v>
      </c>
      <c r="N167" s="50">
        <v>45995110</v>
      </c>
      <c r="O167" s="50">
        <v>42775452</v>
      </c>
      <c r="P167" s="43" t="s">
        <v>351</v>
      </c>
      <c r="Q167" s="40">
        <v>19445585</v>
      </c>
      <c r="R167" s="41" t="s">
        <v>1302</v>
      </c>
      <c r="S167" s="41" t="s">
        <v>316</v>
      </c>
      <c r="T167" s="41" t="s">
        <v>317</v>
      </c>
      <c r="U167" s="41" t="s">
        <v>1303</v>
      </c>
      <c r="V167" s="41" t="s">
        <v>319</v>
      </c>
      <c r="W167" s="40">
        <v>860034313</v>
      </c>
      <c r="X167" s="41" t="s">
        <v>355</v>
      </c>
      <c r="Y167" s="40">
        <v>2125</v>
      </c>
      <c r="Z167" s="40">
        <v>2125</v>
      </c>
      <c r="AA167" s="40">
        <v>16625</v>
      </c>
      <c r="AB167" s="41"/>
      <c r="AC167" s="41" t="s">
        <v>1620</v>
      </c>
      <c r="AD167" s="41" t="s">
        <v>3075</v>
      </c>
      <c r="AE167" s="41"/>
      <c r="AF167" s="41" t="s">
        <v>578</v>
      </c>
      <c r="AG167" s="41" t="s">
        <v>356</v>
      </c>
      <c r="AH167" s="41" t="s">
        <v>1305</v>
      </c>
      <c r="AI167" s="41" t="s">
        <v>1158</v>
      </c>
    </row>
    <row r="168" spans="1:35" x14ac:dyDescent="0.2">
      <c r="A168" s="53">
        <v>16725</v>
      </c>
      <c r="B168" s="41" t="s">
        <v>578</v>
      </c>
      <c r="C168" s="41" t="s">
        <v>1306</v>
      </c>
      <c r="D168" s="41" t="s">
        <v>312</v>
      </c>
      <c r="E168" s="55">
        <v>923211</v>
      </c>
      <c r="F168" s="41" t="s">
        <v>69</v>
      </c>
      <c r="G168" s="41" t="s">
        <v>29</v>
      </c>
      <c r="H168" s="41" t="s">
        <v>30</v>
      </c>
      <c r="I168" s="41" t="s">
        <v>31</v>
      </c>
      <c r="J168" s="41" t="s">
        <v>32</v>
      </c>
      <c r="K168" s="41" t="s">
        <v>33</v>
      </c>
      <c r="L168" s="50">
        <v>45995110</v>
      </c>
      <c r="M168" s="50">
        <v>0</v>
      </c>
      <c r="N168" s="50">
        <v>45995110</v>
      </c>
      <c r="O168" s="50">
        <v>42775452</v>
      </c>
      <c r="P168" s="43" t="s">
        <v>351</v>
      </c>
      <c r="Q168" s="40">
        <v>1022333460</v>
      </c>
      <c r="R168" s="41" t="s">
        <v>1307</v>
      </c>
      <c r="S168" s="41" t="s">
        <v>316</v>
      </c>
      <c r="T168" s="41" t="s">
        <v>317</v>
      </c>
      <c r="U168" s="41" t="s">
        <v>1308</v>
      </c>
      <c r="V168" s="41" t="s">
        <v>319</v>
      </c>
      <c r="W168" s="40">
        <v>890903938</v>
      </c>
      <c r="X168" s="41" t="s">
        <v>342</v>
      </c>
      <c r="Y168" s="40">
        <v>2125</v>
      </c>
      <c r="Z168" s="40">
        <v>2125</v>
      </c>
      <c r="AA168" s="40">
        <v>16725</v>
      </c>
      <c r="AB168" s="41"/>
      <c r="AC168" s="41" t="s">
        <v>1624</v>
      </c>
      <c r="AD168" s="41" t="s">
        <v>3077</v>
      </c>
      <c r="AE168" s="41"/>
      <c r="AF168" s="41" t="s">
        <v>578</v>
      </c>
      <c r="AG168" s="41" t="s">
        <v>356</v>
      </c>
      <c r="AH168" s="41" t="s">
        <v>1310</v>
      </c>
      <c r="AI168" s="41" t="s">
        <v>1158</v>
      </c>
    </row>
    <row r="169" spans="1:35" x14ac:dyDescent="0.2">
      <c r="A169" s="53">
        <v>16825</v>
      </c>
      <c r="B169" s="41" t="s">
        <v>578</v>
      </c>
      <c r="C169" s="41" t="s">
        <v>1311</v>
      </c>
      <c r="D169" s="41" t="s">
        <v>312</v>
      </c>
      <c r="E169" s="55">
        <v>923211</v>
      </c>
      <c r="F169" s="41" t="s">
        <v>69</v>
      </c>
      <c r="G169" s="41" t="s">
        <v>29</v>
      </c>
      <c r="H169" s="41" t="s">
        <v>30</v>
      </c>
      <c r="I169" s="41" t="s">
        <v>31</v>
      </c>
      <c r="J169" s="41" t="s">
        <v>32</v>
      </c>
      <c r="K169" s="41" t="s">
        <v>33</v>
      </c>
      <c r="L169" s="50">
        <v>45995110</v>
      </c>
      <c r="M169" s="50">
        <v>0</v>
      </c>
      <c r="N169" s="50">
        <v>45995110</v>
      </c>
      <c r="O169" s="50">
        <v>42775452</v>
      </c>
      <c r="P169" s="43" t="s">
        <v>351</v>
      </c>
      <c r="Q169" s="40">
        <v>1043004376</v>
      </c>
      <c r="R169" s="41" t="s">
        <v>1312</v>
      </c>
      <c r="S169" s="41" t="s">
        <v>316</v>
      </c>
      <c r="T169" s="41" t="s">
        <v>317</v>
      </c>
      <c r="U169" s="41" t="s">
        <v>1313</v>
      </c>
      <c r="V169" s="41" t="s">
        <v>319</v>
      </c>
      <c r="W169" s="40">
        <v>860003020</v>
      </c>
      <c r="X169" s="41" t="s">
        <v>393</v>
      </c>
      <c r="Y169" s="40">
        <v>2125</v>
      </c>
      <c r="Z169" s="40">
        <v>2125</v>
      </c>
      <c r="AA169" s="40">
        <v>16825</v>
      </c>
      <c r="AB169" s="41"/>
      <c r="AC169" s="41" t="s">
        <v>1629</v>
      </c>
      <c r="AD169" s="41" t="s">
        <v>3079</v>
      </c>
      <c r="AE169" s="41"/>
      <c r="AF169" s="41" t="s">
        <v>578</v>
      </c>
      <c r="AG169" s="41" t="s">
        <v>356</v>
      </c>
      <c r="AH169" s="41" t="s">
        <v>1315</v>
      </c>
      <c r="AI169" s="41" t="s">
        <v>1158</v>
      </c>
    </row>
    <row r="170" spans="1:35" x14ac:dyDescent="0.2">
      <c r="A170" s="53">
        <v>16925</v>
      </c>
      <c r="B170" s="41" t="s">
        <v>578</v>
      </c>
      <c r="C170" s="41" t="s">
        <v>1316</v>
      </c>
      <c r="D170" s="41" t="s">
        <v>312</v>
      </c>
      <c r="E170" s="55">
        <v>923211</v>
      </c>
      <c r="F170" s="41" t="s">
        <v>69</v>
      </c>
      <c r="G170" s="41" t="s">
        <v>29</v>
      </c>
      <c r="H170" s="41" t="s">
        <v>30</v>
      </c>
      <c r="I170" s="41" t="s">
        <v>31</v>
      </c>
      <c r="J170" s="41" t="s">
        <v>32</v>
      </c>
      <c r="K170" s="41" t="s">
        <v>33</v>
      </c>
      <c r="L170" s="50">
        <v>45995110</v>
      </c>
      <c r="M170" s="50">
        <v>0</v>
      </c>
      <c r="N170" s="50">
        <v>45995110</v>
      </c>
      <c r="O170" s="50">
        <v>42775452</v>
      </c>
      <c r="P170" s="43" t="s">
        <v>351</v>
      </c>
      <c r="Q170" s="40">
        <v>80779140</v>
      </c>
      <c r="R170" s="41" t="s">
        <v>1317</v>
      </c>
      <c r="S170" s="41" t="s">
        <v>316</v>
      </c>
      <c r="T170" s="41" t="s">
        <v>317</v>
      </c>
      <c r="U170" s="41" t="s">
        <v>1318</v>
      </c>
      <c r="V170" s="41" t="s">
        <v>319</v>
      </c>
      <c r="W170" s="40">
        <v>890903938</v>
      </c>
      <c r="X170" s="41" t="s">
        <v>342</v>
      </c>
      <c r="Y170" s="40">
        <v>2125</v>
      </c>
      <c r="Z170" s="40">
        <v>2125</v>
      </c>
      <c r="AA170" s="40">
        <v>16925</v>
      </c>
      <c r="AB170" s="41"/>
      <c r="AC170" s="41" t="s">
        <v>1634</v>
      </c>
      <c r="AD170" s="41" t="s">
        <v>3080</v>
      </c>
      <c r="AE170" s="41"/>
      <c r="AF170" s="41" t="s">
        <v>578</v>
      </c>
      <c r="AG170" s="41" t="s">
        <v>356</v>
      </c>
      <c r="AH170" s="41" t="s">
        <v>1320</v>
      </c>
      <c r="AI170" s="41" t="s">
        <v>1158</v>
      </c>
    </row>
    <row r="171" spans="1:35" x14ac:dyDescent="0.2">
      <c r="A171" s="53">
        <v>17025</v>
      </c>
      <c r="B171" s="41" t="s">
        <v>578</v>
      </c>
      <c r="C171" s="41" t="s">
        <v>1321</v>
      </c>
      <c r="D171" s="41" t="s">
        <v>312</v>
      </c>
      <c r="E171" s="55">
        <v>923211</v>
      </c>
      <c r="F171" s="41" t="s">
        <v>69</v>
      </c>
      <c r="G171" s="41" t="s">
        <v>29</v>
      </c>
      <c r="H171" s="41" t="s">
        <v>30</v>
      </c>
      <c r="I171" s="41" t="s">
        <v>31</v>
      </c>
      <c r="J171" s="41" t="s">
        <v>32</v>
      </c>
      <c r="K171" s="41" t="s">
        <v>33</v>
      </c>
      <c r="L171" s="50">
        <v>45995110</v>
      </c>
      <c r="M171" s="50">
        <v>0</v>
      </c>
      <c r="N171" s="50">
        <v>45995110</v>
      </c>
      <c r="O171" s="50">
        <v>42775452</v>
      </c>
      <c r="P171" s="43" t="s">
        <v>351</v>
      </c>
      <c r="Q171" s="40">
        <v>1072191632</v>
      </c>
      <c r="R171" s="41" t="s">
        <v>1322</v>
      </c>
      <c r="S171" s="41" t="s">
        <v>316</v>
      </c>
      <c r="T171" s="41" t="s">
        <v>317</v>
      </c>
      <c r="U171" s="41" t="s">
        <v>1323</v>
      </c>
      <c r="V171" s="41" t="s">
        <v>319</v>
      </c>
      <c r="W171" s="40">
        <v>860034313</v>
      </c>
      <c r="X171" s="41" t="s">
        <v>355</v>
      </c>
      <c r="Y171" s="40">
        <v>2125</v>
      </c>
      <c r="Z171" s="40">
        <v>2125</v>
      </c>
      <c r="AA171" s="40">
        <v>17025</v>
      </c>
      <c r="AB171" s="41"/>
      <c r="AC171" s="41" t="s">
        <v>1639</v>
      </c>
      <c r="AD171" s="41" t="s">
        <v>3081</v>
      </c>
      <c r="AE171" s="41"/>
      <c r="AF171" s="41" t="s">
        <v>578</v>
      </c>
      <c r="AG171" s="41" t="s">
        <v>356</v>
      </c>
      <c r="AH171" s="41" t="s">
        <v>1325</v>
      </c>
      <c r="AI171" s="41" t="s">
        <v>1158</v>
      </c>
    </row>
    <row r="172" spans="1:35" x14ac:dyDescent="0.2">
      <c r="A172" s="53">
        <v>17125</v>
      </c>
      <c r="B172" s="41" t="s">
        <v>1326</v>
      </c>
      <c r="C172" s="41" t="s">
        <v>1327</v>
      </c>
      <c r="D172" s="41" t="s">
        <v>312</v>
      </c>
      <c r="E172" s="55">
        <v>923245</v>
      </c>
      <c r="F172" s="41" t="s">
        <v>180</v>
      </c>
      <c r="G172" s="41" t="s">
        <v>29</v>
      </c>
      <c r="H172" s="41" t="s">
        <v>30</v>
      </c>
      <c r="I172" s="41" t="s">
        <v>31</v>
      </c>
      <c r="J172" s="41" t="s">
        <v>32</v>
      </c>
      <c r="K172" s="41" t="s">
        <v>33</v>
      </c>
      <c r="L172" s="50">
        <v>37099598</v>
      </c>
      <c r="M172" s="50">
        <v>0</v>
      </c>
      <c r="N172" s="50">
        <v>37099598</v>
      </c>
      <c r="O172" s="50">
        <v>34610486</v>
      </c>
      <c r="P172" s="43" t="s">
        <v>351</v>
      </c>
      <c r="Q172" s="40">
        <v>30343319</v>
      </c>
      <c r="R172" s="41" t="s">
        <v>1328</v>
      </c>
      <c r="S172" s="41" t="s">
        <v>316</v>
      </c>
      <c r="T172" s="41" t="s">
        <v>317</v>
      </c>
      <c r="U172" s="41" t="s">
        <v>1329</v>
      </c>
      <c r="V172" s="41" t="s">
        <v>319</v>
      </c>
      <c r="W172" s="40">
        <v>860007738</v>
      </c>
      <c r="X172" s="41" t="s">
        <v>784</v>
      </c>
      <c r="Y172" s="40">
        <v>3825</v>
      </c>
      <c r="Z172" s="40">
        <v>3825</v>
      </c>
      <c r="AA172" s="40">
        <v>17125</v>
      </c>
      <c r="AB172" s="41"/>
      <c r="AC172" s="41" t="s">
        <v>1644</v>
      </c>
      <c r="AD172" s="41" t="s">
        <v>3083</v>
      </c>
      <c r="AE172" s="41"/>
      <c r="AF172" s="41" t="s">
        <v>1326</v>
      </c>
      <c r="AG172" s="41" t="s">
        <v>356</v>
      </c>
      <c r="AH172" s="41" t="s">
        <v>1331</v>
      </c>
      <c r="AI172" s="41" t="s">
        <v>1332</v>
      </c>
    </row>
    <row r="173" spans="1:35" x14ac:dyDescent="0.2">
      <c r="A173" s="53">
        <v>17225</v>
      </c>
      <c r="B173" s="41" t="s">
        <v>1326</v>
      </c>
      <c r="C173" s="41" t="s">
        <v>1333</v>
      </c>
      <c r="D173" s="41" t="s">
        <v>312</v>
      </c>
      <c r="E173" s="55">
        <v>923245</v>
      </c>
      <c r="F173" s="41" t="s">
        <v>180</v>
      </c>
      <c r="G173" s="41" t="s">
        <v>29</v>
      </c>
      <c r="H173" s="41" t="s">
        <v>30</v>
      </c>
      <c r="I173" s="41" t="s">
        <v>31</v>
      </c>
      <c r="J173" s="41" t="s">
        <v>32</v>
      </c>
      <c r="K173" s="41" t="s">
        <v>33</v>
      </c>
      <c r="L173" s="50">
        <v>47988231</v>
      </c>
      <c r="M173" s="50">
        <v>0</v>
      </c>
      <c r="N173" s="50">
        <v>47988231</v>
      </c>
      <c r="O173" s="50">
        <v>44768573</v>
      </c>
      <c r="P173" s="43" t="s">
        <v>351</v>
      </c>
      <c r="Q173" s="40">
        <v>3170613</v>
      </c>
      <c r="R173" s="41" t="s">
        <v>1334</v>
      </c>
      <c r="S173" s="41" t="s">
        <v>316</v>
      </c>
      <c r="T173" s="41" t="s">
        <v>317</v>
      </c>
      <c r="U173" s="41" t="s">
        <v>1335</v>
      </c>
      <c r="V173" s="41" t="s">
        <v>319</v>
      </c>
      <c r="W173" s="40">
        <v>860034313</v>
      </c>
      <c r="X173" s="41" t="s">
        <v>355</v>
      </c>
      <c r="Y173" s="40">
        <v>3825</v>
      </c>
      <c r="Z173" s="40">
        <v>3825</v>
      </c>
      <c r="AA173" s="40">
        <v>17225</v>
      </c>
      <c r="AB173" s="41"/>
      <c r="AC173" s="41" t="s">
        <v>1649</v>
      </c>
      <c r="AD173" s="41" t="s">
        <v>3086</v>
      </c>
      <c r="AE173" s="41"/>
      <c r="AF173" s="41" t="s">
        <v>1326</v>
      </c>
      <c r="AG173" s="41" t="s">
        <v>356</v>
      </c>
      <c r="AH173" s="41" t="s">
        <v>1337</v>
      </c>
      <c r="AI173" s="41" t="s">
        <v>1332</v>
      </c>
    </row>
    <row r="174" spans="1:35" x14ac:dyDescent="0.2">
      <c r="A174" s="53">
        <v>17325</v>
      </c>
      <c r="B174" s="41" t="s">
        <v>1326</v>
      </c>
      <c r="C174" s="41" t="s">
        <v>1338</v>
      </c>
      <c r="D174" s="41" t="s">
        <v>312</v>
      </c>
      <c r="E174" s="55">
        <v>923245</v>
      </c>
      <c r="F174" s="41" t="s">
        <v>180</v>
      </c>
      <c r="G174" s="41" t="s">
        <v>29</v>
      </c>
      <c r="H174" s="41" t="s">
        <v>30</v>
      </c>
      <c r="I174" s="41" t="s">
        <v>31</v>
      </c>
      <c r="J174" s="41" t="s">
        <v>32</v>
      </c>
      <c r="K174" s="41" t="s">
        <v>33</v>
      </c>
      <c r="L174" s="50">
        <v>47988231</v>
      </c>
      <c r="M174" s="50">
        <v>0</v>
      </c>
      <c r="N174" s="50">
        <v>47988231</v>
      </c>
      <c r="O174" s="50">
        <v>44768573</v>
      </c>
      <c r="P174" s="43" t="s">
        <v>351</v>
      </c>
      <c r="Q174" s="40">
        <v>39788424</v>
      </c>
      <c r="R174" s="41" t="s">
        <v>1339</v>
      </c>
      <c r="S174" s="41" t="s">
        <v>316</v>
      </c>
      <c r="T174" s="41" t="s">
        <v>317</v>
      </c>
      <c r="U174" s="41" t="s">
        <v>1340</v>
      </c>
      <c r="V174" s="41" t="s">
        <v>319</v>
      </c>
      <c r="W174" s="40">
        <v>890903938</v>
      </c>
      <c r="X174" s="41" t="s">
        <v>342</v>
      </c>
      <c r="Y174" s="40">
        <v>3825</v>
      </c>
      <c r="Z174" s="40">
        <v>3825</v>
      </c>
      <c r="AA174" s="40">
        <v>17325</v>
      </c>
      <c r="AB174" s="41"/>
      <c r="AC174" s="41" t="s">
        <v>1653</v>
      </c>
      <c r="AD174" s="41" t="s">
        <v>3087</v>
      </c>
      <c r="AE174" s="41"/>
      <c r="AF174" s="41" t="s">
        <v>1326</v>
      </c>
      <c r="AG174" s="41" t="s">
        <v>356</v>
      </c>
      <c r="AH174" s="41" t="s">
        <v>1342</v>
      </c>
      <c r="AI174" s="41" t="s">
        <v>1332</v>
      </c>
    </row>
    <row r="175" spans="1:35" x14ac:dyDescent="0.2">
      <c r="A175" s="53">
        <v>17425</v>
      </c>
      <c r="B175" s="41" t="s">
        <v>1326</v>
      </c>
      <c r="C175" s="41" t="s">
        <v>1338</v>
      </c>
      <c r="D175" s="41" t="s">
        <v>312</v>
      </c>
      <c r="E175" s="55">
        <v>923245</v>
      </c>
      <c r="F175" s="41" t="s">
        <v>180</v>
      </c>
      <c r="G175" s="41" t="s">
        <v>29</v>
      </c>
      <c r="H175" s="41" t="s">
        <v>30</v>
      </c>
      <c r="I175" s="41" t="s">
        <v>31</v>
      </c>
      <c r="J175" s="41" t="s">
        <v>32</v>
      </c>
      <c r="K175" s="41" t="s">
        <v>33</v>
      </c>
      <c r="L175" s="50">
        <v>47988231</v>
      </c>
      <c r="M175" s="50">
        <v>0</v>
      </c>
      <c r="N175" s="50">
        <v>47988231</v>
      </c>
      <c r="O175" s="50">
        <v>44768573</v>
      </c>
      <c r="P175" s="43" t="s">
        <v>351</v>
      </c>
      <c r="Q175" s="40">
        <v>52808720</v>
      </c>
      <c r="R175" s="41" t="s">
        <v>1343</v>
      </c>
      <c r="S175" s="41" t="s">
        <v>316</v>
      </c>
      <c r="T175" s="41" t="s">
        <v>317</v>
      </c>
      <c r="U175" s="41" t="s">
        <v>1344</v>
      </c>
      <c r="V175" s="41" t="s">
        <v>319</v>
      </c>
      <c r="W175" s="40">
        <v>860003020</v>
      </c>
      <c r="X175" s="41" t="s">
        <v>393</v>
      </c>
      <c r="Y175" s="40">
        <v>3825</v>
      </c>
      <c r="Z175" s="40">
        <v>3825</v>
      </c>
      <c r="AA175" s="40">
        <v>17425</v>
      </c>
      <c r="AB175" s="41"/>
      <c r="AC175" s="41" t="s">
        <v>1658</v>
      </c>
      <c r="AD175" s="41" t="s">
        <v>3088</v>
      </c>
      <c r="AE175" s="41"/>
      <c r="AF175" s="41" t="s">
        <v>1326</v>
      </c>
      <c r="AG175" s="41" t="s">
        <v>356</v>
      </c>
      <c r="AH175" s="41" t="s">
        <v>1346</v>
      </c>
      <c r="AI175" s="41" t="s">
        <v>1347</v>
      </c>
    </row>
    <row r="176" spans="1:35" x14ac:dyDescent="0.2">
      <c r="A176" s="53">
        <v>17525</v>
      </c>
      <c r="B176" s="41" t="s">
        <v>1326</v>
      </c>
      <c r="C176" s="41" t="s">
        <v>1348</v>
      </c>
      <c r="D176" s="41" t="s">
        <v>312</v>
      </c>
      <c r="E176" s="55">
        <v>923245</v>
      </c>
      <c r="F176" s="41" t="s">
        <v>180</v>
      </c>
      <c r="G176" s="41" t="s">
        <v>29</v>
      </c>
      <c r="H176" s="41" t="s">
        <v>30</v>
      </c>
      <c r="I176" s="41" t="s">
        <v>31</v>
      </c>
      <c r="J176" s="41" t="s">
        <v>32</v>
      </c>
      <c r="K176" s="41" t="s">
        <v>33</v>
      </c>
      <c r="L176" s="50">
        <v>47988231</v>
      </c>
      <c r="M176" s="50">
        <v>0</v>
      </c>
      <c r="N176" s="50">
        <v>47988231</v>
      </c>
      <c r="O176" s="50">
        <v>44768573</v>
      </c>
      <c r="P176" s="43" t="s">
        <v>351</v>
      </c>
      <c r="Q176" s="40">
        <v>12190447</v>
      </c>
      <c r="R176" s="41" t="s">
        <v>1349</v>
      </c>
      <c r="S176" s="41" t="s">
        <v>316</v>
      </c>
      <c r="T176" s="41" t="s">
        <v>317</v>
      </c>
      <c r="U176" s="41" t="s">
        <v>1350</v>
      </c>
      <c r="V176" s="41" t="s">
        <v>319</v>
      </c>
      <c r="W176" s="40">
        <v>890903938</v>
      </c>
      <c r="X176" s="41" t="s">
        <v>342</v>
      </c>
      <c r="Y176" s="40">
        <v>3825</v>
      </c>
      <c r="Z176" s="40">
        <v>3825</v>
      </c>
      <c r="AA176" s="40">
        <v>17525</v>
      </c>
      <c r="AB176" s="41"/>
      <c r="AC176" s="41" t="s">
        <v>1663</v>
      </c>
      <c r="AD176" s="41" t="s">
        <v>3090</v>
      </c>
      <c r="AE176" s="41"/>
      <c r="AF176" s="41" t="s">
        <v>1326</v>
      </c>
      <c r="AG176" s="41" t="s">
        <v>356</v>
      </c>
      <c r="AH176" s="41" t="s">
        <v>1352</v>
      </c>
      <c r="AI176" s="41" t="s">
        <v>1332</v>
      </c>
    </row>
    <row r="177" spans="1:35" x14ac:dyDescent="0.2">
      <c r="A177" s="53">
        <v>17625</v>
      </c>
      <c r="B177" s="41" t="s">
        <v>1326</v>
      </c>
      <c r="C177" s="41" t="s">
        <v>1353</v>
      </c>
      <c r="D177" s="41" t="s">
        <v>312</v>
      </c>
      <c r="E177" s="55">
        <v>923245</v>
      </c>
      <c r="F177" s="41" t="s">
        <v>180</v>
      </c>
      <c r="G177" s="41" t="s">
        <v>29</v>
      </c>
      <c r="H177" s="41" t="s">
        <v>30</v>
      </c>
      <c r="I177" s="41" t="s">
        <v>31</v>
      </c>
      <c r="J177" s="41" t="s">
        <v>32</v>
      </c>
      <c r="K177" s="41" t="s">
        <v>33</v>
      </c>
      <c r="L177" s="50">
        <v>47988231</v>
      </c>
      <c r="M177" s="50">
        <v>0</v>
      </c>
      <c r="N177" s="50">
        <v>47988231</v>
      </c>
      <c r="O177" s="50">
        <v>44768573</v>
      </c>
      <c r="P177" s="43" t="s">
        <v>351</v>
      </c>
      <c r="Q177" s="40">
        <v>1030570938</v>
      </c>
      <c r="R177" s="41" t="s">
        <v>1354</v>
      </c>
      <c r="S177" s="41" t="s">
        <v>316</v>
      </c>
      <c r="T177" s="41" t="s">
        <v>317</v>
      </c>
      <c r="U177" s="41" t="s">
        <v>1355</v>
      </c>
      <c r="V177" s="41" t="s">
        <v>319</v>
      </c>
      <c r="W177" s="40">
        <v>860007335</v>
      </c>
      <c r="X177" s="41" t="s">
        <v>381</v>
      </c>
      <c r="Y177" s="40">
        <v>3825</v>
      </c>
      <c r="Z177" s="40">
        <v>3825</v>
      </c>
      <c r="AA177" s="40">
        <v>17625</v>
      </c>
      <c r="AB177" s="41"/>
      <c r="AC177" s="41" t="s">
        <v>1668</v>
      </c>
      <c r="AD177" s="41" t="s">
        <v>3092</v>
      </c>
      <c r="AE177" s="41"/>
      <c r="AF177" s="41" t="s">
        <v>1326</v>
      </c>
      <c r="AG177" s="41" t="s">
        <v>356</v>
      </c>
      <c r="AH177" s="41" t="s">
        <v>1357</v>
      </c>
      <c r="AI177" s="41" t="s">
        <v>1332</v>
      </c>
    </row>
    <row r="178" spans="1:35" x14ac:dyDescent="0.2">
      <c r="A178" s="53">
        <v>17725</v>
      </c>
      <c r="B178" s="41" t="s">
        <v>1326</v>
      </c>
      <c r="C178" s="41" t="s">
        <v>1358</v>
      </c>
      <c r="D178" s="41" t="s">
        <v>312</v>
      </c>
      <c r="E178" s="55">
        <v>923245</v>
      </c>
      <c r="F178" s="41" t="s">
        <v>180</v>
      </c>
      <c r="G178" s="41" t="s">
        <v>29</v>
      </c>
      <c r="H178" s="41" t="s">
        <v>30</v>
      </c>
      <c r="I178" s="41" t="s">
        <v>31</v>
      </c>
      <c r="J178" s="41" t="s">
        <v>32</v>
      </c>
      <c r="K178" s="41" t="s">
        <v>33</v>
      </c>
      <c r="L178" s="50">
        <v>47988231</v>
      </c>
      <c r="M178" s="50">
        <v>0</v>
      </c>
      <c r="N178" s="50">
        <v>47988231</v>
      </c>
      <c r="O178" s="50">
        <v>44768573</v>
      </c>
      <c r="P178" s="43" t="s">
        <v>351</v>
      </c>
      <c r="Q178" s="40">
        <v>38288733</v>
      </c>
      <c r="R178" s="41" t="s">
        <v>1359</v>
      </c>
      <c r="S178" s="41" t="s">
        <v>316</v>
      </c>
      <c r="T178" s="41" t="s">
        <v>317</v>
      </c>
      <c r="U178" s="41" t="s">
        <v>1360</v>
      </c>
      <c r="V178" s="41" t="s">
        <v>319</v>
      </c>
      <c r="W178" s="40">
        <v>860034313</v>
      </c>
      <c r="X178" s="41" t="s">
        <v>355</v>
      </c>
      <c r="Y178" s="40">
        <v>3825</v>
      </c>
      <c r="Z178" s="40">
        <v>3825</v>
      </c>
      <c r="AA178" s="40">
        <v>17725</v>
      </c>
      <c r="AB178" s="41"/>
      <c r="AC178" s="41" t="s">
        <v>1674</v>
      </c>
      <c r="AD178" s="41" t="s">
        <v>3094</v>
      </c>
      <c r="AE178" s="41"/>
      <c r="AF178" s="41" t="s">
        <v>1326</v>
      </c>
      <c r="AG178" s="41" t="s">
        <v>356</v>
      </c>
      <c r="AH178" s="41" t="s">
        <v>1362</v>
      </c>
      <c r="AI178" s="41" t="s">
        <v>1332</v>
      </c>
    </row>
    <row r="179" spans="1:35" x14ac:dyDescent="0.2">
      <c r="A179" s="53">
        <v>17825</v>
      </c>
      <c r="B179" s="41" t="s">
        <v>1326</v>
      </c>
      <c r="C179" s="41" t="s">
        <v>1363</v>
      </c>
      <c r="D179" s="41" t="s">
        <v>312</v>
      </c>
      <c r="E179" s="55">
        <v>923245</v>
      </c>
      <c r="F179" s="41" t="s">
        <v>180</v>
      </c>
      <c r="G179" s="41" t="s">
        <v>29</v>
      </c>
      <c r="H179" s="41" t="s">
        <v>30</v>
      </c>
      <c r="I179" s="41" t="s">
        <v>31</v>
      </c>
      <c r="J179" s="41" t="s">
        <v>32</v>
      </c>
      <c r="K179" s="41" t="s">
        <v>33</v>
      </c>
      <c r="L179" s="50">
        <v>47988231</v>
      </c>
      <c r="M179" s="50">
        <v>0</v>
      </c>
      <c r="N179" s="50">
        <v>47988231</v>
      </c>
      <c r="O179" s="50">
        <v>44768573</v>
      </c>
      <c r="P179" s="43" t="s">
        <v>351</v>
      </c>
      <c r="Q179" s="40">
        <v>52743620</v>
      </c>
      <c r="R179" s="41" t="s">
        <v>1364</v>
      </c>
      <c r="S179" s="41" t="s">
        <v>316</v>
      </c>
      <c r="T179" s="41" t="s">
        <v>317</v>
      </c>
      <c r="U179" s="41" t="s">
        <v>3097</v>
      </c>
      <c r="V179" s="41" t="s">
        <v>319</v>
      </c>
      <c r="W179" s="40">
        <v>860007335</v>
      </c>
      <c r="X179" s="41" t="s">
        <v>381</v>
      </c>
      <c r="Y179" s="40">
        <v>3825</v>
      </c>
      <c r="Z179" s="40">
        <v>3825</v>
      </c>
      <c r="AA179" s="40">
        <v>17825</v>
      </c>
      <c r="AB179" s="41"/>
      <c r="AC179" s="41" t="s">
        <v>1679</v>
      </c>
      <c r="AD179" s="41" t="s">
        <v>3095</v>
      </c>
      <c r="AE179" s="41"/>
      <c r="AF179" s="41" t="s">
        <v>1326</v>
      </c>
      <c r="AG179" s="41" t="s">
        <v>356</v>
      </c>
      <c r="AH179" s="41" t="s">
        <v>1366</v>
      </c>
      <c r="AI179" s="41" t="s">
        <v>1332</v>
      </c>
    </row>
    <row r="180" spans="1:35" x14ac:dyDescent="0.2">
      <c r="A180" s="53">
        <v>17925</v>
      </c>
      <c r="B180" s="41" t="s">
        <v>1326</v>
      </c>
      <c r="C180" s="41" t="s">
        <v>1367</v>
      </c>
      <c r="D180" s="41" t="s">
        <v>312</v>
      </c>
      <c r="E180" s="55">
        <v>923245</v>
      </c>
      <c r="F180" s="41" t="s">
        <v>180</v>
      </c>
      <c r="G180" s="41" t="s">
        <v>29</v>
      </c>
      <c r="H180" s="41" t="s">
        <v>30</v>
      </c>
      <c r="I180" s="41" t="s">
        <v>31</v>
      </c>
      <c r="J180" s="41" t="s">
        <v>32</v>
      </c>
      <c r="K180" s="41" t="s">
        <v>33</v>
      </c>
      <c r="L180" s="50">
        <v>47988231</v>
      </c>
      <c r="M180" s="50">
        <v>0</v>
      </c>
      <c r="N180" s="50">
        <v>47988231</v>
      </c>
      <c r="O180" s="50">
        <v>44768573</v>
      </c>
      <c r="P180" s="43" t="s">
        <v>351</v>
      </c>
      <c r="Q180" s="40">
        <v>39725297</v>
      </c>
      <c r="R180" s="41" t="s">
        <v>1368</v>
      </c>
      <c r="S180" s="41" t="s">
        <v>316</v>
      </c>
      <c r="T180" s="41" t="s">
        <v>317</v>
      </c>
      <c r="U180" s="41" t="s">
        <v>1369</v>
      </c>
      <c r="V180" s="41" t="s">
        <v>319</v>
      </c>
      <c r="W180" s="40">
        <v>890903938</v>
      </c>
      <c r="X180" s="41" t="s">
        <v>342</v>
      </c>
      <c r="Y180" s="40">
        <v>3825</v>
      </c>
      <c r="Z180" s="40">
        <v>3825</v>
      </c>
      <c r="AA180" s="40">
        <v>17925</v>
      </c>
      <c r="AB180" s="41"/>
      <c r="AC180" s="41" t="s">
        <v>1684</v>
      </c>
      <c r="AD180" s="41" t="s">
        <v>3098</v>
      </c>
      <c r="AE180" s="41"/>
      <c r="AF180" s="41" t="s">
        <v>1326</v>
      </c>
      <c r="AG180" s="41" t="s">
        <v>356</v>
      </c>
      <c r="AH180" s="41" t="s">
        <v>1371</v>
      </c>
      <c r="AI180" s="41" t="s">
        <v>1332</v>
      </c>
    </row>
    <row r="181" spans="1:35" x14ac:dyDescent="0.2">
      <c r="A181" s="53">
        <v>18025</v>
      </c>
      <c r="B181" s="41" t="s">
        <v>1326</v>
      </c>
      <c r="C181" s="41" t="s">
        <v>1372</v>
      </c>
      <c r="D181" s="41" t="s">
        <v>312</v>
      </c>
      <c r="E181" s="55">
        <v>923245</v>
      </c>
      <c r="F181" s="41" t="s">
        <v>180</v>
      </c>
      <c r="G181" s="41" t="s">
        <v>29</v>
      </c>
      <c r="H181" s="41" t="s">
        <v>30</v>
      </c>
      <c r="I181" s="41" t="s">
        <v>31</v>
      </c>
      <c r="J181" s="41" t="s">
        <v>32</v>
      </c>
      <c r="K181" s="41" t="s">
        <v>33</v>
      </c>
      <c r="L181" s="50">
        <v>47988231</v>
      </c>
      <c r="M181" s="50">
        <v>0</v>
      </c>
      <c r="N181" s="50">
        <v>47988231</v>
      </c>
      <c r="O181" s="50">
        <v>44768573</v>
      </c>
      <c r="P181" s="43" t="s">
        <v>351</v>
      </c>
      <c r="Q181" s="40">
        <v>51628565</v>
      </c>
      <c r="R181" s="41" t="s">
        <v>1373</v>
      </c>
      <c r="S181" s="41" t="s">
        <v>316</v>
      </c>
      <c r="T181" s="41" t="s">
        <v>317</v>
      </c>
      <c r="U181" s="41" t="s">
        <v>1374</v>
      </c>
      <c r="V181" s="41" t="s">
        <v>319</v>
      </c>
      <c r="W181" s="40">
        <v>860003020</v>
      </c>
      <c r="X181" s="41" t="s">
        <v>393</v>
      </c>
      <c r="Y181" s="40">
        <v>3825</v>
      </c>
      <c r="Z181" s="40">
        <v>3825</v>
      </c>
      <c r="AA181" s="40">
        <v>18025</v>
      </c>
      <c r="AB181" s="41"/>
      <c r="AC181" s="41" t="s">
        <v>1689</v>
      </c>
      <c r="AD181" s="41" t="s">
        <v>3099</v>
      </c>
      <c r="AE181" s="41"/>
      <c r="AF181" s="41" t="s">
        <v>1326</v>
      </c>
      <c r="AG181" s="41" t="s">
        <v>356</v>
      </c>
      <c r="AH181" s="41" t="s">
        <v>1376</v>
      </c>
      <c r="AI181" s="41" t="s">
        <v>1332</v>
      </c>
    </row>
    <row r="182" spans="1:35" x14ac:dyDescent="0.2">
      <c r="A182" s="53">
        <v>18125</v>
      </c>
      <c r="B182" s="41" t="s">
        <v>1326</v>
      </c>
      <c r="C182" s="41" t="s">
        <v>1377</v>
      </c>
      <c r="D182" s="41" t="s">
        <v>312</v>
      </c>
      <c r="E182" s="55">
        <v>923245</v>
      </c>
      <c r="F182" s="41" t="s">
        <v>180</v>
      </c>
      <c r="G182" s="41" t="s">
        <v>29</v>
      </c>
      <c r="H182" s="41" t="s">
        <v>30</v>
      </c>
      <c r="I182" s="41" t="s">
        <v>31</v>
      </c>
      <c r="J182" s="41" t="s">
        <v>32</v>
      </c>
      <c r="K182" s="41" t="s">
        <v>33</v>
      </c>
      <c r="L182" s="50">
        <v>47988231</v>
      </c>
      <c r="M182" s="50">
        <v>0</v>
      </c>
      <c r="N182" s="50">
        <v>47988231</v>
      </c>
      <c r="O182" s="50">
        <v>44768573</v>
      </c>
      <c r="P182" s="43" t="s">
        <v>351</v>
      </c>
      <c r="Q182" s="40">
        <v>52294893</v>
      </c>
      <c r="R182" s="41" t="s">
        <v>1378</v>
      </c>
      <c r="S182" s="41" t="s">
        <v>316</v>
      </c>
      <c r="T182" s="41" t="s">
        <v>317</v>
      </c>
      <c r="U182" s="41" t="s">
        <v>1379</v>
      </c>
      <c r="V182" s="41" t="s">
        <v>319</v>
      </c>
      <c r="W182" s="40">
        <v>890903938</v>
      </c>
      <c r="X182" s="41" t="s">
        <v>342</v>
      </c>
      <c r="Y182" s="40">
        <v>3825</v>
      </c>
      <c r="Z182" s="40">
        <v>3825</v>
      </c>
      <c r="AA182" s="40">
        <v>18125</v>
      </c>
      <c r="AB182" s="41"/>
      <c r="AC182" s="41" t="s">
        <v>1694</v>
      </c>
      <c r="AD182" s="41" t="s">
        <v>3101</v>
      </c>
      <c r="AE182" s="41"/>
      <c r="AF182" s="41" t="s">
        <v>1326</v>
      </c>
      <c r="AG182" s="41" t="s">
        <v>356</v>
      </c>
      <c r="AH182" s="41" t="s">
        <v>1381</v>
      </c>
      <c r="AI182" s="41" t="s">
        <v>1332</v>
      </c>
    </row>
    <row r="183" spans="1:35" x14ac:dyDescent="0.2">
      <c r="A183" s="53">
        <v>18225</v>
      </c>
      <c r="B183" s="41" t="s">
        <v>1326</v>
      </c>
      <c r="C183" s="41" t="s">
        <v>1377</v>
      </c>
      <c r="D183" s="41" t="s">
        <v>312</v>
      </c>
      <c r="E183" s="55">
        <v>923245</v>
      </c>
      <c r="F183" s="41" t="s">
        <v>180</v>
      </c>
      <c r="G183" s="41" t="s">
        <v>29</v>
      </c>
      <c r="H183" s="41" t="s">
        <v>30</v>
      </c>
      <c r="I183" s="41" t="s">
        <v>31</v>
      </c>
      <c r="J183" s="41" t="s">
        <v>32</v>
      </c>
      <c r="K183" s="41" t="s">
        <v>33</v>
      </c>
      <c r="L183" s="50">
        <v>47988231</v>
      </c>
      <c r="M183" s="50">
        <v>0</v>
      </c>
      <c r="N183" s="50">
        <v>47988231</v>
      </c>
      <c r="O183" s="50">
        <v>44768573</v>
      </c>
      <c r="P183" s="43" t="s">
        <v>351</v>
      </c>
      <c r="Q183" s="40">
        <v>52441656</v>
      </c>
      <c r="R183" s="41" t="s">
        <v>1382</v>
      </c>
      <c r="S183" s="41" t="s">
        <v>316</v>
      </c>
      <c r="T183" s="41" t="s">
        <v>317</v>
      </c>
      <c r="U183" s="41" t="s">
        <v>1383</v>
      </c>
      <c r="V183" s="41" t="s">
        <v>319</v>
      </c>
      <c r="W183" s="40">
        <v>890903938</v>
      </c>
      <c r="X183" s="41" t="s">
        <v>342</v>
      </c>
      <c r="Y183" s="40">
        <v>3825</v>
      </c>
      <c r="Z183" s="40">
        <v>3825</v>
      </c>
      <c r="AA183" s="40">
        <v>18225</v>
      </c>
      <c r="AB183" s="41"/>
      <c r="AC183" s="41" t="s">
        <v>1699</v>
      </c>
      <c r="AD183" s="41" t="s">
        <v>3103</v>
      </c>
      <c r="AE183" s="41"/>
      <c r="AF183" s="41" t="s">
        <v>1326</v>
      </c>
      <c r="AG183" s="41" t="s">
        <v>356</v>
      </c>
      <c r="AH183" s="41" t="s">
        <v>1385</v>
      </c>
      <c r="AI183" s="41" t="s">
        <v>1332</v>
      </c>
    </row>
    <row r="184" spans="1:35" x14ac:dyDescent="0.2">
      <c r="A184" s="53">
        <v>18325</v>
      </c>
      <c r="B184" s="41" t="s">
        <v>1326</v>
      </c>
      <c r="C184" s="41" t="s">
        <v>1386</v>
      </c>
      <c r="D184" s="41" t="s">
        <v>312</v>
      </c>
      <c r="E184" s="55">
        <v>923245</v>
      </c>
      <c r="F184" s="41" t="s">
        <v>180</v>
      </c>
      <c r="G184" s="41" t="s">
        <v>29</v>
      </c>
      <c r="H184" s="41" t="s">
        <v>30</v>
      </c>
      <c r="I184" s="41" t="s">
        <v>31</v>
      </c>
      <c r="J184" s="41" t="s">
        <v>32</v>
      </c>
      <c r="K184" s="41" t="s">
        <v>33</v>
      </c>
      <c r="L184" s="50">
        <v>47988231</v>
      </c>
      <c r="M184" s="50">
        <v>0</v>
      </c>
      <c r="N184" s="50">
        <v>47988231</v>
      </c>
      <c r="O184" s="50">
        <v>44768573</v>
      </c>
      <c r="P184" s="43" t="s">
        <v>351</v>
      </c>
      <c r="Q184" s="40">
        <v>7710430</v>
      </c>
      <c r="R184" s="41" t="s">
        <v>1387</v>
      </c>
      <c r="S184" s="41" t="s">
        <v>316</v>
      </c>
      <c r="T184" s="41" t="s">
        <v>317</v>
      </c>
      <c r="U184" s="41" t="s">
        <v>1388</v>
      </c>
      <c r="V184" s="41" t="s">
        <v>319</v>
      </c>
      <c r="W184" s="40">
        <v>900047981</v>
      </c>
      <c r="X184" s="41" t="s">
        <v>399</v>
      </c>
      <c r="Y184" s="40">
        <v>3825</v>
      </c>
      <c r="Z184" s="40">
        <v>3825</v>
      </c>
      <c r="AA184" s="40">
        <v>18325</v>
      </c>
      <c r="AB184" s="41"/>
      <c r="AC184" s="41" t="s">
        <v>1704</v>
      </c>
      <c r="AD184" s="41" t="s">
        <v>3104</v>
      </c>
      <c r="AE184" s="41"/>
      <c r="AF184" s="41" t="s">
        <v>1326</v>
      </c>
      <c r="AG184" s="41" t="s">
        <v>356</v>
      </c>
      <c r="AH184" s="41" t="s">
        <v>1390</v>
      </c>
      <c r="AI184" s="41" t="s">
        <v>1332</v>
      </c>
    </row>
    <row r="185" spans="1:35" x14ac:dyDescent="0.2">
      <c r="A185" s="53">
        <v>18425</v>
      </c>
      <c r="B185" s="41" t="s">
        <v>1326</v>
      </c>
      <c r="C185" s="41" t="s">
        <v>1391</v>
      </c>
      <c r="D185" s="41" t="s">
        <v>312</v>
      </c>
      <c r="E185" s="55">
        <v>923245</v>
      </c>
      <c r="F185" s="41" t="s">
        <v>180</v>
      </c>
      <c r="G185" s="41" t="s">
        <v>29</v>
      </c>
      <c r="H185" s="41" t="s">
        <v>30</v>
      </c>
      <c r="I185" s="41" t="s">
        <v>31</v>
      </c>
      <c r="J185" s="41" t="s">
        <v>32</v>
      </c>
      <c r="K185" s="41" t="s">
        <v>33</v>
      </c>
      <c r="L185" s="50">
        <v>47988231</v>
      </c>
      <c r="M185" s="50">
        <v>0</v>
      </c>
      <c r="N185" s="50">
        <v>47988231</v>
      </c>
      <c r="O185" s="50">
        <v>44768573</v>
      </c>
      <c r="P185" s="43" t="s">
        <v>351</v>
      </c>
      <c r="Q185" s="40">
        <v>93401524</v>
      </c>
      <c r="R185" s="41" t="s">
        <v>1392</v>
      </c>
      <c r="S185" s="41" t="s">
        <v>316</v>
      </c>
      <c r="T185" s="41" t="s">
        <v>317</v>
      </c>
      <c r="U185" s="41" t="s">
        <v>3947</v>
      </c>
      <c r="V185" s="41" t="s">
        <v>319</v>
      </c>
      <c r="W185" s="40">
        <v>860007335</v>
      </c>
      <c r="X185" s="41" t="s">
        <v>381</v>
      </c>
      <c r="Y185" s="40">
        <v>3825</v>
      </c>
      <c r="Z185" s="40">
        <v>3825</v>
      </c>
      <c r="AA185" s="40">
        <v>18425</v>
      </c>
      <c r="AB185" s="41"/>
      <c r="AC185" s="41" t="s">
        <v>1708</v>
      </c>
      <c r="AD185" s="41" t="s">
        <v>4643</v>
      </c>
      <c r="AE185" s="41"/>
      <c r="AF185" s="41" t="s">
        <v>1326</v>
      </c>
      <c r="AG185" s="41" t="s">
        <v>356</v>
      </c>
      <c r="AH185" s="41" t="s">
        <v>1394</v>
      </c>
      <c r="AI185" s="41" t="s">
        <v>1332</v>
      </c>
    </row>
    <row r="186" spans="1:35" x14ac:dyDescent="0.2">
      <c r="A186" s="53">
        <v>18525</v>
      </c>
      <c r="B186" s="41" t="s">
        <v>1326</v>
      </c>
      <c r="C186" s="41" t="s">
        <v>1395</v>
      </c>
      <c r="D186" s="41" t="s">
        <v>312</v>
      </c>
      <c r="E186" s="55">
        <v>923245</v>
      </c>
      <c r="F186" s="41" t="s">
        <v>180</v>
      </c>
      <c r="G186" s="41" t="s">
        <v>29</v>
      </c>
      <c r="H186" s="41" t="s">
        <v>30</v>
      </c>
      <c r="I186" s="41" t="s">
        <v>31</v>
      </c>
      <c r="J186" s="41" t="s">
        <v>32</v>
      </c>
      <c r="K186" s="41" t="s">
        <v>33</v>
      </c>
      <c r="L186" s="50">
        <v>47988231</v>
      </c>
      <c r="M186" s="50">
        <v>0</v>
      </c>
      <c r="N186" s="50">
        <v>47988231</v>
      </c>
      <c r="O186" s="50">
        <v>44768573</v>
      </c>
      <c r="P186" s="43" t="s">
        <v>351</v>
      </c>
      <c r="Q186" s="40">
        <v>1022984840</v>
      </c>
      <c r="R186" s="41" t="s">
        <v>1396</v>
      </c>
      <c r="S186" s="41" t="s">
        <v>316</v>
      </c>
      <c r="T186" s="41" t="s">
        <v>317</v>
      </c>
      <c r="U186" s="41" t="s">
        <v>1397</v>
      </c>
      <c r="V186" s="41" t="s">
        <v>319</v>
      </c>
      <c r="W186" s="40">
        <v>860034594</v>
      </c>
      <c r="X186" s="41" t="s">
        <v>374</v>
      </c>
      <c r="Y186" s="40">
        <v>3825</v>
      </c>
      <c r="Z186" s="40">
        <v>3825</v>
      </c>
      <c r="AA186" s="40">
        <v>18525</v>
      </c>
      <c r="AB186" s="41"/>
      <c r="AC186" s="41" t="s">
        <v>1712</v>
      </c>
      <c r="AD186" s="41" t="s">
        <v>3106</v>
      </c>
      <c r="AE186" s="41"/>
      <c r="AF186" s="41" t="s">
        <v>1326</v>
      </c>
      <c r="AG186" s="41" t="s">
        <v>356</v>
      </c>
      <c r="AH186" s="41" t="s">
        <v>1399</v>
      </c>
      <c r="AI186" s="41" t="s">
        <v>1332</v>
      </c>
    </row>
    <row r="187" spans="1:35" x14ac:dyDescent="0.2">
      <c r="A187" s="53">
        <v>18625</v>
      </c>
      <c r="B187" s="41" t="s">
        <v>1326</v>
      </c>
      <c r="C187" s="41" t="s">
        <v>1400</v>
      </c>
      <c r="D187" s="41" t="s">
        <v>312</v>
      </c>
      <c r="E187" s="55">
        <v>923245</v>
      </c>
      <c r="F187" s="41" t="s">
        <v>180</v>
      </c>
      <c r="G187" s="41" t="s">
        <v>29</v>
      </c>
      <c r="H187" s="41" t="s">
        <v>30</v>
      </c>
      <c r="I187" s="41" t="s">
        <v>31</v>
      </c>
      <c r="J187" s="41" t="s">
        <v>32</v>
      </c>
      <c r="K187" s="41" t="s">
        <v>33</v>
      </c>
      <c r="L187" s="50">
        <v>47988231</v>
      </c>
      <c r="M187" s="50">
        <v>0</v>
      </c>
      <c r="N187" s="50">
        <v>47988231</v>
      </c>
      <c r="O187" s="50">
        <v>44768573</v>
      </c>
      <c r="P187" s="43" t="s">
        <v>351</v>
      </c>
      <c r="Q187" s="40">
        <v>46375343</v>
      </c>
      <c r="R187" s="41" t="s">
        <v>1401</v>
      </c>
      <c r="S187" s="41" t="s">
        <v>316</v>
      </c>
      <c r="T187" s="41" t="s">
        <v>317</v>
      </c>
      <c r="U187" s="41" t="s">
        <v>1402</v>
      </c>
      <c r="V187" s="41" t="s">
        <v>319</v>
      </c>
      <c r="W187" s="40">
        <v>860034313</v>
      </c>
      <c r="X187" s="41" t="s">
        <v>355</v>
      </c>
      <c r="Y187" s="40">
        <v>3825</v>
      </c>
      <c r="Z187" s="40">
        <v>3825</v>
      </c>
      <c r="AA187" s="40">
        <v>18625</v>
      </c>
      <c r="AB187" s="41"/>
      <c r="AC187" s="41" t="s">
        <v>1717</v>
      </c>
      <c r="AD187" s="41" t="s">
        <v>3108</v>
      </c>
      <c r="AE187" s="41"/>
      <c r="AF187" s="41" t="s">
        <v>1326</v>
      </c>
      <c r="AG187" s="41" t="s">
        <v>356</v>
      </c>
      <c r="AH187" s="41" t="s">
        <v>1404</v>
      </c>
      <c r="AI187" s="41" t="s">
        <v>1405</v>
      </c>
    </row>
    <row r="188" spans="1:35" x14ac:dyDescent="0.2">
      <c r="A188" s="53">
        <v>18725</v>
      </c>
      <c r="B188" s="41" t="s">
        <v>1326</v>
      </c>
      <c r="C188" s="41" t="s">
        <v>1406</v>
      </c>
      <c r="D188" s="41" t="s">
        <v>312</v>
      </c>
      <c r="E188" s="55">
        <v>923245</v>
      </c>
      <c r="F188" s="41" t="s">
        <v>180</v>
      </c>
      <c r="G188" s="41" t="s">
        <v>29</v>
      </c>
      <c r="H188" s="41" t="s">
        <v>30</v>
      </c>
      <c r="I188" s="41" t="s">
        <v>31</v>
      </c>
      <c r="J188" s="41" t="s">
        <v>32</v>
      </c>
      <c r="K188" s="41" t="s">
        <v>33</v>
      </c>
      <c r="L188" s="50">
        <v>47988231</v>
      </c>
      <c r="M188" s="50">
        <v>0</v>
      </c>
      <c r="N188" s="50">
        <v>47988231</v>
      </c>
      <c r="O188" s="50">
        <v>44768573</v>
      </c>
      <c r="P188" s="43" t="s">
        <v>351</v>
      </c>
      <c r="Q188" s="40">
        <v>65812579</v>
      </c>
      <c r="R188" s="41" t="s">
        <v>1407</v>
      </c>
      <c r="S188" s="41" t="s">
        <v>316</v>
      </c>
      <c r="T188" s="41" t="s">
        <v>317</v>
      </c>
      <c r="U188" s="41" t="s">
        <v>1408</v>
      </c>
      <c r="V188" s="41" t="s">
        <v>319</v>
      </c>
      <c r="W188" s="40">
        <v>860034313</v>
      </c>
      <c r="X188" s="41" t="s">
        <v>355</v>
      </c>
      <c r="Y188" s="40">
        <v>3825</v>
      </c>
      <c r="Z188" s="40">
        <v>3825</v>
      </c>
      <c r="AA188" s="40">
        <v>18725</v>
      </c>
      <c r="AB188" s="41"/>
      <c r="AC188" s="41" t="s">
        <v>1722</v>
      </c>
      <c r="AD188" s="41" t="s">
        <v>3109</v>
      </c>
      <c r="AE188" s="41"/>
      <c r="AF188" s="41" t="s">
        <v>1326</v>
      </c>
      <c r="AG188" s="41" t="s">
        <v>356</v>
      </c>
      <c r="AH188" s="41" t="s">
        <v>1410</v>
      </c>
      <c r="AI188" s="41" t="s">
        <v>1332</v>
      </c>
    </row>
    <row r="189" spans="1:35" x14ac:dyDescent="0.2">
      <c r="A189" s="53">
        <v>18825</v>
      </c>
      <c r="B189" s="41" t="s">
        <v>1326</v>
      </c>
      <c r="C189" s="41" t="s">
        <v>1411</v>
      </c>
      <c r="D189" s="41" t="s">
        <v>312</v>
      </c>
      <c r="E189" s="55">
        <v>923245</v>
      </c>
      <c r="F189" s="41" t="s">
        <v>180</v>
      </c>
      <c r="G189" s="41" t="s">
        <v>29</v>
      </c>
      <c r="H189" s="41" t="s">
        <v>30</v>
      </c>
      <c r="I189" s="41" t="s">
        <v>31</v>
      </c>
      <c r="J189" s="41" t="s">
        <v>32</v>
      </c>
      <c r="K189" s="41" t="s">
        <v>33</v>
      </c>
      <c r="L189" s="50">
        <v>47988231</v>
      </c>
      <c r="M189" s="50">
        <v>0</v>
      </c>
      <c r="N189" s="50">
        <v>47988231</v>
      </c>
      <c r="O189" s="50">
        <v>44768573</v>
      </c>
      <c r="P189" s="43" t="s">
        <v>351</v>
      </c>
      <c r="Q189" s="40">
        <v>79746948</v>
      </c>
      <c r="R189" s="41" t="s">
        <v>1412</v>
      </c>
      <c r="S189" s="41" t="s">
        <v>316</v>
      </c>
      <c r="T189" s="41" t="s">
        <v>317</v>
      </c>
      <c r="U189" s="41" t="s">
        <v>1413</v>
      </c>
      <c r="V189" s="41" t="s">
        <v>319</v>
      </c>
      <c r="W189" s="40">
        <v>860002964</v>
      </c>
      <c r="X189" s="41" t="s">
        <v>419</v>
      </c>
      <c r="Y189" s="40">
        <v>3825</v>
      </c>
      <c r="Z189" s="40">
        <v>3825</v>
      </c>
      <c r="AA189" s="40">
        <v>18825</v>
      </c>
      <c r="AB189" s="41"/>
      <c r="AC189" s="41" t="s">
        <v>1727</v>
      </c>
      <c r="AD189" s="41" t="s">
        <v>3111</v>
      </c>
      <c r="AE189" s="41"/>
      <c r="AF189" s="41" t="s">
        <v>1326</v>
      </c>
      <c r="AG189" s="41" t="s">
        <v>356</v>
      </c>
      <c r="AH189" s="41" t="s">
        <v>1415</v>
      </c>
      <c r="AI189" s="41" t="s">
        <v>1332</v>
      </c>
    </row>
    <row r="190" spans="1:35" x14ac:dyDescent="0.2">
      <c r="A190" s="53">
        <v>18925</v>
      </c>
      <c r="B190" s="41" t="s">
        <v>1326</v>
      </c>
      <c r="C190" s="41" t="s">
        <v>1411</v>
      </c>
      <c r="D190" s="41" t="s">
        <v>312</v>
      </c>
      <c r="E190" s="55">
        <v>923245</v>
      </c>
      <c r="F190" s="41" t="s">
        <v>180</v>
      </c>
      <c r="G190" s="41" t="s">
        <v>29</v>
      </c>
      <c r="H190" s="41" t="s">
        <v>30</v>
      </c>
      <c r="I190" s="41" t="s">
        <v>31</v>
      </c>
      <c r="J190" s="41" t="s">
        <v>32</v>
      </c>
      <c r="K190" s="41" t="s">
        <v>33</v>
      </c>
      <c r="L190" s="50">
        <v>47988231</v>
      </c>
      <c r="M190" s="50">
        <v>0</v>
      </c>
      <c r="N190" s="50">
        <v>47988231</v>
      </c>
      <c r="O190" s="50">
        <v>44768573</v>
      </c>
      <c r="P190" s="43" t="s">
        <v>351</v>
      </c>
      <c r="Q190" s="40">
        <v>7917926</v>
      </c>
      <c r="R190" s="41" t="s">
        <v>1416</v>
      </c>
      <c r="S190" s="41" t="s">
        <v>316</v>
      </c>
      <c r="T190" s="41" t="s">
        <v>317</v>
      </c>
      <c r="U190" s="41" t="s">
        <v>1417</v>
      </c>
      <c r="V190" s="41" t="s">
        <v>319</v>
      </c>
      <c r="W190" s="40">
        <v>890903938</v>
      </c>
      <c r="X190" s="41" t="s">
        <v>342</v>
      </c>
      <c r="Y190" s="40">
        <v>3825</v>
      </c>
      <c r="Z190" s="40">
        <v>3825</v>
      </c>
      <c r="AA190" s="40">
        <v>18925</v>
      </c>
      <c r="AB190" s="41"/>
      <c r="AC190" s="41" t="s">
        <v>1732</v>
      </c>
      <c r="AD190" s="41" t="s">
        <v>3113</v>
      </c>
      <c r="AE190" s="41"/>
      <c r="AF190" s="41" t="s">
        <v>1326</v>
      </c>
      <c r="AG190" s="41" t="s">
        <v>356</v>
      </c>
      <c r="AH190" s="41" t="s">
        <v>1419</v>
      </c>
      <c r="AI190" s="41" t="s">
        <v>1332</v>
      </c>
    </row>
    <row r="191" spans="1:35" x14ac:dyDescent="0.2">
      <c r="A191" s="53">
        <v>19025</v>
      </c>
      <c r="B191" s="41" t="s">
        <v>1326</v>
      </c>
      <c r="C191" s="41" t="s">
        <v>1420</v>
      </c>
      <c r="D191" s="41" t="s">
        <v>312</v>
      </c>
      <c r="E191" s="55">
        <v>923245</v>
      </c>
      <c r="F191" s="41" t="s">
        <v>180</v>
      </c>
      <c r="G191" s="41" t="s">
        <v>29</v>
      </c>
      <c r="H191" s="41" t="s">
        <v>30</v>
      </c>
      <c r="I191" s="41" t="s">
        <v>31</v>
      </c>
      <c r="J191" s="41" t="s">
        <v>32</v>
      </c>
      <c r="K191" s="41" t="s">
        <v>33</v>
      </c>
      <c r="L191" s="50">
        <v>47988231</v>
      </c>
      <c r="M191" s="50">
        <v>0</v>
      </c>
      <c r="N191" s="50">
        <v>47988231</v>
      </c>
      <c r="O191" s="50">
        <v>44768573</v>
      </c>
      <c r="P191" s="43" t="s">
        <v>351</v>
      </c>
      <c r="Q191" s="40">
        <v>80168802</v>
      </c>
      <c r="R191" s="41" t="s">
        <v>1421</v>
      </c>
      <c r="S191" s="41" t="s">
        <v>316</v>
      </c>
      <c r="T191" s="41" t="s">
        <v>317</v>
      </c>
      <c r="U191" s="41" t="s">
        <v>1422</v>
      </c>
      <c r="V191" s="41" t="s">
        <v>319</v>
      </c>
      <c r="W191" s="40">
        <v>860034313</v>
      </c>
      <c r="X191" s="41" t="s">
        <v>355</v>
      </c>
      <c r="Y191" s="40">
        <v>3825</v>
      </c>
      <c r="Z191" s="40">
        <v>3825</v>
      </c>
      <c r="AA191" s="40">
        <v>19025</v>
      </c>
      <c r="AB191" s="41"/>
      <c r="AC191" s="41" t="s">
        <v>1737</v>
      </c>
      <c r="AD191" s="41" t="s">
        <v>3114</v>
      </c>
      <c r="AE191" s="41"/>
      <c r="AF191" s="41" t="s">
        <v>1326</v>
      </c>
      <c r="AG191" s="41" t="s">
        <v>356</v>
      </c>
      <c r="AH191" s="41" t="s">
        <v>1424</v>
      </c>
      <c r="AI191" s="41" t="s">
        <v>1332</v>
      </c>
    </row>
    <row r="192" spans="1:35" x14ac:dyDescent="0.2">
      <c r="A192" s="53">
        <v>19125</v>
      </c>
      <c r="B192" s="41" t="s">
        <v>1326</v>
      </c>
      <c r="C192" s="41" t="s">
        <v>1425</v>
      </c>
      <c r="D192" s="41" t="s">
        <v>312</v>
      </c>
      <c r="E192" s="55">
        <v>923245</v>
      </c>
      <c r="F192" s="41" t="s">
        <v>180</v>
      </c>
      <c r="G192" s="41" t="s">
        <v>29</v>
      </c>
      <c r="H192" s="41" t="s">
        <v>30</v>
      </c>
      <c r="I192" s="41" t="s">
        <v>31</v>
      </c>
      <c r="J192" s="41" t="s">
        <v>32</v>
      </c>
      <c r="K192" s="41" t="s">
        <v>33</v>
      </c>
      <c r="L192" s="50">
        <v>47988231</v>
      </c>
      <c r="M192" s="50">
        <v>0</v>
      </c>
      <c r="N192" s="50">
        <v>47988231</v>
      </c>
      <c r="O192" s="50">
        <v>44768573</v>
      </c>
      <c r="P192" s="43" t="s">
        <v>351</v>
      </c>
      <c r="Q192" s="40">
        <v>1024499356</v>
      </c>
      <c r="R192" s="41" t="s">
        <v>1426</v>
      </c>
      <c r="S192" s="41" t="s">
        <v>316</v>
      </c>
      <c r="T192" s="41" t="s">
        <v>317</v>
      </c>
      <c r="U192" s="41" t="s">
        <v>1427</v>
      </c>
      <c r="V192" s="41" t="s">
        <v>319</v>
      </c>
      <c r="W192" s="40">
        <v>860034313</v>
      </c>
      <c r="X192" s="41" t="s">
        <v>355</v>
      </c>
      <c r="Y192" s="40">
        <v>3825</v>
      </c>
      <c r="Z192" s="40">
        <v>3825</v>
      </c>
      <c r="AA192" s="40">
        <v>19125</v>
      </c>
      <c r="AB192" s="41"/>
      <c r="AC192" s="41" t="s">
        <v>1742</v>
      </c>
      <c r="AD192" s="41" t="s">
        <v>3116</v>
      </c>
      <c r="AE192" s="41"/>
      <c r="AF192" s="41" t="s">
        <v>1326</v>
      </c>
      <c r="AG192" s="41" t="s">
        <v>356</v>
      </c>
      <c r="AH192" s="41" t="s">
        <v>1429</v>
      </c>
      <c r="AI192" s="41" t="s">
        <v>1430</v>
      </c>
    </row>
    <row r="193" spans="1:35" x14ac:dyDescent="0.2">
      <c r="A193" s="53">
        <v>19225</v>
      </c>
      <c r="B193" s="41" t="s">
        <v>1326</v>
      </c>
      <c r="C193" s="41" t="s">
        <v>1431</v>
      </c>
      <c r="D193" s="41" t="s">
        <v>312</v>
      </c>
      <c r="E193" s="55">
        <v>923245</v>
      </c>
      <c r="F193" s="41" t="s">
        <v>180</v>
      </c>
      <c r="G193" s="41" t="s">
        <v>29</v>
      </c>
      <c r="H193" s="41" t="s">
        <v>30</v>
      </c>
      <c r="I193" s="41" t="s">
        <v>31</v>
      </c>
      <c r="J193" s="41" t="s">
        <v>32</v>
      </c>
      <c r="K193" s="41" t="s">
        <v>33</v>
      </c>
      <c r="L193" s="50">
        <v>47988231</v>
      </c>
      <c r="M193" s="50">
        <v>0</v>
      </c>
      <c r="N193" s="50">
        <v>47988231</v>
      </c>
      <c r="O193" s="50">
        <v>44768573</v>
      </c>
      <c r="P193" s="43" t="s">
        <v>351</v>
      </c>
      <c r="Q193" s="40">
        <v>1023954487</v>
      </c>
      <c r="R193" s="41" t="s">
        <v>1432</v>
      </c>
      <c r="S193" s="41" t="s">
        <v>316</v>
      </c>
      <c r="T193" s="41" t="s">
        <v>317</v>
      </c>
      <c r="U193" s="41" t="s">
        <v>1433</v>
      </c>
      <c r="V193" s="41" t="s">
        <v>319</v>
      </c>
      <c r="W193" s="40">
        <v>860007335</v>
      </c>
      <c r="X193" s="41" t="s">
        <v>381</v>
      </c>
      <c r="Y193" s="40">
        <v>3825</v>
      </c>
      <c r="Z193" s="40">
        <v>3825</v>
      </c>
      <c r="AA193" s="40">
        <v>19225</v>
      </c>
      <c r="AB193" s="41"/>
      <c r="AC193" s="41" t="s">
        <v>1746</v>
      </c>
      <c r="AD193" s="41" t="s">
        <v>3117</v>
      </c>
      <c r="AE193" s="41"/>
      <c r="AF193" s="41" t="s">
        <v>1326</v>
      </c>
      <c r="AG193" s="41" t="s">
        <v>356</v>
      </c>
      <c r="AH193" s="41" t="s">
        <v>1435</v>
      </c>
      <c r="AI193" s="41" t="s">
        <v>1436</v>
      </c>
    </row>
    <row r="194" spans="1:35" x14ac:dyDescent="0.2">
      <c r="A194" s="53">
        <v>19325</v>
      </c>
      <c r="B194" s="41" t="s">
        <v>1326</v>
      </c>
      <c r="C194" s="41" t="s">
        <v>1437</v>
      </c>
      <c r="D194" s="41" t="s">
        <v>312</v>
      </c>
      <c r="E194" s="55">
        <v>923245</v>
      </c>
      <c r="F194" s="41" t="s">
        <v>180</v>
      </c>
      <c r="G194" s="41" t="s">
        <v>29</v>
      </c>
      <c r="H194" s="41" t="s">
        <v>30</v>
      </c>
      <c r="I194" s="41" t="s">
        <v>31</v>
      </c>
      <c r="J194" s="41" t="s">
        <v>32</v>
      </c>
      <c r="K194" s="41" t="s">
        <v>33</v>
      </c>
      <c r="L194" s="50">
        <v>47988231</v>
      </c>
      <c r="M194" s="50">
        <v>0</v>
      </c>
      <c r="N194" s="50">
        <v>47988231</v>
      </c>
      <c r="O194" s="50">
        <v>44768573</v>
      </c>
      <c r="P194" s="43" t="s">
        <v>351</v>
      </c>
      <c r="Q194" s="40">
        <v>1069740339</v>
      </c>
      <c r="R194" s="41" t="s">
        <v>1438</v>
      </c>
      <c r="S194" s="41" t="s">
        <v>316</v>
      </c>
      <c r="T194" s="41" t="s">
        <v>317</v>
      </c>
      <c r="U194" s="41" t="s">
        <v>1439</v>
      </c>
      <c r="V194" s="41" t="s">
        <v>319</v>
      </c>
      <c r="W194" s="40">
        <v>890903938</v>
      </c>
      <c r="X194" s="41" t="s">
        <v>342</v>
      </c>
      <c r="Y194" s="40">
        <v>3825</v>
      </c>
      <c r="Z194" s="40">
        <v>3825</v>
      </c>
      <c r="AA194" s="40">
        <v>19325</v>
      </c>
      <c r="AB194" s="41"/>
      <c r="AC194" s="41" t="s">
        <v>1751</v>
      </c>
      <c r="AD194" s="41" t="s">
        <v>3119</v>
      </c>
      <c r="AE194" s="41"/>
      <c r="AF194" s="41" t="s">
        <v>1326</v>
      </c>
      <c r="AG194" s="41" t="s">
        <v>356</v>
      </c>
      <c r="AH194" s="41" t="s">
        <v>1441</v>
      </c>
      <c r="AI194" s="41" t="s">
        <v>1442</v>
      </c>
    </row>
    <row r="195" spans="1:35" x14ac:dyDescent="0.2">
      <c r="A195" s="53">
        <v>19425</v>
      </c>
      <c r="B195" s="41" t="s">
        <v>1326</v>
      </c>
      <c r="C195" s="41" t="s">
        <v>1443</v>
      </c>
      <c r="D195" s="41" t="s">
        <v>312</v>
      </c>
      <c r="E195" s="55">
        <v>923245</v>
      </c>
      <c r="F195" s="41" t="s">
        <v>180</v>
      </c>
      <c r="G195" s="41" t="s">
        <v>29</v>
      </c>
      <c r="H195" s="41" t="s">
        <v>30</v>
      </c>
      <c r="I195" s="41" t="s">
        <v>31</v>
      </c>
      <c r="J195" s="41" t="s">
        <v>32</v>
      </c>
      <c r="K195" s="41" t="s">
        <v>33</v>
      </c>
      <c r="L195" s="50">
        <v>47988231</v>
      </c>
      <c r="M195" s="50">
        <v>0</v>
      </c>
      <c r="N195" s="50">
        <v>47988231</v>
      </c>
      <c r="O195" s="50">
        <v>44768573</v>
      </c>
      <c r="P195" s="43" t="s">
        <v>351</v>
      </c>
      <c r="Q195" s="40">
        <v>1012428522</v>
      </c>
      <c r="R195" s="41" t="s">
        <v>1444</v>
      </c>
      <c r="S195" s="41" t="s">
        <v>316</v>
      </c>
      <c r="T195" s="41" t="s">
        <v>317</v>
      </c>
      <c r="U195" s="41" t="s">
        <v>1445</v>
      </c>
      <c r="V195" s="41" t="s">
        <v>319</v>
      </c>
      <c r="W195" s="40">
        <v>860034313</v>
      </c>
      <c r="X195" s="41" t="s">
        <v>355</v>
      </c>
      <c r="Y195" s="40">
        <v>3825</v>
      </c>
      <c r="Z195" s="40">
        <v>3825</v>
      </c>
      <c r="AA195" s="40">
        <v>19425</v>
      </c>
      <c r="AB195" s="41"/>
      <c r="AC195" s="41" t="s">
        <v>1756</v>
      </c>
      <c r="AD195" s="41" t="s">
        <v>3120</v>
      </c>
      <c r="AE195" s="41"/>
      <c r="AF195" s="41" t="s">
        <v>1326</v>
      </c>
      <c r="AG195" s="41" t="s">
        <v>356</v>
      </c>
      <c r="AH195" s="41" t="s">
        <v>1447</v>
      </c>
      <c r="AI195" s="41" t="s">
        <v>1442</v>
      </c>
    </row>
    <row r="196" spans="1:35" x14ac:dyDescent="0.2">
      <c r="A196" s="53">
        <v>19525</v>
      </c>
      <c r="B196" s="41" t="s">
        <v>1326</v>
      </c>
      <c r="C196" s="41" t="s">
        <v>1448</v>
      </c>
      <c r="D196" s="41" t="s">
        <v>312</v>
      </c>
      <c r="E196" s="55">
        <v>923245</v>
      </c>
      <c r="F196" s="41" t="s">
        <v>180</v>
      </c>
      <c r="G196" s="41" t="s">
        <v>29</v>
      </c>
      <c r="H196" s="41" t="s">
        <v>30</v>
      </c>
      <c r="I196" s="41" t="s">
        <v>31</v>
      </c>
      <c r="J196" s="41" t="s">
        <v>32</v>
      </c>
      <c r="K196" s="41" t="s">
        <v>33</v>
      </c>
      <c r="L196" s="50">
        <v>47988231</v>
      </c>
      <c r="M196" s="50">
        <v>0</v>
      </c>
      <c r="N196" s="50">
        <v>47988231</v>
      </c>
      <c r="O196" s="50">
        <v>44768573</v>
      </c>
      <c r="P196" s="43" t="s">
        <v>351</v>
      </c>
      <c r="Q196" s="40">
        <v>79644336</v>
      </c>
      <c r="R196" s="41" t="s">
        <v>1449</v>
      </c>
      <c r="S196" s="41" t="s">
        <v>316</v>
      </c>
      <c r="T196" s="41" t="s">
        <v>317</v>
      </c>
      <c r="U196" s="41" t="s">
        <v>1450</v>
      </c>
      <c r="V196" s="41" t="s">
        <v>319</v>
      </c>
      <c r="W196" s="40">
        <v>890903938</v>
      </c>
      <c r="X196" s="41" t="s">
        <v>342</v>
      </c>
      <c r="Y196" s="40">
        <v>3825</v>
      </c>
      <c r="Z196" s="40">
        <v>3825</v>
      </c>
      <c r="AA196" s="40">
        <v>19525</v>
      </c>
      <c r="AB196" s="41"/>
      <c r="AC196" s="41" t="s">
        <v>1761</v>
      </c>
      <c r="AD196" s="41" t="s">
        <v>3121</v>
      </c>
      <c r="AE196" s="41"/>
      <c r="AF196" s="41" t="s">
        <v>1326</v>
      </c>
      <c r="AG196" s="41" t="s">
        <v>356</v>
      </c>
      <c r="AH196" s="41" t="s">
        <v>1452</v>
      </c>
      <c r="AI196" s="41" t="s">
        <v>1453</v>
      </c>
    </row>
    <row r="197" spans="1:35" x14ac:dyDescent="0.2">
      <c r="A197" s="53">
        <v>19625</v>
      </c>
      <c r="B197" s="41" t="s">
        <v>1326</v>
      </c>
      <c r="C197" s="41" t="s">
        <v>1448</v>
      </c>
      <c r="D197" s="41" t="s">
        <v>312</v>
      </c>
      <c r="E197" s="55">
        <v>923245</v>
      </c>
      <c r="F197" s="41" t="s">
        <v>180</v>
      </c>
      <c r="G197" s="41" t="s">
        <v>29</v>
      </c>
      <c r="H197" s="41" t="s">
        <v>30</v>
      </c>
      <c r="I197" s="41" t="s">
        <v>31</v>
      </c>
      <c r="J197" s="41" t="s">
        <v>32</v>
      </c>
      <c r="K197" s="41" t="s">
        <v>33</v>
      </c>
      <c r="L197" s="50">
        <v>47988231</v>
      </c>
      <c r="M197" s="50">
        <v>0</v>
      </c>
      <c r="N197" s="50">
        <v>47988231</v>
      </c>
      <c r="O197" s="50">
        <v>44768573</v>
      </c>
      <c r="P197" s="43" t="s">
        <v>351</v>
      </c>
      <c r="Q197" s="40">
        <v>79443231</v>
      </c>
      <c r="R197" s="41" t="s">
        <v>1454</v>
      </c>
      <c r="S197" s="41" t="s">
        <v>316</v>
      </c>
      <c r="T197" s="41" t="s">
        <v>328</v>
      </c>
      <c r="U197" s="41" t="s">
        <v>1455</v>
      </c>
      <c r="V197" s="41" t="s">
        <v>319</v>
      </c>
      <c r="W197" s="40">
        <v>860002964</v>
      </c>
      <c r="X197" s="41" t="s">
        <v>419</v>
      </c>
      <c r="Y197" s="40">
        <v>3825</v>
      </c>
      <c r="Z197" s="40">
        <v>3825</v>
      </c>
      <c r="AA197" s="40">
        <v>19625</v>
      </c>
      <c r="AB197" s="41"/>
      <c r="AC197" s="41" t="s">
        <v>3539</v>
      </c>
      <c r="AD197" s="41" t="s">
        <v>3537</v>
      </c>
      <c r="AE197" s="41"/>
      <c r="AF197" s="41" t="s">
        <v>1326</v>
      </c>
      <c r="AG197" s="41" t="s">
        <v>356</v>
      </c>
      <c r="AH197" s="41" t="s">
        <v>1457</v>
      </c>
      <c r="AI197" s="41" t="s">
        <v>1453</v>
      </c>
    </row>
    <row r="198" spans="1:35" x14ac:dyDescent="0.2">
      <c r="A198" s="53">
        <v>19725</v>
      </c>
      <c r="B198" s="41" t="s">
        <v>1326</v>
      </c>
      <c r="C198" s="41" t="s">
        <v>1458</v>
      </c>
      <c r="D198" s="41" t="s">
        <v>312</v>
      </c>
      <c r="E198" s="55">
        <v>923245</v>
      </c>
      <c r="F198" s="41" t="s">
        <v>180</v>
      </c>
      <c r="G198" s="41" t="s">
        <v>29</v>
      </c>
      <c r="H198" s="41" t="s">
        <v>30</v>
      </c>
      <c r="I198" s="41" t="s">
        <v>31</v>
      </c>
      <c r="J198" s="41" t="s">
        <v>32</v>
      </c>
      <c r="K198" s="41" t="s">
        <v>33</v>
      </c>
      <c r="L198" s="50">
        <v>47988231</v>
      </c>
      <c r="M198" s="50">
        <v>0</v>
      </c>
      <c r="N198" s="50">
        <v>47988231</v>
      </c>
      <c r="O198" s="50">
        <v>44768573</v>
      </c>
      <c r="P198" s="43" t="s">
        <v>351</v>
      </c>
      <c r="Q198" s="40">
        <v>11227260</v>
      </c>
      <c r="R198" s="41" t="s">
        <v>1459</v>
      </c>
      <c r="S198" s="41" t="s">
        <v>316</v>
      </c>
      <c r="T198" s="41" t="s">
        <v>317</v>
      </c>
      <c r="U198" s="41" t="s">
        <v>1460</v>
      </c>
      <c r="V198" s="41" t="s">
        <v>319</v>
      </c>
      <c r="W198" s="40">
        <v>890903938</v>
      </c>
      <c r="X198" s="41" t="s">
        <v>342</v>
      </c>
      <c r="Y198" s="40">
        <v>3825</v>
      </c>
      <c r="Z198" s="40">
        <v>3825</v>
      </c>
      <c r="AA198" s="40">
        <v>19725</v>
      </c>
      <c r="AB198" s="41"/>
      <c r="AC198" s="41" t="s">
        <v>1766</v>
      </c>
      <c r="AD198" s="41" t="s">
        <v>3122</v>
      </c>
      <c r="AE198" s="41"/>
      <c r="AF198" s="41" t="s">
        <v>1326</v>
      </c>
      <c r="AG198" s="41" t="s">
        <v>356</v>
      </c>
      <c r="AH198" s="41" t="s">
        <v>1462</v>
      </c>
      <c r="AI198" s="41" t="s">
        <v>1453</v>
      </c>
    </row>
    <row r="199" spans="1:35" x14ac:dyDescent="0.2">
      <c r="A199" s="53">
        <v>19825</v>
      </c>
      <c r="B199" s="41" t="s">
        <v>1326</v>
      </c>
      <c r="C199" s="41" t="s">
        <v>1463</v>
      </c>
      <c r="D199" s="41" t="s">
        <v>312</v>
      </c>
      <c r="E199" s="55">
        <v>923245</v>
      </c>
      <c r="F199" s="41" t="s">
        <v>180</v>
      </c>
      <c r="G199" s="41" t="s">
        <v>29</v>
      </c>
      <c r="H199" s="41" t="s">
        <v>30</v>
      </c>
      <c r="I199" s="41" t="s">
        <v>31</v>
      </c>
      <c r="J199" s="41" t="s">
        <v>32</v>
      </c>
      <c r="K199" s="41" t="s">
        <v>33</v>
      </c>
      <c r="L199" s="50">
        <v>47988231</v>
      </c>
      <c r="M199" s="50">
        <v>0</v>
      </c>
      <c r="N199" s="50">
        <v>47988231</v>
      </c>
      <c r="O199" s="50">
        <v>44768573</v>
      </c>
      <c r="P199" s="43" t="s">
        <v>351</v>
      </c>
      <c r="Q199" s="40">
        <v>80732528</v>
      </c>
      <c r="R199" s="41" t="s">
        <v>1464</v>
      </c>
      <c r="S199" s="41" t="s">
        <v>316</v>
      </c>
      <c r="T199" s="41" t="s">
        <v>317</v>
      </c>
      <c r="U199" s="41" t="s">
        <v>1465</v>
      </c>
      <c r="V199" s="41" t="s">
        <v>319</v>
      </c>
      <c r="W199" s="40">
        <v>860034594</v>
      </c>
      <c r="X199" s="41" t="s">
        <v>374</v>
      </c>
      <c r="Y199" s="40">
        <v>3825</v>
      </c>
      <c r="Z199" s="40">
        <v>3825</v>
      </c>
      <c r="AA199" s="40">
        <v>19825</v>
      </c>
      <c r="AB199" s="41"/>
      <c r="AC199" s="41" t="s">
        <v>1771</v>
      </c>
      <c r="AD199" s="41" t="s">
        <v>3124</v>
      </c>
      <c r="AE199" s="41"/>
      <c r="AF199" s="41" t="s">
        <v>1326</v>
      </c>
      <c r="AG199" s="41" t="s">
        <v>356</v>
      </c>
      <c r="AH199" s="41" t="s">
        <v>1467</v>
      </c>
      <c r="AI199" s="41" t="s">
        <v>1453</v>
      </c>
    </row>
    <row r="200" spans="1:35" x14ac:dyDescent="0.2">
      <c r="A200" s="53">
        <v>19925</v>
      </c>
      <c r="B200" s="41" t="s">
        <v>1326</v>
      </c>
      <c r="C200" s="41" t="s">
        <v>1468</v>
      </c>
      <c r="D200" s="41" t="s">
        <v>312</v>
      </c>
      <c r="E200" s="55">
        <v>923245</v>
      </c>
      <c r="F200" s="41" t="s">
        <v>180</v>
      </c>
      <c r="G200" s="41" t="s">
        <v>29</v>
      </c>
      <c r="H200" s="41" t="s">
        <v>30</v>
      </c>
      <c r="I200" s="41" t="s">
        <v>31</v>
      </c>
      <c r="J200" s="41" t="s">
        <v>32</v>
      </c>
      <c r="K200" s="41" t="s">
        <v>33</v>
      </c>
      <c r="L200" s="50">
        <v>47988231</v>
      </c>
      <c r="M200" s="50">
        <v>0</v>
      </c>
      <c r="N200" s="50">
        <v>47988231</v>
      </c>
      <c r="O200" s="50">
        <v>44768573</v>
      </c>
      <c r="P200" s="43" t="s">
        <v>351</v>
      </c>
      <c r="Q200" s="40">
        <v>1085257212</v>
      </c>
      <c r="R200" s="41" t="s">
        <v>1469</v>
      </c>
      <c r="S200" s="41" t="s">
        <v>316</v>
      </c>
      <c r="T200" s="41" t="s">
        <v>317</v>
      </c>
      <c r="U200" s="41" t="s">
        <v>1470</v>
      </c>
      <c r="V200" s="41" t="s">
        <v>319</v>
      </c>
      <c r="W200" s="40">
        <v>890903938</v>
      </c>
      <c r="X200" s="41" t="s">
        <v>342</v>
      </c>
      <c r="Y200" s="40">
        <v>3825</v>
      </c>
      <c r="Z200" s="40">
        <v>3825</v>
      </c>
      <c r="AA200" s="40">
        <v>19925</v>
      </c>
      <c r="AB200" s="41"/>
      <c r="AC200" s="41" t="s">
        <v>1776</v>
      </c>
      <c r="AD200" s="41" t="s">
        <v>3125</v>
      </c>
      <c r="AE200" s="41"/>
      <c r="AF200" s="41" t="s">
        <v>1326</v>
      </c>
      <c r="AG200" s="41" t="s">
        <v>356</v>
      </c>
      <c r="AH200" s="41" t="s">
        <v>1472</v>
      </c>
      <c r="AI200" s="41" t="s">
        <v>1453</v>
      </c>
    </row>
    <row r="201" spans="1:35" x14ac:dyDescent="0.2">
      <c r="A201" s="53">
        <v>20025</v>
      </c>
      <c r="B201" s="41" t="s">
        <v>1326</v>
      </c>
      <c r="C201" s="41" t="s">
        <v>1473</v>
      </c>
      <c r="D201" s="41" t="s">
        <v>312</v>
      </c>
      <c r="E201" s="55">
        <v>923245</v>
      </c>
      <c r="F201" s="41" t="s">
        <v>180</v>
      </c>
      <c r="G201" s="41" t="s">
        <v>29</v>
      </c>
      <c r="H201" s="41" t="s">
        <v>30</v>
      </c>
      <c r="I201" s="41" t="s">
        <v>31</v>
      </c>
      <c r="J201" s="41" t="s">
        <v>32</v>
      </c>
      <c r="K201" s="41" t="s">
        <v>33</v>
      </c>
      <c r="L201" s="50">
        <v>47988231</v>
      </c>
      <c r="M201" s="50">
        <v>0</v>
      </c>
      <c r="N201" s="50">
        <v>47988231</v>
      </c>
      <c r="O201" s="50">
        <v>44768573</v>
      </c>
      <c r="P201" s="43" t="s">
        <v>351</v>
      </c>
      <c r="Q201" s="40">
        <v>39725669</v>
      </c>
      <c r="R201" s="41" t="s">
        <v>1474</v>
      </c>
      <c r="S201" s="41" t="s">
        <v>316</v>
      </c>
      <c r="T201" s="41" t="s">
        <v>317</v>
      </c>
      <c r="U201" s="41" t="s">
        <v>1475</v>
      </c>
      <c r="V201" s="41" t="s">
        <v>319</v>
      </c>
      <c r="W201" s="40">
        <v>890903938</v>
      </c>
      <c r="X201" s="41" t="s">
        <v>342</v>
      </c>
      <c r="Y201" s="40">
        <v>3825</v>
      </c>
      <c r="Z201" s="40">
        <v>3825</v>
      </c>
      <c r="AA201" s="40">
        <v>20025</v>
      </c>
      <c r="AB201" s="41"/>
      <c r="AC201" s="41" t="s">
        <v>1781</v>
      </c>
      <c r="AD201" s="41" t="s">
        <v>3126</v>
      </c>
      <c r="AE201" s="41"/>
      <c r="AF201" s="41" t="s">
        <v>1326</v>
      </c>
      <c r="AG201" s="41" t="s">
        <v>356</v>
      </c>
      <c r="AH201" s="41" t="s">
        <v>1477</v>
      </c>
      <c r="AI201" s="41" t="s">
        <v>1453</v>
      </c>
    </row>
    <row r="202" spans="1:35" x14ac:dyDescent="0.2">
      <c r="A202" s="53">
        <v>20125</v>
      </c>
      <c r="B202" s="41" t="s">
        <v>1326</v>
      </c>
      <c r="C202" s="41" t="s">
        <v>1478</v>
      </c>
      <c r="D202" s="41" t="s">
        <v>312</v>
      </c>
      <c r="E202" s="55">
        <v>923245</v>
      </c>
      <c r="F202" s="41" t="s">
        <v>180</v>
      </c>
      <c r="G202" s="41" t="s">
        <v>29</v>
      </c>
      <c r="H202" s="41" t="s">
        <v>30</v>
      </c>
      <c r="I202" s="41" t="s">
        <v>31</v>
      </c>
      <c r="J202" s="41" t="s">
        <v>32</v>
      </c>
      <c r="K202" s="41" t="s">
        <v>33</v>
      </c>
      <c r="L202" s="50">
        <v>47988231</v>
      </c>
      <c r="M202" s="50">
        <v>0</v>
      </c>
      <c r="N202" s="50">
        <v>47988231</v>
      </c>
      <c r="O202" s="50">
        <v>44768573</v>
      </c>
      <c r="P202" s="43" t="s">
        <v>351</v>
      </c>
      <c r="Q202" s="40">
        <v>52123001</v>
      </c>
      <c r="R202" s="41" t="s">
        <v>1479</v>
      </c>
      <c r="S202" s="41" t="s">
        <v>316</v>
      </c>
      <c r="T202" s="41" t="s">
        <v>317</v>
      </c>
      <c r="U202" s="41" t="s">
        <v>1480</v>
      </c>
      <c r="V202" s="41" t="s">
        <v>319</v>
      </c>
      <c r="W202" s="40">
        <v>860034313</v>
      </c>
      <c r="X202" s="41" t="s">
        <v>355</v>
      </c>
      <c r="Y202" s="40">
        <v>3825</v>
      </c>
      <c r="Z202" s="40">
        <v>3825</v>
      </c>
      <c r="AA202" s="40">
        <v>20125</v>
      </c>
      <c r="AB202" s="41"/>
      <c r="AC202" s="41" t="s">
        <v>1786</v>
      </c>
      <c r="AD202" s="41" t="s">
        <v>3127</v>
      </c>
      <c r="AE202" s="41"/>
      <c r="AF202" s="41" t="s">
        <v>1326</v>
      </c>
      <c r="AG202" s="41" t="s">
        <v>356</v>
      </c>
      <c r="AH202" s="41" t="s">
        <v>1482</v>
      </c>
      <c r="AI202" s="41" t="s">
        <v>1453</v>
      </c>
    </row>
    <row r="203" spans="1:35" x14ac:dyDescent="0.2">
      <c r="A203" s="53">
        <v>20225</v>
      </c>
      <c r="B203" s="41" t="s">
        <v>1326</v>
      </c>
      <c r="C203" s="41" t="s">
        <v>1478</v>
      </c>
      <c r="D203" s="41" t="s">
        <v>312</v>
      </c>
      <c r="E203" s="55">
        <v>923245</v>
      </c>
      <c r="F203" s="41" t="s">
        <v>180</v>
      </c>
      <c r="G203" s="41" t="s">
        <v>29</v>
      </c>
      <c r="H203" s="41" t="s">
        <v>30</v>
      </c>
      <c r="I203" s="41" t="s">
        <v>31</v>
      </c>
      <c r="J203" s="41" t="s">
        <v>32</v>
      </c>
      <c r="K203" s="41" t="s">
        <v>33</v>
      </c>
      <c r="L203" s="50">
        <v>47988231</v>
      </c>
      <c r="M203" s="50">
        <v>0</v>
      </c>
      <c r="N203" s="50">
        <v>47988231</v>
      </c>
      <c r="O203" s="50">
        <v>44768573</v>
      </c>
      <c r="P203" s="43" t="s">
        <v>351</v>
      </c>
      <c r="Q203" s="40">
        <v>93372441</v>
      </c>
      <c r="R203" s="41" t="s">
        <v>1483</v>
      </c>
      <c r="S203" s="41" t="s">
        <v>316</v>
      </c>
      <c r="T203" s="41" t="s">
        <v>317</v>
      </c>
      <c r="U203" s="41" t="s">
        <v>1484</v>
      </c>
      <c r="V203" s="41" t="s">
        <v>319</v>
      </c>
      <c r="W203" s="40">
        <v>890903938</v>
      </c>
      <c r="X203" s="41" t="s">
        <v>342</v>
      </c>
      <c r="Y203" s="40">
        <v>3825</v>
      </c>
      <c r="Z203" s="40">
        <v>3825</v>
      </c>
      <c r="AA203" s="40">
        <v>20225</v>
      </c>
      <c r="AB203" s="41"/>
      <c r="AC203" s="41" t="s">
        <v>1791</v>
      </c>
      <c r="AD203" s="41" t="s">
        <v>3128</v>
      </c>
      <c r="AE203" s="41"/>
      <c r="AF203" s="41" t="s">
        <v>1326</v>
      </c>
      <c r="AG203" s="41" t="s">
        <v>356</v>
      </c>
      <c r="AH203" s="41" t="s">
        <v>1486</v>
      </c>
      <c r="AI203" s="41" t="s">
        <v>1453</v>
      </c>
    </row>
    <row r="204" spans="1:35" x14ac:dyDescent="0.2">
      <c r="A204" s="53">
        <v>20325</v>
      </c>
      <c r="B204" s="41" t="s">
        <v>1326</v>
      </c>
      <c r="C204" s="41" t="s">
        <v>1487</v>
      </c>
      <c r="D204" s="41" t="s">
        <v>312</v>
      </c>
      <c r="E204" s="55">
        <v>923245</v>
      </c>
      <c r="F204" s="41" t="s">
        <v>180</v>
      </c>
      <c r="G204" s="41" t="s">
        <v>29</v>
      </c>
      <c r="H204" s="41" t="s">
        <v>30</v>
      </c>
      <c r="I204" s="41" t="s">
        <v>31</v>
      </c>
      <c r="J204" s="41" t="s">
        <v>32</v>
      </c>
      <c r="K204" s="41" t="s">
        <v>33</v>
      </c>
      <c r="L204" s="50">
        <v>47988231</v>
      </c>
      <c r="M204" s="50">
        <v>0</v>
      </c>
      <c r="N204" s="50">
        <v>47988231</v>
      </c>
      <c r="O204" s="50">
        <v>44768573</v>
      </c>
      <c r="P204" s="43" t="s">
        <v>351</v>
      </c>
      <c r="Q204" s="40">
        <v>79002678</v>
      </c>
      <c r="R204" s="41" t="s">
        <v>1488</v>
      </c>
      <c r="S204" s="41" t="s">
        <v>316</v>
      </c>
      <c r="T204" s="41" t="s">
        <v>317</v>
      </c>
      <c r="U204" s="41" t="s">
        <v>1489</v>
      </c>
      <c r="V204" s="41" t="s">
        <v>319</v>
      </c>
      <c r="W204" s="40">
        <v>860034313</v>
      </c>
      <c r="X204" s="41" t="s">
        <v>355</v>
      </c>
      <c r="Y204" s="40">
        <v>3825</v>
      </c>
      <c r="Z204" s="40">
        <v>3825</v>
      </c>
      <c r="AA204" s="40">
        <v>20325</v>
      </c>
      <c r="AB204" s="41"/>
      <c r="AC204" s="41" t="s">
        <v>1796</v>
      </c>
      <c r="AD204" s="41" t="s">
        <v>3130</v>
      </c>
      <c r="AE204" s="41"/>
      <c r="AF204" s="41" t="s">
        <v>1326</v>
      </c>
      <c r="AG204" s="41" t="s">
        <v>356</v>
      </c>
      <c r="AH204" s="41" t="s">
        <v>1491</v>
      </c>
      <c r="AI204" s="41" t="s">
        <v>1453</v>
      </c>
    </row>
    <row r="205" spans="1:35" x14ac:dyDescent="0.2">
      <c r="A205" s="53">
        <v>20425</v>
      </c>
      <c r="B205" s="41" t="s">
        <v>1326</v>
      </c>
      <c r="C205" s="41" t="s">
        <v>1492</v>
      </c>
      <c r="D205" s="41" t="s">
        <v>312</v>
      </c>
      <c r="E205" s="55">
        <v>923245</v>
      </c>
      <c r="F205" s="41" t="s">
        <v>180</v>
      </c>
      <c r="G205" s="41" t="s">
        <v>29</v>
      </c>
      <c r="H205" s="41" t="s">
        <v>30</v>
      </c>
      <c r="I205" s="41" t="s">
        <v>31</v>
      </c>
      <c r="J205" s="41" t="s">
        <v>32</v>
      </c>
      <c r="K205" s="41" t="s">
        <v>33</v>
      </c>
      <c r="L205" s="50">
        <v>47988231</v>
      </c>
      <c r="M205" s="50">
        <v>0</v>
      </c>
      <c r="N205" s="50">
        <v>47988231</v>
      </c>
      <c r="O205" s="50">
        <v>44768573</v>
      </c>
      <c r="P205" s="43" t="s">
        <v>351</v>
      </c>
      <c r="Q205" s="40">
        <v>65630940</v>
      </c>
      <c r="R205" s="41" t="s">
        <v>1493</v>
      </c>
      <c r="S205" s="41" t="s">
        <v>316</v>
      </c>
      <c r="T205" s="41" t="s">
        <v>317</v>
      </c>
      <c r="U205" s="41" t="s">
        <v>1494</v>
      </c>
      <c r="V205" s="41" t="s">
        <v>319</v>
      </c>
      <c r="W205" s="40">
        <v>860007335</v>
      </c>
      <c r="X205" s="41" t="s">
        <v>381</v>
      </c>
      <c r="Y205" s="40">
        <v>3825</v>
      </c>
      <c r="Z205" s="40">
        <v>3825</v>
      </c>
      <c r="AA205" s="40">
        <v>20425</v>
      </c>
      <c r="AB205" s="41"/>
      <c r="AC205" s="41" t="s">
        <v>1801</v>
      </c>
      <c r="AD205" s="41" t="s">
        <v>3131</v>
      </c>
      <c r="AE205" s="41"/>
      <c r="AF205" s="41" t="s">
        <v>1326</v>
      </c>
      <c r="AG205" s="41" t="s">
        <v>356</v>
      </c>
      <c r="AH205" s="41" t="s">
        <v>1496</v>
      </c>
      <c r="AI205" s="41" t="s">
        <v>1453</v>
      </c>
    </row>
    <row r="206" spans="1:35" x14ac:dyDescent="0.2">
      <c r="A206" s="53">
        <v>20525</v>
      </c>
      <c r="B206" s="41" t="s">
        <v>1326</v>
      </c>
      <c r="C206" s="41" t="s">
        <v>1497</v>
      </c>
      <c r="D206" s="41" t="s">
        <v>312</v>
      </c>
      <c r="E206" s="55">
        <v>923245</v>
      </c>
      <c r="F206" s="41" t="s">
        <v>180</v>
      </c>
      <c r="G206" s="41" t="s">
        <v>29</v>
      </c>
      <c r="H206" s="41" t="s">
        <v>30</v>
      </c>
      <c r="I206" s="41" t="s">
        <v>31</v>
      </c>
      <c r="J206" s="41" t="s">
        <v>32</v>
      </c>
      <c r="K206" s="41" t="s">
        <v>33</v>
      </c>
      <c r="L206" s="50">
        <v>47988231</v>
      </c>
      <c r="M206" s="50">
        <v>0</v>
      </c>
      <c r="N206" s="50">
        <v>47988231</v>
      </c>
      <c r="O206" s="50">
        <v>44768573</v>
      </c>
      <c r="P206" s="43" t="s">
        <v>351</v>
      </c>
      <c r="Q206" s="40">
        <v>1024562193</v>
      </c>
      <c r="R206" s="41" t="s">
        <v>1498</v>
      </c>
      <c r="S206" s="41" t="s">
        <v>316</v>
      </c>
      <c r="T206" s="41" t="s">
        <v>317</v>
      </c>
      <c r="U206" s="41" t="s">
        <v>1499</v>
      </c>
      <c r="V206" s="41" t="s">
        <v>319</v>
      </c>
      <c r="W206" s="40">
        <v>890903938</v>
      </c>
      <c r="X206" s="41" t="s">
        <v>342</v>
      </c>
      <c r="Y206" s="40">
        <v>3825</v>
      </c>
      <c r="Z206" s="40">
        <v>3825</v>
      </c>
      <c r="AA206" s="40">
        <v>20525</v>
      </c>
      <c r="AB206" s="41"/>
      <c r="AC206" s="41" t="s">
        <v>1806</v>
      </c>
      <c r="AD206" s="41" t="s">
        <v>3132</v>
      </c>
      <c r="AE206" s="41"/>
      <c r="AF206" s="41" t="s">
        <v>1326</v>
      </c>
      <c r="AG206" s="41" t="s">
        <v>356</v>
      </c>
      <c r="AH206" s="41" t="s">
        <v>1501</v>
      </c>
      <c r="AI206" s="41" t="s">
        <v>1453</v>
      </c>
    </row>
    <row r="207" spans="1:35" x14ac:dyDescent="0.2">
      <c r="A207" s="53">
        <v>20625</v>
      </c>
      <c r="B207" s="41" t="s">
        <v>1326</v>
      </c>
      <c r="C207" s="41" t="s">
        <v>1502</v>
      </c>
      <c r="D207" s="41" t="s">
        <v>312</v>
      </c>
      <c r="E207" s="55">
        <v>923245</v>
      </c>
      <c r="F207" s="41" t="s">
        <v>180</v>
      </c>
      <c r="G207" s="41" t="s">
        <v>29</v>
      </c>
      <c r="H207" s="41" t="s">
        <v>30</v>
      </c>
      <c r="I207" s="41" t="s">
        <v>31</v>
      </c>
      <c r="J207" s="41" t="s">
        <v>32</v>
      </c>
      <c r="K207" s="41" t="s">
        <v>33</v>
      </c>
      <c r="L207" s="50">
        <v>47988231</v>
      </c>
      <c r="M207" s="50">
        <v>0</v>
      </c>
      <c r="N207" s="50">
        <v>47988231</v>
      </c>
      <c r="O207" s="50">
        <v>44768573</v>
      </c>
      <c r="P207" s="43" t="s">
        <v>351</v>
      </c>
      <c r="Q207" s="40">
        <v>1030569761</v>
      </c>
      <c r="R207" s="41" t="s">
        <v>1503</v>
      </c>
      <c r="S207" s="41" t="s">
        <v>316</v>
      </c>
      <c r="T207" s="41" t="s">
        <v>317</v>
      </c>
      <c r="U207" s="41" t="s">
        <v>1504</v>
      </c>
      <c r="V207" s="41" t="s">
        <v>319</v>
      </c>
      <c r="W207" s="40">
        <v>860034313</v>
      </c>
      <c r="X207" s="41" t="s">
        <v>355</v>
      </c>
      <c r="Y207" s="40">
        <v>3825</v>
      </c>
      <c r="Z207" s="40">
        <v>3825</v>
      </c>
      <c r="AA207" s="40">
        <v>20625</v>
      </c>
      <c r="AB207" s="41"/>
      <c r="AC207" s="41" t="s">
        <v>1811</v>
      </c>
      <c r="AD207" s="41" t="s">
        <v>3134</v>
      </c>
      <c r="AE207" s="41"/>
      <c r="AF207" s="41" t="s">
        <v>1326</v>
      </c>
      <c r="AG207" s="41" t="s">
        <v>356</v>
      </c>
      <c r="AH207" s="41" t="s">
        <v>1506</v>
      </c>
      <c r="AI207" s="41" t="s">
        <v>1453</v>
      </c>
    </row>
    <row r="208" spans="1:35" x14ac:dyDescent="0.2">
      <c r="A208" s="53">
        <v>20725</v>
      </c>
      <c r="B208" s="41" t="s">
        <v>1326</v>
      </c>
      <c r="C208" s="41" t="s">
        <v>1507</v>
      </c>
      <c r="D208" s="41" t="s">
        <v>312</v>
      </c>
      <c r="E208" s="55">
        <v>923245</v>
      </c>
      <c r="F208" s="41" t="s">
        <v>180</v>
      </c>
      <c r="G208" s="41" t="s">
        <v>29</v>
      </c>
      <c r="H208" s="41" t="s">
        <v>30</v>
      </c>
      <c r="I208" s="41" t="s">
        <v>31</v>
      </c>
      <c r="J208" s="41" t="s">
        <v>32</v>
      </c>
      <c r="K208" s="41" t="s">
        <v>33</v>
      </c>
      <c r="L208" s="50">
        <v>47988231</v>
      </c>
      <c r="M208" s="50">
        <v>0</v>
      </c>
      <c r="N208" s="50">
        <v>47988231</v>
      </c>
      <c r="O208" s="50">
        <v>44768573</v>
      </c>
      <c r="P208" s="43" t="s">
        <v>351</v>
      </c>
      <c r="Q208" s="40">
        <v>79354889</v>
      </c>
      <c r="R208" s="41" t="s">
        <v>1508</v>
      </c>
      <c r="S208" s="41" t="s">
        <v>316</v>
      </c>
      <c r="T208" s="41" t="s">
        <v>317</v>
      </c>
      <c r="U208" s="41" t="s">
        <v>1509</v>
      </c>
      <c r="V208" s="41" t="s">
        <v>319</v>
      </c>
      <c r="W208" s="40">
        <v>860035827</v>
      </c>
      <c r="X208" s="41" t="s">
        <v>653</v>
      </c>
      <c r="Y208" s="40">
        <v>3825</v>
      </c>
      <c r="Z208" s="40">
        <v>3825</v>
      </c>
      <c r="AA208" s="40">
        <v>20725</v>
      </c>
      <c r="AB208" s="41"/>
      <c r="AC208" s="41" t="s">
        <v>1816</v>
      </c>
      <c r="AD208" s="41" t="s">
        <v>3136</v>
      </c>
      <c r="AE208" s="41"/>
      <c r="AF208" s="41" t="s">
        <v>1326</v>
      </c>
      <c r="AG208" s="41" t="s">
        <v>356</v>
      </c>
      <c r="AH208" s="41" t="s">
        <v>1511</v>
      </c>
      <c r="AI208" s="41" t="s">
        <v>1332</v>
      </c>
    </row>
    <row r="209" spans="1:35" x14ac:dyDescent="0.2">
      <c r="A209" s="53">
        <v>20825</v>
      </c>
      <c r="B209" s="41" t="s">
        <v>1326</v>
      </c>
      <c r="C209" s="41" t="s">
        <v>1512</v>
      </c>
      <c r="D209" s="41" t="s">
        <v>312</v>
      </c>
      <c r="E209" s="55">
        <v>923245</v>
      </c>
      <c r="F209" s="41" t="s">
        <v>180</v>
      </c>
      <c r="G209" s="41" t="s">
        <v>29</v>
      </c>
      <c r="H209" s="41" t="s">
        <v>30</v>
      </c>
      <c r="I209" s="41" t="s">
        <v>31</v>
      </c>
      <c r="J209" s="41" t="s">
        <v>32</v>
      </c>
      <c r="K209" s="41" t="s">
        <v>33</v>
      </c>
      <c r="L209" s="50">
        <v>47988231</v>
      </c>
      <c r="M209" s="50">
        <v>0</v>
      </c>
      <c r="N209" s="50">
        <v>47988231</v>
      </c>
      <c r="O209" s="50">
        <v>44768573</v>
      </c>
      <c r="P209" s="43" t="s">
        <v>351</v>
      </c>
      <c r="Q209" s="40">
        <v>79054553</v>
      </c>
      <c r="R209" s="41" t="s">
        <v>1513</v>
      </c>
      <c r="S209" s="41" t="s">
        <v>316</v>
      </c>
      <c r="T209" s="41" t="s">
        <v>317</v>
      </c>
      <c r="U209" s="41" t="s">
        <v>1514</v>
      </c>
      <c r="V209" s="41" t="s">
        <v>319</v>
      </c>
      <c r="W209" s="40">
        <v>860034313</v>
      </c>
      <c r="X209" s="41" t="s">
        <v>355</v>
      </c>
      <c r="Y209" s="40">
        <v>3825</v>
      </c>
      <c r="Z209" s="40">
        <v>3825</v>
      </c>
      <c r="AA209" s="40">
        <v>20825</v>
      </c>
      <c r="AB209" s="41"/>
      <c r="AC209" s="41" t="s">
        <v>3542</v>
      </c>
      <c r="AD209" s="41" t="s">
        <v>3540</v>
      </c>
      <c r="AE209" s="41"/>
      <c r="AF209" s="41" t="s">
        <v>1326</v>
      </c>
      <c r="AG209" s="41" t="s">
        <v>356</v>
      </c>
      <c r="AH209" s="41" t="s">
        <v>1516</v>
      </c>
      <c r="AI209" s="41" t="s">
        <v>1332</v>
      </c>
    </row>
    <row r="210" spans="1:35" x14ac:dyDescent="0.2">
      <c r="A210" s="53">
        <v>20925</v>
      </c>
      <c r="B210" s="41" t="s">
        <v>1326</v>
      </c>
      <c r="C210" s="41" t="s">
        <v>1517</v>
      </c>
      <c r="D210" s="41" t="s">
        <v>312</v>
      </c>
      <c r="E210" s="55">
        <v>923245</v>
      </c>
      <c r="F210" s="41" t="s">
        <v>180</v>
      </c>
      <c r="G210" s="41" t="s">
        <v>29</v>
      </c>
      <c r="H210" s="41" t="s">
        <v>30</v>
      </c>
      <c r="I210" s="41" t="s">
        <v>31</v>
      </c>
      <c r="J210" s="41" t="s">
        <v>32</v>
      </c>
      <c r="K210" s="41" t="s">
        <v>33</v>
      </c>
      <c r="L210" s="50">
        <v>37099598</v>
      </c>
      <c r="M210" s="50">
        <v>0</v>
      </c>
      <c r="N210" s="50">
        <v>37099598</v>
      </c>
      <c r="O210" s="50">
        <v>34610486</v>
      </c>
      <c r="P210" s="43" t="s">
        <v>351</v>
      </c>
      <c r="Q210" s="40">
        <v>39631710</v>
      </c>
      <c r="R210" s="41" t="s">
        <v>1518</v>
      </c>
      <c r="S210" s="41" t="s">
        <v>316</v>
      </c>
      <c r="T210" s="41" t="s">
        <v>317</v>
      </c>
      <c r="U210" s="41" t="s">
        <v>1519</v>
      </c>
      <c r="V210" s="41" t="s">
        <v>319</v>
      </c>
      <c r="W210" s="40">
        <v>860007335</v>
      </c>
      <c r="X210" s="41" t="s">
        <v>381</v>
      </c>
      <c r="Y210" s="40">
        <v>3825</v>
      </c>
      <c r="Z210" s="40">
        <v>3825</v>
      </c>
      <c r="AA210" s="40">
        <v>20925</v>
      </c>
      <c r="AB210" s="41"/>
      <c r="AC210" s="41" t="s">
        <v>1821</v>
      </c>
      <c r="AD210" s="41" t="s">
        <v>3138</v>
      </c>
      <c r="AE210" s="41"/>
      <c r="AF210" s="41" t="s">
        <v>1326</v>
      </c>
      <c r="AG210" s="41" t="s">
        <v>356</v>
      </c>
      <c r="AH210" s="41" t="s">
        <v>1521</v>
      </c>
      <c r="AI210" s="41" t="s">
        <v>1332</v>
      </c>
    </row>
    <row r="211" spans="1:35" x14ac:dyDescent="0.2">
      <c r="A211" s="53">
        <v>21025</v>
      </c>
      <c r="B211" s="41" t="s">
        <v>1326</v>
      </c>
      <c r="C211" s="41" t="s">
        <v>1517</v>
      </c>
      <c r="D211" s="41" t="s">
        <v>312</v>
      </c>
      <c r="E211" s="55">
        <v>923245</v>
      </c>
      <c r="F211" s="41" t="s">
        <v>180</v>
      </c>
      <c r="G211" s="41" t="s">
        <v>29</v>
      </c>
      <c r="H211" s="41" t="s">
        <v>30</v>
      </c>
      <c r="I211" s="41" t="s">
        <v>31</v>
      </c>
      <c r="J211" s="41" t="s">
        <v>32</v>
      </c>
      <c r="K211" s="41" t="s">
        <v>33</v>
      </c>
      <c r="L211" s="50">
        <v>37099598</v>
      </c>
      <c r="M211" s="50">
        <v>0</v>
      </c>
      <c r="N211" s="50">
        <v>37099598</v>
      </c>
      <c r="O211" s="50">
        <v>34610486</v>
      </c>
      <c r="P211" s="43" t="s">
        <v>351</v>
      </c>
      <c r="Q211" s="40">
        <v>33367155</v>
      </c>
      <c r="R211" s="41" t="s">
        <v>1522</v>
      </c>
      <c r="S211" s="41" t="s">
        <v>316</v>
      </c>
      <c r="T211" s="41" t="s">
        <v>317</v>
      </c>
      <c r="U211" s="41" t="s">
        <v>1523</v>
      </c>
      <c r="V211" s="41" t="s">
        <v>319</v>
      </c>
      <c r="W211" s="40">
        <v>860034313</v>
      </c>
      <c r="X211" s="41" t="s">
        <v>355</v>
      </c>
      <c r="Y211" s="40">
        <v>3825</v>
      </c>
      <c r="Z211" s="40">
        <v>3825</v>
      </c>
      <c r="AA211" s="40">
        <v>21025</v>
      </c>
      <c r="AB211" s="41"/>
      <c r="AC211" s="41" t="s">
        <v>1826</v>
      </c>
      <c r="AD211" s="41" t="s">
        <v>3140</v>
      </c>
      <c r="AE211" s="41"/>
      <c r="AF211" s="41" t="s">
        <v>1326</v>
      </c>
      <c r="AG211" s="41" t="s">
        <v>356</v>
      </c>
      <c r="AH211" s="41" t="s">
        <v>1525</v>
      </c>
      <c r="AI211" s="41" t="s">
        <v>1332</v>
      </c>
    </row>
    <row r="212" spans="1:35" x14ac:dyDescent="0.2">
      <c r="A212" s="53">
        <v>21125</v>
      </c>
      <c r="B212" s="41" t="s">
        <v>1526</v>
      </c>
      <c r="C212" s="41" t="s">
        <v>1527</v>
      </c>
      <c r="D212" s="41" t="s">
        <v>312</v>
      </c>
      <c r="E212" s="55">
        <v>923211</v>
      </c>
      <c r="F212" s="41" t="s">
        <v>69</v>
      </c>
      <c r="G212" s="41" t="s">
        <v>29</v>
      </c>
      <c r="H212" s="41" t="s">
        <v>30</v>
      </c>
      <c r="I212" s="41" t="s">
        <v>31</v>
      </c>
      <c r="J212" s="41" t="s">
        <v>32</v>
      </c>
      <c r="K212" s="41" t="s">
        <v>33</v>
      </c>
      <c r="L212" s="50">
        <v>45995110</v>
      </c>
      <c r="M212" s="50">
        <v>0</v>
      </c>
      <c r="N212" s="50">
        <v>45995110</v>
      </c>
      <c r="O212" s="50">
        <v>42775452</v>
      </c>
      <c r="P212" s="43" t="s">
        <v>351</v>
      </c>
      <c r="Q212" s="40">
        <v>35535223</v>
      </c>
      <c r="R212" s="41" t="s">
        <v>1528</v>
      </c>
      <c r="S212" s="41" t="s">
        <v>316</v>
      </c>
      <c r="T212" s="41" t="s">
        <v>317</v>
      </c>
      <c r="U212" s="41" t="s">
        <v>1529</v>
      </c>
      <c r="V212" s="41" t="s">
        <v>319</v>
      </c>
      <c r="W212" s="40">
        <v>890903938</v>
      </c>
      <c r="X212" s="41" t="s">
        <v>342</v>
      </c>
      <c r="Y212" s="40">
        <v>2125</v>
      </c>
      <c r="Z212" s="40">
        <v>2125</v>
      </c>
      <c r="AA212" s="40">
        <v>21125</v>
      </c>
      <c r="AB212" s="41"/>
      <c r="AC212" s="41" t="s">
        <v>1832</v>
      </c>
      <c r="AD212" s="41" t="s">
        <v>3142</v>
      </c>
      <c r="AE212" s="41"/>
      <c r="AF212" s="41" t="s">
        <v>1526</v>
      </c>
      <c r="AG212" s="41" t="s">
        <v>356</v>
      </c>
      <c r="AH212" s="41" t="s">
        <v>1531</v>
      </c>
      <c r="AI212" s="41" t="s">
        <v>1532</v>
      </c>
    </row>
    <row r="213" spans="1:35" x14ac:dyDescent="0.2">
      <c r="A213" s="53">
        <v>21225</v>
      </c>
      <c r="B213" s="41" t="s">
        <v>1526</v>
      </c>
      <c r="C213" s="41" t="s">
        <v>1533</v>
      </c>
      <c r="D213" s="41" t="s">
        <v>312</v>
      </c>
      <c r="E213" s="55">
        <v>923211</v>
      </c>
      <c r="F213" s="41" t="s">
        <v>69</v>
      </c>
      <c r="G213" s="41" t="s">
        <v>29</v>
      </c>
      <c r="H213" s="41" t="s">
        <v>30</v>
      </c>
      <c r="I213" s="41" t="s">
        <v>31</v>
      </c>
      <c r="J213" s="41" t="s">
        <v>32</v>
      </c>
      <c r="K213" s="41" t="s">
        <v>33</v>
      </c>
      <c r="L213" s="50">
        <v>45995110</v>
      </c>
      <c r="M213" s="50">
        <v>0</v>
      </c>
      <c r="N213" s="50">
        <v>45995110</v>
      </c>
      <c r="O213" s="50">
        <v>42775452</v>
      </c>
      <c r="P213" s="43" t="s">
        <v>351</v>
      </c>
      <c r="Q213" s="40">
        <v>1024467029</v>
      </c>
      <c r="R213" s="41" t="s">
        <v>1534</v>
      </c>
      <c r="S213" s="41" t="s">
        <v>316</v>
      </c>
      <c r="T213" s="41" t="s">
        <v>317</v>
      </c>
      <c r="U213" s="41" t="s">
        <v>1535</v>
      </c>
      <c r="V213" s="41" t="s">
        <v>319</v>
      </c>
      <c r="W213" s="40">
        <v>860007335</v>
      </c>
      <c r="X213" s="41" t="s">
        <v>381</v>
      </c>
      <c r="Y213" s="40">
        <v>2125</v>
      </c>
      <c r="Z213" s="40">
        <v>2125</v>
      </c>
      <c r="AA213" s="40">
        <v>21225</v>
      </c>
      <c r="AB213" s="41"/>
      <c r="AC213" s="41" t="s">
        <v>1838</v>
      </c>
      <c r="AD213" s="41" t="s">
        <v>3143</v>
      </c>
      <c r="AE213" s="41"/>
      <c r="AF213" s="41" t="s">
        <v>1526</v>
      </c>
      <c r="AG213" s="41" t="s">
        <v>356</v>
      </c>
      <c r="AH213" s="41" t="s">
        <v>1537</v>
      </c>
      <c r="AI213" s="41" t="s">
        <v>1532</v>
      </c>
    </row>
    <row r="214" spans="1:35" x14ac:dyDescent="0.2">
      <c r="A214" s="53">
        <v>21325</v>
      </c>
      <c r="B214" s="41" t="s">
        <v>1526</v>
      </c>
      <c r="C214" s="41" t="s">
        <v>1538</v>
      </c>
      <c r="D214" s="41" t="s">
        <v>312</v>
      </c>
      <c r="E214" s="55">
        <v>923211</v>
      </c>
      <c r="F214" s="41" t="s">
        <v>69</v>
      </c>
      <c r="G214" s="41" t="s">
        <v>29</v>
      </c>
      <c r="H214" s="41" t="s">
        <v>30</v>
      </c>
      <c r="I214" s="41" t="s">
        <v>31</v>
      </c>
      <c r="J214" s="41" t="s">
        <v>32</v>
      </c>
      <c r="K214" s="41" t="s">
        <v>33</v>
      </c>
      <c r="L214" s="50">
        <v>45995110</v>
      </c>
      <c r="M214" s="50">
        <v>0</v>
      </c>
      <c r="N214" s="50">
        <v>45995110</v>
      </c>
      <c r="O214" s="50">
        <v>42775452</v>
      </c>
      <c r="P214" s="43" t="s">
        <v>351</v>
      </c>
      <c r="Q214" s="40">
        <v>15645611</v>
      </c>
      <c r="R214" s="41" t="s">
        <v>1539</v>
      </c>
      <c r="S214" s="41" t="s">
        <v>316</v>
      </c>
      <c r="T214" s="41" t="s">
        <v>317</v>
      </c>
      <c r="U214" s="41" t="s">
        <v>1540</v>
      </c>
      <c r="V214" s="41" t="s">
        <v>319</v>
      </c>
      <c r="W214" s="40">
        <v>890903938</v>
      </c>
      <c r="X214" s="41" t="s">
        <v>342</v>
      </c>
      <c r="Y214" s="40">
        <v>2125</v>
      </c>
      <c r="Z214" s="40">
        <v>2125</v>
      </c>
      <c r="AA214" s="40">
        <v>21325</v>
      </c>
      <c r="AB214" s="41"/>
      <c r="AC214" s="41" t="s">
        <v>1844</v>
      </c>
      <c r="AD214" s="41" t="s">
        <v>3144</v>
      </c>
      <c r="AE214" s="41"/>
      <c r="AF214" s="41" t="s">
        <v>1526</v>
      </c>
      <c r="AG214" s="41" t="s">
        <v>356</v>
      </c>
      <c r="AH214" s="41" t="s">
        <v>1542</v>
      </c>
      <c r="AI214" s="41" t="s">
        <v>1532</v>
      </c>
    </row>
    <row r="215" spans="1:35" x14ac:dyDescent="0.2">
      <c r="A215" s="53">
        <v>21425</v>
      </c>
      <c r="B215" s="41" t="s">
        <v>1526</v>
      </c>
      <c r="C215" s="41" t="s">
        <v>1543</v>
      </c>
      <c r="D215" s="41" t="s">
        <v>312</v>
      </c>
      <c r="E215" s="55">
        <v>923211</v>
      </c>
      <c r="F215" s="41" t="s">
        <v>69</v>
      </c>
      <c r="G215" s="41" t="s">
        <v>29</v>
      </c>
      <c r="H215" s="41" t="s">
        <v>30</v>
      </c>
      <c r="I215" s="41" t="s">
        <v>31</v>
      </c>
      <c r="J215" s="41" t="s">
        <v>32</v>
      </c>
      <c r="K215" s="41" t="s">
        <v>33</v>
      </c>
      <c r="L215" s="50">
        <v>45995110</v>
      </c>
      <c r="M215" s="50">
        <v>0</v>
      </c>
      <c r="N215" s="50">
        <v>45995110</v>
      </c>
      <c r="O215" s="50">
        <v>42775452</v>
      </c>
      <c r="P215" s="43" t="s">
        <v>351</v>
      </c>
      <c r="Q215" s="40">
        <v>1010182673</v>
      </c>
      <c r="R215" s="41" t="s">
        <v>1544</v>
      </c>
      <c r="S215" s="41" t="s">
        <v>316</v>
      </c>
      <c r="T215" s="41" t="s">
        <v>317</v>
      </c>
      <c r="U215" s="41" t="s">
        <v>1545</v>
      </c>
      <c r="V215" s="41" t="s">
        <v>319</v>
      </c>
      <c r="W215" s="40">
        <v>860034313</v>
      </c>
      <c r="X215" s="41" t="s">
        <v>355</v>
      </c>
      <c r="Y215" s="40">
        <v>2125</v>
      </c>
      <c r="Z215" s="40">
        <v>2125</v>
      </c>
      <c r="AA215" s="40">
        <v>21425</v>
      </c>
      <c r="AB215" s="41"/>
      <c r="AC215" s="41" t="s">
        <v>1850</v>
      </c>
      <c r="AD215" s="41" t="s">
        <v>3145</v>
      </c>
      <c r="AE215" s="41"/>
      <c r="AF215" s="41" t="s">
        <v>1526</v>
      </c>
      <c r="AG215" s="41" t="s">
        <v>356</v>
      </c>
      <c r="AH215" s="41" t="s">
        <v>1547</v>
      </c>
      <c r="AI215" s="41" t="s">
        <v>1548</v>
      </c>
    </row>
    <row r="216" spans="1:35" x14ac:dyDescent="0.2">
      <c r="A216" s="53">
        <v>21525</v>
      </c>
      <c r="B216" s="41" t="s">
        <v>1526</v>
      </c>
      <c r="C216" s="41" t="s">
        <v>1549</v>
      </c>
      <c r="D216" s="41" t="s">
        <v>312</v>
      </c>
      <c r="E216" s="55">
        <v>923211</v>
      </c>
      <c r="F216" s="41" t="s">
        <v>69</v>
      </c>
      <c r="G216" s="41" t="s">
        <v>29</v>
      </c>
      <c r="H216" s="41" t="s">
        <v>30</v>
      </c>
      <c r="I216" s="41" t="s">
        <v>31</v>
      </c>
      <c r="J216" s="41" t="s">
        <v>32</v>
      </c>
      <c r="K216" s="41" t="s">
        <v>33</v>
      </c>
      <c r="L216" s="50">
        <v>45995110</v>
      </c>
      <c r="M216" s="50">
        <v>0</v>
      </c>
      <c r="N216" s="50">
        <v>45995110</v>
      </c>
      <c r="O216" s="50">
        <v>42775452</v>
      </c>
      <c r="P216" s="43" t="s">
        <v>351</v>
      </c>
      <c r="Q216" s="40">
        <v>1010183074</v>
      </c>
      <c r="R216" s="41" t="s">
        <v>1550</v>
      </c>
      <c r="S216" s="41" t="s">
        <v>316</v>
      </c>
      <c r="T216" s="41" t="s">
        <v>317</v>
      </c>
      <c r="U216" s="41" t="s">
        <v>1551</v>
      </c>
      <c r="V216" s="41" t="s">
        <v>319</v>
      </c>
      <c r="W216" s="40">
        <v>860002964</v>
      </c>
      <c r="X216" s="41" t="s">
        <v>419</v>
      </c>
      <c r="Y216" s="40">
        <v>2125</v>
      </c>
      <c r="Z216" s="40">
        <v>2125</v>
      </c>
      <c r="AA216" s="40">
        <v>21525</v>
      </c>
      <c r="AB216" s="41"/>
      <c r="AC216" s="41" t="s">
        <v>1856</v>
      </c>
      <c r="AD216" s="41" t="s">
        <v>3146</v>
      </c>
      <c r="AE216" s="41"/>
      <c r="AF216" s="41" t="s">
        <v>1526</v>
      </c>
      <c r="AG216" s="41" t="s">
        <v>356</v>
      </c>
      <c r="AH216" s="41" t="s">
        <v>1553</v>
      </c>
      <c r="AI216" s="41" t="s">
        <v>1532</v>
      </c>
    </row>
    <row r="217" spans="1:35" x14ac:dyDescent="0.2">
      <c r="A217" s="53">
        <v>21625</v>
      </c>
      <c r="B217" s="41" t="s">
        <v>1526</v>
      </c>
      <c r="C217" s="41" t="s">
        <v>1554</v>
      </c>
      <c r="D217" s="41" t="s">
        <v>312</v>
      </c>
      <c r="E217" s="55">
        <v>923211</v>
      </c>
      <c r="F217" s="41" t="s">
        <v>69</v>
      </c>
      <c r="G217" s="41" t="s">
        <v>29</v>
      </c>
      <c r="H217" s="41" t="s">
        <v>30</v>
      </c>
      <c r="I217" s="41" t="s">
        <v>31</v>
      </c>
      <c r="J217" s="41" t="s">
        <v>32</v>
      </c>
      <c r="K217" s="41" t="s">
        <v>33</v>
      </c>
      <c r="L217" s="50">
        <v>45995110</v>
      </c>
      <c r="M217" s="50">
        <v>0</v>
      </c>
      <c r="N217" s="50">
        <v>45995110</v>
      </c>
      <c r="O217" s="50">
        <v>42775452</v>
      </c>
      <c r="P217" s="43" t="s">
        <v>351</v>
      </c>
      <c r="Q217" s="40">
        <v>1013659725</v>
      </c>
      <c r="R217" s="41" t="s">
        <v>1555</v>
      </c>
      <c r="S217" s="41" t="s">
        <v>316</v>
      </c>
      <c r="T217" s="41" t="s">
        <v>317</v>
      </c>
      <c r="U217" s="41" t="s">
        <v>1556</v>
      </c>
      <c r="V217" s="41" t="s">
        <v>319</v>
      </c>
      <c r="W217" s="40">
        <v>860007335</v>
      </c>
      <c r="X217" s="41" t="s">
        <v>381</v>
      </c>
      <c r="Y217" s="40">
        <v>2125</v>
      </c>
      <c r="Z217" s="40">
        <v>2125</v>
      </c>
      <c r="AA217" s="40">
        <v>21625</v>
      </c>
      <c r="AB217" s="41"/>
      <c r="AC217" s="41" t="s">
        <v>574</v>
      </c>
      <c r="AD217" s="41" t="s">
        <v>3147</v>
      </c>
      <c r="AE217" s="41"/>
      <c r="AF217" s="41" t="s">
        <v>1526</v>
      </c>
      <c r="AG217" s="41" t="s">
        <v>356</v>
      </c>
      <c r="AH217" s="41" t="s">
        <v>1558</v>
      </c>
      <c r="AI217" s="41" t="s">
        <v>1532</v>
      </c>
    </row>
    <row r="218" spans="1:35" x14ac:dyDescent="0.2">
      <c r="A218" s="53">
        <v>21725</v>
      </c>
      <c r="B218" s="41" t="s">
        <v>1526</v>
      </c>
      <c r="C218" s="41" t="s">
        <v>1559</v>
      </c>
      <c r="D218" s="41" t="s">
        <v>312</v>
      </c>
      <c r="E218" s="55">
        <v>923211</v>
      </c>
      <c r="F218" s="41" t="s">
        <v>69</v>
      </c>
      <c r="G218" s="41" t="s">
        <v>29</v>
      </c>
      <c r="H218" s="41" t="s">
        <v>30</v>
      </c>
      <c r="I218" s="41" t="s">
        <v>31</v>
      </c>
      <c r="J218" s="41" t="s">
        <v>32</v>
      </c>
      <c r="K218" s="41" t="s">
        <v>33</v>
      </c>
      <c r="L218" s="50">
        <v>45995110</v>
      </c>
      <c r="M218" s="50">
        <v>0</v>
      </c>
      <c r="N218" s="50">
        <v>45995110</v>
      </c>
      <c r="O218" s="50">
        <v>42775452</v>
      </c>
      <c r="P218" s="43" t="s">
        <v>351</v>
      </c>
      <c r="Q218" s="40">
        <v>1070959413</v>
      </c>
      <c r="R218" s="41" t="s">
        <v>1560</v>
      </c>
      <c r="S218" s="41" t="s">
        <v>316</v>
      </c>
      <c r="T218" s="41" t="s">
        <v>317</v>
      </c>
      <c r="U218" s="41" t="s">
        <v>1561</v>
      </c>
      <c r="V218" s="41" t="s">
        <v>319</v>
      </c>
      <c r="W218" s="40">
        <v>890903938</v>
      </c>
      <c r="X218" s="41" t="s">
        <v>342</v>
      </c>
      <c r="Y218" s="40">
        <v>2125</v>
      </c>
      <c r="Z218" s="40">
        <v>2125</v>
      </c>
      <c r="AA218" s="40">
        <v>21725</v>
      </c>
      <c r="AB218" s="41"/>
      <c r="AC218" s="41" t="s">
        <v>1867</v>
      </c>
      <c r="AD218" s="41" t="s">
        <v>3149</v>
      </c>
      <c r="AE218" s="41"/>
      <c r="AF218" s="41" t="s">
        <v>1526</v>
      </c>
      <c r="AG218" s="41" t="s">
        <v>356</v>
      </c>
      <c r="AH218" s="41" t="s">
        <v>1563</v>
      </c>
      <c r="AI218" s="41" t="s">
        <v>1532</v>
      </c>
    </row>
    <row r="219" spans="1:35" x14ac:dyDescent="0.2">
      <c r="A219" s="53">
        <v>21825</v>
      </c>
      <c r="B219" s="41" t="s">
        <v>1526</v>
      </c>
      <c r="C219" s="41" t="s">
        <v>1564</v>
      </c>
      <c r="D219" s="41" t="s">
        <v>312</v>
      </c>
      <c r="E219" s="55">
        <v>923211</v>
      </c>
      <c r="F219" s="41" t="s">
        <v>69</v>
      </c>
      <c r="G219" s="41" t="s">
        <v>29</v>
      </c>
      <c r="H219" s="41" t="s">
        <v>30</v>
      </c>
      <c r="I219" s="41" t="s">
        <v>31</v>
      </c>
      <c r="J219" s="41" t="s">
        <v>32</v>
      </c>
      <c r="K219" s="41" t="s">
        <v>33</v>
      </c>
      <c r="L219" s="50">
        <v>45995110</v>
      </c>
      <c r="M219" s="50">
        <v>0</v>
      </c>
      <c r="N219" s="50">
        <v>45995110</v>
      </c>
      <c r="O219" s="50">
        <v>42775452</v>
      </c>
      <c r="P219" s="43" t="s">
        <v>351</v>
      </c>
      <c r="Q219" s="40">
        <v>1070611613</v>
      </c>
      <c r="R219" s="41" t="s">
        <v>1565</v>
      </c>
      <c r="S219" s="41" t="s">
        <v>316</v>
      </c>
      <c r="T219" s="41" t="s">
        <v>317</v>
      </c>
      <c r="U219" s="41" t="s">
        <v>1566</v>
      </c>
      <c r="V219" s="41" t="s">
        <v>319</v>
      </c>
      <c r="W219" s="40">
        <v>860034313</v>
      </c>
      <c r="X219" s="41" t="s">
        <v>355</v>
      </c>
      <c r="Y219" s="40">
        <v>2125</v>
      </c>
      <c r="Z219" s="40">
        <v>2125</v>
      </c>
      <c r="AA219" s="40">
        <v>21825</v>
      </c>
      <c r="AB219" s="41"/>
      <c r="AC219" s="41" t="s">
        <v>1873</v>
      </c>
      <c r="AD219" s="41" t="s">
        <v>3150</v>
      </c>
      <c r="AE219" s="41"/>
      <c r="AF219" s="41" t="s">
        <v>1526</v>
      </c>
      <c r="AG219" s="41" t="s">
        <v>356</v>
      </c>
      <c r="AH219" s="41" t="s">
        <v>1568</v>
      </c>
      <c r="AI219" s="41" t="s">
        <v>1532</v>
      </c>
    </row>
    <row r="220" spans="1:35" x14ac:dyDescent="0.2">
      <c r="A220" s="53">
        <v>21925</v>
      </c>
      <c r="B220" s="41" t="s">
        <v>1526</v>
      </c>
      <c r="C220" s="41" t="s">
        <v>1564</v>
      </c>
      <c r="D220" s="41" t="s">
        <v>312</v>
      </c>
      <c r="E220" s="55">
        <v>923211</v>
      </c>
      <c r="F220" s="41" t="s">
        <v>69</v>
      </c>
      <c r="G220" s="41" t="s">
        <v>29</v>
      </c>
      <c r="H220" s="41" t="s">
        <v>30</v>
      </c>
      <c r="I220" s="41" t="s">
        <v>31</v>
      </c>
      <c r="J220" s="41" t="s">
        <v>32</v>
      </c>
      <c r="K220" s="41" t="s">
        <v>33</v>
      </c>
      <c r="L220" s="50">
        <v>45995110</v>
      </c>
      <c r="M220" s="50">
        <v>0</v>
      </c>
      <c r="N220" s="50">
        <v>45995110</v>
      </c>
      <c r="O220" s="50">
        <v>42775452</v>
      </c>
      <c r="P220" s="43" t="s">
        <v>351</v>
      </c>
      <c r="Q220" s="40">
        <v>79062962</v>
      </c>
      <c r="R220" s="41" t="s">
        <v>1569</v>
      </c>
      <c r="S220" s="41" t="s">
        <v>316</v>
      </c>
      <c r="T220" s="41" t="s">
        <v>317</v>
      </c>
      <c r="U220" s="41" t="s">
        <v>1570</v>
      </c>
      <c r="V220" s="41" t="s">
        <v>319</v>
      </c>
      <c r="W220" s="40">
        <v>860007335</v>
      </c>
      <c r="X220" s="41" t="s">
        <v>381</v>
      </c>
      <c r="Y220" s="40">
        <v>2125</v>
      </c>
      <c r="Z220" s="40">
        <v>2125</v>
      </c>
      <c r="AA220" s="40">
        <v>21925</v>
      </c>
      <c r="AB220" s="41"/>
      <c r="AC220" s="41" t="s">
        <v>1879</v>
      </c>
      <c r="AD220" s="41" t="s">
        <v>3152</v>
      </c>
      <c r="AE220" s="41"/>
      <c r="AF220" s="41" t="s">
        <v>1526</v>
      </c>
      <c r="AG220" s="41" t="s">
        <v>356</v>
      </c>
      <c r="AH220" s="41" t="s">
        <v>1572</v>
      </c>
      <c r="AI220" s="41" t="s">
        <v>1532</v>
      </c>
    </row>
    <row r="221" spans="1:35" x14ac:dyDescent="0.2">
      <c r="A221" s="53">
        <v>22025</v>
      </c>
      <c r="B221" s="41" t="s">
        <v>1526</v>
      </c>
      <c r="C221" s="41" t="s">
        <v>1573</v>
      </c>
      <c r="D221" s="41" t="s">
        <v>312</v>
      </c>
      <c r="E221" s="55">
        <v>923211</v>
      </c>
      <c r="F221" s="41" t="s">
        <v>69</v>
      </c>
      <c r="G221" s="41" t="s">
        <v>29</v>
      </c>
      <c r="H221" s="41" t="s">
        <v>30</v>
      </c>
      <c r="I221" s="41" t="s">
        <v>31</v>
      </c>
      <c r="J221" s="41" t="s">
        <v>32</v>
      </c>
      <c r="K221" s="41" t="s">
        <v>33</v>
      </c>
      <c r="L221" s="50">
        <v>45995110</v>
      </c>
      <c r="M221" s="50">
        <v>0</v>
      </c>
      <c r="N221" s="50">
        <v>45995110</v>
      </c>
      <c r="O221" s="50">
        <v>42775452</v>
      </c>
      <c r="P221" s="43" t="s">
        <v>351</v>
      </c>
      <c r="Q221" s="40">
        <v>39731146</v>
      </c>
      <c r="R221" s="41" t="s">
        <v>1574</v>
      </c>
      <c r="S221" s="41" t="s">
        <v>316</v>
      </c>
      <c r="T221" s="41" t="s">
        <v>317</v>
      </c>
      <c r="U221" s="41" t="s">
        <v>1575</v>
      </c>
      <c r="V221" s="41" t="s">
        <v>319</v>
      </c>
      <c r="W221" s="40">
        <v>860034313</v>
      </c>
      <c r="X221" s="41" t="s">
        <v>355</v>
      </c>
      <c r="Y221" s="40">
        <v>2125</v>
      </c>
      <c r="Z221" s="40">
        <v>2125</v>
      </c>
      <c r="AA221" s="40">
        <v>22025</v>
      </c>
      <c r="AB221" s="41"/>
      <c r="AC221" s="41" t="s">
        <v>1884</v>
      </c>
      <c r="AD221" s="41" t="s">
        <v>3154</v>
      </c>
      <c r="AE221" s="41"/>
      <c r="AF221" s="41" t="s">
        <v>1526</v>
      </c>
      <c r="AG221" s="41" t="s">
        <v>356</v>
      </c>
      <c r="AH221" s="41" t="s">
        <v>1577</v>
      </c>
      <c r="AI221" s="41" t="s">
        <v>1532</v>
      </c>
    </row>
    <row r="222" spans="1:35" x14ac:dyDescent="0.2">
      <c r="A222" s="53">
        <v>22125</v>
      </c>
      <c r="B222" s="41" t="s">
        <v>1526</v>
      </c>
      <c r="C222" s="41" t="s">
        <v>1578</v>
      </c>
      <c r="D222" s="41" t="s">
        <v>312</v>
      </c>
      <c r="E222" s="55">
        <v>923211</v>
      </c>
      <c r="F222" s="41" t="s">
        <v>69</v>
      </c>
      <c r="G222" s="41" t="s">
        <v>29</v>
      </c>
      <c r="H222" s="41" t="s">
        <v>30</v>
      </c>
      <c r="I222" s="41" t="s">
        <v>31</v>
      </c>
      <c r="J222" s="41" t="s">
        <v>32</v>
      </c>
      <c r="K222" s="41" t="s">
        <v>33</v>
      </c>
      <c r="L222" s="50">
        <v>45995110</v>
      </c>
      <c r="M222" s="50">
        <v>0</v>
      </c>
      <c r="N222" s="50">
        <v>45995110</v>
      </c>
      <c r="O222" s="50">
        <v>42775452</v>
      </c>
      <c r="P222" s="43" t="s">
        <v>351</v>
      </c>
      <c r="Q222" s="40">
        <v>40040382</v>
      </c>
      <c r="R222" s="41" t="s">
        <v>1579</v>
      </c>
      <c r="S222" s="41" t="s">
        <v>316</v>
      </c>
      <c r="T222" s="41" t="s">
        <v>317</v>
      </c>
      <c r="U222" s="41" t="s">
        <v>1580</v>
      </c>
      <c r="V222" s="41" t="s">
        <v>319</v>
      </c>
      <c r="W222" s="40">
        <v>860034313</v>
      </c>
      <c r="X222" s="41" t="s">
        <v>355</v>
      </c>
      <c r="Y222" s="40">
        <v>2125</v>
      </c>
      <c r="Z222" s="40">
        <v>2125</v>
      </c>
      <c r="AA222" s="40">
        <v>22125</v>
      </c>
      <c r="AB222" s="41"/>
      <c r="AC222" s="41" t="s">
        <v>1890</v>
      </c>
      <c r="AD222" s="41" t="s">
        <v>3155</v>
      </c>
      <c r="AE222" s="41"/>
      <c r="AF222" s="41" t="s">
        <v>1526</v>
      </c>
      <c r="AG222" s="41" t="s">
        <v>356</v>
      </c>
      <c r="AH222" s="41" t="s">
        <v>1582</v>
      </c>
      <c r="AI222" s="41" t="s">
        <v>1532</v>
      </c>
    </row>
    <row r="223" spans="1:35" x14ac:dyDescent="0.2">
      <c r="A223" s="53">
        <v>22225</v>
      </c>
      <c r="B223" s="41" t="s">
        <v>1526</v>
      </c>
      <c r="C223" s="41" t="s">
        <v>1583</v>
      </c>
      <c r="D223" s="41" t="s">
        <v>312</v>
      </c>
      <c r="E223" s="55">
        <v>923211</v>
      </c>
      <c r="F223" s="41" t="s">
        <v>69</v>
      </c>
      <c r="G223" s="41" t="s">
        <v>29</v>
      </c>
      <c r="H223" s="41" t="s">
        <v>30</v>
      </c>
      <c r="I223" s="41" t="s">
        <v>31</v>
      </c>
      <c r="J223" s="41" t="s">
        <v>32</v>
      </c>
      <c r="K223" s="41" t="s">
        <v>33</v>
      </c>
      <c r="L223" s="50">
        <v>45995110</v>
      </c>
      <c r="M223" s="50">
        <v>0</v>
      </c>
      <c r="N223" s="50">
        <v>45995110</v>
      </c>
      <c r="O223" s="50">
        <v>42775452</v>
      </c>
      <c r="P223" s="43" t="s">
        <v>351</v>
      </c>
      <c r="Q223" s="40">
        <v>46362690</v>
      </c>
      <c r="R223" s="41" t="s">
        <v>1584</v>
      </c>
      <c r="S223" s="41" t="s">
        <v>316</v>
      </c>
      <c r="T223" s="41" t="s">
        <v>317</v>
      </c>
      <c r="U223" s="41" t="s">
        <v>1585</v>
      </c>
      <c r="V223" s="41" t="s">
        <v>319</v>
      </c>
      <c r="W223" s="40">
        <v>860007335</v>
      </c>
      <c r="X223" s="41" t="s">
        <v>381</v>
      </c>
      <c r="Y223" s="40">
        <v>2125</v>
      </c>
      <c r="Z223" s="40">
        <v>2125</v>
      </c>
      <c r="AA223" s="40">
        <v>22225</v>
      </c>
      <c r="AB223" s="41"/>
      <c r="AC223" s="41" t="s">
        <v>1896</v>
      </c>
      <c r="AD223" s="41" t="s">
        <v>3156</v>
      </c>
      <c r="AE223" s="41"/>
      <c r="AF223" s="41" t="s">
        <v>1526</v>
      </c>
      <c r="AG223" s="41" t="s">
        <v>356</v>
      </c>
      <c r="AH223" s="41" t="s">
        <v>1587</v>
      </c>
      <c r="AI223" s="41" t="s">
        <v>1532</v>
      </c>
    </row>
    <row r="224" spans="1:35" x14ac:dyDescent="0.2">
      <c r="A224" s="53">
        <v>22325</v>
      </c>
      <c r="B224" s="41" t="s">
        <v>1526</v>
      </c>
      <c r="C224" s="41" t="s">
        <v>1588</v>
      </c>
      <c r="D224" s="41" t="s">
        <v>312</v>
      </c>
      <c r="E224" s="55">
        <v>923211</v>
      </c>
      <c r="F224" s="41" t="s">
        <v>69</v>
      </c>
      <c r="G224" s="41" t="s">
        <v>29</v>
      </c>
      <c r="H224" s="41" t="s">
        <v>30</v>
      </c>
      <c r="I224" s="41" t="s">
        <v>31</v>
      </c>
      <c r="J224" s="41" t="s">
        <v>32</v>
      </c>
      <c r="K224" s="41" t="s">
        <v>33</v>
      </c>
      <c r="L224" s="50">
        <v>45995110</v>
      </c>
      <c r="M224" s="50">
        <v>0</v>
      </c>
      <c r="N224" s="50">
        <v>45995110</v>
      </c>
      <c r="O224" s="50">
        <v>42775452</v>
      </c>
      <c r="P224" s="43" t="s">
        <v>351</v>
      </c>
      <c r="Q224" s="40">
        <v>52850963</v>
      </c>
      <c r="R224" s="41" t="s">
        <v>1589</v>
      </c>
      <c r="S224" s="41" t="s">
        <v>316</v>
      </c>
      <c r="T224" s="41" t="s">
        <v>317</v>
      </c>
      <c r="U224" s="41" t="s">
        <v>1590</v>
      </c>
      <c r="V224" s="41" t="s">
        <v>319</v>
      </c>
      <c r="W224" s="40">
        <v>860034313</v>
      </c>
      <c r="X224" s="41" t="s">
        <v>355</v>
      </c>
      <c r="Y224" s="40">
        <v>2125</v>
      </c>
      <c r="Z224" s="40">
        <v>2125</v>
      </c>
      <c r="AA224" s="40">
        <v>22325</v>
      </c>
      <c r="AB224" s="41"/>
      <c r="AC224" s="41" t="s">
        <v>1902</v>
      </c>
      <c r="AD224" s="41" t="s">
        <v>3157</v>
      </c>
      <c r="AE224" s="41"/>
      <c r="AF224" s="41" t="s">
        <v>1526</v>
      </c>
      <c r="AG224" s="41" t="s">
        <v>356</v>
      </c>
      <c r="AH224" s="41" t="s">
        <v>1592</v>
      </c>
      <c r="AI224" s="41" t="s">
        <v>1532</v>
      </c>
    </row>
    <row r="225" spans="1:35" x14ac:dyDescent="0.2">
      <c r="A225" s="53">
        <v>22425</v>
      </c>
      <c r="B225" s="41" t="s">
        <v>1526</v>
      </c>
      <c r="C225" s="41" t="s">
        <v>1588</v>
      </c>
      <c r="D225" s="41" t="s">
        <v>312</v>
      </c>
      <c r="E225" s="55">
        <v>923211</v>
      </c>
      <c r="F225" s="41" t="s">
        <v>69</v>
      </c>
      <c r="G225" s="41" t="s">
        <v>29</v>
      </c>
      <c r="H225" s="41" t="s">
        <v>30</v>
      </c>
      <c r="I225" s="41" t="s">
        <v>31</v>
      </c>
      <c r="J225" s="41" t="s">
        <v>32</v>
      </c>
      <c r="K225" s="41" t="s">
        <v>33</v>
      </c>
      <c r="L225" s="50">
        <v>45995110</v>
      </c>
      <c r="M225" s="50">
        <v>0</v>
      </c>
      <c r="N225" s="50">
        <v>45995110</v>
      </c>
      <c r="O225" s="50">
        <v>42775452</v>
      </c>
      <c r="P225" s="43" t="s">
        <v>351</v>
      </c>
      <c r="Q225" s="40">
        <v>72252961</v>
      </c>
      <c r="R225" s="41" t="s">
        <v>1593</v>
      </c>
      <c r="S225" s="41" t="s">
        <v>316</v>
      </c>
      <c r="T225" s="41" t="s">
        <v>317</v>
      </c>
      <c r="U225" s="41" t="s">
        <v>1594</v>
      </c>
      <c r="V225" s="41" t="s">
        <v>319</v>
      </c>
      <c r="W225" s="40">
        <v>860034313</v>
      </c>
      <c r="X225" s="41" t="s">
        <v>355</v>
      </c>
      <c r="Y225" s="40">
        <v>2125</v>
      </c>
      <c r="Z225" s="40">
        <v>2125</v>
      </c>
      <c r="AA225" s="40">
        <v>22425</v>
      </c>
      <c r="AB225" s="41"/>
      <c r="AC225" s="41" t="s">
        <v>1908</v>
      </c>
      <c r="AD225" s="41" t="s">
        <v>3159</v>
      </c>
      <c r="AE225" s="41"/>
      <c r="AF225" s="41" t="s">
        <v>1526</v>
      </c>
      <c r="AG225" s="41" t="s">
        <v>356</v>
      </c>
      <c r="AH225" s="41" t="s">
        <v>1596</v>
      </c>
      <c r="AI225" s="41" t="s">
        <v>1532</v>
      </c>
    </row>
    <row r="226" spans="1:35" x14ac:dyDescent="0.2">
      <c r="A226" s="53">
        <v>22525</v>
      </c>
      <c r="B226" s="41" t="s">
        <v>1526</v>
      </c>
      <c r="C226" s="41" t="s">
        <v>1597</v>
      </c>
      <c r="D226" s="41" t="s">
        <v>312</v>
      </c>
      <c r="E226" s="55">
        <v>923211</v>
      </c>
      <c r="F226" s="41" t="s">
        <v>69</v>
      </c>
      <c r="G226" s="41" t="s">
        <v>29</v>
      </c>
      <c r="H226" s="41" t="s">
        <v>30</v>
      </c>
      <c r="I226" s="41" t="s">
        <v>31</v>
      </c>
      <c r="J226" s="41" t="s">
        <v>32</v>
      </c>
      <c r="K226" s="41" t="s">
        <v>33</v>
      </c>
      <c r="L226" s="50">
        <v>45995110</v>
      </c>
      <c r="M226" s="50">
        <v>0</v>
      </c>
      <c r="N226" s="50">
        <v>45995110</v>
      </c>
      <c r="O226" s="50">
        <v>42775452</v>
      </c>
      <c r="P226" s="43" t="s">
        <v>351</v>
      </c>
      <c r="Q226" s="40">
        <v>79537849</v>
      </c>
      <c r="R226" s="41" t="s">
        <v>1598</v>
      </c>
      <c r="S226" s="41" t="s">
        <v>316</v>
      </c>
      <c r="T226" s="41" t="s">
        <v>317</v>
      </c>
      <c r="U226" s="41" t="s">
        <v>1599</v>
      </c>
      <c r="V226" s="41" t="s">
        <v>319</v>
      </c>
      <c r="W226" s="40">
        <v>890903938</v>
      </c>
      <c r="X226" s="41" t="s">
        <v>342</v>
      </c>
      <c r="Y226" s="40">
        <v>2125</v>
      </c>
      <c r="Z226" s="40">
        <v>2125</v>
      </c>
      <c r="AA226" s="40">
        <v>22525</v>
      </c>
      <c r="AB226" s="41"/>
      <c r="AC226" s="41" t="s">
        <v>1914</v>
      </c>
      <c r="AD226" s="41" t="s">
        <v>3160</v>
      </c>
      <c r="AE226" s="41"/>
      <c r="AF226" s="41" t="s">
        <v>1526</v>
      </c>
      <c r="AG226" s="41" t="s">
        <v>356</v>
      </c>
      <c r="AH226" s="41" t="s">
        <v>1601</v>
      </c>
      <c r="AI226" s="41" t="s">
        <v>1532</v>
      </c>
    </row>
    <row r="227" spans="1:35" x14ac:dyDescent="0.2">
      <c r="A227" s="53">
        <v>22625</v>
      </c>
      <c r="B227" s="41" t="s">
        <v>1526</v>
      </c>
      <c r="C227" s="41" t="s">
        <v>1602</v>
      </c>
      <c r="D227" s="41" t="s">
        <v>312</v>
      </c>
      <c r="E227" s="55">
        <v>923211</v>
      </c>
      <c r="F227" s="41" t="s">
        <v>69</v>
      </c>
      <c r="G227" s="41" t="s">
        <v>29</v>
      </c>
      <c r="H227" s="41" t="s">
        <v>30</v>
      </c>
      <c r="I227" s="41" t="s">
        <v>31</v>
      </c>
      <c r="J227" s="41" t="s">
        <v>32</v>
      </c>
      <c r="K227" s="41" t="s">
        <v>33</v>
      </c>
      <c r="L227" s="50">
        <v>45995110</v>
      </c>
      <c r="M227" s="50">
        <v>0</v>
      </c>
      <c r="N227" s="50">
        <v>45995110</v>
      </c>
      <c r="O227" s="50">
        <v>42775452</v>
      </c>
      <c r="P227" s="43" t="s">
        <v>351</v>
      </c>
      <c r="Q227" s="40">
        <v>80764556</v>
      </c>
      <c r="R227" s="41" t="s">
        <v>1603</v>
      </c>
      <c r="S227" s="41" t="s">
        <v>316</v>
      </c>
      <c r="T227" s="41" t="s">
        <v>317</v>
      </c>
      <c r="U227" s="41" t="s">
        <v>1604</v>
      </c>
      <c r="V227" s="41" t="s">
        <v>319</v>
      </c>
      <c r="W227" s="40">
        <v>860002964</v>
      </c>
      <c r="X227" s="41" t="s">
        <v>419</v>
      </c>
      <c r="Y227" s="40">
        <v>2125</v>
      </c>
      <c r="Z227" s="40">
        <v>2125</v>
      </c>
      <c r="AA227" s="40">
        <v>22625</v>
      </c>
      <c r="AB227" s="41"/>
      <c r="AC227" s="41" t="s">
        <v>1919</v>
      </c>
      <c r="AD227" s="41" t="s">
        <v>3161</v>
      </c>
      <c r="AE227" s="41"/>
      <c r="AF227" s="41" t="s">
        <v>1526</v>
      </c>
      <c r="AG227" s="41" t="s">
        <v>356</v>
      </c>
      <c r="AH227" s="41" t="s">
        <v>1606</v>
      </c>
      <c r="AI227" s="41" t="s">
        <v>1532</v>
      </c>
    </row>
    <row r="228" spans="1:35" x14ac:dyDescent="0.2">
      <c r="A228" s="53">
        <v>22725</v>
      </c>
      <c r="B228" s="41" t="s">
        <v>1526</v>
      </c>
      <c r="C228" s="41" t="s">
        <v>1607</v>
      </c>
      <c r="D228" s="41" t="s">
        <v>312</v>
      </c>
      <c r="E228" s="55">
        <v>923211</v>
      </c>
      <c r="F228" s="41" t="s">
        <v>69</v>
      </c>
      <c r="G228" s="41" t="s">
        <v>29</v>
      </c>
      <c r="H228" s="41" t="s">
        <v>30</v>
      </c>
      <c r="I228" s="41" t="s">
        <v>31</v>
      </c>
      <c r="J228" s="41" t="s">
        <v>32</v>
      </c>
      <c r="K228" s="41" t="s">
        <v>33</v>
      </c>
      <c r="L228" s="50">
        <v>45995110</v>
      </c>
      <c r="M228" s="50">
        <v>0</v>
      </c>
      <c r="N228" s="50">
        <v>45995110</v>
      </c>
      <c r="O228" s="50">
        <v>42775452</v>
      </c>
      <c r="P228" s="43" t="s">
        <v>351</v>
      </c>
      <c r="Q228" s="40">
        <v>84079403</v>
      </c>
      <c r="R228" s="41" t="s">
        <v>1608</v>
      </c>
      <c r="S228" s="41" t="s">
        <v>316</v>
      </c>
      <c r="T228" s="41" t="s">
        <v>317</v>
      </c>
      <c r="U228" s="41" t="s">
        <v>1609</v>
      </c>
      <c r="V228" s="41" t="s">
        <v>319</v>
      </c>
      <c r="W228" s="40">
        <v>860003020</v>
      </c>
      <c r="X228" s="41" t="s">
        <v>393</v>
      </c>
      <c r="Y228" s="40">
        <v>2125</v>
      </c>
      <c r="Z228" s="40">
        <v>2125</v>
      </c>
      <c r="AA228" s="40">
        <v>22725</v>
      </c>
      <c r="AB228" s="41"/>
      <c r="AC228" s="41" t="s">
        <v>1928</v>
      </c>
      <c r="AD228" s="41" t="s">
        <v>3162</v>
      </c>
      <c r="AE228" s="41"/>
      <c r="AF228" s="41" t="s">
        <v>1526</v>
      </c>
      <c r="AG228" s="41" t="s">
        <v>356</v>
      </c>
      <c r="AH228" s="41" t="s">
        <v>1611</v>
      </c>
      <c r="AI228" s="41" t="s">
        <v>1532</v>
      </c>
    </row>
    <row r="229" spans="1:35" x14ac:dyDescent="0.2">
      <c r="A229" s="53">
        <v>22825</v>
      </c>
      <c r="B229" s="41" t="s">
        <v>1526</v>
      </c>
      <c r="C229" s="41" t="s">
        <v>1612</v>
      </c>
      <c r="D229" s="41" t="s">
        <v>312</v>
      </c>
      <c r="E229" s="55">
        <v>923211</v>
      </c>
      <c r="F229" s="41" t="s">
        <v>69</v>
      </c>
      <c r="G229" s="41" t="s">
        <v>29</v>
      </c>
      <c r="H229" s="41" t="s">
        <v>30</v>
      </c>
      <c r="I229" s="41" t="s">
        <v>31</v>
      </c>
      <c r="J229" s="41" t="s">
        <v>32</v>
      </c>
      <c r="K229" s="41" t="s">
        <v>33</v>
      </c>
      <c r="L229" s="50">
        <v>45995110</v>
      </c>
      <c r="M229" s="50">
        <v>0</v>
      </c>
      <c r="N229" s="50">
        <v>45995110</v>
      </c>
      <c r="O229" s="50">
        <v>42775452</v>
      </c>
      <c r="P229" s="43" t="s">
        <v>351</v>
      </c>
      <c r="Q229" s="40">
        <v>79348348</v>
      </c>
      <c r="R229" s="41" t="s">
        <v>1613</v>
      </c>
      <c r="S229" s="41" t="s">
        <v>316</v>
      </c>
      <c r="T229" s="41" t="s">
        <v>317</v>
      </c>
      <c r="U229" s="41" t="s">
        <v>1614</v>
      </c>
      <c r="V229" s="41" t="s">
        <v>319</v>
      </c>
      <c r="W229" s="40">
        <v>860003020</v>
      </c>
      <c r="X229" s="41" t="s">
        <v>393</v>
      </c>
      <c r="Y229" s="40">
        <v>2125</v>
      </c>
      <c r="Z229" s="40">
        <v>2125</v>
      </c>
      <c r="AA229" s="40">
        <v>22825</v>
      </c>
      <c r="AB229" s="41"/>
      <c r="AC229" s="41" t="s">
        <v>575</v>
      </c>
      <c r="AD229" s="41" t="s">
        <v>3163</v>
      </c>
      <c r="AE229" s="41"/>
      <c r="AF229" s="41" t="s">
        <v>1526</v>
      </c>
      <c r="AG229" s="41" t="s">
        <v>356</v>
      </c>
      <c r="AH229" s="41" t="s">
        <v>1616</v>
      </c>
      <c r="AI229" s="41" t="s">
        <v>1532</v>
      </c>
    </row>
    <row r="230" spans="1:35" x14ac:dyDescent="0.2">
      <c r="A230" s="53">
        <v>22925</v>
      </c>
      <c r="B230" s="41" t="s">
        <v>1526</v>
      </c>
      <c r="C230" s="41" t="s">
        <v>1617</v>
      </c>
      <c r="D230" s="41" t="s">
        <v>312</v>
      </c>
      <c r="E230" s="55">
        <v>923211</v>
      </c>
      <c r="F230" s="41" t="s">
        <v>69</v>
      </c>
      <c r="G230" s="41" t="s">
        <v>29</v>
      </c>
      <c r="H230" s="41" t="s">
        <v>30</v>
      </c>
      <c r="I230" s="41" t="s">
        <v>31</v>
      </c>
      <c r="J230" s="41" t="s">
        <v>32</v>
      </c>
      <c r="K230" s="41" t="s">
        <v>33</v>
      </c>
      <c r="L230" s="50">
        <v>45995110</v>
      </c>
      <c r="M230" s="50">
        <v>0</v>
      </c>
      <c r="N230" s="50">
        <v>45995110</v>
      </c>
      <c r="O230" s="50">
        <v>42775452</v>
      </c>
      <c r="P230" s="43" t="s">
        <v>351</v>
      </c>
      <c r="Q230" s="40">
        <v>79712469</v>
      </c>
      <c r="R230" s="41" t="s">
        <v>1618</v>
      </c>
      <c r="S230" s="41" t="s">
        <v>316</v>
      </c>
      <c r="T230" s="41" t="s">
        <v>317</v>
      </c>
      <c r="U230" s="41" t="s">
        <v>1619</v>
      </c>
      <c r="V230" s="41" t="s">
        <v>319</v>
      </c>
      <c r="W230" s="40">
        <v>860007335</v>
      </c>
      <c r="X230" s="41" t="s">
        <v>381</v>
      </c>
      <c r="Y230" s="40">
        <v>2125</v>
      </c>
      <c r="Z230" s="40">
        <v>2125</v>
      </c>
      <c r="AA230" s="40">
        <v>22925</v>
      </c>
      <c r="AB230" s="41"/>
      <c r="AC230" s="41" t="s">
        <v>1938</v>
      </c>
      <c r="AD230" s="41" t="s">
        <v>3164</v>
      </c>
      <c r="AE230" s="41"/>
      <c r="AF230" s="41" t="s">
        <v>1526</v>
      </c>
      <c r="AG230" s="41" t="s">
        <v>356</v>
      </c>
      <c r="AH230" s="41" t="s">
        <v>1621</v>
      </c>
      <c r="AI230" s="41" t="s">
        <v>1532</v>
      </c>
    </row>
    <row r="231" spans="1:35" x14ac:dyDescent="0.2">
      <c r="A231" s="53">
        <v>23025</v>
      </c>
      <c r="B231" s="41" t="s">
        <v>1526</v>
      </c>
      <c r="C231" s="41" t="s">
        <v>1622</v>
      </c>
      <c r="D231" s="41" t="s">
        <v>312</v>
      </c>
      <c r="E231" s="55">
        <v>923211</v>
      </c>
      <c r="F231" s="41" t="s">
        <v>69</v>
      </c>
      <c r="G231" s="41" t="s">
        <v>29</v>
      </c>
      <c r="H231" s="41" t="s">
        <v>30</v>
      </c>
      <c r="I231" s="41" t="s">
        <v>31</v>
      </c>
      <c r="J231" s="41" t="s">
        <v>32</v>
      </c>
      <c r="K231" s="41" t="s">
        <v>33</v>
      </c>
      <c r="L231" s="50">
        <v>45995110</v>
      </c>
      <c r="M231" s="50">
        <v>0</v>
      </c>
      <c r="N231" s="50">
        <v>45995110</v>
      </c>
      <c r="O231" s="50">
        <v>42775452</v>
      </c>
      <c r="P231" s="43" t="s">
        <v>351</v>
      </c>
      <c r="Q231" s="40">
        <v>5916502</v>
      </c>
      <c r="R231" s="41" t="s">
        <v>1623</v>
      </c>
      <c r="S231" s="41" t="s">
        <v>316</v>
      </c>
      <c r="T231" s="41" t="s">
        <v>317</v>
      </c>
      <c r="U231" s="41" t="s">
        <v>3167</v>
      </c>
      <c r="V231" s="41" t="s">
        <v>319</v>
      </c>
      <c r="W231" s="40">
        <v>860034313</v>
      </c>
      <c r="X231" s="41" t="s">
        <v>355</v>
      </c>
      <c r="Y231" s="40">
        <v>2125</v>
      </c>
      <c r="Z231" s="40">
        <v>2125</v>
      </c>
      <c r="AA231" s="40">
        <v>23025</v>
      </c>
      <c r="AB231" s="41"/>
      <c r="AC231" s="41" t="s">
        <v>1945</v>
      </c>
      <c r="AD231" s="41" t="s">
        <v>3166</v>
      </c>
      <c r="AE231" s="41"/>
      <c r="AF231" s="41" t="s">
        <v>1526</v>
      </c>
      <c r="AG231" s="41" t="s">
        <v>356</v>
      </c>
      <c r="AH231" s="41" t="s">
        <v>1625</v>
      </c>
      <c r="AI231" s="41" t="s">
        <v>1532</v>
      </c>
    </row>
    <row r="232" spans="1:35" x14ac:dyDescent="0.2">
      <c r="A232" s="53">
        <v>23125</v>
      </c>
      <c r="B232" s="41" t="s">
        <v>1526</v>
      </c>
      <c r="C232" s="41" t="s">
        <v>1626</v>
      </c>
      <c r="D232" s="41" t="s">
        <v>312</v>
      </c>
      <c r="E232" s="55">
        <v>923211</v>
      </c>
      <c r="F232" s="41" t="s">
        <v>69</v>
      </c>
      <c r="G232" s="41" t="s">
        <v>29</v>
      </c>
      <c r="H232" s="41" t="s">
        <v>30</v>
      </c>
      <c r="I232" s="41" t="s">
        <v>31</v>
      </c>
      <c r="J232" s="41" t="s">
        <v>32</v>
      </c>
      <c r="K232" s="41" t="s">
        <v>33</v>
      </c>
      <c r="L232" s="50">
        <v>45995110</v>
      </c>
      <c r="M232" s="50">
        <v>0</v>
      </c>
      <c r="N232" s="50">
        <v>45995110</v>
      </c>
      <c r="O232" s="50">
        <v>42775452</v>
      </c>
      <c r="P232" s="43" t="s">
        <v>351</v>
      </c>
      <c r="Q232" s="40">
        <v>3230265</v>
      </c>
      <c r="R232" s="41" t="s">
        <v>1627</v>
      </c>
      <c r="S232" s="41" t="s">
        <v>316</v>
      </c>
      <c r="T232" s="41" t="s">
        <v>317</v>
      </c>
      <c r="U232" s="41" t="s">
        <v>1628</v>
      </c>
      <c r="V232" s="41" t="s">
        <v>319</v>
      </c>
      <c r="W232" s="40">
        <v>860034594</v>
      </c>
      <c r="X232" s="41" t="s">
        <v>374</v>
      </c>
      <c r="Y232" s="40">
        <v>2125</v>
      </c>
      <c r="Z232" s="40">
        <v>2125</v>
      </c>
      <c r="AA232" s="40">
        <v>23125</v>
      </c>
      <c r="AB232" s="41"/>
      <c r="AC232" s="41" t="s">
        <v>573</v>
      </c>
      <c r="AD232" s="41" t="s">
        <v>3168</v>
      </c>
      <c r="AE232" s="41"/>
      <c r="AF232" s="41" t="s">
        <v>1526</v>
      </c>
      <c r="AG232" s="41" t="s">
        <v>356</v>
      </c>
      <c r="AH232" s="41" t="s">
        <v>1630</v>
      </c>
      <c r="AI232" s="41" t="s">
        <v>1532</v>
      </c>
    </row>
    <row r="233" spans="1:35" x14ac:dyDescent="0.2">
      <c r="A233" s="53">
        <v>23225</v>
      </c>
      <c r="B233" s="41" t="s">
        <v>1526</v>
      </c>
      <c r="C233" s="41" t="s">
        <v>1631</v>
      </c>
      <c r="D233" s="41" t="s">
        <v>312</v>
      </c>
      <c r="E233" s="55">
        <v>923211</v>
      </c>
      <c r="F233" s="41" t="s">
        <v>69</v>
      </c>
      <c r="G233" s="41" t="s">
        <v>29</v>
      </c>
      <c r="H233" s="41" t="s">
        <v>30</v>
      </c>
      <c r="I233" s="41" t="s">
        <v>31</v>
      </c>
      <c r="J233" s="41" t="s">
        <v>32</v>
      </c>
      <c r="K233" s="41" t="s">
        <v>33</v>
      </c>
      <c r="L233" s="50">
        <v>45995110</v>
      </c>
      <c r="M233" s="50">
        <v>0</v>
      </c>
      <c r="N233" s="50">
        <v>45995110</v>
      </c>
      <c r="O233" s="50">
        <v>42775452</v>
      </c>
      <c r="P233" s="43" t="s">
        <v>351</v>
      </c>
      <c r="Q233" s="40">
        <v>20755992</v>
      </c>
      <c r="R233" s="41" t="s">
        <v>1632</v>
      </c>
      <c r="S233" s="41" t="s">
        <v>316</v>
      </c>
      <c r="T233" s="41" t="s">
        <v>317</v>
      </c>
      <c r="U233" s="41" t="s">
        <v>1633</v>
      </c>
      <c r="V233" s="41" t="s">
        <v>319</v>
      </c>
      <c r="W233" s="40">
        <v>860007335</v>
      </c>
      <c r="X233" s="41" t="s">
        <v>381</v>
      </c>
      <c r="Y233" s="40">
        <v>2125</v>
      </c>
      <c r="Z233" s="40">
        <v>2125</v>
      </c>
      <c r="AA233" s="40">
        <v>23225</v>
      </c>
      <c r="AB233" s="41"/>
      <c r="AC233" s="41" t="s">
        <v>1955</v>
      </c>
      <c r="AD233" s="41" t="s">
        <v>3170</v>
      </c>
      <c r="AE233" s="41"/>
      <c r="AF233" s="41" t="s">
        <v>1526</v>
      </c>
      <c r="AG233" s="41" t="s">
        <v>356</v>
      </c>
      <c r="AH233" s="41" t="s">
        <v>1635</v>
      </c>
      <c r="AI233" s="41" t="s">
        <v>1532</v>
      </c>
    </row>
    <row r="234" spans="1:35" x14ac:dyDescent="0.2">
      <c r="A234" s="53">
        <v>23325</v>
      </c>
      <c r="B234" s="41" t="s">
        <v>1526</v>
      </c>
      <c r="C234" s="41" t="s">
        <v>1636</v>
      </c>
      <c r="D234" s="41" t="s">
        <v>312</v>
      </c>
      <c r="E234" s="55">
        <v>923211</v>
      </c>
      <c r="F234" s="41" t="s">
        <v>69</v>
      </c>
      <c r="G234" s="41" t="s">
        <v>29</v>
      </c>
      <c r="H234" s="41" t="s">
        <v>30</v>
      </c>
      <c r="I234" s="41" t="s">
        <v>31</v>
      </c>
      <c r="J234" s="41" t="s">
        <v>32</v>
      </c>
      <c r="K234" s="41" t="s">
        <v>33</v>
      </c>
      <c r="L234" s="50">
        <v>45995110</v>
      </c>
      <c r="M234" s="50">
        <v>0</v>
      </c>
      <c r="N234" s="50">
        <v>45995110</v>
      </c>
      <c r="O234" s="50">
        <v>42775452</v>
      </c>
      <c r="P234" s="43" t="s">
        <v>351</v>
      </c>
      <c r="Q234" s="40">
        <v>33702053</v>
      </c>
      <c r="R234" s="41" t="s">
        <v>1637</v>
      </c>
      <c r="S234" s="41" t="s">
        <v>316</v>
      </c>
      <c r="T234" s="41" t="s">
        <v>317</v>
      </c>
      <c r="U234" s="41" t="s">
        <v>1638</v>
      </c>
      <c r="V234" s="41" t="s">
        <v>319</v>
      </c>
      <c r="W234" s="40">
        <v>890903938</v>
      </c>
      <c r="X234" s="41" t="s">
        <v>342</v>
      </c>
      <c r="Y234" s="40">
        <v>2125</v>
      </c>
      <c r="Z234" s="40">
        <v>2125</v>
      </c>
      <c r="AA234" s="40">
        <v>23325</v>
      </c>
      <c r="AB234" s="41"/>
      <c r="AC234" s="41" t="s">
        <v>1961</v>
      </c>
      <c r="AD234" s="41" t="s">
        <v>3171</v>
      </c>
      <c r="AE234" s="41"/>
      <c r="AF234" s="41" t="s">
        <v>1526</v>
      </c>
      <c r="AG234" s="41" t="s">
        <v>356</v>
      </c>
      <c r="AH234" s="41" t="s">
        <v>1640</v>
      </c>
      <c r="AI234" s="41" t="s">
        <v>1532</v>
      </c>
    </row>
    <row r="235" spans="1:35" x14ac:dyDescent="0.2">
      <c r="A235" s="53">
        <v>23425</v>
      </c>
      <c r="B235" s="41" t="s">
        <v>1526</v>
      </c>
      <c r="C235" s="41" t="s">
        <v>1641</v>
      </c>
      <c r="D235" s="41" t="s">
        <v>312</v>
      </c>
      <c r="E235" s="55">
        <v>923211</v>
      </c>
      <c r="F235" s="41" t="s">
        <v>69</v>
      </c>
      <c r="G235" s="41" t="s">
        <v>29</v>
      </c>
      <c r="H235" s="41" t="s">
        <v>30</v>
      </c>
      <c r="I235" s="41" t="s">
        <v>31</v>
      </c>
      <c r="J235" s="41" t="s">
        <v>32</v>
      </c>
      <c r="K235" s="41" t="s">
        <v>33</v>
      </c>
      <c r="L235" s="50">
        <v>45995110</v>
      </c>
      <c r="M235" s="50">
        <v>0</v>
      </c>
      <c r="N235" s="50">
        <v>45995110</v>
      </c>
      <c r="O235" s="50">
        <v>42775452</v>
      </c>
      <c r="P235" s="43" t="s">
        <v>351</v>
      </c>
      <c r="Q235" s="40">
        <v>82390869</v>
      </c>
      <c r="R235" s="41" t="s">
        <v>1642</v>
      </c>
      <c r="S235" s="41" t="s">
        <v>316</v>
      </c>
      <c r="T235" s="41" t="s">
        <v>317</v>
      </c>
      <c r="U235" s="41" t="s">
        <v>1643</v>
      </c>
      <c r="V235" s="41" t="s">
        <v>319</v>
      </c>
      <c r="W235" s="40">
        <v>890903938</v>
      </c>
      <c r="X235" s="41" t="s">
        <v>342</v>
      </c>
      <c r="Y235" s="40">
        <v>2125</v>
      </c>
      <c r="Z235" s="40">
        <v>2125</v>
      </c>
      <c r="AA235" s="40">
        <v>23425</v>
      </c>
      <c r="AB235" s="41"/>
      <c r="AC235" s="41" t="s">
        <v>1967</v>
      </c>
      <c r="AD235" s="41" t="s">
        <v>3172</v>
      </c>
      <c r="AE235" s="41"/>
      <c r="AF235" s="41" t="s">
        <v>1526</v>
      </c>
      <c r="AG235" s="41" t="s">
        <v>356</v>
      </c>
      <c r="AH235" s="41" t="s">
        <v>1645</v>
      </c>
      <c r="AI235" s="41" t="s">
        <v>1532</v>
      </c>
    </row>
    <row r="236" spans="1:35" x14ac:dyDescent="0.2">
      <c r="A236" s="53">
        <v>23525</v>
      </c>
      <c r="B236" s="41" t="s">
        <v>1526</v>
      </c>
      <c r="C236" s="41" t="s">
        <v>1646</v>
      </c>
      <c r="D236" s="41" t="s">
        <v>312</v>
      </c>
      <c r="E236" s="55">
        <v>923211</v>
      </c>
      <c r="F236" s="41" t="s">
        <v>69</v>
      </c>
      <c r="G236" s="41" t="s">
        <v>29</v>
      </c>
      <c r="H236" s="41" t="s">
        <v>30</v>
      </c>
      <c r="I236" s="41" t="s">
        <v>31</v>
      </c>
      <c r="J236" s="41" t="s">
        <v>32</v>
      </c>
      <c r="K236" s="41" t="s">
        <v>33</v>
      </c>
      <c r="L236" s="50">
        <v>45995110</v>
      </c>
      <c r="M236" s="50">
        <v>0</v>
      </c>
      <c r="N236" s="50">
        <v>45995110</v>
      </c>
      <c r="O236" s="50">
        <v>42775452</v>
      </c>
      <c r="P236" s="43" t="s">
        <v>351</v>
      </c>
      <c r="Q236" s="40">
        <v>82395377</v>
      </c>
      <c r="R236" s="41" t="s">
        <v>1647</v>
      </c>
      <c r="S236" s="41" t="s">
        <v>316</v>
      </c>
      <c r="T236" s="41" t="s">
        <v>317</v>
      </c>
      <c r="U236" s="41" t="s">
        <v>1648</v>
      </c>
      <c r="V236" s="41" t="s">
        <v>319</v>
      </c>
      <c r="W236" s="40">
        <v>860034313</v>
      </c>
      <c r="X236" s="41" t="s">
        <v>355</v>
      </c>
      <c r="Y236" s="40">
        <v>2125</v>
      </c>
      <c r="Z236" s="40">
        <v>2125</v>
      </c>
      <c r="AA236" s="40">
        <v>23525</v>
      </c>
      <c r="AB236" s="41"/>
      <c r="AC236" s="41" t="s">
        <v>1972</v>
      </c>
      <c r="AD236" s="41" t="s">
        <v>3173</v>
      </c>
      <c r="AE236" s="41"/>
      <c r="AF236" s="41" t="s">
        <v>1526</v>
      </c>
      <c r="AG236" s="41" t="s">
        <v>356</v>
      </c>
      <c r="AH236" s="41" t="s">
        <v>1650</v>
      </c>
      <c r="AI236" s="41" t="s">
        <v>1532</v>
      </c>
    </row>
    <row r="237" spans="1:35" x14ac:dyDescent="0.2">
      <c r="A237" s="53">
        <v>23625</v>
      </c>
      <c r="B237" s="41" t="s">
        <v>1526</v>
      </c>
      <c r="C237" s="41" t="s">
        <v>1646</v>
      </c>
      <c r="D237" s="41" t="s">
        <v>312</v>
      </c>
      <c r="E237" s="55">
        <v>923211</v>
      </c>
      <c r="F237" s="41" t="s">
        <v>69</v>
      </c>
      <c r="G237" s="41" t="s">
        <v>29</v>
      </c>
      <c r="H237" s="41" t="s">
        <v>30</v>
      </c>
      <c r="I237" s="41" t="s">
        <v>31</v>
      </c>
      <c r="J237" s="41" t="s">
        <v>32</v>
      </c>
      <c r="K237" s="41" t="s">
        <v>33</v>
      </c>
      <c r="L237" s="50">
        <v>45995110</v>
      </c>
      <c r="M237" s="50">
        <v>0</v>
      </c>
      <c r="N237" s="50">
        <v>45995110</v>
      </c>
      <c r="O237" s="50">
        <v>42775452</v>
      </c>
      <c r="P237" s="43" t="s">
        <v>351</v>
      </c>
      <c r="Q237" s="40">
        <v>88216911</v>
      </c>
      <c r="R237" s="41" t="s">
        <v>1651</v>
      </c>
      <c r="S237" s="41" t="s">
        <v>316</v>
      </c>
      <c r="T237" s="41" t="s">
        <v>317</v>
      </c>
      <c r="U237" s="41" t="s">
        <v>1652</v>
      </c>
      <c r="V237" s="41" t="s">
        <v>319</v>
      </c>
      <c r="W237" s="40">
        <v>860007335</v>
      </c>
      <c r="X237" s="41" t="s">
        <v>381</v>
      </c>
      <c r="Y237" s="40">
        <v>2125</v>
      </c>
      <c r="Z237" s="40">
        <v>2125</v>
      </c>
      <c r="AA237" s="40">
        <v>23625</v>
      </c>
      <c r="AB237" s="41"/>
      <c r="AC237" s="41" t="s">
        <v>1978</v>
      </c>
      <c r="AD237" s="41" t="s">
        <v>3583</v>
      </c>
      <c r="AE237" s="41"/>
      <c r="AF237" s="41" t="s">
        <v>1526</v>
      </c>
      <c r="AG237" s="41" t="s">
        <v>356</v>
      </c>
      <c r="AH237" s="41" t="s">
        <v>1654</v>
      </c>
      <c r="AI237" s="41" t="s">
        <v>1532</v>
      </c>
    </row>
    <row r="238" spans="1:35" x14ac:dyDescent="0.2">
      <c r="A238" s="53">
        <v>23725</v>
      </c>
      <c r="B238" s="41" t="s">
        <v>1526</v>
      </c>
      <c r="C238" s="41" t="s">
        <v>1655</v>
      </c>
      <c r="D238" s="41" t="s">
        <v>312</v>
      </c>
      <c r="E238" s="55">
        <v>923211</v>
      </c>
      <c r="F238" s="41" t="s">
        <v>69</v>
      </c>
      <c r="G238" s="41" t="s">
        <v>29</v>
      </c>
      <c r="H238" s="41" t="s">
        <v>30</v>
      </c>
      <c r="I238" s="41" t="s">
        <v>31</v>
      </c>
      <c r="J238" s="41" t="s">
        <v>32</v>
      </c>
      <c r="K238" s="41" t="s">
        <v>33</v>
      </c>
      <c r="L238" s="50">
        <v>45995110</v>
      </c>
      <c r="M238" s="50">
        <v>0</v>
      </c>
      <c r="N238" s="50">
        <v>45995110</v>
      </c>
      <c r="O238" s="50">
        <v>42775452</v>
      </c>
      <c r="P238" s="43" t="s">
        <v>351</v>
      </c>
      <c r="Q238" s="40">
        <v>91285312</v>
      </c>
      <c r="R238" s="41" t="s">
        <v>1656</v>
      </c>
      <c r="S238" s="41" t="s">
        <v>316</v>
      </c>
      <c r="T238" s="41" t="s">
        <v>317</v>
      </c>
      <c r="U238" s="41" t="s">
        <v>1657</v>
      </c>
      <c r="V238" s="41" t="s">
        <v>319</v>
      </c>
      <c r="W238" s="40">
        <v>860035827</v>
      </c>
      <c r="X238" s="41" t="s">
        <v>653</v>
      </c>
      <c r="Y238" s="40">
        <v>2125</v>
      </c>
      <c r="Z238" s="40">
        <v>2125</v>
      </c>
      <c r="AA238" s="40">
        <v>23725</v>
      </c>
      <c r="AB238" s="41"/>
      <c r="AC238" s="41" t="s">
        <v>1984</v>
      </c>
      <c r="AD238" s="41" t="s">
        <v>3174</v>
      </c>
      <c r="AE238" s="41"/>
      <c r="AF238" s="41" t="s">
        <v>1526</v>
      </c>
      <c r="AG238" s="41" t="s">
        <v>356</v>
      </c>
      <c r="AH238" s="41" t="s">
        <v>1659</v>
      </c>
      <c r="AI238" s="41" t="s">
        <v>1532</v>
      </c>
    </row>
    <row r="239" spans="1:35" x14ac:dyDescent="0.2">
      <c r="A239" s="53">
        <v>23825</v>
      </c>
      <c r="B239" s="41" t="s">
        <v>1526</v>
      </c>
      <c r="C239" s="41" t="s">
        <v>1660</v>
      </c>
      <c r="D239" s="41" t="s">
        <v>312</v>
      </c>
      <c r="E239" s="55">
        <v>923211</v>
      </c>
      <c r="F239" s="41" t="s">
        <v>69</v>
      </c>
      <c r="G239" s="41" t="s">
        <v>29</v>
      </c>
      <c r="H239" s="41" t="s">
        <v>30</v>
      </c>
      <c r="I239" s="41" t="s">
        <v>31</v>
      </c>
      <c r="J239" s="41" t="s">
        <v>32</v>
      </c>
      <c r="K239" s="41" t="s">
        <v>33</v>
      </c>
      <c r="L239" s="50">
        <v>45995110</v>
      </c>
      <c r="M239" s="50">
        <v>0</v>
      </c>
      <c r="N239" s="50">
        <v>45995110</v>
      </c>
      <c r="O239" s="50">
        <v>42775452</v>
      </c>
      <c r="P239" s="43" t="s">
        <v>351</v>
      </c>
      <c r="Q239" s="40">
        <v>93412419</v>
      </c>
      <c r="R239" s="41" t="s">
        <v>1661</v>
      </c>
      <c r="S239" s="41" t="s">
        <v>316</v>
      </c>
      <c r="T239" s="41" t="s">
        <v>317</v>
      </c>
      <c r="U239" s="41" t="s">
        <v>1662</v>
      </c>
      <c r="V239" s="41" t="s">
        <v>319</v>
      </c>
      <c r="W239" s="40">
        <v>860034313</v>
      </c>
      <c r="X239" s="41" t="s">
        <v>355</v>
      </c>
      <c r="Y239" s="40">
        <v>2125</v>
      </c>
      <c r="Z239" s="40">
        <v>2125</v>
      </c>
      <c r="AA239" s="40">
        <v>23825</v>
      </c>
      <c r="AB239" s="41"/>
      <c r="AC239" s="41" t="s">
        <v>1990</v>
      </c>
      <c r="AD239" s="41" t="s">
        <v>3176</v>
      </c>
      <c r="AE239" s="41"/>
      <c r="AF239" s="41" t="s">
        <v>1526</v>
      </c>
      <c r="AG239" s="41" t="s">
        <v>356</v>
      </c>
      <c r="AH239" s="41" t="s">
        <v>1664</v>
      </c>
      <c r="AI239" s="41" t="s">
        <v>1532</v>
      </c>
    </row>
    <row r="240" spans="1:35" x14ac:dyDescent="0.2">
      <c r="A240" s="53">
        <v>23925</v>
      </c>
      <c r="B240" s="41" t="s">
        <v>1526</v>
      </c>
      <c r="C240" s="41" t="s">
        <v>1665</v>
      </c>
      <c r="D240" s="41" t="s">
        <v>312</v>
      </c>
      <c r="E240" s="55">
        <v>923211</v>
      </c>
      <c r="F240" s="41" t="s">
        <v>69</v>
      </c>
      <c r="G240" s="41" t="s">
        <v>29</v>
      </c>
      <c r="H240" s="41" t="s">
        <v>30</v>
      </c>
      <c r="I240" s="41" t="s">
        <v>31</v>
      </c>
      <c r="J240" s="41" t="s">
        <v>32</v>
      </c>
      <c r="K240" s="41" t="s">
        <v>33</v>
      </c>
      <c r="L240" s="50">
        <v>45995110</v>
      </c>
      <c r="M240" s="50">
        <v>0</v>
      </c>
      <c r="N240" s="50">
        <v>45995110</v>
      </c>
      <c r="O240" s="50">
        <v>42775452</v>
      </c>
      <c r="P240" s="43" t="s">
        <v>351</v>
      </c>
      <c r="Q240" s="40">
        <v>14136095</v>
      </c>
      <c r="R240" s="41" t="s">
        <v>1666</v>
      </c>
      <c r="S240" s="41" t="s">
        <v>316</v>
      </c>
      <c r="T240" s="41" t="s">
        <v>317</v>
      </c>
      <c r="U240" s="41" t="s">
        <v>1667</v>
      </c>
      <c r="V240" s="41" t="s">
        <v>319</v>
      </c>
      <c r="W240" s="40">
        <v>860034313</v>
      </c>
      <c r="X240" s="41" t="s">
        <v>355</v>
      </c>
      <c r="Y240" s="40">
        <v>2125</v>
      </c>
      <c r="Z240" s="40">
        <v>2125</v>
      </c>
      <c r="AA240" s="40">
        <v>23925</v>
      </c>
      <c r="AB240" s="41"/>
      <c r="AC240" s="41" t="s">
        <v>1996</v>
      </c>
      <c r="AD240" s="41" t="s">
        <v>3177</v>
      </c>
      <c r="AE240" s="41"/>
      <c r="AF240" s="41" t="s">
        <v>1526</v>
      </c>
      <c r="AG240" s="41" t="s">
        <v>356</v>
      </c>
      <c r="AH240" s="41" t="s">
        <v>1669</v>
      </c>
      <c r="AI240" s="41" t="s">
        <v>1670</v>
      </c>
    </row>
    <row r="241" spans="1:35" x14ac:dyDescent="0.2">
      <c r="A241" s="53">
        <v>24025</v>
      </c>
      <c r="B241" s="41" t="s">
        <v>1526</v>
      </c>
      <c r="C241" s="41" t="s">
        <v>1671</v>
      </c>
      <c r="D241" s="41" t="s">
        <v>312</v>
      </c>
      <c r="E241" s="55">
        <v>923211</v>
      </c>
      <c r="F241" s="41" t="s">
        <v>69</v>
      </c>
      <c r="G241" s="41" t="s">
        <v>29</v>
      </c>
      <c r="H241" s="41" t="s">
        <v>30</v>
      </c>
      <c r="I241" s="41" t="s">
        <v>31</v>
      </c>
      <c r="J241" s="41" t="s">
        <v>32</v>
      </c>
      <c r="K241" s="41" t="s">
        <v>33</v>
      </c>
      <c r="L241" s="50">
        <v>45995110</v>
      </c>
      <c r="M241" s="50">
        <v>0</v>
      </c>
      <c r="N241" s="50">
        <v>45995110</v>
      </c>
      <c r="O241" s="50">
        <v>42775452</v>
      </c>
      <c r="P241" s="43" t="s">
        <v>351</v>
      </c>
      <c r="Q241" s="40">
        <v>19281696</v>
      </c>
      <c r="R241" s="41" t="s">
        <v>1672</v>
      </c>
      <c r="S241" s="41" t="s">
        <v>316</v>
      </c>
      <c r="T241" s="41" t="s">
        <v>317</v>
      </c>
      <c r="U241" s="41" t="s">
        <v>1673</v>
      </c>
      <c r="V241" s="41" t="s">
        <v>319</v>
      </c>
      <c r="W241" s="40">
        <v>890903938</v>
      </c>
      <c r="X241" s="41" t="s">
        <v>342</v>
      </c>
      <c r="Y241" s="40">
        <v>2125</v>
      </c>
      <c r="Z241" s="40">
        <v>2125</v>
      </c>
      <c r="AA241" s="40">
        <v>24025</v>
      </c>
      <c r="AB241" s="41"/>
      <c r="AC241" s="41" t="s">
        <v>2002</v>
      </c>
      <c r="AD241" s="41" t="s">
        <v>3178</v>
      </c>
      <c r="AE241" s="41"/>
      <c r="AF241" s="41" t="s">
        <v>1526</v>
      </c>
      <c r="AG241" s="41" t="s">
        <v>356</v>
      </c>
      <c r="AH241" s="41" t="s">
        <v>1675</v>
      </c>
      <c r="AI241" s="41" t="s">
        <v>1532</v>
      </c>
    </row>
    <row r="242" spans="1:35" x14ac:dyDescent="0.2">
      <c r="A242" s="53">
        <v>24125</v>
      </c>
      <c r="B242" s="41" t="s">
        <v>1526</v>
      </c>
      <c r="C242" s="41" t="s">
        <v>1676</v>
      </c>
      <c r="D242" s="41" t="s">
        <v>312</v>
      </c>
      <c r="E242" s="55">
        <v>923211</v>
      </c>
      <c r="F242" s="41" t="s">
        <v>69</v>
      </c>
      <c r="G242" s="41" t="s">
        <v>29</v>
      </c>
      <c r="H242" s="41" t="s">
        <v>30</v>
      </c>
      <c r="I242" s="41" t="s">
        <v>31</v>
      </c>
      <c r="J242" s="41" t="s">
        <v>32</v>
      </c>
      <c r="K242" s="41" t="s">
        <v>33</v>
      </c>
      <c r="L242" s="50">
        <v>45995110</v>
      </c>
      <c r="M242" s="50">
        <v>0</v>
      </c>
      <c r="N242" s="50">
        <v>45995110</v>
      </c>
      <c r="O242" s="50">
        <v>42775452</v>
      </c>
      <c r="P242" s="43" t="s">
        <v>351</v>
      </c>
      <c r="Q242" s="40">
        <v>79051081</v>
      </c>
      <c r="R242" s="41" t="s">
        <v>1677</v>
      </c>
      <c r="S242" s="41" t="s">
        <v>316</v>
      </c>
      <c r="T242" s="41" t="s">
        <v>317</v>
      </c>
      <c r="U242" s="41" t="s">
        <v>1678</v>
      </c>
      <c r="V242" s="41" t="s">
        <v>319</v>
      </c>
      <c r="W242" s="40">
        <v>890903938</v>
      </c>
      <c r="X242" s="41" t="s">
        <v>342</v>
      </c>
      <c r="Y242" s="40">
        <v>2125</v>
      </c>
      <c r="Z242" s="40">
        <v>2125</v>
      </c>
      <c r="AA242" s="40">
        <v>24125</v>
      </c>
      <c r="AB242" s="41"/>
      <c r="AC242" s="41" t="s">
        <v>2008</v>
      </c>
      <c r="AD242" s="41" t="s">
        <v>3179</v>
      </c>
      <c r="AE242" s="41"/>
      <c r="AF242" s="41" t="s">
        <v>1526</v>
      </c>
      <c r="AG242" s="41" t="s">
        <v>356</v>
      </c>
      <c r="AH242" s="41" t="s">
        <v>1680</v>
      </c>
      <c r="AI242" s="41" t="s">
        <v>1532</v>
      </c>
    </row>
    <row r="243" spans="1:35" x14ac:dyDescent="0.2">
      <c r="A243" s="53">
        <v>24225</v>
      </c>
      <c r="B243" s="41" t="s">
        <v>1526</v>
      </c>
      <c r="C243" s="41" t="s">
        <v>1681</v>
      </c>
      <c r="D243" s="41" t="s">
        <v>312</v>
      </c>
      <c r="E243" s="55">
        <v>923211</v>
      </c>
      <c r="F243" s="41" t="s">
        <v>69</v>
      </c>
      <c r="G243" s="41" t="s">
        <v>29</v>
      </c>
      <c r="H243" s="41" t="s">
        <v>30</v>
      </c>
      <c r="I243" s="41" t="s">
        <v>31</v>
      </c>
      <c r="J243" s="41" t="s">
        <v>32</v>
      </c>
      <c r="K243" s="41" t="s">
        <v>33</v>
      </c>
      <c r="L243" s="50">
        <v>45995110</v>
      </c>
      <c r="M243" s="50">
        <v>0</v>
      </c>
      <c r="N243" s="50">
        <v>45995110</v>
      </c>
      <c r="O243" s="50">
        <v>42775452</v>
      </c>
      <c r="P243" s="43" t="s">
        <v>351</v>
      </c>
      <c r="Q243" s="40">
        <v>79876770</v>
      </c>
      <c r="R243" s="41" t="s">
        <v>1682</v>
      </c>
      <c r="S243" s="41" t="s">
        <v>316</v>
      </c>
      <c r="T243" s="41" t="s">
        <v>317</v>
      </c>
      <c r="U243" s="41" t="s">
        <v>1683</v>
      </c>
      <c r="V243" s="41" t="s">
        <v>319</v>
      </c>
      <c r="W243" s="40">
        <v>860007335</v>
      </c>
      <c r="X243" s="41" t="s">
        <v>381</v>
      </c>
      <c r="Y243" s="40">
        <v>2125</v>
      </c>
      <c r="Z243" s="40">
        <v>2125</v>
      </c>
      <c r="AA243" s="40">
        <v>24225</v>
      </c>
      <c r="AB243" s="41"/>
      <c r="AC243" s="41" t="s">
        <v>2013</v>
      </c>
      <c r="AD243" s="41" t="s">
        <v>3181</v>
      </c>
      <c r="AE243" s="41"/>
      <c r="AF243" s="41" t="s">
        <v>1526</v>
      </c>
      <c r="AG243" s="41" t="s">
        <v>356</v>
      </c>
      <c r="AH243" s="41" t="s">
        <v>1685</v>
      </c>
      <c r="AI243" s="41" t="s">
        <v>1532</v>
      </c>
    </row>
    <row r="244" spans="1:35" x14ac:dyDescent="0.2">
      <c r="A244" s="53">
        <v>24325</v>
      </c>
      <c r="B244" s="41" t="s">
        <v>1526</v>
      </c>
      <c r="C244" s="41" t="s">
        <v>1686</v>
      </c>
      <c r="D244" s="41" t="s">
        <v>312</v>
      </c>
      <c r="E244" s="55">
        <v>923238</v>
      </c>
      <c r="F244" s="41" t="s">
        <v>569</v>
      </c>
      <c r="G244" s="41" t="s">
        <v>29</v>
      </c>
      <c r="H244" s="41" t="s">
        <v>30</v>
      </c>
      <c r="I244" s="41" t="s">
        <v>31</v>
      </c>
      <c r="J244" s="41" t="s">
        <v>32</v>
      </c>
      <c r="K244" s="41" t="s">
        <v>33</v>
      </c>
      <c r="L244" s="50">
        <v>47988231</v>
      </c>
      <c r="M244" s="50">
        <v>0</v>
      </c>
      <c r="N244" s="50">
        <v>47988231</v>
      </c>
      <c r="O244" s="50">
        <v>44768573</v>
      </c>
      <c r="P244" s="43" t="s">
        <v>351</v>
      </c>
      <c r="Q244" s="40">
        <v>11257178</v>
      </c>
      <c r="R244" s="41" t="s">
        <v>1687</v>
      </c>
      <c r="S244" s="41" t="s">
        <v>316</v>
      </c>
      <c r="T244" s="41" t="s">
        <v>317</v>
      </c>
      <c r="U244" s="41" t="s">
        <v>1688</v>
      </c>
      <c r="V244" s="41" t="s">
        <v>319</v>
      </c>
      <c r="W244" s="40">
        <v>890903938</v>
      </c>
      <c r="X244" s="41" t="s">
        <v>342</v>
      </c>
      <c r="Y244" s="40">
        <v>125</v>
      </c>
      <c r="Z244" s="40">
        <v>125</v>
      </c>
      <c r="AA244" s="40">
        <v>24325</v>
      </c>
      <c r="AB244" s="41"/>
      <c r="AC244" s="41" t="s">
        <v>2019</v>
      </c>
      <c r="AD244" s="41" t="s">
        <v>3182</v>
      </c>
      <c r="AE244" s="41"/>
      <c r="AF244" s="41" t="s">
        <v>1526</v>
      </c>
      <c r="AG244" s="41" t="s">
        <v>356</v>
      </c>
      <c r="AH244" s="41" t="s">
        <v>1690</v>
      </c>
      <c r="AI244" s="41" t="s">
        <v>742</v>
      </c>
    </row>
    <row r="245" spans="1:35" x14ac:dyDescent="0.2">
      <c r="A245" s="53">
        <v>24425</v>
      </c>
      <c r="B245" s="41" t="s">
        <v>1526</v>
      </c>
      <c r="C245" s="41" t="s">
        <v>1691</v>
      </c>
      <c r="D245" s="41" t="s">
        <v>312</v>
      </c>
      <c r="E245" s="55">
        <v>923238</v>
      </c>
      <c r="F245" s="41" t="s">
        <v>569</v>
      </c>
      <c r="G245" s="41" t="s">
        <v>29</v>
      </c>
      <c r="H245" s="41" t="s">
        <v>30</v>
      </c>
      <c r="I245" s="41" t="s">
        <v>31</v>
      </c>
      <c r="J245" s="41" t="s">
        <v>32</v>
      </c>
      <c r="K245" s="41" t="s">
        <v>33</v>
      </c>
      <c r="L245" s="50">
        <v>47988231</v>
      </c>
      <c r="M245" s="50">
        <v>0</v>
      </c>
      <c r="N245" s="50">
        <v>47988231</v>
      </c>
      <c r="O245" s="50">
        <v>44768573</v>
      </c>
      <c r="P245" s="43" t="s">
        <v>351</v>
      </c>
      <c r="Q245" s="40">
        <v>82395365</v>
      </c>
      <c r="R245" s="41" t="s">
        <v>1692</v>
      </c>
      <c r="S245" s="41" t="s">
        <v>316</v>
      </c>
      <c r="T245" s="41" t="s">
        <v>317</v>
      </c>
      <c r="U245" s="41" t="s">
        <v>1693</v>
      </c>
      <c r="V245" s="41" t="s">
        <v>319</v>
      </c>
      <c r="W245" s="40">
        <v>860003020</v>
      </c>
      <c r="X245" s="41" t="s">
        <v>393</v>
      </c>
      <c r="Y245" s="40">
        <v>125</v>
      </c>
      <c r="Z245" s="40">
        <v>125</v>
      </c>
      <c r="AA245" s="40">
        <v>24425</v>
      </c>
      <c r="AB245" s="41"/>
      <c r="AC245" s="41" t="s">
        <v>2024</v>
      </c>
      <c r="AD245" s="41" t="s">
        <v>3183</v>
      </c>
      <c r="AE245" s="41"/>
      <c r="AF245" s="41" t="s">
        <v>1526</v>
      </c>
      <c r="AG245" s="41" t="s">
        <v>356</v>
      </c>
      <c r="AH245" s="41" t="s">
        <v>1695</v>
      </c>
      <c r="AI245" s="41" t="s">
        <v>742</v>
      </c>
    </row>
    <row r="246" spans="1:35" x14ac:dyDescent="0.2">
      <c r="A246" s="53">
        <v>24525</v>
      </c>
      <c r="B246" s="41" t="s">
        <v>1526</v>
      </c>
      <c r="C246" s="41" t="s">
        <v>1696</v>
      </c>
      <c r="D246" s="41" t="s">
        <v>312</v>
      </c>
      <c r="E246" s="55">
        <v>923238</v>
      </c>
      <c r="F246" s="41" t="s">
        <v>569</v>
      </c>
      <c r="G246" s="41" t="s">
        <v>29</v>
      </c>
      <c r="H246" s="41" t="s">
        <v>30</v>
      </c>
      <c r="I246" s="41" t="s">
        <v>31</v>
      </c>
      <c r="J246" s="41" t="s">
        <v>32</v>
      </c>
      <c r="K246" s="41" t="s">
        <v>33</v>
      </c>
      <c r="L246" s="50">
        <v>47988231</v>
      </c>
      <c r="M246" s="50">
        <v>0</v>
      </c>
      <c r="N246" s="50">
        <v>47988231</v>
      </c>
      <c r="O246" s="50">
        <v>44768573</v>
      </c>
      <c r="P246" s="43" t="s">
        <v>351</v>
      </c>
      <c r="Q246" s="40">
        <v>79703448</v>
      </c>
      <c r="R246" s="41" t="s">
        <v>1697</v>
      </c>
      <c r="S246" s="41" t="s">
        <v>316</v>
      </c>
      <c r="T246" s="41" t="s">
        <v>317</v>
      </c>
      <c r="U246" s="41" t="s">
        <v>1698</v>
      </c>
      <c r="V246" s="41" t="s">
        <v>319</v>
      </c>
      <c r="W246" s="40">
        <v>860007335</v>
      </c>
      <c r="X246" s="41" t="s">
        <v>381</v>
      </c>
      <c r="Y246" s="40">
        <v>125</v>
      </c>
      <c r="Z246" s="40">
        <v>125</v>
      </c>
      <c r="AA246" s="40">
        <v>24525</v>
      </c>
      <c r="AB246" s="41"/>
      <c r="AC246" s="41" t="s">
        <v>2028</v>
      </c>
      <c r="AD246" s="41" t="s">
        <v>3184</v>
      </c>
      <c r="AE246" s="41"/>
      <c r="AF246" s="41" t="s">
        <v>1526</v>
      </c>
      <c r="AG246" s="41" t="s">
        <v>356</v>
      </c>
      <c r="AH246" s="41" t="s">
        <v>1700</v>
      </c>
      <c r="AI246" s="41" t="s">
        <v>742</v>
      </c>
    </row>
    <row r="247" spans="1:35" x14ac:dyDescent="0.2">
      <c r="A247" s="53">
        <v>24625</v>
      </c>
      <c r="B247" s="41" t="s">
        <v>1526</v>
      </c>
      <c r="C247" s="41" t="s">
        <v>1701</v>
      </c>
      <c r="D247" s="41" t="s">
        <v>312</v>
      </c>
      <c r="E247" s="55">
        <v>923238</v>
      </c>
      <c r="F247" s="41" t="s">
        <v>569</v>
      </c>
      <c r="G247" s="41" t="s">
        <v>29</v>
      </c>
      <c r="H247" s="41" t="s">
        <v>30</v>
      </c>
      <c r="I247" s="41" t="s">
        <v>31</v>
      </c>
      <c r="J247" s="41" t="s">
        <v>32</v>
      </c>
      <c r="K247" s="41" t="s">
        <v>33</v>
      </c>
      <c r="L247" s="50">
        <v>47988231</v>
      </c>
      <c r="M247" s="50">
        <v>0</v>
      </c>
      <c r="N247" s="50">
        <v>47988231</v>
      </c>
      <c r="O247" s="50">
        <v>44768573</v>
      </c>
      <c r="P247" s="43" t="s">
        <v>351</v>
      </c>
      <c r="Q247" s="40">
        <v>1052381667</v>
      </c>
      <c r="R247" s="41" t="s">
        <v>1702</v>
      </c>
      <c r="S247" s="41" t="s">
        <v>316</v>
      </c>
      <c r="T247" s="41" t="s">
        <v>317</v>
      </c>
      <c r="U247" s="41" t="s">
        <v>1703</v>
      </c>
      <c r="V247" s="41" t="s">
        <v>319</v>
      </c>
      <c r="W247" s="40">
        <v>860007738</v>
      </c>
      <c r="X247" s="41" t="s">
        <v>784</v>
      </c>
      <c r="Y247" s="40">
        <v>125</v>
      </c>
      <c r="Z247" s="40">
        <v>125</v>
      </c>
      <c r="AA247" s="40">
        <v>24625</v>
      </c>
      <c r="AB247" s="41"/>
      <c r="AC247" s="41" t="s">
        <v>2039</v>
      </c>
      <c r="AD247" s="41" t="s">
        <v>3185</v>
      </c>
      <c r="AE247" s="41"/>
      <c r="AF247" s="41" t="s">
        <v>1526</v>
      </c>
      <c r="AG247" s="41" t="s">
        <v>356</v>
      </c>
      <c r="AH247" s="41" t="s">
        <v>1705</v>
      </c>
      <c r="AI247" s="41" t="s">
        <v>742</v>
      </c>
    </row>
    <row r="248" spans="1:35" x14ac:dyDescent="0.2">
      <c r="A248" s="53">
        <v>24725</v>
      </c>
      <c r="B248" s="41" t="s">
        <v>1526</v>
      </c>
      <c r="C248" s="41" t="s">
        <v>1706</v>
      </c>
      <c r="D248" s="41" t="s">
        <v>312</v>
      </c>
      <c r="E248" s="55">
        <v>923238</v>
      </c>
      <c r="F248" s="41" t="s">
        <v>569</v>
      </c>
      <c r="G248" s="41" t="s">
        <v>29</v>
      </c>
      <c r="H248" s="41" t="s">
        <v>30</v>
      </c>
      <c r="I248" s="41" t="s">
        <v>31</v>
      </c>
      <c r="J248" s="41" t="s">
        <v>32</v>
      </c>
      <c r="K248" s="41" t="s">
        <v>33</v>
      </c>
      <c r="L248" s="50">
        <v>47988231</v>
      </c>
      <c r="M248" s="50">
        <v>0</v>
      </c>
      <c r="N248" s="50">
        <v>47988231</v>
      </c>
      <c r="O248" s="50">
        <v>44768573</v>
      </c>
      <c r="P248" s="43" t="s">
        <v>351</v>
      </c>
      <c r="Q248" s="40">
        <v>39728459</v>
      </c>
      <c r="R248" s="41" t="s">
        <v>1707</v>
      </c>
      <c r="S248" s="41" t="s">
        <v>316</v>
      </c>
      <c r="T248" s="41" t="s">
        <v>317</v>
      </c>
      <c r="U248" s="41" t="s">
        <v>3948</v>
      </c>
      <c r="V248" s="41" t="s">
        <v>319</v>
      </c>
      <c r="W248" s="40">
        <v>860007335</v>
      </c>
      <c r="X248" s="41" t="s">
        <v>381</v>
      </c>
      <c r="Y248" s="40">
        <v>125</v>
      </c>
      <c r="Z248" s="40">
        <v>125</v>
      </c>
      <c r="AA248" s="40">
        <v>24725</v>
      </c>
      <c r="AB248" s="41"/>
      <c r="AC248" s="41" t="s">
        <v>571</v>
      </c>
      <c r="AD248" s="41" t="s">
        <v>4644</v>
      </c>
      <c r="AE248" s="41"/>
      <c r="AF248" s="41" t="s">
        <v>1526</v>
      </c>
      <c r="AG248" s="41" t="s">
        <v>356</v>
      </c>
      <c r="AH248" s="41" t="s">
        <v>1709</v>
      </c>
      <c r="AI248" s="41" t="s">
        <v>742</v>
      </c>
    </row>
    <row r="249" spans="1:35" x14ac:dyDescent="0.2">
      <c r="A249" s="53">
        <v>24825</v>
      </c>
      <c r="B249" s="41" t="s">
        <v>1526</v>
      </c>
      <c r="C249" s="41" t="s">
        <v>1706</v>
      </c>
      <c r="D249" s="41" t="s">
        <v>312</v>
      </c>
      <c r="E249" s="55">
        <v>923238</v>
      </c>
      <c r="F249" s="41" t="s">
        <v>569</v>
      </c>
      <c r="G249" s="41" t="s">
        <v>29</v>
      </c>
      <c r="H249" s="41" t="s">
        <v>30</v>
      </c>
      <c r="I249" s="41" t="s">
        <v>31</v>
      </c>
      <c r="J249" s="41" t="s">
        <v>32</v>
      </c>
      <c r="K249" s="41" t="s">
        <v>33</v>
      </c>
      <c r="L249" s="50">
        <v>47988231</v>
      </c>
      <c r="M249" s="50">
        <v>0</v>
      </c>
      <c r="N249" s="50">
        <v>47988231</v>
      </c>
      <c r="O249" s="50">
        <v>44768573</v>
      </c>
      <c r="P249" s="43" t="s">
        <v>351</v>
      </c>
      <c r="Q249" s="40">
        <v>79592386</v>
      </c>
      <c r="R249" s="41" t="s">
        <v>1710</v>
      </c>
      <c r="S249" s="41" t="s">
        <v>316</v>
      </c>
      <c r="T249" s="41" t="s">
        <v>317</v>
      </c>
      <c r="U249" s="41" t="s">
        <v>1711</v>
      </c>
      <c r="V249" s="41" t="s">
        <v>319</v>
      </c>
      <c r="W249" s="40">
        <v>860034313</v>
      </c>
      <c r="X249" s="41" t="s">
        <v>355</v>
      </c>
      <c r="Y249" s="40">
        <v>125</v>
      </c>
      <c r="Z249" s="40">
        <v>125</v>
      </c>
      <c r="AA249" s="40">
        <v>24825</v>
      </c>
      <c r="AB249" s="41"/>
      <c r="AC249" s="41" t="s">
        <v>2051</v>
      </c>
      <c r="AD249" s="41" t="s">
        <v>3187</v>
      </c>
      <c r="AE249" s="41"/>
      <c r="AF249" s="41" t="s">
        <v>1526</v>
      </c>
      <c r="AG249" s="41" t="s">
        <v>356</v>
      </c>
      <c r="AH249" s="41" t="s">
        <v>1713</v>
      </c>
      <c r="AI249" s="41" t="s">
        <v>742</v>
      </c>
    </row>
    <row r="250" spans="1:35" x14ac:dyDescent="0.2">
      <c r="A250" s="53">
        <v>24925</v>
      </c>
      <c r="B250" s="41" t="s">
        <v>1526</v>
      </c>
      <c r="C250" s="41" t="s">
        <v>1714</v>
      </c>
      <c r="D250" s="41" t="s">
        <v>312</v>
      </c>
      <c r="E250" s="55">
        <v>923238</v>
      </c>
      <c r="F250" s="41" t="s">
        <v>569</v>
      </c>
      <c r="G250" s="41" t="s">
        <v>29</v>
      </c>
      <c r="H250" s="41" t="s">
        <v>30</v>
      </c>
      <c r="I250" s="41" t="s">
        <v>31</v>
      </c>
      <c r="J250" s="41" t="s">
        <v>32</v>
      </c>
      <c r="K250" s="41" t="s">
        <v>33</v>
      </c>
      <c r="L250" s="50">
        <v>47988231</v>
      </c>
      <c r="M250" s="50">
        <v>0</v>
      </c>
      <c r="N250" s="50">
        <v>47988231</v>
      </c>
      <c r="O250" s="50">
        <v>44768573</v>
      </c>
      <c r="P250" s="43" t="s">
        <v>351</v>
      </c>
      <c r="Q250" s="40">
        <v>79863951</v>
      </c>
      <c r="R250" s="41" t="s">
        <v>1715</v>
      </c>
      <c r="S250" s="41" t="s">
        <v>316</v>
      </c>
      <c r="T250" s="41" t="s">
        <v>317</v>
      </c>
      <c r="U250" s="41" t="s">
        <v>1716</v>
      </c>
      <c r="V250" s="41" t="s">
        <v>319</v>
      </c>
      <c r="W250" s="40">
        <v>890903938</v>
      </c>
      <c r="X250" s="41" t="s">
        <v>342</v>
      </c>
      <c r="Y250" s="40">
        <v>125</v>
      </c>
      <c r="Z250" s="40">
        <v>125</v>
      </c>
      <c r="AA250" s="40">
        <v>24925</v>
      </c>
      <c r="AB250" s="41"/>
      <c r="AC250" s="41" t="s">
        <v>2056</v>
      </c>
      <c r="AD250" s="41" t="s">
        <v>3188</v>
      </c>
      <c r="AE250" s="41"/>
      <c r="AF250" s="41" t="s">
        <v>1526</v>
      </c>
      <c r="AG250" s="41" t="s">
        <v>356</v>
      </c>
      <c r="AH250" s="41" t="s">
        <v>1718</v>
      </c>
      <c r="AI250" s="41" t="s">
        <v>742</v>
      </c>
    </row>
    <row r="251" spans="1:35" x14ac:dyDescent="0.2">
      <c r="A251" s="53">
        <v>25025</v>
      </c>
      <c r="B251" s="41" t="s">
        <v>1526</v>
      </c>
      <c r="C251" s="41" t="s">
        <v>1719</v>
      </c>
      <c r="D251" s="41" t="s">
        <v>312</v>
      </c>
      <c r="E251" s="55">
        <v>923238</v>
      </c>
      <c r="F251" s="41" t="s">
        <v>569</v>
      </c>
      <c r="G251" s="41" t="s">
        <v>29</v>
      </c>
      <c r="H251" s="41" t="s">
        <v>30</v>
      </c>
      <c r="I251" s="41" t="s">
        <v>31</v>
      </c>
      <c r="J251" s="41" t="s">
        <v>32</v>
      </c>
      <c r="K251" s="41" t="s">
        <v>33</v>
      </c>
      <c r="L251" s="50">
        <v>47988231</v>
      </c>
      <c r="M251" s="50">
        <v>0</v>
      </c>
      <c r="N251" s="50">
        <v>47988231</v>
      </c>
      <c r="O251" s="50">
        <v>44768573</v>
      </c>
      <c r="P251" s="43" t="s">
        <v>351</v>
      </c>
      <c r="Q251" s="40">
        <v>52556422</v>
      </c>
      <c r="R251" s="41" t="s">
        <v>1720</v>
      </c>
      <c r="S251" s="41" t="s">
        <v>316</v>
      </c>
      <c r="T251" s="41" t="s">
        <v>317</v>
      </c>
      <c r="U251" s="41" t="s">
        <v>1721</v>
      </c>
      <c r="V251" s="41" t="s">
        <v>319</v>
      </c>
      <c r="W251" s="40">
        <v>860034313</v>
      </c>
      <c r="X251" s="41" t="s">
        <v>355</v>
      </c>
      <c r="Y251" s="40">
        <v>125</v>
      </c>
      <c r="Z251" s="40">
        <v>125</v>
      </c>
      <c r="AA251" s="40">
        <v>25025</v>
      </c>
      <c r="AB251" s="41"/>
      <c r="AC251" s="41" t="s">
        <v>2061</v>
      </c>
      <c r="AD251" s="41" t="s">
        <v>3190</v>
      </c>
      <c r="AE251" s="41"/>
      <c r="AF251" s="41" t="s">
        <v>1526</v>
      </c>
      <c r="AG251" s="41" t="s">
        <v>356</v>
      </c>
      <c r="AH251" s="41" t="s">
        <v>1723</v>
      </c>
      <c r="AI251" s="41" t="s">
        <v>742</v>
      </c>
    </row>
    <row r="252" spans="1:35" x14ac:dyDescent="0.2">
      <c r="A252" s="53">
        <v>25125</v>
      </c>
      <c r="B252" s="41" t="s">
        <v>1526</v>
      </c>
      <c r="C252" s="41" t="s">
        <v>1724</v>
      </c>
      <c r="D252" s="41" t="s">
        <v>312</v>
      </c>
      <c r="E252" s="55">
        <v>923238</v>
      </c>
      <c r="F252" s="41" t="s">
        <v>569</v>
      </c>
      <c r="G252" s="41" t="s">
        <v>29</v>
      </c>
      <c r="H252" s="41" t="s">
        <v>30</v>
      </c>
      <c r="I252" s="41" t="s">
        <v>31</v>
      </c>
      <c r="J252" s="41" t="s">
        <v>32</v>
      </c>
      <c r="K252" s="41" t="s">
        <v>33</v>
      </c>
      <c r="L252" s="50">
        <v>47988231</v>
      </c>
      <c r="M252" s="50">
        <v>0</v>
      </c>
      <c r="N252" s="50">
        <v>47988231</v>
      </c>
      <c r="O252" s="50">
        <v>44768573</v>
      </c>
      <c r="P252" s="43" t="s">
        <v>351</v>
      </c>
      <c r="Q252" s="40">
        <v>49718628</v>
      </c>
      <c r="R252" s="41" t="s">
        <v>1725</v>
      </c>
      <c r="S252" s="41" t="s">
        <v>316</v>
      </c>
      <c r="T252" s="41" t="s">
        <v>317</v>
      </c>
      <c r="U252" s="41" t="s">
        <v>1726</v>
      </c>
      <c r="V252" s="41" t="s">
        <v>319</v>
      </c>
      <c r="W252" s="40">
        <v>890903938</v>
      </c>
      <c r="X252" s="41" t="s">
        <v>342</v>
      </c>
      <c r="Y252" s="40">
        <v>125</v>
      </c>
      <c r="Z252" s="40">
        <v>125</v>
      </c>
      <c r="AA252" s="40">
        <v>25125</v>
      </c>
      <c r="AB252" s="41"/>
      <c r="AC252" s="41" t="s">
        <v>2067</v>
      </c>
      <c r="AD252" s="41" t="s">
        <v>3191</v>
      </c>
      <c r="AE252" s="41"/>
      <c r="AF252" s="41" t="s">
        <v>1526</v>
      </c>
      <c r="AG252" s="41" t="s">
        <v>356</v>
      </c>
      <c r="AH252" s="41" t="s">
        <v>1728</v>
      </c>
      <c r="AI252" s="41" t="s">
        <v>742</v>
      </c>
    </row>
    <row r="253" spans="1:35" x14ac:dyDescent="0.2">
      <c r="A253" s="53">
        <v>25225</v>
      </c>
      <c r="B253" s="41" t="s">
        <v>1526</v>
      </c>
      <c r="C253" s="41" t="s">
        <v>1729</v>
      </c>
      <c r="D253" s="41" t="s">
        <v>312</v>
      </c>
      <c r="E253" s="55">
        <v>923238</v>
      </c>
      <c r="F253" s="41" t="s">
        <v>569</v>
      </c>
      <c r="G253" s="41" t="s">
        <v>29</v>
      </c>
      <c r="H253" s="41" t="s">
        <v>30</v>
      </c>
      <c r="I253" s="41" t="s">
        <v>31</v>
      </c>
      <c r="J253" s="41" t="s">
        <v>32</v>
      </c>
      <c r="K253" s="41" t="s">
        <v>33</v>
      </c>
      <c r="L253" s="50">
        <v>47988231</v>
      </c>
      <c r="M253" s="50">
        <v>0</v>
      </c>
      <c r="N253" s="50">
        <v>47988231</v>
      </c>
      <c r="O253" s="50">
        <v>44768573</v>
      </c>
      <c r="P253" s="43" t="s">
        <v>351</v>
      </c>
      <c r="Q253" s="40">
        <v>80232876</v>
      </c>
      <c r="R253" s="41" t="s">
        <v>1730</v>
      </c>
      <c r="S253" s="41" t="s">
        <v>316</v>
      </c>
      <c r="T253" s="41" t="s">
        <v>317</v>
      </c>
      <c r="U253" s="41" t="s">
        <v>1731</v>
      </c>
      <c r="V253" s="41" t="s">
        <v>319</v>
      </c>
      <c r="W253" s="40">
        <v>890903938</v>
      </c>
      <c r="X253" s="41" t="s">
        <v>342</v>
      </c>
      <c r="Y253" s="40">
        <v>125</v>
      </c>
      <c r="Z253" s="40">
        <v>125</v>
      </c>
      <c r="AA253" s="40">
        <v>25225</v>
      </c>
      <c r="AB253" s="41"/>
      <c r="AC253" s="41" t="s">
        <v>2073</v>
      </c>
      <c r="AD253" s="41" t="s">
        <v>3192</v>
      </c>
      <c r="AE253" s="41"/>
      <c r="AF253" s="41" t="s">
        <v>1526</v>
      </c>
      <c r="AG253" s="41" t="s">
        <v>356</v>
      </c>
      <c r="AH253" s="41" t="s">
        <v>1733</v>
      </c>
      <c r="AI253" s="41" t="s">
        <v>742</v>
      </c>
    </row>
    <row r="254" spans="1:35" x14ac:dyDescent="0.2">
      <c r="A254" s="53">
        <v>25325</v>
      </c>
      <c r="B254" s="41" t="s">
        <v>1526</v>
      </c>
      <c r="C254" s="41" t="s">
        <v>1734</v>
      </c>
      <c r="D254" s="41" t="s">
        <v>312</v>
      </c>
      <c r="E254" s="55">
        <v>923238</v>
      </c>
      <c r="F254" s="41" t="s">
        <v>569</v>
      </c>
      <c r="G254" s="41" t="s">
        <v>29</v>
      </c>
      <c r="H254" s="41" t="s">
        <v>30</v>
      </c>
      <c r="I254" s="41" t="s">
        <v>31</v>
      </c>
      <c r="J254" s="41" t="s">
        <v>32</v>
      </c>
      <c r="K254" s="41" t="s">
        <v>33</v>
      </c>
      <c r="L254" s="50">
        <v>47988231</v>
      </c>
      <c r="M254" s="50">
        <v>0</v>
      </c>
      <c r="N254" s="50">
        <v>47988231</v>
      </c>
      <c r="O254" s="50">
        <v>44768573</v>
      </c>
      <c r="P254" s="43" t="s">
        <v>351</v>
      </c>
      <c r="Q254" s="40">
        <v>80002216</v>
      </c>
      <c r="R254" s="41" t="s">
        <v>1735</v>
      </c>
      <c r="S254" s="41" t="s">
        <v>316</v>
      </c>
      <c r="T254" s="41" t="s">
        <v>317</v>
      </c>
      <c r="U254" s="41" t="s">
        <v>1736</v>
      </c>
      <c r="V254" s="41" t="s">
        <v>319</v>
      </c>
      <c r="W254" s="40">
        <v>860034313</v>
      </c>
      <c r="X254" s="41" t="s">
        <v>355</v>
      </c>
      <c r="Y254" s="40">
        <v>125</v>
      </c>
      <c r="Z254" s="40">
        <v>125</v>
      </c>
      <c r="AA254" s="40">
        <v>25325</v>
      </c>
      <c r="AB254" s="41"/>
      <c r="AC254" s="41" t="s">
        <v>3544</v>
      </c>
      <c r="AD254" s="41" t="s">
        <v>3543</v>
      </c>
      <c r="AE254" s="41"/>
      <c r="AF254" s="41" t="s">
        <v>1526</v>
      </c>
      <c r="AG254" s="41" t="s">
        <v>356</v>
      </c>
      <c r="AH254" s="41" t="s">
        <v>1738</v>
      </c>
      <c r="AI254" s="41" t="s">
        <v>742</v>
      </c>
    </row>
    <row r="255" spans="1:35" x14ac:dyDescent="0.2">
      <c r="A255" s="53">
        <v>25425</v>
      </c>
      <c r="B255" s="41" t="s">
        <v>1526</v>
      </c>
      <c r="C255" s="41" t="s">
        <v>1739</v>
      </c>
      <c r="D255" s="41" t="s">
        <v>312</v>
      </c>
      <c r="E255" s="55">
        <v>923238</v>
      </c>
      <c r="F255" s="41" t="s">
        <v>569</v>
      </c>
      <c r="G255" s="41" t="s">
        <v>29</v>
      </c>
      <c r="H255" s="41" t="s">
        <v>30</v>
      </c>
      <c r="I255" s="41" t="s">
        <v>31</v>
      </c>
      <c r="J255" s="41" t="s">
        <v>32</v>
      </c>
      <c r="K255" s="41" t="s">
        <v>33</v>
      </c>
      <c r="L255" s="50">
        <v>47988231</v>
      </c>
      <c r="M255" s="50">
        <v>0</v>
      </c>
      <c r="N255" s="50">
        <v>47988231</v>
      </c>
      <c r="O255" s="50">
        <v>44768573</v>
      </c>
      <c r="P255" s="43" t="s">
        <v>351</v>
      </c>
      <c r="Q255" s="40">
        <v>79977580</v>
      </c>
      <c r="R255" s="41" t="s">
        <v>1740</v>
      </c>
      <c r="S255" s="41" t="s">
        <v>316</v>
      </c>
      <c r="T255" s="41" t="s">
        <v>317</v>
      </c>
      <c r="U255" s="41" t="s">
        <v>1741</v>
      </c>
      <c r="V255" s="41" t="s">
        <v>319</v>
      </c>
      <c r="W255" s="40">
        <v>860007335</v>
      </c>
      <c r="X255" s="41" t="s">
        <v>381</v>
      </c>
      <c r="Y255" s="40">
        <v>125</v>
      </c>
      <c r="Z255" s="40">
        <v>125</v>
      </c>
      <c r="AA255" s="40">
        <v>25425</v>
      </c>
      <c r="AB255" s="41"/>
      <c r="AC255" s="41" t="s">
        <v>3547</v>
      </c>
      <c r="AD255" s="41" t="s">
        <v>3545</v>
      </c>
      <c r="AE255" s="41"/>
      <c r="AF255" s="41" t="s">
        <v>1526</v>
      </c>
      <c r="AG255" s="41" t="s">
        <v>356</v>
      </c>
      <c r="AH255" s="41" t="s">
        <v>1743</v>
      </c>
      <c r="AI255" s="41" t="s">
        <v>742</v>
      </c>
    </row>
    <row r="256" spans="1:35" x14ac:dyDescent="0.2">
      <c r="A256" s="53">
        <v>25525</v>
      </c>
      <c r="B256" s="41" t="s">
        <v>1526</v>
      </c>
      <c r="C256" s="41" t="s">
        <v>1739</v>
      </c>
      <c r="D256" s="41" t="s">
        <v>312</v>
      </c>
      <c r="E256" s="55">
        <v>923238</v>
      </c>
      <c r="F256" s="41" t="s">
        <v>569</v>
      </c>
      <c r="G256" s="41" t="s">
        <v>29</v>
      </c>
      <c r="H256" s="41" t="s">
        <v>30</v>
      </c>
      <c r="I256" s="41" t="s">
        <v>31</v>
      </c>
      <c r="J256" s="41" t="s">
        <v>32</v>
      </c>
      <c r="K256" s="41" t="s">
        <v>33</v>
      </c>
      <c r="L256" s="50">
        <v>47988231</v>
      </c>
      <c r="M256" s="50">
        <v>0</v>
      </c>
      <c r="N256" s="50">
        <v>47988231</v>
      </c>
      <c r="O256" s="50">
        <v>44768573</v>
      </c>
      <c r="P256" s="43" t="s">
        <v>351</v>
      </c>
      <c r="Q256" s="40">
        <v>1032370727</v>
      </c>
      <c r="R256" s="41" t="s">
        <v>1744</v>
      </c>
      <c r="S256" s="41" t="s">
        <v>316</v>
      </c>
      <c r="T256" s="41" t="s">
        <v>317</v>
      </c>
      <c r="U256" s="41" t="s">
        <v>1745</v>
      </c>
      <c r="V256" s="41" t="s">
        <v>319</v>
      </c>
      <c r="W256" s="40">
        <v>860007335</v>
      </c>
      <c r="X256" s="41" t="s">
        <v>381</v>
      </c>
      <c r="Y256" s="40">
        <v>125</v>
      </c>
      <c r="Z256" s="40">
        <v>125</v>
      </c>
      <c r="AA256" s="40">
        <v>25525</v>
      </c>
      <c r="AB256" s="41"/>
      <c r="AC256" s="41" t="s">
        <v>3549</v>
      </c>
      <c r="AD256" s="41" t="s">
        <v>3548</v>
      </c>
      <c r="AE256" s="41"/>
      <c r="AF256" s="41" t="s">
        <v>1526</v>
      </c>
      <c r="AG256" s="41" t="s">
        <v>356</v>
      </c>
      <c r="AH256" s="41" t="s">
        <v>1747</v>
      </c>
      <c r="AI256" s="41" t="s">
        <v>742</v>
      </c>
    </row>
    <row r="257" spans="1:35" x14ac:dyDescent="0.2">
      <c r="A257" s="53">
        <v>25625</v>
      </c>
      <c r="B257" s="41" t="s">
        <v>1526</v>
      </c>
      <c r="C257" s="41" t="s">
        <v>1748</v>
      </c>
      <c r="D257" s="41" t="s">
        <v>312</v>
      </c>
      <c r="E257" s="55">
        <v>923238</v>
      </c>
      <c r="F257" s="41" t="s">
        <v>569</v>
      </c>
      <c r="G257" s="41" t="s">
        <v>29</v>
      </c>
      <c r="H257" s="41" t="s">
        <v>30</v>
      </c>
      <c r="I257" s="41" t="s">
        <v>31</v>
      </c>
      <c r="J257" s="41" t="s">
        <v>32</v>
      </c>
      <c r="K257" s="41" t="s">
        <v>33</v>
      </c>
      <c r="L257" s="50">
        <v>47988231</v>
      </c>
      <c r="M257" s="50">
        <v>0</v>
      </c>
      <c r="N257" s="50">
        <v>47988231</v>
      </c>
      <c r="O257" s="50">
        <v>44768573</v>
      </c>
      <c r="P257" s="43" t="s">
        <v>351</v>
      </c>
      <c r="Q257" s="40">
        <v>39671472</v>
      </c>
      <c r="R257" s="41" t="s">
        <v>1749</v>
      </c>
      <c r="S257" s="41" t="s">
        <v>316</v>
      </c>
      <c r="T257" s="41" t="s">
        <v>317</v>
      </c>
      <c r="U257" s="41" t="s">
        <v>1750</v>
      </c>
      <c r="V257" s="41" t="s">
        <v>319</v>
      </c>
      <c r="W257" s="40">
        <v>890903938</v>
      </c>
      <c r="X257" s="41" t="s">
        <v>342</v>
      </c>
      <c r="Y257" s="40">
        <v>125</v>
      </c>
      <c r="Z257" s="40">
        <v>125</v>
      </c>
      <c r="AA257" s="40">
        <v>25625</v>
      </c>
      <c r="AB257" s="41"/>
      <c r="AC257" s="41" t="s">
        <v>3552</v>
      </c>
      <c r="AD257" s="41" t="s">
        <v>3550</v>
      </c>
      <c r="AE257" s="41"/>
      <c r="AF257" s="41" t="s">
        <v>1526</v>
      </c>
      <c r="AG257" s="41" t="s">
        <v>356</v>
      </c>
      <c r="AH257" s="41" t="s">
        <v>1752</v>
      </c>
      <c r="AI257" s="41" t="s">
        <v>742</v>
      </c>
    </row>
    <row r="258" spans="1:35" x14ac:dyDescent="0.2">
      <c r="A258" s="53">
        <v>25725</v>
      </c>
      <c r="B258" s="41" t="s">
        <v>1526</v>
      </c>
      <c r="C258" s="41" t="s">
        <v>1753</v>
      </c>
      <c r="D258" s="41" t="s">
        <v>312</v>
      </c>
      <c r="E258" s="55">
        <v>923238</v>
      </c>
      <c r="F258" s="41" t="s">
        <v>569</v>
      </c>
      <c r="G258" s="41" t="s">
        <v>29</v>
      </c>
      <c r="H258" s="41" t="s">
        <v>30</v>
      </c>
      <c r="I258" s="41" t="s">
        <v>31</v>
      </c>
      <c r="J258" s="41" t="s">
        <v>32</v>
      </c>
      <c r="K258" s="41" t="s">
        <v>33</v>
      </c>
      <c r="L258" s="50">
        <v>47988231</v>
      </c>
      <c r="M258" s="50">
        <v>0</v>
      </c>
      <c r="N258" s="50">
        <v>47988231</v>
      </c>
      <c r="O258" s="50">
        <v>44768573</v>
      </c>
      <c r="P258" s="43" t="s">
        <v>351</v>
      </c>
      <c r="Q258" s="40">
        <v>55177634</v>
      </c>
      <c r="R258" s="41" t="s">
        <v>1754</v>
      </c>
      <c r="S258" s="41" t="s">
        <v>316</v>
      </c>
      <c r="T258" s="41" t="s">
        <v>317</v>
      </c>
      <c r="U258" s="41" t="s">
        <v>1755</v>
      </c>
      <c r="V258" s="41" t="s">
        <v>319</v>
      </c>
      <c r="W258" s="40">
        <v>860034313</v>
      </c>
      <c r="X258" s="41" t="s">
        <v>355</v>
      </c>
      <c r="Y258" s="40">
        <v>125</v>
      </c>
      <c r="Z258" s="40">
        <v>125</v>
      </c>
      <c r="AA258" s="40">
        <v>25725</v>
      </c>
      <c r="AB258" s="41"/>
      <c r="AC258" s="41" t="s">
        <v>3555</v>
      </c>
      <c r="AD258" s="41" t="s">
        <v>3553</v>
      </c>
      <c r="AE258" s="41"/>
      <c r="AF258" s="41" t="s">
        <v>1526</v>
      </c>
      <c r="AG258" s="41" t="s">
        <v>356</v>
      </c>
      <c r="AH258" s="41" t="s">
        <v>1757</v>
      </c>
      <c r="AI258" s="41" t="s">
        <v>742</v>
      </c>
    </row>
    <row r="259" spans="1:35" x14ac:dyDescent="0.2">
      <c r="A259" s="53">
        <v>25825</v>
      </c>
      <c r="B259" s="41" t="s">
        <v>1526</v>
      </c>
      <c r="C259" s="41" t="s">
        <v>1758</v>
      </c>
      <c r="D259" s="41" t="s">
        <v>312</v>
      </c>
      <c r="E259" s="55">
        <v>923238</v>
      </c>
      <c r="F259" s="41" t="s">
        <v>569</v>
      </c>
      <c r="G259" s="41" t="s">
        <v>29</v>
      </c>
      <c r="H259" s="41" t="s">
        <v>30</v>
      </c>
      <c r="I259" s="41" t="s">
        <v>31</v>
      </c>
      <c r="J259" s="41" t="s">
        <v>32</v>
      </c>
      <c r="K259" s="41" t="s">
        <v>33</v>
      </c>
      <c r="L259" s="50">
        <v>47988231</v>
      </c>
      <c r="M259" s="50">
        <v>0</v>
      </c>
      <c r="N259" s="50">
        <v>47988231</v>
      </c>
      <c r="O259" s="50">
        <v>44768573</v>
      </c>
      <c r="P259" s="43" t="s">
        <v>351</v>
      </c>
      <c r="Q259" s="40">
        <v>88260450</v>
      </c>
      <c r="R259" s="41" t="s">
        <v>1759</v>
      </c>
      <c r="S259" s="41" t="s">
        <v>316</v>
      </c>
      <c r="T259" s="41" t="s">
        <v>317</v>
      </c>
      <c r="U259" s="41" t="s">
        <v>1760</v>
      </c>
      <c r="V259" s="41" t="s">
        <v>319</v>
      </c>
      <c r="W259" s="40">
        <v>860007335</v>
      </c>
      <c r="X259" s="41" t="s">
        <v>381</v>
      </c>
      <c r="Y259" s="40">
        <v>125</v>
      </c>
      <c r="Z259" s="40">
        <v>125</v>
      </c>
      <c r="AA259" s="40">
        <v>25825</v>
      </c>
      <c r="AB259" s="41"/>
      <c r="AC259" s="41" t="s">
        <v>3587</v>
      </c>
      <c r="AD259" s="41" t="s">
        <v>3586</v>
      </c>
      <c r="AE259" s="41"/>
      <c r="AF259" s="41" t="s">
        <v>1526</v>
      </c>
      <c r="AG259" s="41" t="s">
        <v>356</v>
      </c>
      <c r="AH259" s="41" t="s">
        <v>1762</v>
      </c>
      <c r="AI259" s="41" t="s">
        <v>742</v>
      </c>
    </row>
    <row r="260" spans="1:35" x14ac:dyDescent="0.2">
      <c r="A260" s="53">
        <v>25925</v>
      </c>
      <c r="B260" s="41" t="s">
        <v>1526</v>
      </c>
      <c r="C260" s="41" t="s">
        <v>1763</v>
      </c>
      <c r="D260" s="41" t="s">
        <v>312</v>
      </c>
      <c r="E260" s="55">
        <v>923238</v>
      </c>
      <c r="F260" s="41" t="s">
        <v>569</v>
      </c>
      <c r="G260" s="41" t="s">
        <v>29</v>
      </c>
      <c r="H260" s="41" t="s">
        <v>30</v>
      </c>
      <c r="I260" s="41" t="s">
        <v>31</v>
      </c>
      <c r="J260" s="41" t="s">
        <v>32</v>
      </c>
      <c r="K260" s="41" t="s">
        <v>33</v>
      </c>
      <c r="L260" s="50">
        <v>47988231</v>
      </c>
      <c r="M260" s="50">
        <v>0</v>
      </c>
      <c r="N260" s="50">
        <v>47988231</v>
      </c>
      <c r="O260" s="50">
        <v>44768573</v>
      </c>
      <c r="P260" s="43" t="s">
        <v>351</v>
      </c>
      <c r="Q260" s="40">
        <v>3170948</v>
      </c>
      <c r="R260" s="41" t="s">
        <v>1764</v>
      </c>
      <c r="S260" s="41" t="s">
        <v>316</v>
      </c>
      <c r="T260" s="41" t="s">
        <v>317</v>
      </c>
      <c r="U260" s="41" t="s">
        <v>1765</v>
      </c>
      <c r="V260" s="41" t="s">
        <v>319</v>
      </c>
      <c r="W260" s="40">
        <v>860034313</v>
      </c>
      <c r="X260" s="41" t="s">
        <v>355</v>
      </c>
      <c r="Y260" s="40">
        <v>125</v>
      </c>
      <c r="Z260" s="40">
        <v>125</v>
      </c>
      <c r="AA260" s="40">
        <v>25925</v>
      </c>
      <c r="AB260" s="41"/>
      <c r="AC260" s="41" t="s">
        <v>3557</v>
      </c>
      <c r="AD260" s="41" t="s">
        <v>3556</v>
      </c>
      <c r="AE260" s="41"/>
      <c r="AF260" s="41" t="s">
        <v>1526</v>
      </c>
      <c r="AG260" s="41" t="s">
        <v>356</v>
      </c>
      <c r="AH260" s="41" t="s">
        <v>1767</v>
      </c>
      <c r="AI260" s="41" t="s">
        <v>742</v>
      </c>
    </row>
    <row r="261" spans="1:35" x14ac:dyDescent="0.2">
      <c r="A261" s="53">
        <v>26025</v>
      </c>
      <c r="B261" s="41" t="s">
        <v>1526</v>
      </c>
      <c r="C261" s="41" t="s">
        <v>1768</v>
      </c>
      <c r="D261" s="41" t="s">
        <v>312</v>
      </c>
      <c r="E261" s="55">
        <v>923238</v>
      </c>
      <c r="F261" s="41" t="s">
        <v>569</v>
      </c>
      <c r="G261" s="41" t="s">
        <v>29</v>
      </c>
      <c r="H261" s="41" t="s">
        <v>30</v>
      </c>
      <c r="I261" s="41" t="s">
        <v>31</v>
      </c>
      <c r="J261" s="41" t="s">
        <v>32</v>
      </c>
      <c r="K261" s="41" t="s">
        <v>33</v>
      </c>
      <c r="L261" s="50">
        <v>47988231</v>
      </c>
      <c r="M261" s="50">
        <v>-46148427</v>
      </c>
      <c r="N261" s="50">
        <v>1839804</v>
      </c>
      <c r="O261" s="50">
        <v>0</v>
      </c>
      <c r="P261" s="43" t="s">
        <v>351</v>
      </c>
      <c r="Q261" s="40">
        <v>80496354</v>
      </c>
      <c r="R261" s="41" t="s">
        <v>1769</v>
      </c>
      <c r="S261" s="41" t="s">
        <v>316</v>
      </c>
      <c r="T261" s="41" t="s">
        <v>317</v>
      </c>
      <c r="U261" s="41" t="s">
        <v>1770</v>
      </c>
      <c r="V261" s="41" t="s">
        <v>319</v>
      </c>
      <c r="W261" s="40">
        <v>860034313</v>
      </c>
      <c r="X261" s="41" t="s">
        <v>355</v>
      </c>
      <c r="Y261" s="40">
        <v>125</v>
      </c>
      <c r="Z261" s="40">
        <v>125</v>
      </c>
      <c r="AA261" s="40">
        <v>26025</v>
      </c>
      <c r="AB261" s="41"/>
      <c r="AC261" s="41" t="s">
        <v>3560</v>
      </c>
      <c r="AD261" s="41" t="s">
        <v>3558</v>
      </c>
      <c r="AE261" s="41"/>
      <c r="AF261" s="41" t="s">
        <v>1526</v>
      </c>
      <c r="AG261" s="41" t="s">
        <v>356</v>
      </c>
      <c r="AH261" s="41" t="s">
        <v>1772</v>
      </c>
      <c r="AI261" s="41" t="s">
        <v>742</v>
      </c>
    </row>
    <row r="262" spans="1:35" x14ac:dyDescent="0.2">
      <c r="A262" s="53">
        <v>26125</v>
      </c>
      <c r="B262" s="41" t="s">
        <v>1526</v>
      </c>
      <c r="C262" s="41" t="s">
        <v>1773</v>
      </c>
      <c r="D262" s="41" t="s">
        <v>312</v>
      </c>
      <c r="E262" s="55">
        <v>923238</v>
      </c>
      <c r="F262" s="41" t="s">
        <v>569</v>
      </c>
      <c r="G262" s="41" t="s">
        <v>29</v>
      </c>
      <c r="H262" s="41" t="s">
        <v>30</v>
      </c>
      <c r="I262" s="41" t="s">
        <v>31</v>
      </c>
      <c r="J262" s="41" t="s">
        <v>32</v>
      </c>
      <c r="K262" s="41" t="s">
        <v>33</v>
      </c>
      <c r="L262" s="50">
        <v>47988231</v>
      </c>
      <c r="M262" s="50">
        <v>0</v>
      </c>
      <c r="N262" s="50">
        <v>47988231</v>
      </c>
      <c r="O262" s="50">
        <v>44768573</v>
      </c>
      <c r="P262" s="43" t="s">
        <v>351</v>
      </c>
      <c r="Q262" s="40">
        <v>1030530318</v>
      </c>
      <c r="R262" s="41" t="s">
        <v>1774</v>
      </c>
      <c r="S262" s="41" t="s">
        <v>316</v>
      </c>
      <c r="T262" s="41" t="s">
        <v>317</v>
      </c>
      <c r="U262" s="41" t="s">
        <v>1775</v>
      </c>
      <c r="V262" s="41" t="s">
        <v>319</v>
      </c>
      <c r="W262" s="40">
        <v>860007335</v>
      </c>
      <c r="X262" s="41" t="s">
        <v>381</v>
      </c>
      <c r="Y262" s="40">
        <v>125</v>
      </c>
      <c r="Z262" s="40">
        <v>125</v>
      </c>
      <c r="AA262" s="40">
        <v>26125</v>
      </c>
      <c r="AB262" s="41"/>
      <c r="AC262" s="41" t="s">
        <v>3563</v>
      </c>
      <c r="AD262" s="41" t="s">
        <v>3561</v>
      </c>
      <c r="AE262" s="41"/>
      <c r="AF262" s="41" t="s">
        <v>1526</v>
      </c>
      <c r="AG262" s="41" t="s">
        <v>356</v>
      </c>
      <c r="AH262" s="41" t="s">
        <v>1777</v>
      </c>
      <c r="AI262" s="41" t="s">
        <v>742</v>
      </c>
    </row>
    <row r="263" spans="1:35" x14ac:dyDescent="0.2">
      <c r="A263" s="53">
        <v>26225</v>
      </c>
      <c r="B263" s="41" t="s">
        <v>1526</v>
      </c>
      <c r="C263" s="41" t="s">
        <v>1778</v>
      </c>
      <c r="D263" s="41" t="s">
        <v>312</v>
      </c>
      <c r="E263" s="55">
        <v>923238</v>
      </c>
      <c r="F263" s="41" t="s">
        <v>569</v>
      </c>
      <c r="G263" s="41" t="s">
        <v>29</v>
      </c>
      <c r="H263" s="41" t="s">
        <v>30</v>
      </c>
      <c r="I263" s="41" t="s">
        <v>31</v>
      </c>
      <c r="J263" s="41" t="s">
        <v>32</v>
      </c>
      <c r="K263" s="41" t="s">
        <v>33</v>
      </c>
      <c r="L263" s="50">
        <v>47988231</v>
      </c>
      <c r="M263" s="50">
        <v>0</v>
      </c>
      <c r="N263" s="50">
        <v>47988231</v>
      </c>
      <c r="O263" s="50">
        <v>44768573</v>
      </c>
      <c r="P263" s="43" t="s">
        <v>351</v>
      </c>
      <c r="Q263" s="40">
        <v>1136887061</v>
      </c>
      <c r="R263" s="41" t="s">
        <v>1779</v>
      </c>
      <c r="S263" s="41" t="s">
        <v>316</v>
      </c>
      <c r="T263" s="41" t="s">
        <v>317</v>
      </c>
      <c r="U263" s="41" t="s">
        <v>1780</v>
      </c>
      <c r="V263" s="41" t="s">
        <v>319</v>
      </c>
      <c r="W263" s="40">
        <v>890903938</v>
      </c>
      <c r="X263" s="41" t="s">
        <v>342</v>
      </c>
      <c r="Y263" s="40">
        <v>125</v>
      </c>
      <c r="Z263" s="40">
        <v>125</v>
      </c>
      <c r="AA263" s="40">
        <v>26225</v>
      </c>
      <c r="AB263" s="41"/>
      <c r="AC263" s="41" t="s">
        <v>2078</v>
      </c>
      <c r="AD263" s="41" t="s">
        <v>3194</v>
      </c>
      <c r="AE263" s="41"/>
      <c r="AF263" s="41" t="s">
        <v>1526</v>
      </c>
      <c r="AG263" s="41" t="s">
        <v>356</v>
      </c>
      <c r="AH263" s="41" t="s">
        <v>1782</v>
      </c>
      <c r="AI263" s="41" t="s">
        <v>742</v>
      </c>
    </row>
    <row r="264" spans="1:35" x14ac:dyDescent="0.2">
      <c r="A264" s="53">
        <v>26325</v>
      </c>
      <c r="B264" s="41" t="s">
        <v>1526</v>
      </c>
      <c r="C264" s="41" t="s">
        <v>1783</v>
      </c>
      <c r="D264" s="41" t="s">
        <v>312</v>
      </c>
      <c r="E264" s="55">
        <v>923210</v>
      </c>
      <c r="F264" s="41" t="s">
        <v>56</v>
      </c>
      <c r="G264" s="41" t="s">
        <v>57</v>
      </c>
      <c r="H264" s="41" t="s">
        <v>58</v>
      </c>
      <c r="I264" s="41" t="s">
        <v>31</v>
      </c>
      <c r="J264" s="41" t="s">
        <v>32</v>
      </c>
      <c r="K264" s="41" t="s">
        <v>33</v>
      </c>
      <c r="L264" s="50">
        <v>37099598</v>
      </c>
      <c r="M264" s="50">
        <v>0</v>
      </c>
      <c r="N264" s="50">
        <v>37099598</v>
      </c>
      <c r="O264" s="50">
        <v>34610486</v>
      </c>
      <c r="P264" s="43" t="s">
        <v>351</v>
      </c>
      <c r="Q264" s="40">
        <v>39656823</v>
      </c>
      <c r="R264" s="41" t="s">
        <v>1784</v>
      </c>
      <c r="S264" s="41" t="s">
        <v>316</v>
      </c>
      <c r="T264" s="41" t="s">
        <v>317</v>
      </c>
      <c r="U264" s="41" t="s">
        <v>1785</v>
      </c>
      <c r="V264" s="41" t="s">
        <v>319</v>
      </c>
      <c r="W264" s="40">
        <v>890903938</v>
      </c>
      <c r="X264" s="41" t="s">
        <v>342</v>
      </c>
      <c r="Y264" s="40">
        <v>825</v>
      </c>
      <c r="Z264" s="40">
        <v>825</v>
      </c>
      <c r="AA264" s="40">
        <v>26325</v>
      </c>
      <c r="AB264" s="41"/>
      <c r="AC264" s="41" t="s">
        <v>2083</v>
      </c>
      <c r="AD264" s="41" t="s">
        <v>3195</v>
      </c>
      <c r="AE264" s="41"/>
      <c r="AF264" s="41" t="s">
        <v>1526</v>
      </c>
      <c r="AG264" s="41" t="s">
        <v>356</v>
      </c>
      <c r="AH264" s="41" t="s">
        <v>1787</v>
      </c>
      <c r="AI264" s="41" t="s">
        <v>1332</v>
      </c>
    </row>
    <row r="265" spans="1:35" x14ac:dyDescent="0.2">
      <c r="A265" s="53">
        <v>26425</v>
      </c>
      <c r="B265" s="41" t="s">
        <v>1526</v>
      </c>
      <c r="C265" s="41" t="s">
        <v>1788</v>
      </c>
      <c r="D265" s="41" t="s">
        <v>312</v>
      </c>
      <c r="E265" s="55">
        <v>923210</v>
      </c>
      <c r="F265" s="41" t="s">
        <v>56</v>
      </c>
      <c r="G265" s="41" t="s">
        <v>57</v>
      </c>
      <c r="H265" s="41" t="s">
        <v>58</v>
      </c>
      <c r="I265" s="41" t="s">
        <v>31</v>
      </c>
      <c r="J265" s="41" t="s">
        <v>32</v>
      </c>
      <c r="K265" s="41" t="s">
        <v>33</v>
      </c>
      <c r="L265" s="50">
        <v>47988231</v>
      </c>
      <c r="M265" s="50">
        <v>0</v>
      </c>
      <c r="N265" s="50">
        <v>47988231</v>
      </c>
      <c r="O265" s="50">
        <v>44768573</v>
      </c>
      <c r="P265" s="43" t="s">
        <v>351</v>
      </c>
      <c r="Q265" s="40">
        <v>93122691</v>
      </c>
      <c r="R265" s="41" t="s">
        <v>1789</v>
      </c>
      <c r="S265" s="41" t="s">
        <v>316</v>
      </c>
      <c r="T265" s="41" t="s">
        <v>317</v>
      </c>
      <c r="U265" s="41" t="s">
        <v>1790</v>
      </c>
      <c r="V265" s="41" t="s">
        <v>319</v>
      </c>
      <c r="W265" s="40">
        <v>860007335</v>
      </c>
      <c r="X265" s="41" t="s">
        <v>381</v>
      </c>
      <c r="Y265" s="40">
        <v>825</v>
      </c>
      <c r="Z265" s="40">
        <v>825</v>
      </c>
      <c r="AA265" s="40">
        <v>26425</v>
      </c>
      <c r="AB265" s="41"/>
      <c r="AC265" s="41" t="s">
        <v>2088</v>
      </c>
      <c r="AD265" s="41" t="s">
        <v>3197</v>
      </c>
      <c r="AE265" s="41"/>
      <c r="AF265" s="41" t="s">
        <v>1526</v>
      </c>
      <c r="AG265" s="41" t="s">
        <v>356</v>
      </c>
      <c r="AH265" s="41" t="s">
        <v>1792</v>
      </c>
      <c r="AI265" s="41" t="s">
        <v>1332</v>
      </c>
    </row>
    <row r="266" spans="1:35" x14ac:dyDescent="0.2">
      <c r="A266" s="53">
        <v>26525</v>
      </c>
      <c r="B266" s="41" t="s">
        <v>1526</v>
      </c>
      <c r="C266" s="41" t="s">
        <v>1793</v>
      </c>
      <c r="D266" s="41" t="s">
        <v>312</v>
      </c>
      <c r="E266" s="55">
        <v>923210</v>
      </c>
      <c r="F266" s="41" t="s">
        <v>56</v>
      </c>
      <c r="G266" s="41" t="s">
        <v>57</v>
      </c>
      <c r="H266" s="41" t="s">
        <v>58</v>
      </c>
      <c r="I266" s="41" t="s">
        <v>31</v>
      </c>
      <c r="J266" s="41" t="s">
        <v>32</v>
      </c>
      <c r="K266" s="41" t="s">
        <v>33</v>
      </c>
      <c r="L266" s="50">
        <v>47988231</v>
      </c>
      <c r="M266" s="50">
        <v>0</v>
      </c>
      <c r="N266" s="50">
        <v>47988231</v>
      </c>
      <c r="O266" s="50">
        <v>44768573</v>
      </c>
      <c r="P266" s="43" t="s">
        <v>351</v>
      </c>
      <c r="Q266" s="40">
        <v>79572241</v>
      </c>
      <c r="R266" s="41" t="s">
        <v>1794</v>
      </c>
      <c r="S266" s="41" t="s">
        <v>316</v>
      </c>
      <c r="T266" s="41" t="s">
        <v>317</v>
      </c>
      <c r="U266" s="41" t="s">
        <v>1795</v>
      </c>
      <c r="V266" s="41" t="s">
        <v>319</v>
      </c>
      <c r="W266" s="40">
        <v>860034313</v>
      </c>
      <c r="X266" s="41" t="s">
        <v>355</v>
      </c>
      <c r="Y266" s="40">
        <v>825</v>
      </c>
      <c r="Z266" s="40">
        <v>825</v>
      </c>
      <c r="AA266" s="40">
        <v>26525</v>
      </c>
      <c r="AB266" s="41"/>
      <c r="AC266" s="41" t="s">
        <v>2094</v>
      </c>
      <c r="AD266" s="41" t="s">
        <v>3198</v>
      </c>
      <c r="AE266" s="41"/>
      <c r="AF266" s="41" t="s">
        <v>1526</v>
      </c>
      <c r="AG266" s="41" t="s">
        <v>356</v>
      </c>
      <c r="AH266" s="41" t="s">
        <v>1797</v>
      </c>
      <c r="AI266" s="41" t="s">
        <v>1332</v>
      </c>
    </row>
    <row r="267" spans="1:35" x14ac:dyDescent="0.2">
      <c r="A267" s="53">
        <v>26625</v>
      </c>
      <c r="B267" s="41" t="s">
        <v>1526</v>
      </c>
      <c r="C267" s="41" t="s">
        <v>1798</v>
      </c>
      <c r="D267" s="41" t="s">
        <v>312</v>
      </c>
      <c r="E267" s="55">
        <v>923210</v>
      </c>
      <c r="F267" s="41" t="s">
        <v>56</v>
      </c>
      <c r="G267" s="41" t="s">
        <v>57</v>
      </c>
      <c r="H267" s="41" t="s">
        <v>58</v>
      </c>
      <c r="I267" s="41" t="s">
        <v>31</v>
      </c>
      <c r="J267" s="41" t="s">
        <v>32</v>
      </c>
      <c r="K267" s="41" t="s">
        <v>33</v>
      </c>
      <c r="L267" s="50">
        <v>47988231</v>
      </c>
      <c r="M267" s="50">
        <v>0</v>
      </c>
      <c r="N267" s="50">
        <v>47988231</v>
      </c>
      <c r="O267" s="50">
        <v>44768573</v>
      </c>
      <c r="P267" s="43" t="s">
        <v>351</v>
      </c>
      <c r="Q267" s="40">
        <v>1015994841</v>
      </c>
      <c r="R267" s="41" t="s">
        <v>1799</v>
      </c>
      <c r="S267" s="41" t="s">
        <v>316</v>
      </c>
      <c r="T267" s="41" t="s">
        <v>317</v>
      </c>
      <c r="U267" s="41" t="s">
        <v>1800</v>
      </c>
      <c r="V267" s="41" t="s">
        <v>319</v>
      </c>
      <c r="W267" s="40">
        <v>890903938</v>
      </c>
      <c r="X267" s="41" t="s">
        <v>342</v>
      </c>
      <c r="Y267" s="40">
        <v>825</v>
      </c>
      <c r="Z267" s="40">
        <v>825</v>
      </c>
      <c r="AA267" s="40">
        <v>26625</v>
      </c>
      <c r="AB267" s="41"/>
      <c r="AC267" s="41" t="s">
        <v>2099</v>
      </c>
      <c r="AD267" s="41" t="s">
        <v>3199</v>
      </c>
      <c r="AE267" s="41"/>
      <c r="AF267" s="41" t="s">
        <v>1526</v>
      </c>
      <c r="AG267" s="41" t="s">
        <v>356</v>
      </c>
      <c r="AH267" s="41" t="s">
        <v>1802</v>
      </c>
      <c r="AI267" s="41" t="s">
        <v>1332</v>
      </c>
    </row>
    <row r="268" spans="1:35" x14ac:dyDescent="0.2">
      <c r="A268" s="53">
        <v>26725</v>
      </c>
      <c r="B268" s="41" t="s">
        <v>1526</v>
      </c>
      <c r="C268" s="41" t="s">
        <v>1803</v>
      </c>
      <c r="D268" s="41" t="s">
        <v>312</v>
      </c>
      <c r="E268" s="55">
        <v>923210</v>
      </c>
      <c r="F268" s="41" t="s">
        <v>56</v>
      </c>
      <c r="G268" s="41" t="s">
        <v>57</v>
      </c>
      <c r="H268" s="41" t="s">
        <v>58</v>
      </c>
      <c r="I268" s="41" t="s">
        <v>31</v>
      </c>
      <c r="J268" s="41" t="s">
        <v>32</v>
      </c>
      <c r="K268" s="41" t="s">
        <v>33</v>
      </c>
      <c r="L268" s="50">
        <v>47988231</v>
      </c>
      <c r="M268" s="50">
        <v>0</v>
      </c>
      <c r="N268" s="50">
        <v>47988231</v>
      </c>
      <c r="O268" s="50">
        <v>44768573</v>
      </c>
      <c r="P268" s="43" t="s">
        <v>351</v>
      </c>
      <c r="Q268" s="40">
        <v>45464937</v>
      </c>
      <c r="R268" s="41" t="s">
        <v>1804</v>
      </c>
      <c r="S268" s="41" t="s">
        <v>316</v>
      </c>
      <c r="T268" s="41" t="s">
        <v>317</v>
      </c>
      <c r="U268" s="41" t="s">
        <v>1805</v>
      </c>
      <c r="V268" s="41" t="s">
        <v>319</v>
      </c>
      <c r="W268" s="40">
        <v>890903938</v>
      </c>
      <c r="X268" s="41" t="s">
        <v>342</v>
      </c>
      <c r="Y268" s="40">
        <v>825</v>
      </c>
      <c r="Z268" s="40">
        <v>825</v>
      </c>
      <c r="AA268" s="40">
        <v>26725</v>
      </c>
      <c r="AB268" s="41"/>
      <c r="AC268" s="41" t="s">
        <v>2105</v>
      </c>
      <c r="AD268" s="41" t="s">
        <v>3200</v>
      </c>
      <c r="AE268" s="41"/>
      <c r="AF268" s="41" t="s">
        <v>1526</v>
      </c>
      <c r="AG268" s="41" t="s">
        <v>356</v>
      </c>
      <c r="AH268" s="41" t="s">
        <v>1807</v>
      </c>
      <c r="AI268" s="41" t="s">
        <v>1332</v>
      </c>
    </row>
    <row r="269" spans="1:35" x14ac:dyDescent="0.2">
      <c r="A269" s="53">
        <v>26825</v>
      </c>
      <c r="B269" s="41" t="s">
        <v>1526</v>
      </c>
      <c r="C269" s="41" t="s">
        <v>1808</v>
      </c>
      <c r="D269" s="41" t="s">
        <v>312</v>
      </c>
      <c r="E269" s="55">
        <v>923210</v>
      </c>
      <c r="F269" s="41" t="s">
        <v>56</v>
      </c>
      <c r="G269" s="41" t="s">
        <v>57</v>
      </c>
      <c r="H269" s="41" t="s">
        <v>58</v>
      </c>
      <c r="I269" s="41" t="s">
        <v>31</v>
      </c>
      <c r="J269" s="41" t="s">
        <v>32</v>
      </c>
      <c r="K269" s="41" t="s">
        <v>33</v>
      </c>
      <c r="L269" s="50">
        <v>47988231</v>
      </c>
      <c r="M269" s="50">
        <v>0</v>
      </c>
      <c r="N269" s="50">
        <v>47988231</v>
      </c>
      <c r="O269" s="50">
        <v>44768573</v>
      </c>
      <c r="P269" s="43" t="s">
        <v>351</v>
      </c>
      <c r="Q269" s="40">
        <v>79431471</v>
      </c>
      <c r="R269" s="41" t="s">
        <v>1809</v>
      </c>
      <c r="S269" s="41" t="s">
        <v>316</v>
      </c>
      <c r="T269" s="41" t="s">
        <v>317</v>
      </c>
      <c r="U269" s="41" t="s">
        <v>1810</v>
      </c>
      <c r="V269" s="41" t="s">
        <v>319</v>
      </c>
      <c r="W269" s="40">
        <v>800037800</v>
      </c>
      <c r="X269" s="41" t="s">
        <v>660</v>
      </c>
      <c r="Y269" s="40">
        <v>825</v>
      </c>
      <c r="Z269" s="40">
        <v>825</v>
      </c>
      <c r="AA269" s="40">
        <v>26825</v>
      </c>
      <c r="AB269" s="41"/>
      <c r="AC269" s="41" t="s">
        <v>2111</v>
      </c>
      <c r="AD269" s="41" t="s">
        <v>3201</v>
      </c>
      <c r="AE269" s="41"/>
      <c r="AF269" s="41" t="s">
        <v>1526</v>
      </c>
      <c r="AG269" s="41" t="s">
        <v>356</v>
      </c>
      <c r="AH269" s="41" t="s">
        <v>1812</v>
      </c>
      <c r="AI269" s="41" t="s">
        <v>1332</v>
      </c>
    </row>
    <row r="270" spans="1:35" x14ac:dyDescent="0.2">
      <c r="A270" s="53">
        <v>26925</v>
      </c>
      <c r="B270" s="41" t="s">
        <v>1526</v>
      </c>
      <c r="C270" s="41" t="s">
        <v>1813</v>
      </c>
      <c r="D270" s="41" t="s">
        <v>312</v>
      </c>
      <c r="E270" s="55">
        <v>923210</v>
      </c>
      <c r="F270" s="41" t="s">
        <v>56</v>
      </c>
      <c r="G270" s="41" t="s">
        <v>57</v>
      </c>
      <c r="H270" s="41" t="s">
        <v>58</v>
      </c>
      <c r="I270" s="41" t="s">
        <v>31</v>
      </c>
      <c r="J270" s="41" t="s">
        <v>32</v>
      </c>
      <c r="K270" s="41" t="s">
        <v>33</v>
      </c>
      <c r="L270" s="50">
        <v>47988231</v>
      </c>
      <c r="M270" s="50">
        <v>0</v>
      </c>
      <c r="N270" s="50">
        <v>47988231</v>
      </c>
      <c r="O270" s="50">
        <v>44768573</v>
      </c>
      <c r="P270" s="43" t="s">
        <v>351</v>
      </c>
      <c r="Q270" s="40">
        <v>80249078</v>
      </c>
      <c r="R270" s="41" t="s">
        <v>1814</v>
      </c>
      <c r="S270" s="41" t="s">
        <v>316</v>
      </c>
      <c r="T270" s="41" t="s">
        <v>317</v>
      </c>
      <c r="U270" s="41" t="s">
        <v>1815</v>
      </c>
      <c r="V270" s="41" t="s">
        <v>319</v>
      </c>
      <c r="W270" s="40">
        <v>860035827</v>
      </c>
      <c r="X270" s="41" t="s">
        <v>653</v>
      </c>
      <c r="Y270" s="40">
        <v>825</v>
      </c>
      <c r="Z270" s="40">
        <v>825</v>
      </c>
      <c r="AA270" s="40">
        <v>26925</v>
      </c>
      <c r="AB270" s="41"/>
      <c r="AC270" s="41" t="s">
        <v>2115</v>
      </c>
      <c r="AD270" s="41" t="s">
        <v>3203</v>
      </c>
      <c r="AE270" s="41"/>
      <c r="AF270" s="41" t="s">
        <v>1526</v>
      </c>
      <c r="AG270" s="41" t="s">
        <v>356</v>
      </c>
      <c r="AH270" s="41" t="s">
        <v>1817</v>
      </c>
      <c r="AI270" s="41" t="s">
        <v>1332</v>
      </c>
    </row>
    <row r="271" spans="1:35" x14ac:dyDescent="0.2">
      <c r="A271" s="53">
        <v>27025</v>
      </c>
      <c r="B271" s="41" t="s">
        <v>1526</v>
      </c>
      <c r="C271" s="41" t="s">
        <v>1818</v>
      </c>
      <c r="D271" s="41" t="s">
        <v>312</v>
      </c>
      <c r="E271" s="55">
        <v>923210</v>
      </c>
      <c r="F271" s="41" t="s">
        <v>56</v>
      </c>
      <c r="G271" s="41" t="s">
        <v>57</v>
      </c>
      <c r="H271" s="41" t="s">
        <v>58</v>
      </c>
      <c r="I271" s="41" t="s">
        <v>31</v>
      </c>
      <c r="J271" s="41" t="s">
        <v>32</v>
      </c>
      <c r="K271" s="41" t="s">
        <v>33</v>
      </c>
      <c r="L271" s="50">
        <v>47988231</v>
      </c>
      <c r="M271" s="50">
        <v>0</v>
      </c>
      <c r="N271" s="50">
        <v>47988231</v>
      </c>
      <c r="O271" s="50">
        <v>44768573</v>
      </c>
      <c r="P271" s="43" t="s">
        <v>351</v>
      </c>
      <c r="Q271" s="40">
        <v>93343728</v>
      </c>
      <c r="R271" s="41" t="s">
        <v>1819</v>
      </c>
      <c r="S271" s="41" t="s">
        <v>316</v>
      </c>
      <c r="T271" s="41" t="s">
        <v>317</v>
      </c>
      <c r="U271" s="41" t="s">
        <v>1820</v>
      </c>
      <c r="V271" s="41" t="s">
        <v>319</v>
      </c>
      <c r="W271" s="40">
        <v>860007335</v>
      </c>
      <c r="X271" s="41" t="s">
        <v>381</v>
      </c>
      <c r="Y271" s="40">
        <v>825</v>
      </c>
      <c r="Z271" s="40">
        <v>825</v>
      </c>
      <c r="AA271" s="40">
        <v>27025</v>
      </c>
      <c r="AB271" s="41"/>
      <c r="AC271" s="41" t="s">
        <v>2124</v>
      </c>
      <c r="AD271" s="41" t="s">
        <v>3204</v>
      </c>
      <c r="AE271" s="41"/>
      <c r="AF271" s="41" t="s">
        <v>1526</v>
      </c>
      <c r="AG271" s="41" t="s">
        <v>356</v>
      </c>
      <c r="AH271" s="41" t="s">
        <v>1822</v>
      </c>
      <c r="AI271" s="41" t="s">
        <v>1332</v>
      </c>
    </row>
    <row r="272" spans="1:35" x14ac:dyDescent="0.2">
      <c r="A272" s="53">
        <v>27125</v>
      </c>
      <c r="B272" s="41" t="s">
        <v>1526</v>
      </c>
      <c r="C272" s="41" t="s">
        <v>1823</v>
      </c>
      <c r="D272" s="41" t="s">
        <v>312</v>
      </c>
      <c r="E272" s="55">
        <v>923210</v>
      </c>
      <c r="F272" s="41" t="s">
        <v>56</v>
      </c>
      <c r="G272" s="41" t="s">
        <v>57</v>
      </c>
      <c r="H272" s="41" t="s">
        <v>58</v>
      </c>
      <c r="I272" s="41" t="s">
        <v>31</v>
      </c>
      <c r="J272" s="41" t="s">
        <v>32</v>
      </c>
      <c r="K272" s="41" t="s">
        <v>33</v>
      </c>
      <c r="L272" s="50">
        <v>37099598</v>
      </c>
      <c r="M272" s="50">
        <v>0</v>
      </c>
      <c r="N272" s="50">
        <v>37099598</v>
      </c>
      <c r="O272" s="50">
        <v>34610486</v>
      </c>
      <c r="P272" s="43" t="s">
        <v>351</v>
      </c>
      <c r="Q272" s="40">
        <v>52843265</v>
      </c>
      <c r="R272" s="41" t="s">
        <v>1824</v>
      </c>
      <c r="S272" s="41" t="s">
        <v>316</v>
      </c>
      <c r="T272" s="41" t="s">
        <v>317</v>
      </c>
      <c r="U272" s="41" t="s">
        <v>1825</v>
      </c>
      <c r="V272" s="41" t="s">
        <v>319</v>
      </c>
      <c r="W272" s="40">
        <v>860007335</v>
      </c>
      <c r="X272" s="41" t="s">
        <v>381</v>
      </c>
      <c r="Y272" s="40">
        <v>825</v>
      </c>
      <c r="Z272" s="40">
        <v>825</v>
      </c>
      <c r="AA272" s="40">
        <v>27125</v>
      </c>
      <c r="AB272" s="41"/>
      <c r="AC272" s="41" t="s">
        <v>2128</v>
      </c>
      <c r="AD272" s="41" t="s">
        <v>3205</v>
      </c>
      <c r="AE272" s="41"/>
      <c r="AF272" s="41" t="s">
        <v>1526</v>
      </c>
      <c r="AG272" s="41" t="s">
        <v>356</v>
      </c>
      <c r="AH272" s="41" t="s">
        <v>1827</v>
      </c>
      <c r="AI272" s="41" t="s">
        <v>1332</v>
      </c>
    </row>
    <row r="273" spans="1:35" x14ac:dyDescent="0.2">
      <c r="A273" s="53">
        <v>27225</v>
      </c>
      <c r="B273" s="41" t="s">
        <v>1828</v>
      </c>
      <c r="C273" s="41" t="s">
        <v>1829</v>
      </c>
      <c r="D273" s="41" t="s">
        <v>312</v>
      </c>
      <c r="E273" s="55">
        <v>923210</v>
      </c>
      <c r="F273" s="41" t="s">
        <v>56</v>
      </c>
      <c r="G273" s="41" t="s">
        <v>29</v>
      </c>
      <c r="H273" s="41" t="s">
        <v>30</v>
      </c>
      <c r="I273" s="41" t="s">
        <v>31</v>
      </c>
      <c r="J273" s="41" t="s">
        <v>32</v>
      </c>
      <c r="K273" s="41" t="s">
        <v>33</v>
      </c>
      <c r="L273" s="50">
        <v>32550000</v>
      </c>
      <c r="M273" s="50">
        <v>0</v>
      </c>
      <c r="N273" s="50">
        <v>32550000</v>
      </c>
      <c r="O273" s="50">
        <v>30380000</v>
      </c>
      <c r="P273" s="43" t="s">
        <v>351</v>
      </c>
      <c r="Q273" s="40">
        <v>1010151692</v>
      </c>
      <c r="R273" s="41" t="s">
        <v>1830</v>
      </c>
      <c r="S273" s="41" t="s">
        <v>316</v>
      </c>
      <c r="T273" s="41" t="s">
        <v>317</v>
      </c>
      <c r="U273" s="41" t="s">
        <v>1831</v>
      </c>
      <c r="V273" s="41" t="s">
        <v>319</v>
      </c>
      <c r="W273" s="40">
        <v>860007335</v>
      </c>
      <c r="X273" s="41" t="s">
        <v>381</v>
      </c>
      <c r="Y273" s="40">
        <v>1925</v>
      </c>
      <c r="Z273" s="40">
        <v>1925</v>
      </c>
      <c r="AA273" s="40">
        <v>27225</v>
      </c>
      <c r="AB273" s="41"/>
      <c r="AC273" s="41" t="s">
        <v>2131</v>
      </c>
      <c r="AD273" s="41" t="s">
        <v>3207</v>
      </c>
      <c r="AE273" s="41"/>
      <c r="AF273" s="41" t="s">
        <v>1828</v>
      </c>
      <c r="AG273" s="41" t="s">
        <v>356</v>
      </c>
      <c r="AH273" s="41" t="s">
        <v>1833</v>
      </c>
      <c r="AI273" s="41" t="s">
        <v>1834</v>
      </c>
    </row>
    <row r="274" spans="1:35" x14ac:dyDescent="0.2">
      <c r="A274" s="53">
        <v>27325</v>
      </c>
      <c r="B274" s="41" t="s">
        <v>1828</v>
      </c>
      <c r="C274" s="41" t="s">
        <v>1835</v>
      </c>
      <c r="D274" s="41" t="s">
        <v>312</v>
      </c>
      <c r="E274" s="55">
        <v>923210</v>
      </c>
      <c r="F274" s="41" t="s">
        <v>56</v>
      </c>
      <c r="G274" s="41" t="s">
        <v>29</v>
      </c>
      <c r="H274" s="41" t="s">
        <v>30</v>
      </c>
      <c r="I274" s="41" t="s">
        <v>31</v>
      </c>
      <c r="J274" s="41" t="s">
        <v>32</v>
      </c>
      <c r="K274" s="41" t="s">
        <v>33</v>
      </c>
      <c r="L274" s="50">
        <v>26920688</v>
      </c>
      <c r="M274" s="50">
        <v>0</v>
      </c>
      <c r="N274" s="50">
        <v>26920688</v>
      </c>
      <c r="O274" s="50">
        <v>25125975</v>
      </c>
      <c r="P274" s="43" t="s">
        <v>351</v>
      </c>
      <c r="Q274" s="40">
        <v>1136889114</v>
      </c>
      <c r="R274" s="41" t="s">
        <v>1836</v>
      </c>
      <c r="S274" s="41" t="s">
        <v>316</v>
      </c>
      <c r="T274" s="41" t="s">
        <v>317</v>
      </c>
      <c r="U274" s="41" t="s">
        <v>1837</v>
      </c>
      <c r="V274" s="41" t="s">
        <v>319</v>
      </c>
      <c r="W274" s="40">
        <v>860007335</v>
      </c>
      <c r="X274" s="41" t="s">
        <v>381</v>
      </c>
      <c r="Y274" s="40">
        <v>1925</v>
      </c>
      <c r="Z274" s="40">
        <v>1925</v>
      </c>
      <c r="AA274" s="40">
        <v>27325</v>
      </c>
      <c r="AB274" s="41"/>
      <c r="AC274" s="41" t="s">
        <v>2137</v>
      </c>
      <c r="AD274" s="41" t="s">
        <v>3210</v>
      </c>
      <c r="AE274" s="41"/>
      <c r="AF274" s="41" t="s">
        <v>1828</v>
      </c>
      <c r="AG274" s="41" t="s">
        <v>356</v>
      </c>
      <c r="AH274" s="41" t="s">
        <v>1839</v>
      </c>
      <c r="AI274" s="41" t="s">
        <v>1840</v>
      </c>
    </row>
    <row r="275" spans="1:35" x14ac:dyDescent="0.2">
      <c r="A275" s="53">
        <v>27425</v>
      </c>
      <c r="B275" s="41" t="s">
        <v>1828</v>
      </c>
      <c r="C275" s="41" t="s">
        <v>1841</v>
      </c>
      <c r="D275" s="41" t="s">
        <v>312</v>
      </c>
      <c r="E275" s="55">
        <v>923210</v>
      </c>
      <c r="F275" s="41" t="s">
        <v>56</v>
      </c>
      <c r="G275" s="41" t="s">
        <v>29</v>
      </c>
      <c r="H275" s="41" t="s">
        <v>30</v>
      </c>
      <c r="I275" s="41" t="s">
        <v>31</v>
      </c>
      <c r="J275" s="41" t="s">
        <v>32</v>
      </c>
      <c r="K275" s="41" t="s">
        <v>33</v>
      </c>
      <c r="L275" s="50">
        <v>26920688</v>
      </c>
      <c r="M275" s="50">
        <v>0</v>
      </c>
      <c r="N275" s="50">
        <v>26920688</v>
      </c>
      <c r="O275" s="50">
        <v>25125975</v>
      </c>
      <c r="P275" s="43" t="s">
        <v>351</v>
      </c>
      <c r="Q275" s="40">
        <v>16790163</v>
      </c>
      <c r="R275" s="41" t="s">
        <v>1842</v>
      </c>
      <c r="S275" s="41" t="s">
        <v>316</v>
      </c>
      <c r="T275" s="41" t="s">
        <v>317</v>
      </c>
      <c r="U275" s="41" t="s">
        <v>1843</v>
      </c>
      <c r="V275" s="41" t="s">
        <v>319</v>
      </c>
      <c r="W275" s="40">
        <v>890903938</v>
      </c>
      <c r="X275" s="41" t="s">
        <v>342</v>
      </c>
      <c r="Y275" s="40">
        <v>1925</v>
      </c>
      <c r="Z275" s="40">
        <v>1925</v>
      </c>
      <c r="AA275" s="40">
        <v>27425</v>
      </c>
      <c r="AB275" s="41"/>
      <c r="AC275" s="41" t="s">
        <v>2143</v>
      </c>
      <c r="AD275" s="41" t="s">
        <v>3213</v>
      </c>
      <c r="AE275" s="41"/>
      <c r="AF275" s="41" t="s">
        <v>1828</v>
      </c>
      <c r="AG275" s="41" t="s">
        <v>356</v>
      </c>
      <c r="AH275" s="41" t="s">
        <v>1845</v>
      </c>
      <c r="AI275" s="41" t="s">
        <v>1846</v>
      </c>
    </row>
    <row r="276" spans="1:35" x14ac:dyDescent="0.2">
      <c r="A276" s="53">
        <v>27525</v>
      </c>
      <c r="B276" s="41" t="s">
        <v>1828</v>
      </c>
      <c r="C276" s="41" t="s">
        <v>1847</v>
      </c>
      <c r="D276" s="41" t="s">
        <v>312</v>
      </c>
      <c r="E276" s="55">
        <v>923210</v>
      </c>
      <c r="F276" s="41" t="s">
        <v>56</v>
      </c>
      <c r="G276" s="41" t="s">
        <v>29</v>
      </c>
      <c r="H276" s="41" t="s">
        <v>30</v>
      </c>
      <c r="I276" s="41" t="s">
        <v>31</v>
      </c>
      <c r="J276" s="41" t="s">
        <v>32</v>
      </c>
      <c r="K276" s="41" t="s">
        <v>33</v>
      </c>
      <c r="L276" s="50">
        <v>39900000</v>
      </c>
      <c r="M276" s="50">
        <v>0</v>
      </c>
      <c r="N276" s="50">
        <v>39900000</v>
      </c>
      <c r="O276" s="50">
        <v>37240000</v>
      </c>
      <c r="P276" s="43" t="s">
        <v>351</v>
      </c>
      <c r="Q276" s="40">
        <v>52905526</v>
      </c>
      <c r="R276" s="41" t="s">
        <v>1848</v>
      </c>
      <c r="S276" s="41" t="s">
        <v>316</v>
      </c>
      <c r="T276" s="41" t="s">
        <v>317</v>
      </c>
      <c r="U276" s="41" t="s">
        <v>1849</v>
      </c>
      <c r="V276" s="41" t="s">
        <v>319</v>
      </c>
      <c r="W276" s="40">
        <v>860034313</v>
      </c>
      <c r="X276" s="41" t="s">
        <v>355</v>
      </c>
      <c r="Y276" s="40">
        <v>1925</v>
      </c>
      <c r="Z276" s="40">
        <v>1925</v>
      </c>
      <c r="AA276" s="40">
        <v>27525</v>
      </c>
      <c r="AB276" s="41"/>
      <c r="AC276" s="41" t="s">
        <v>2148</v>
      </c>
      <c r="AD276" s="41" t="s">
        <v>3215</v>
      </c>
      <c r="AE276" s="41"/>
      <c r="AF276" s="41" t="s">
        <v>1828</v>
      </c>
      <c r="AG276" s="41" t="s">
        <v>356</v>
      </c>
      <c r="AH276" s="41" t="s">
        <v>1851</v>
      </c>
      <c r="AI276" s="41" t="s">
        <v>1852</v>
      </c>
    </row>
    <row r="277" spans="1:35" x14ac:dyDescent="0.2">
      <c r="A277" s="53">
        <v>27625</v>
      </c>
      <c r="B277" s="41" t="s">
        <v>1828</v>
      </c>
      <c r="C277" s="41" t="s">
        <v>1853</v>
      </c>
      <c r="D277" s="41" t="s">
        <v>312</v>
      </c>
      <c r="E277" s="55">
        <v>923210</v>
      </c>
      <c r="F277" s="41" t="s">
        <v>56</v>
      </c>
      <c r="G277" s="41" t="s">
        <v>29</v>
      </c>
      <c r="H277" s="41" t="s">
        <v>30</v>
      </c>
      <c r="I277" s="41" t="s">
        <v>31</v>
      </c>
      <c r="J277" s="41" t="s">
        <v>32</v>
      </c>
      <c r="K277" s="41" t="s">
        <v>33</v>
      </c>
      <c r="L277" s="50">
        <v>37104760</v>
      </c>
      <c r="M277" s="50">
        <v>0</v>
      </c>
      <c r="N277" s="50">
        <v>37104760</v>
      </c>
      <c r="O277" s="50">
        <v>34507426</v>
      </c>
      <c r="P277" s="43" t="s">
        <v>351</v>
      </c>
      <c r="Q277" s="40">
        <v>79428808</v>
      </c>
      <c r="R277" s="41" t="s">
        <v>1854</v>
      </c>
      <c r="S277" s="41" t="s">
        <v>316</v>
      </c>
      <c r="T277" s="41" t="s">
        <v>317</v>
      </c>
      <c r="U277" s="41" t="s">
        <v>1855</v>
      </c>
      <c r="V277" s="41" t="s">
        <v>319</v>
      </c>
      <c r="W277" s="40">
        <v>860007335</v>
      </c>
      <c r="X277" s="41" t="s">
        <v>381</v>
      </c>
      <c r="Y277" s="40">
        <v>1925</v>
      </c>
      <c r="Z277" s="40">
        <v>1925</v>
      </c>
      <c r="AA277" s="40">
        <v>27625</v>
      </c>
      <c r="AB277" s="41"/>
      <c r="AC277" s="41" t="s">
        <v>2153</v>
      </c>
      <c r="AD277" s="41" t="s">
        <v>3218</v>
      </c>
      <c r="AE277" s="41"/>
      <c r="AF277" s="41" t="s">
        <v>1828</v>
      </c>
      <c r="AG277" s="41" t="s">
        <v>356</v>
      </c>
      <c r="AH277" s="41" t="s">
        <v>1857</v>
      </c>
      <c r="AI277" s="41" t="s">
        <v>1858</v>
      </c>
    </row>
    <row r="278" spans="1:35" x14ac:dyDescent="0.2">
      <c r="A278" s="53">
        <v>27725</v>
      </c>
      <c r="B278" s="41" t="s">
        <v>1828</v>
      </c>
      <c r="C278" s="41" t="s">
        <v>1859</v>
      </c>
      <c r="D278" s="41" t="s">
        <v>312</v>
      </c>
      <c r="E278" s="55">
        <v>923290</v>
      </c>
      <c r="F278" s="41" t="s">
        <v>208</v>
      </c>
      <c r="G278" s="41" t="s">
        <v>29</v>
      </c>
      <c r="H278" s="41" t="s">
        <v>30</v>
      </c>
      <c r="I278" s="41" t="s">
        <v>31</v>
      </c>
      <c r="J278" s="41" t="s">
        <v>32</v>
      </c>
      <c r="K278" s="41" t="s">
        <v>33</v>
      </c>
      <c r="L278" s="50">
        <v>23894350</v>
      </c>
      <c r="M278" s="50">
        <v>0</v>
      </c>
      <c r="N278" s="50">
        <v>23894350</v>
      </c>
      <c r="O278" s="50">
        <v>22221745</v>
      </c>
      <c r="P278" s="43" t="s">
        <v>351</v>
      </c>
      <c r="Q278" s="40">
        <v>79207235</v>
      </c>
      <c r="R278" s="41" t="s">
        <v>1860</v>
      </c>
      <c r="S278" s="41" t="s">
        <v>316</v>
      </c>
      <c r="T278" s="41" t="s">
        <v>317</v>
      </c>
      <c r="U278" s="41" t="s">
        <v>1861</v>
      </c>
      <c r="V278" s="41" t="s">
        <v>319</v>
      </c>
      <c r="W278" s="40">
        <v>860007335</v>
      </c>
      <c r="X278" s="41" t="s">
        <v>381</v>
      </c>
      <c r="Y278" s="40">
        <v>4525</v>
      </c>
      <c r="Z278" s="40">
        <v>4525</v>
      </c>
      <c r="AA278" s="40">
        <v>27725</v>
      </c>
      <c r="AB278" s="41"/>
      <c r="AC278" s="41" t="s">
        <v>2159</v>
      </c>
      <c r="AD278" s="41" t="s">
        <v>3221</v>
      </c>
      <c r="AE278" s="41"/>
      <c r="AF278" s="41" t="s">
        <v>1828</v>
      </c>
      <c r="AG278" s="41" t="s">
        <v>356</v>
      </c>
      <c r="AH278" s="41" t="s">
        <v>1862</v>
      </c>
      <c r="AI278" s="41" t="s">
        <v>1863</v>
      </c>
    </row>
    <row r="279" spans="1:35" x14ac:dyDescent="0.2">
      <c r="A279" s="53">
        <v>27825</v>
      </c>
      <c r="B279" s="41" t="s">
        <v>1828</v>
      </c>
      <c r="C279" s="41" t="s">
        <v>1864</v>
      </c>
      <c r="D279" s="41" t="s">
        <v>312</v>
      </c>
      <c r="E279" s="55">
        <v>923210</v>
      </c>
      <c r="F279" s="41" t="s">
        <v>56</v>
      </c>
      <c r="G279" s="41" t="s">
        <v>29</v>
      </c>
      <c r="H279" s="41" t="s">
        <v>30</v>
      </c>
      <c r="I279" s="41" t="s">
        <v>31</v>
      </c>
      <c r="J279" s="41" t="s">
        <v>32</v>
      </c>
      <c r="K279" s="41" t="s">
        <v>33</v>
      </c>
      <c r="L279" s="50">
        <v>24392907</v>
      </c>
      <c r="M279" s="50">
        <v>0</v>
      </c>
      <c r="N279" s="50">
        <v>24392907</v>
      </c>
      <c r="O279" s="50">
        <v>22766713</v>
      </c>
      <c r="P279" s="43" t="s">
        <v>351</v>
      </c>
      <c r="Q279" s="40">
        <v>1028781645</v>
      </c>
      <c r="R279" s="41" t="s">
        <v>1865</v>
      </c>
      <c r="S279" s="41" t="s">
        <v>316</v>
      </c>
      <c r="T279" s="41" t="s">
        <v>317</v>
      </c>
      <c r="U279" s="41" t="s">
        <v>1866</v>
      </c>
      <c r="V279" s="41" t="s">
        <v>319</v>
      </c>
      <c r="W279" s="40">
        <v>860002964</v>
      </c>
      <c r="X279" s="41" t="s">
        <v>419</v>
      </c>
      <c r="Y279" s="40">
        <v>1925</v>
      </c>
      <c r="Z279" s="40">
        <v>1925</v>
      </c>
      <c r="AA279" s="40">
        <v>27825</v>
      </c>
      <c r="AB279" s="41"/>
      <c r="AC279" s="41" t="s">
        <v>2164</v>
      </c>
      <c r="AD279" s="41" t="s">
        <v>3224</v>
      </c>
      <c r="AE279" s="41"/>
      <c r="AF279" s="41" t="s">
        <v>1828</v>
      </c>
      <c r="AG279" s="41" t="s">
        <v>356</v>
      </c>
      <c r="AH279" s="41" t="s">
        <v>1868</v>
      </c>
      <c r="AI279" s="41" t="s">
        <v>1869</v>
      </c>
    </row>
    <row r="280" spans="1:35" x14ac:dyDescent="0.2">
      <c r="A280" s="53">
        <v>27925</v>
      </c>
      <c r="B280" s="41" t="s">
        <v>1828</v>
      </c>
      <c r="C280" s="41" t="s">
        <v>1870</v>
      </c>
      <c r="D280" s="41" t="s">
        <v>312</v>
      </c>
      <c r="E280" s="55">
        <v>923210</v>
      </c>
      <c r="F280" s="41" t="s">
        <v>56</v>
      </c>
      <c r="G280" s="41" t="s">
        <v>29</v>
      </c>
      <c r="H280" s="41" t="s">
        <v>30</v>
      </c>
      <c r="I280" s="41" t="s">
        <v>31</v>
      </c>
      <c r="J280" s="41" t="s">
        <v>32</v>
      </c>
      <c r="K280" s="41" t="s">
        <v>33</v>
      </c>
      <c r="L280" s="50">
        <v>23894350</v>
      </c>
      <c r="M280" s="50">
        <v>0</v>
      </c>
      <c r="N280" s="50">
        <v>23894350</v>
      </c>
      <c r="O280" s="50">
        <v>22221745</v>
      </c>
      <c r="P280" s="43" t="s">
        <v>351</v>
      </c>
      <c r="Q280" s="40">
        <v>79661139</v>
      </c>
      <c r="R280" s="41" t="s">
        <v>1871</v>
      </c>
      <c r="S280" s="41" t="s">
        <v>316</v>
      </c>
      <c r="T280" s="41" t="s">
        <v>317</v>
      </c>
      <c r="U280" s="41" t="s">
        <v>1872</v>
      </c>
      <c r="V280" s="41" t="s">
        <v>319</v>
      </c>
      <c r="W280" s="40">
        <v>860034313</v>
      </c>
      <c r="X280" s="41" t="s">
        <v>355</v>
      </c>
      <c r="Y280" s="40">
        <v>1925</v>
      </c>
      <c r="Z280" s="40">
        <v>1925</v>
      </c>
      <c r="AA280" s="40">
        <v>27925</v>
      </c>
      <c r="AB280" s="41"/>
      <c r="AC280" s="41" t="s">
        <v>2168</v>
      </c>
      <c r="AD280" s="41" t="s">
        <v>3227</v>
      </c>
      <c r="AE280" s="41"/>
      <c r="AF280" s="41" t="s">
        <v>1828</v>
      </c>
      <c r="AG280" s="41" t="s">
        <v>356</v>
      </c>
      <c r="AH280" s="41" t="s">
        <v>1874</v>
      </c>
      <c r="AI280" s="41" t="s">
        <v>1875</v>
      </c>
    </row>
    <row r="281" spans="1:35" x14ac:dyDescent="0.2">
      <c r="A281" s="53">
        <v>28025</v>
      </c>
      <c r="B281" s="41" t="s">
        <v>1828</v>
      </c>
      <c r="C281" s="41" t="s">
        <v>1876</v>
      </c>
      <c r="D281" s="41" t="s">
        <v>312</v>
      </c>
      <c r="E281" s="55">
        <v>923210</v>
      </c>
      <c r="F281" s="41" t="s">
        <v>56</v>
      </c>
      <c r="G281" s="41" t="s">
        <v>29</v>
      </c>
      <c r="H281" s="41" t="s">
        <v>30</v>
      </c>
      <c r="I281" s="41" t="s">
        <v>31</v>
      </c>
      <c r="J281" s="41" t="s">
        <v>32</v>
      </c>
      <c r="K281" s="41" t="s">
        <v>33</v>
      </c>
      <c r="L281" s="50">
        <v>23894350</v>
      </c>
      <c r="M281" s="50">
        <v>0</v>
      </c>
      <c r="N281" s="50">
        <v>23894350</v>
      </c>
      <c r="O281" s="50">
        <v>22221745</v>
      </c>
      <c r="P281" s="43" t="s">
        <v>351</v>
      </c>
      <c r="Q281" s="40">
        <v>79205725</v>
      </c>
      <c r="R281" s="41" t="s">
        <v>1877</v>
      </c>
      <c r="S281" s="41" t="s">
        <v>316</v>
      </c>
      <c r="T281" s="41" t="s">
        <v>317</v>
      </c>
      <c r="U281" s="41" t="s">
        <v>1878</v>
      </c>
      <c r="V281" s="41" t="s">
        <v>319</v>
      </c>
      <c r="W281" s="40">
        <v>860002964</v>
      </c>
      <c r="X281" s="41" t="s">
        <v>419</v>
      </c>
      <c r="Y281" s="40">
        <v>1925</v>
      </c>
      <c r="Z281" s="40">
        <v>1925</v>
      </c>
      <c r="AA281" s="40">
        <v>28025</v>
      </c>
      <c r="AB281" s="41"/>
      <c r="AC281" s="41" t="s">
        <v>2173</v>
      </c>
      <c r="AD281" s="41" t="s">
        <v>3229</v>
      </c>
      <c r="AE281" s="41"/>
      <c r="AF281" s="41" t="s">
        <v>1828</v>
      </c>
      <c r="AG281" s="41" t="s">
        <v>356</v>
      </c>
      <c r="AH281" s="41" t="s">
        <v>1880</v>
      </c>
      <c r="AI281" s="41" t="s">
        <v>1875</v>
      </c>
    </row>
    <row r="282" spans="1:35" x14ac:dyDescent="0.2">
      <c r="A282" s="53">
        <v>28125</v>
      </c>
      <c r="B282" s="41" t="s">
        <v>1828</v>
      </c>
      <c r="C282" s="41" t="s">
        <v>1881</v>
      </c>
      <c r="D282" s="41" t="s">
        <v>312</v>
      </c>
      <c r="E282" s="55">
        <v>923211</v>
      </c>
      <c r="F282" s="41" t="s">
        <v>69</v>
      </c>
      <c r="G282" s="41" t="s">
        <v>29</v>
      </c>
      <c r="H282" s="41" t="s">
        <v>30</v>
      </c>
      <c r="I282" s="41" t="s">
        <v>31</v>
      </c>
      <c r="J282" s="41" t="s">
        <v>32</v>
      </c>
      <c r="K282" s="41" t="s">
        <v>33</v>
      </c>
      <c r="L282" s="50">
        <v>45995110</v>
      </c>
      <c r="M282" s="50">
        <v>0</v>
      </c>
      <c r="N282" s="50">
        <v>45995110</v>
      </c>
      <c r="O282" s="50">
        <v>42775452</v>
      </c>
      <c r="P282" s="43" t="s">
        <v>351</v>
      </c>
      <c r="Q282" s="40">
        <v>16897160</v>
      </c>
      <c r="R282" s="41" t="s">
        <v>1882</v>
      </c>
      <c r="S282" s="41" t="s">
        <v>316</v>
      </c>
      <c r="T282" s="41" t="s">
        <v>317</v>
      </c>
      <c r="U282" s="41" t="s">
        <v>1883</v>
      </c>
      <c r="V282" s="41" t="s">
        <v>319</v>
      </c>
      <c r="W282" s="40">
        <v>890903938</v>
      </c>
      <c r="X282" s="41" t="s">
        <v>342</v>
      </c>
      <c r="Y282" s="40">
        <v>2125</v>
      </c>
      <c r="Z282" s="40">
        <v>2125</v>
      </c>
      <c r="AA282" s="40">
        <v>28125</v>
      </c>
      <c r="AB282" s="41"/>
      <c r="AC282" s="41" t="s">
        <v>2178</v>
      </c>
      <c r="AD282" s="41" t="s">
        <v>3231</v>
      </c>
      <c r="AE282" s="41"/>
      <c r="AF282" s="41" t="s">
        <v>1828</v>
      </c>
      <c r="AG282" s="41" t="s">
        <v>356</v>
      </c>
      <c r="AH282" s="41" t="s">
        <v>1885</v>
      </c>
      <c r="AI282" s="41" t="s">
        <v>1886</v>
      </c>
    </row>
    <row r="283" spans="1:35" x14ac:dyDescent="0.2">
      <c r="A283" s="53">
        <v>28225</v>
      </c>
      <c r="B283" s="41" t="s">
        <v>1828</v>
      </c>
      <c r="C283" s="41" t="s">
        <v>1887</v>
      </c>
      <c r="D283" s="41" t="s">
        <v>312</v>
      </c>
      <c r="E283" s="55">
        <v>923210</v>
      </c>
      <c r="F283" s="41" t="s">
        <v>56</v>
      </c>
      <c r="G283" s="41" t="s">
        <v>29</v>
      </c>
      <c r="H283" s="41" t="s">
        <v>30</v>
      </c>
      <c r="I283" s="41" t="s">
        <v>31</v>
      </c>
      <c r="J283" s="41" t="s">
        <v>32</v>
      </c>
      <c r="K283" s="41" t="s">
        <v>33</v>
      </c>
      <c r="L283" s="50">
        <v>24000000</v>
      </c>
      <c r="M283" s="50">
        <v>0</v>
      </c>
      <c r="N283" s="50">
        <v>24000000</v>
      </c>
      <c r="O283" s="50">
        <v>22320000</v>
      </c>
      <c r="P283" s="43" t="s">
        <v>351</v>
      </c>
      <c r="Q283" s="40">
        <v>52800088</v>
      </c>
      <c r="R283" s="41" t="s">
        <v>1888</v>
      </c>
      <c r="S283" s="41" t="s">
        <v>316</v>
      </c>
      <c r="T283" s="41" t="s">
        <v>317</v>
      </c>
      <c r="U283" s="41" t="s">
        <v>1889</v>
      </c>
      <c r="V283" s="41" t="s">
        <v>319</v>
      </c>
      <c r="W283" s="40">
        <v>860034313</v>
      </c>
      <c r="X283" s="41" t="s">
        <v>355</v>
      </c>
      <c r="Y283" s="40">
        <v>1925</v>
      </c>
      <c r="Z283" s="40">
        <v>1925</v>
      </c>
      <c r="AA283" s="40">
        <v>28225</v>
      </c>
      <c r="AB283" s="41"/>
      <c r="AC283" s="41" t="s">
        <v>2183</v>
      </c>
      <c r="AD283" s="41" t="s">
        <v>3232</v>
      </c>
      <c r="AE283" s="41"/>
      <c r="AF283" s="41" t="s">
        <v>1828</v>
      </c>
      <c r="AG283" s="41" t="s">
        <v>356</v>
      </c>
      <c r="AH283" s="41" t="s">
        <v>1891</v>
      </c>
      <c r="AI283" s="41" t="s">
        <v>1892</v>
      </c>
    </row>
    <row r="284" spans="1:35" x14ac:dyDescent="0.2">
      <c r="A284" s="53">
        <v>28325</v>
      </c>
      <c r="B284" s="41" t="s">
        <v>1828</v>
      </c>
      <c r="C284" s="41" t="s">
        <v>1893</v>
      </c>
      <c r="D284" s="41" t="s">
        <v>312</v>
      </c>
      <c r="E284" s="55">
        <v>923242</v>
      </c>
      <c r="F284" s="41" t="s">
        <v>175</v>
      </c>
      <c r="G284" s="41" t="s">
        <v>29</v>
      </c>
      <c r="H284" s="41" t="s">
        <v>30</v>
      </c>
      <c r="I284" s="41" t="s">
        <v>31</v>
      </c>
      <c r="J284" s="41" t="s">
        <v>32</v>
      </c>
      <c r="K284" s="41" t="s">
        <v>33</v>
      </c>
      <c r="L284" s="50">
        <v>39694137</v>
      </c>
      <c r="M284" s="50">
        <v>0</v>
      </c>
      <c r="N284" s="50">
        <v>39694137</v>
      </c>
      <c r="O284" s="50">
        <v>37047861</v>
      </c>
      <c r="P284" s="43" t="s">
        <v>351</v>
      </c>
      <c r="Q284" s="40">
        <v>1010226452</v>
      </c>
      <c r="R284" s="41" t="s">
        <v>1894</v>
      </c>
      <c r="S284" s="41" t="s">
        <v>316</v>
      </c>
      <c r="T284" s="41" t="s">
        <v>317</v>
      </c>
      <c r="U284" s="41" t="s">
        <v>1895</v>
      </c>
      <c r="V284" s="41" t="s">
        <v>319</v>
      </c>
      <c r="W284" s="40">
        <v>860007335</v>
      </c>
      <c r="X284" s="41" t="s">
        <v>381</v>
      </c>
      <c r="Y284" s="40">
        <v>3625</v>
      </c>
      <c r="Z284" s="40">
        <v>3625</v>
      </c>
      <c r="AA284" s="40">
        <v>28325</v>
      </c>
      <c r="AB284" s="41"/>
      <c r="AC284" s="41" t="s">
        <v>2188</v>
      </c>
      <c r="AD284" s="41" t="s">
        <v>3235</v>
      </c>
      <c r="AE284" s="41"/>
      <c r="AF284" s="41" t="s">
        <v>1828</v>
      </c>
      <c r="AG284" s="41" t="s">
        <v>356</v>
      </c>
      <c r="AH284" s="41" t="s">
        <v>1897</v>
      </c>
      <c r="AI284" s="41" t="s">
        <v>1898</v>
      </c>
    </row>
    <row r="285" spans="1:35" x14ac:dyDescent="0.2">
      <c r="A285" s="53">
        <v>28425</v>
      </c>
      <c r="B285" s="41" t="s">
        <v>1828</v>
      </c>
      <c r="C285" s="41" t="s">
        <v>1899</v>
      </c>
      <c r="D285" s="41" t="s">
        <v>312</v>
      </c>
      <c r="E285" s="55">
        <v>923242</v>
      </c>
      <c r="F285" s="41" t="s">
        <v>175</v>
      </c>
      <c r="G285" s="41" t="s">
        <v>29</v>
      </c>
      <c r="H285" s="41" t="s">
        <v>30</v>
      </c>
      <c r="I285" s="41" t="s">
        <v>31</v>
      </c>
      <c r="J285" s="41" t="s">
        <v>32</v>
      </c>
      <c r="K285" s="41" t="s">
        <v>33</v>
      </c>
      <c r="L285" s="50">
        <v>31726737</v>
      </c>
      <c r="M285" s="50">
        <v>0</v>
      </c>
      <c r="N285" s="50">
        <v>31726737</v>
      </c>
      <c r="O285" s="50">
        <v>29611621</v>
      </c>
      <c r="P285" s="43" t="s">
        <v>351</v>
      </c>
      <c r="Q285" s="40">
        <v>79418258</v>
      </c>
      <c r="R285" s="41" t="s">
        <v>1900</v>
      </c>
      <c r="S285" s="41" t="s">
        <v>316</v>
      </c>
      <c r="T285" s="41" t="s">
        <v>317</v>
      </c>
      <c r="U285" s="41" t="s">
        <v>1901</v>
      </c>
      <c r="V285" s="41" t="s">
        <v>319</v>
      </c>
      <c r="W285" s="40">
        <v>860034594</v>
      </c>
      <c r="X285" s="41" t="s">
        <v>374</v>
      </c>
      <c r="Y285" s="40">
        <v>3625</v>
      </c>
      <c r="Z285" s="40">
        <v>3625</v>
      </c>
      <c r="AA285" s="40">
        <v>28425</v>
      </c>
      <c r="AB285" s="41"/>
      <c r="AC285" s="41" t="s">
        <v>3241</v>
      </c>
      <c r="AD285" s="41" t="s">
        <v>3238</v>
      </c>
      <c r="AE285" s="41"/>
      <c r="AF285" s="41" t="s">
        <v>1828</v>
      </c>
      <c r="AG285" s="41" t="s">
        <v>356</v>
      </c>
      <c r="AH285" s="41" t="s">
        <v>1903</v>
      </c>
      <c r="AI285" s="41" t="s">
        <v>1904</v>
      </c>
    </row>
    <row r="286" spans="1:35" x14ac:dyDescent="0.2">
      <c r="A286" s="53">
        <v>28525</v>
      </c>
      <c r="B286" s="41" t="s">
        <v>1828</v>
      </c>
      <c r="C286" s="41" t="s">
        <v>1905</v>
      </c>
      <c r="D286" s="41" t="s">
        <v>312</v>
      </c>
      <c r="E286" s="55">
        <v>923242</v>
      </c>
      <c r="F286" s="41" t="s">
        <v>175</v>
      </c>
      <c r="G286" s="41" t="s">
        <v>29</v>
      </c>
      <c r="H286" s="41" t="s">
        <v>30</v>
      </c>
      <c r="I286" s="41" t="s">
        <v>31</v>
      </c>
      <c r="J286" s="41" t="s">
        <v>32</v>
      </c>
      <c r="K286" s="41" t="s">
        <v>33</v>
      </c>
      <c r="L286" s="50">
        <v>39694137</v>
      </c>
      <c r="M286" s="50">
        <v>0</v>
      </c>
      <c r="N286" s="50">
        <v>39694137</v>
      </c>
      <c r="O286" s="50">
        <v>37047861</v>
      </c>
      <c r="P286" s="43" t="s">
        <v>351</v>
      </c>
      <c r="Q286" s="40">
        <v>1018427297</v>
      </c>
      <c r="R286" s="41" t="s">
        <v>1906</v>
      </c>
      <c r="S286" s="41" t="s">
        <v>316</v>
      </c>
      <c r="T286" s="41" t="s">
        <v>317</v>
      </c>
      <c r="U286" s="41" t="s">
        <v>1907</v>
      </c>
      <c r="V286" s="41" t="s">
        <v>319</v>
      </c>
      <c r="W286" s="40">
        <v>860007335</v>
      </c>
      <c r="X286" s="41" t="s">
        <v>381</v>
      </c>
      <c r="Y286" s="40">
        <v>3625</v>
      </c>
      <c r="Z286" s="40">
        <v>3625</v>
      </c>
      <c r="AA286" s="40">
        <v>28525</v>
      </c>
      <c r="AB286" s="41"/>
      <c r="AC286" s="41" t="s">
        <v>2690</v>
      </c>
      <c r="AD286" s="41" t="s">
        <v>3242</v>
      </c>
      <c r="AE286" s="41"/>
      <c r="AF286" s="41" t="s">
        <v>1828</v>
      </c>
      <c r="AG286" s="41" t="s">
        <v>356</v>
      </c>
      <c r="AH286" s="41" t="s">
        <v>1909</v>
      </c>
      <c r="AI286" s="41" t="s">
        <v>1910</v>
      </c>
    </row>
    <row r="287" spans="1:35" x14ac:dyDescent="0.2">
      <c r="A287" s="53">
        <v>28625</v>
      </c>
      <c r="B287" s="41" t="s">
        <v>1911</v>
      </c>
      <c r="C287" s="41" t="s">
        <v>1912</v>
      </c>
      <c r="D287" s="41" t="s">
        <v>312</v>
      </c>
      <c r="E287" s="55">
        <v>923210</v>
      </c>
      <c r="F287" s="41" t="s">
        <v>56</v>
      </c>
      <c r="G287" s="41" t="s">
        <v>29</v>
      </c>
      <c r="H287" s="41" t="s">
        <v>30</v>
      </c>
      <c r="I287" s="41" t="s">
        <v>47</v>
      </c>
      <c r="J287" s="41" t="s">
        <v>48</v>
      </c>
      <c r="K287" s="41" t="s">
        <v>33</v>
      </c>
      <c r="L287" s="50">
        <v>1797160</v>
      </c>
      <c r="M287" s="50">
        <v>0</v>
      </c>
      <c r="N287" s="50">
        <v>1797160</v>
      </c>
      <c r="O287" s="50">
        <v>0</v>
      </c>
      <c r="P287" s="43" t="s">
        <v>314</v>
      </c>
      <c r="Q287" s="40">
        <v>860063875</v>
      </c>
      <c r="R287" s="41" t="s">
        <v>315</v>
      </c>
      <c r="S287" s="41" t="s">
        <v>316</v>
      </c>
      <c r="T287" s="41" t="s">
        <v>317</v>
      </c>
      <c r="U287" s="41" t="s">
        <v>318</v>
      </c>
      <c r="V287" s="41" t="s">
        <v>319</v>
      </c>
      <c r="W287" s="40">
        <v>860050750</v>
      </c>
      <c r="X287" s="41" t="s">
        <v>321</v>
      </c>
      <c r="Y287" s="40">
        <v>1225</v>
      </c>
      <c r="Z287" s="40">
        <v>1225</v>
      </c>
      <c r="AA287" s="40">
        <v>28625</v>
      </c>
      <c r="AB287" s="41" t="s">
        <v>145</v>
      </c>
      <c r="AC287" s="41" t="s">
        <v>106</v>
      </c>
      <c r="AD287" s="41" t="s">
        <v>1915</v>
      </c>
      <c r="AE287" s="41"/>
      <c r="AF287" s="41" t="s">
        <v>1911</v>
      </c>
      <c r="AG287" s="41" t="s">
        <v>323</v>
      </c>
      <c r="AH287" s="41" t="s">
        <v>1916</v>
      </c>
      <c r="AI287" s="41" t="s">
        <v>1917</v>
      </c>
    </row>
    <row r="288" spans="1:35" x14ac:dyDescent="0.2">
      <c r="A288" s="53">
        <v>28725</v>
      </c>
      <c r="B288" s="41" t="s">
        <v>1911</v>
      </c>
      <c r="C288" s="41" t="s">
        <v>1918</v>
      </c>
      <c r="D288" s="41" t="s">
        <v>312</v>
      </c>
      <c r="E288" s="55">
        <v>923210</v>
      </c>
      <c r="F288" s="41" t="s">
        <v>56</v>
      </c>
      <c r="G288" s="41" t="s">
        <v>29</v>
      </c>
      <c r="H288" s="41" t="s">
        <v>30</v>
      </c>
      <c r="I288" s="41" t="s">
        <v>47</v>
      </c>
      <c r="J288" s="41" t="s">
        <v>48</v>
      </c>
      <c r="K288" s="41" t="s">
        <v>33</v>
      </c>
      <c r="L288" s="50">
        <v>4390</v>
      </c>
      <c r="M288" s="50">
        <v>0</v>
      </c>
      <c r="N288" s="50">
        <v>4390</v>
      </c>
      <c r="O288" s="50">
        <v>0</v>
      </c>
      <c r="P288" s="43" t="s">
        <v>314</v>
      </c>
      <c r="Q288" s="40">
        <v>800007813</v>
      </c>
      <c r="R288" s="41" t="s">
        <v>339</v>
      </c>
      <c r="S288" s="41" t="s">
        <v>316</v>
      </c>
      <c r="T288" s="41" t="s">
        <v>317</v>
      </c>
      <c r="U288" s="41" t="s">
        <v>340</v>
      </c>
      <c r="V288" s="41" t="s">
        <v>319</v>
      </c>
      <c r="W288" s="40">
        <v>890903938</v>
      </c>
      <c r="X288" s="41" t="s">
        <v>342</v>
      </c>
      <c r="Y288" s="40">
        <v>1225</v>
      </c>
      <c r="Z288" s="40">
        <v>1225</v>
      </c>
      <c r="AA288" s="40">
        <v>28725</v>
      </c>
      <c r="AB288" s="41" t="s">
        <v>138</v>
      </c>
      <c r="AC288" s="41" t="s">
        <v>103</v>
      </c>
      <c r="AD288" s="41" t="s">
        <v>1920</v>
      </c>
      <c r="AE288" s="41"/>
      <c r="AF288" s="41" t="s">
        <v>1911</v>
      </c>
      <c r="AG288" s="41" t="s">
        <v>323</v>
      </c>
      <c r="AH288" s="41" t="s">
        <v>1921</v>
      </c>
      <c r="AI288" s="41" t="s">
        <v>1922</v>
      </c>
    </row>
    <row r="289" spans="1:35" x14ac:dyDescent="0.2">
      <c r="A289" s="53">
        <v>28825</v>
      </c>
      <c r="B289" s="41" t="s">
        <v>1923</v>
      </c>
      <c r="C289" s="41" t="s">
        <v>1924</v>
      </c>
      <c r="D289" s="41" t="s">
        <v>312</v>
      </c>
      <c r="E289" s="55">
        <v>923238</v>
      </c>
      <c r="F289" s="41" t="s">
        <v>569</v>
      </c>
      <c r="G289" s="41" t="s">
        <v>29</v>
      </c>
      <c r="H289" s="41" t="s">
        <v>30</v>
      </c>
      <c r="I289" s="41" t="s">
        <v>31</v>
      </c>
      <c r="J289" s="41" t="s">
        <v>32</v>
      </c>
      <c r="K289" s="41" t="s">
        <v>33</v>
      </c>
      <c r="L289" s="50">
        <v>576929</v>
      </c>
      <c r="M289" s="50">
        <v>0</v>
      </c>
      <c r="N289" s="50">
        <v>576929</v>
      </c>
      <c r="O289" s="50">
        <v>0</v>
      </c>
      <c r="P289" s="43" t="s">
        <v>351</v>
      </c>
      <c r="Q289" s="40">
        <v>80724086</v>
      </c>
      <c r="R289" s="41" t="s">
        <v>1926</v>
      </c>
      <c r="S289" s="41" t="s">
        <v>316</v>
      </c>
      <c r="T289" s="41" t="s">
        <v>317</v>
      </c>
      <c r="U289" s="41" t="s">
        <v>1927</v>
      </c>
      <c r="V289" s="41" t="s">
        <v>319</v>
      </c>
      <c r="W289" s="40">
        <v>890903938</v>
      </c>
      <c r="X289" s="41" t="s">
        <v>342</v>
      </c>
      <c r="Y289" s="40">
        <v>325</v>
      </c>
      <c r="Z289" s="40">
        <v>325</v>
      </c>
      <c r="AA289" s="40">
        <v>28825</v>
      </c>
      <c r="AB289" s="41" t="s">
        <v>166</v>
      </c>
      <c r="AC289" s="41" t="s">
        <v>192</v>
      </c>
      <c r="AD289" s="41" t="s">
        <v>2658</v>
      </c>
      <c r="AE289" s="41"/>
      <c r="AF289" s="41" t="s">
        <v>1923</v>
      </c>
      <c r="AG289" s="41" t="s">
        <v>1929</v>
      </c>
      <c r="AH289" s="41" t="s">
        <v>1930</v>
      </c>
      <c r="AI289" s="41" t="s">
        <v>1931</v>
      </c>
    </row>
    <row r="290" spans="1:35" x14ac:dyDescent="0.2">
      <c r="A290" s="53">
        <v>28925</v>
      </c>
      <c r="B290" s="41" t="s">
        <v>1923</v>
      </c>
      <c r="C290" s="41" t="s">
        <v>1932</v>
      </c>
      <c r="D290" s="41" t="s">
        <v>312</v>
      </c>
      <c r="E290" s="55">
        <v>923290</v>
      </c>
      <c r="F290" s="41" t="s">
        <v>208</v>
      </c>
      <c r="G290" s="41" t="s">
        <v>29</v>
      </c>
      <c r="H290" s="41" t="s">
        <v>30</v>
      </c>
      <c r="I290" s="41" t="s">
        <v>31</v>
      </c>
      <c r="J290" s="41" t="s">
        <v>32</v>
      </c>
      <c r="K290" s="41" t="s">
        <v>33</v>
      </c>
      <c r="L290" s="50">
        <v>478585</v>
      </c>
      <c r="M290" s="50">
        <v>0</v>
      </c>
      <c r="N290" s="50">
        <v>478585</v>
      </c>
      <c r="O290" s="50">
        <v>0</v>
      </c>
      <c r="P290" s="43" t="s">
        <v>351</v>
      </c>
      <c r="Q290" s="40">
        <v>1012449137</v>
      </c>
      <c r="R290" s="41" t="s">
        <v>390</v>
      </c>
      <c r="S290" s="41" t="s">
        <v>316</v>
      </c>
      <c r="T290" s="41" t="s">
        <v>317</v>
      </c>
      <c r="U290" s="41" t="s">
        <v>391</v>
      </c>
      <c r="V290" s="41" t="s">
        <v>319</v>
      </c>
      <c r="W290" s="40">
        <v>860003020</v>
      </c>
      <c r="X290" s="41" t="s">
        <v>393</v>
      </c>
      <c r="Y290" s="40">
        <v>4925</v>
      </c>
      <c r="Z290" s="40">
        <v>4925</v>
      </c>
      <c r="AA290" s="40">
        <v>28925</v>
      </c>
      <c r="AB290" s="41"/>
      <c r="AC290" s="41" t="s">
        <v>195</v>
      </c>
      <c r="AD290" s="41" t="s">
        <v>2661</v>
      </c>
      <c r="AE290" s="41"/>
      <c r="AF290" s="41" t="s">
        <v>1923</v>
      </c>
      <c r="AG290" s="41" t="s">
        <v>1929</v>
      </c>
      <c r="AH290" s="41" t="s">
        <v>1934</v>
      </c>
      <c r="AI290" s="41" t="s">
        <v>1935</v>
      </c>
    </row>
    <row r="291" spans="1:35" x14ac:dyDescent="0.2">
      <c r="A291" s="53">
        <v>29025</v>
      </c>
      <c r="B291" s="41" t="s">
        <v>1923</v>
      </c>
      <c r="C291" s="41" t="s">
        <v>1936</v>
      </c>
      <c r="D291" s="41" t="s">
        <v>312</v>
      </c>
      <c r="E291" s="55">
        <v>923210</v>
      </c>
      <c r="F291" s="41" t="s">
        <v>56</v>
      </c>
      <c r="G291" s="41" t="s">
        <v>29</v>
      </c>
      <c r="H291" s="41" t="s">
        <v>30</v>
      </c>
      <c r="I291" s="41" t="s">
        <v>31</v>
      </c>
      <c r="J291" s="41" t="s">
        <v>32</v>
      </c>
      <c r="K291" s="41" t="s">
        <v>33</v>
      </c>
      <c r="L291" s="50">
        <v>93439</v>
      </c>
      <c r="M291" s="50">
        <v>0</v>
      </c>
      <c r="N291" s="50">
        <v>93439</v>
      </c>
      <c r="O291" s="50">
        <v>0</v>
      </c>
      <c r="P291" s="43" t="s">
        <v>351</v>
      </c>
      <c r="Q291" s="40">
        <v>79661139</v>
      </c>
      <c r="R291" s="41" t="s">
        <v>1871</v>
      </c>
      <c r="S291" s="41" t="s">
        <v>316</v>
      </c>
      <c r="T291" s="41" t="s">
        <v>317</v>
      </c>
      <c r="U291" s="41" t="s">
        <v>1872</v>
      </c>
      <c r="V291" s="41" t="s">
        <v>319</v>
      </c>
      <c r="W291" s="40">
        <v>860034313</v>
      </c>
      <c r="X291" s="41" t="s">
        <v>355</v>
      </c>
      <c r="Y291" s="40">
        <v>1625</v>
      </c>
      <c r="Z291" s="40">
        <v>1625</v>
      </c>
      <c r="AA291" s="40">
        <v>29025</v>
      </c>
      <c r="AB291" s="41"/>
      <c r="AC291" s="41" t="s">
        <v>199</v>
      </c>
      <c r="AD291" s="41" t="s">
        <v>2663</v>
      </c>
      <c r="AE291" s="41"/>
      <c r="AF291" s="41" t="s">
        <v>1923</v>
      </c>
      <c r="AG291" s="41" t="s">
        <v>1929</v>
      </c>
      <c r="AH291" s="41" t="s">
        <v>1939</v>
      </c>
      <c r="AI291" s="41" t="s">
        <v>1940</v>
      </c>
    </row>
    <row r="292" spans="1:35" x14ac:dyDescent="0.2">
      <c r="A292" s="53">
        <v>29125</v>
      </c>
      <c r="B292" s="41" t="s">
        <v>1923</v>
      </c>
      <c r="C292" s="41" t="s">
        <v>1941</v>
      </c>
      <c r="D292" s="41" t="s">
        <v>312</v>
      </c>
      <c r="E292" s="55">
        <v>923210</v>
      </c>
      <c r="F292" s="41" t="s">
        <v>56</v>
      </c>
      <c r="G292" s="41" t="s">
        <v>29</v>
      </c>
      <c r="H292" s="41" t="s">
        <v>30</v>
      </c>
      <c r="I292" s="41" t="s">
        <v>31</v>
      </c>
      <c r="J292" s="41" t="s">
        <v>32</v>
      </c>
      <c r="K292" s="41" t="s">
        <v>33</v>
      </c>
      <c r="L292" s="50">
        <v>252632</v>
      </c>
      <c r="M292" s="50">
        <v>0</v>
      </c>
      <c r="N292" s="50">
        <v>252632</v>
      </c>
      <c r="O292" s="50">
        <v>0</v>
      </c>
      <c r="P292" s="43" t="s">
        <v>351</v>
      </c>
      <c r="Q292" s="40">
        <v>80062448</v>
      </c>
      <c r="R292" s="41" t="s">
        <v>1943</v>
      </c>
      <c r="S292" s="41" t="s">
        <v>316</v>
      </c>
      <c r="T292" s="41" t="s">
        <v>317</v>
      </c>
      <c r="U292" s="41" t="s">
        <v>1944</v>
      </c>
      <c r="V292" s="41" t="s">
        <v>319</v>
      </c>
      <c r="W292" s="40">
        <v>860034313</v>
      </c>
      <c r="X292" s="41" t="s">
        <v>355</v>
      </c>
      <c r="Y292" s="40">
        <v>1625</v>
      </c>
      <c r="Z292" s="40">
        <v>1625</v>
      </c>
      <c r="AA292" s="40">
        <v>29125</v>
      </c>
      <c r="AB292" s="41"/>
      <c r="AC292" s="41" t="s">
        <v>202</v>
      </c>
      <c r="AD292" s="41" t="s">
        <v>2665</v>
      </c>
      <c r="AE292" s="41"/>
      <c r="AF292" s="41" t="s">
        <v>1923</v>
      </c>
      <c r="AG292" s="41" t="s">
        <v>1929</v>
      </c>
      <c r="AH292" s="41" t="s">
        <v>1946</v>
      </c>
      <c r="AI292" s="41" t="s">
        <v>1947</v>
      </c>
    </row>
    <row r="293" spans="1:35" x14ac:dyDescent="0.2">
      <c r="A293" s="53">
        <v>29225</v>
      </c>
      <c r="B293" s="41" t="s">
        <v>1923</v>
      </c>
      <c r="C293" s="41" t="s">
        <v>1948</v>
      </c>
      <c r="D293" s="41" t="s">
        <v>312</v>
      </c>
      <c r="E293" s="55">
        <v>923285</v>
      </c>
      <c r="F293" s="41" t="s">
        <v>572</v>
      </c>
      <c r="G293" s="41" t="s">
        <v>29</v>
      </c>
      <c r="H293" s="41" t="s">
        <v>30</v>
      </c>
      <c r="I293" s="41" t="s">
        <v>31</v>
      </c>
      <c r="J293" s="41" t="s">
        <v>32</v>
      </c>
      <c r="K293" s="41" t="s">
        <v>33</v>
      </c>
      <c r="L293" s="50">
        <v>478585</v>
      </c>
      <c r="M293" s="50">
        <v>0</v>
      </c>
      <c r="N293" s="50">
        <v>478585</v>
      </c>
      <c r="O293" s="50">
        <v>0</v>
      </c>
      <c r="P293" s="43" t="s">
        <v>351</v>
      </c>
      <c r="Q293" s="40">
        <v>1018436224</v>
      </c>
      <c r="R293" s="41" t="s">
        <v>739</v>
      </c>
      <c r="S293" s="41" t="s">
        <v>316</v>
      </c>
      <c r="T293" s="41" t="s">
        <v>317</v>
      </c>
      <c r="U293" s="41" t="s">
        <v>740</v>
      </c>
      <c r="V293" s="41" t="s">
        <v>319</v>
      </c>
      <c r="W293" s="40">
        <v>890903938</v>
      </c>
      <c r="X293" s="41" t="s">
        <v>342</v>
      </c>
      <c r="Y293" s="40">
        <v>4425</v>
      </c>
      <c r="Z293" s="40">
        <v>4425</v>
      </c>
      <c r="AA293" s="40">
        <v>29225</v>
      </c>
      <c r="AB293" s="41"/>
      <c r="AC293" s="41" t="s">
        <v>205</v>
      </c>
      <c r="AD293" s="41" t="s">
        <v>2667</v>
      </c>
      <c r="AE293" s="41"/>
      <c r="AF293" s="41" t="s">
        <v>1923</v>
      </c>
      <c r="AG293" s="41" t="s">
        <v>1929</v>
      </c>
      <c r="AH293" s="41" t="s">
        <v>1949</v>
      </c>
      <c r="AI293" s="41" t="s">
        <v>1950</v>
      </c>
    </row>
    <row r="294" spans="1:35" x14ac:dyDescent="0.2">
      <c r="A294" s="53">
        <v>29325</v>
      </c>
      <c r="B294" s="41" t="s">
        <v>1923</v>
      </c>
      <c r="C294" s="41" t="s">
        <v>1951</v>
      </c>
      <c r="D294" s="41" t="s">
        <v>312</v>
      </c>
      <c r="E294" s="55">
        <v>923238</v>
      </c>
      <c r="F294" s="41" t="s">
        <v>569</v>
      </c>
      <c r="G294" s="41" t="s">
        <v>29</v>
      </c>
      <c r="H294" s="41" t="s">
        <v>30</v>
      </c>
      <c r="I294" s="41" t="s">
        <v>31</v>
      </c>
      <c r="J294" s="41" t="s">
        <v>32</v>
      </c>
      <c r="K294" s="41" t="s">
        <v>33</v>
      </c>
      <c r="L294" s="50">
        <v>372012</v>
      </c>
      <c r="M294" s="50">
        <v>0</v>
      </c>
      <c r="N294" s="50">
        <v>372012</v>
      </c>
      <c r="O294" s="50">
        <v>0</v>
      </c>
      <c r="P294" s="43" t="s">
        <v>351</v>
      </c>
      <c r="Q294" s="40">
        <v>52425990</v>
      </c>
      <c r="R294" s="41" t="s">
        <v>1953</v>
      </c>
      <c r="S294" s="41" t="s">
        <v>316</v>
      </c>
      <c r="T294" s="41" t="s">
        <v>317</v>
      </c>
      <c r="U294" s="41" t="s">
        <v>1954</v>
      </c>
      <c r="V294" s="41" t="s">
        <v>319</v>
      </c>
      <c r="W294" s="40">
        <v>860007335</v>
      </c>
      <c r="X294" s="41" t="s">
        <v>381</v>
      </c>
      <c r="Y294" s="40">
        <v>325</v>
      </c>
      <c r="Z294" s="40">
        <v>325</v>
      </c>
      <c r="AA294" s="40">
        <v>29325</v>
      </c>
      <c r="AB294" s="41"/>
      <c r="AC294" s="41" t="s">
        <v>210</v>
      </c>
      <c r="AD294" s="41" t="s">
        <v>2669</v>
      </c>
      <c r="AE294" s="41"/>
      <c r="AF294" s="41" t="s">
        <v>1923</v>
      </c>
      <c r="AG294" s="41" t="s">
        <v>1929</v>
      </c>
      <c r="AH294" s="41" t="s">
        <v>1956</v>
      </c>
      <c r="AI294" s="41" t="s">
        <v>1957</v>
      </c>
    </row>
    <row r="295" spans="1:35" x14ac:dyDescent="0.2">
      <c r="A295" s="53">
        <v>29425</v>
      </c>
      <c r="B295" s="41" t="s">
        <v>1923</v>
      </c>
      <c r="C295" s="41" t="s">
        <v>1958</v>
      </c>
      <c r="D295" s="41" t="s">
        <v>312</v>
      </c>
      <c r="E295" s="55">
        <v>923210</v>
      </c>
      <c r="F295" s="41" t="s">
        <v>56</v>
      </c>
      <c r="G295" s="41" t="s">
        <v>29</v>
      </c>
      <c r="H295" s="41" t="s">
        <v>30</v>
      </c>
      <c r="I295" s="41" t="s">
        <v>31</v>
      </c>
      <c r="J295" s="41" t="s">
        <v>32</v>
      </c>
      <c r="K295" s="41" t="s">
        <v>33</v>
      </c>
      <c r="L295" s="50">
        <v>576929</v>
      </c>
      <c r="M295" s="50">
        <v>0</v>
      </c>
      <c r="N295" s="50">
        <v>576929</v>
      </c>
      <c r="O295" s="50">
        <v>0</v>
      </c>
      <c r="P295" s="43" t="s">
        <v>351</v>
      </c>
      <c r="Q295" s="40">
        <v>79359242</v>
      </c>
      <c r="R295" s="41" t="s">
        <v>1959</v>
      </c>
      <c r="S295" s="41" t="s">
        <v>316</v>
      </c>
      <c r="T295" s="41" t="s">
        <v>317</v>
      </c>
      <c r="U295" s="41" t="s">
        <v>1960</v>
      </c>
      <c r="V295" s="41" t="s">
        <v>319</v>
      </c>
      <c r="W295" s="40">
        <v>860002964</v>
      </c>
      <c r="X295" s="41" t="s">
        <v>419</v>
      </c>
      <c r="Y295" s="40">
        <v>1625</v>
      </c>
      <c r="Z295" s="40">
        <v>1625</v>
      </c>
      <c r="AA295" s="40">
        <v>29425</v>
      </c>
      <c r="AB295" s="41"/>
      <c r="AC295" s="41" t="s">
        <v>213</v>
      </c>
      <c r="AD295" s="41" t="s">
        <v>2671</v>
      </c>
      <c r="AE295" s="41"/>
      <c r="AF295" s="41" t="s">
        <v>1923</v>
      </c>
      <c r="AG295" s="41" t="s">
        <v>1929</v>
      </c>
      <c r="AH295" s="41" t="s">
        <v>1962</v>
      </c>
      <c r="AI295" s="41" t="s">
        <v>1963</v>
      </c>
    </row>
    <row r="296" spans="1:35" x14ac:dyDescent="0.2">
      <c r="A296" s="53">
        <v>29525</v>
      </c>
      <c r="B296" s="41" t="s">
        <v>1923</v>
      </c>
      <c r="C296" s="41" t="s">
        <v>1964</v>
      </c>
      <c r="D296" s="41" t="s">
        <v>312</v>
      </c>
      <c r="E296" s="55">
        <v>923210</v>
      </c>
      <c r="F296" s="41" t="s">
        <v>56</v>
      </c>
      <c r="G296" s="41" t="s">
        <v>29</v>
      </c>
      <c r="H296" s="41" t="s">
        <v>30</v>
      </c>
      <c r="I296" s="41" t="s">
        <v>31</v>
      </c>
      <c r="J296" s="41" t="s">
        <v>32</v>
      </c>
      <c r="K296" s="41" t="s">
        <v>33</v>
      </c>
      <c r="L296" s="50">
        <v>19357900</v>
      </c>
      <c r="M296" s="50">
        <v>0</v>
      </c>
      <c r="N296" s="50">
        <v>19357900</v>
      </c>
      <c r="O296" s="50">
        <v>18131900</v>
      </c>
      <c r="P296" s="43" t="s">
        <v>351</v>
      </c>
      <c r="Q296" s="40">
        <v>1073704418</v>
      </c>
      <c r="R296" s="41" t="s">
        <v>1965</v>
      </c>
      <c r="S296" s="41" t="s">
        <v>316</v>
      </c>
      <c r="T296" s="41" t="s">
        <v>317</v>
      </c>
      <c r="U296" s="41" t="s">
        <v>1966</v>
      </c>
      <c r="V296" s="41" t="s">
        <v>319</v>
      </c>
      <c r="W296" s="40">
        <v>860002964</v>
      </c>
      <c r="X296" s="41" t="s">
        <v>419</v>
      </c>
      <c r="Y296" s="40">
        <v>1925</v>
      </c>
      <c r="Z296" s="40">
        <v>1925</v>
      </c>
      <c r="AA296" s="40">
        <v>29525</v>
      </c>
      <c r="AB296" s="41"/>
      <c r="AC296" s="41" t="s">
        <v>2696</v>
      </c>
      <c r="AD296" s="41" t="s">
        <v>3243</v>
      </c>
      <c r="AE296" s="41"/>
      <c r="AF296" s="41" t="s">
        <v>1923</v>
      </c>
      <c r="AG296" s="41" t="s">
        <v>356</v>
      </c>
      <c r="AH296" s="41" t="s">
        <v>1968</v>
      </c>
      <c r="AI296" s="41" t="s">
        <v>1969</v>
      </c>
    </row>
    <row r="297" spans="1:35" x14ac:dyDescent="0.2">
      <c r="A297" s="53">
        <v>29625</v>
      </c>
      <c r="B297" s="41" t="s">
        <v>1923</v>
      </c>
      <c r="C297" s="41" t="s">
        <v>1970</v>
      </c>
      <c r="D297" s="41" t="s">
        <v>312</v>
      </c>
      <c r="E297" s="55">
        <v>923210</v>
      </c>
      <c r="F297" s="41" t="s">
        <v>56</v>
      </c>
      <c r="G297" s="41" t="s">
        <v>29</v>
      </c>
      <c r="H297" s="41" t="s">
        <v>30</v>
      </c>
      <c r="I297" s="41" t="s">
        <v>31</v>
      </c>
      <c r="J297" s="41" t="s">
        <v>32</v>
      </c>
      <c r="K297" s="41" t="s">
        <v>33</v>
      </c>
      <c r="L297" s="50">
        <v>18327900</v>
      </c>
      <c r="M297" s="50">
        <v>0</v>
      </c>
      <c r="N297" s="50">
        <v>18327900</v>
      </c>
      <c r="O297" s="50">
        <v>17167133</v>
      </c>
      <c r="P297" s="43" t="s">
        <v>351</v>
      </c>
      <c r="Q297" s="40">
        <v>79217930</v>
      </c>
      <c r="R297" s="41" t="s">
        <v>1971</v>
      </c>
      <c r="S297" s="41" t="s">
        <v>316</v>
      </c>
      <c r="T297" s="41" t="s">
        <v>317</v>
      </c>
      <c r="U297" s="41" t="s">
        <v>3949</v>
      </c>
      <c r="V297" s="41" t="s">
        <v>319</v>
      </c>
      <c r="W297" s="40">
        <v>860003020</v>
      </c>
      <c r="X297" s="41" t="s">
        <v>393</v>
      </c>
      <c r="Y297" s="40">
        <v>1925</v>
      </c>
      <c r="Z297" s="40">
        <v>1925</v>
      </c>
      <c r="AA297" s="40">
        <v>29625</v>
      </c>
      <c r="AB297" s="41"/>
      <c r="AC297" s="41" t="s">
        <v>2702</v>
      </c>
      <c r="AD297" s="41" t="s">
        <v>4645</v>
      </c>
      <c r="AE297" s="41"/>
      <c r="AF297" s="41" t="s">
        <v>1923</v>
      </c>
      <c r="AG297" s="41" t="s">
        <v>356</v>
      </c>
      <c r="AH297" s="41" t="s">
        <v>1973</v>
      </c>
      <c r="AI297" s="41" t="s">
        <v>1974</v>
      </c>
    </row>
    <row r="298" spans="1:35" x14ac:dyDescent="0.2">
      <c r="A298" s="53">
        <v>29725</v>
      </c>
      <c r="B298" s="41" t="s">
        <v>1923</v>
      </c>
      <c r="C298" s="41" t="s">
        <v>1975</v>
      </c>
      <c r="D298" s="41" t="s">
        <v>312</v>
      </c>
      <c r="E298" s="55">
        <v>923210</v>
      </c>
      <c r="F298" s="41" t="s">
        <v>56</v>
      </c>
      <c r="G298" s="41" t="s">
        <v>29</v>
      </c>
      <c r="H298" s="41" t="s">
        <v>30</v>
      </c>
      <c r="I298" s="41" t="s">
        <v>31</v>
      </c>
      <c r="J298" s="41" t="s">
        <v>32</v>
      </c>
      <c r="K298" s="41" t="s">
        <v>33</v>
      </c>
      <c r="L298" s="50">
        <v>20600000</v>
      </c>
      <c r="M298" s="50">
        <v>0</v>
      </c>
      <c r="N298" s="50">
        <v>20600000</v>
      </c>
      <c r="O298" s="50">
        <v>19295333</v>
      </c>
      <c r="P298" s="43" t="s">
        <v>351</v>
      </c>
      <c r="Q298" s="40">
        <v>52760141</v>
      </c>
      <c r="R298" s="41" t="s">
        <v>1976</v>
      </c>
      <c r="S298" s="41" t="s">
        <v>316</v>
      </c>
      <c r="T298" s="41" t="s">
        <v>317</v>
      </c>
      <c r="U298" s="41" t="s">
        <v>1977</v>
      </c>
      <c r="V298" s="41" t="s">
        <v>319</v>
      </c>
      <c r="W298" s="40">
        <v>860034313</v>
      </c>
      <c r="X298" s="41" t="s">
        <v>355</v>
      </c>
      <c r="Y298" s="40">
        <v>1925</v>
      </c>
      <c r="Z298" s="40">
        <v>1925</v>
      </c>
      <c r="AA298" s="40">
        <v>29725</v>
      </c>
      <c r="AB298" s="41"/>
      <c r="AC298" s="41" t="s">
        <v>2708</v>
      </c>
      <c r="AD298" s="41" t="s">
        <v>3246</v>
      </c>
      <c r="AE298" s="41"/>
      <c r="AF298" s="41" t="s">
        <v>1923</v>
      </c>
      <c r="AG298" s="41" t="s">
        <v>356</v>
      </c>
      <c r="AH298" s="41" t="s">
        <v>1979</v>
      </c>
      <c r="AI298" s="41" t="s">
        <v>1980</v>
      </c>
    </row>
    <row r="299" spans="1:35" x14ac:dyDescent="0.2">
      <c r="A299" s="53">
        <v>29825</v>
      </c>
      <c r="B299" s="41" t="s">
        <v>1923</v>
      </c>
      <c r="C299" s="41" t="s">
        <v>1981</v>
      </c>
      <c r="D299" s="41" t="s">
        <v>27</v>
      </c>
      <c r="E299" s="55">
        <v>923210</v>
      </c>
      <c r="F299" s="41" t="s">
        <v>56</v>
      </c>
      <c r="G299" s="41" t="s">
        <v>29</v>
      </c>
      <c r="H299" s="41" t="s">
        <v>30</v>
      </c>
      <c r="I299" s="41" t="s">
        <v>31</v>
      </c>
      <c r="J299" s="41" t="s">
        <v>32</v>
      </c>
      <c r="K299" s="41" t="s">
        <v>33</v>
      </c>
      <c r="L299" s="50">
        <v>19239990</v>
      </c>
      <c r="M299" s="50">
        <v>-19047590</v>
      </c>
      <c r="N299" s="50">
        <v>192400</v>
      </c>
      <c r="O299" s="50">
        <v>192400</v>
      </c>
      <c r="P299" s="43" t="s">
        <v>351</v>
      </c>
      <c r="Q299" s="40">
        <v>1032362456</v>
      </c>
      <c r="R299" s="41" t="s">
        <v>1982</v>
      </c>
      <c r="S299" s="41" t="s">
        <v>316</v>
      </c>
      <c r="T299" s="41" t="s">
        <v>317</v>
      </c>
      <c r="U299" s="41" t="s">
        <v>1983</v>
      </c>
      <c r="V299" s="41" t="s">
        <v>319</v>
      </c>
      <c r="W299" s="40">
        <v>860007335</v>
      </c>
      <c r="X299" s="41" t="s">
        <v>381</v>
      </c>
      <c r="Y299" s="40">
        <v>1925</v>
      </c>
      <c r="Z299" s="40">
        <v>1925</v>
      </c>
      <c r="AA299" s="40">
        <v>29825</v>
      </c>
      <c r="AB299" s="41"/>
      <c r="AC299" s="41"/>
      <c r="AD299" s="41"/>
      <c r="AE299" s="41"/>
      <c r="AF299" s="41" t="s">
        <v>1923</v>
      </c>
      <c r="AG299" s="41" t="s">
        <v>356</v>
      </c>
      <c r="AH299" s="41" t="s">
        <v>1985</v>
      </c>
      <c r="AI299" s="41" t="s">
        <v>1986</v>
      </c>
    </row>
    <row r="300" spans="1:35" x14ac:dyDescent="0.2">
      <c r="A300" s="53">
        <v>29925</v>
      </c>
      <c r="B300" s="41" t="s">
        <v>1923</v>
      </c>
      <c r="C300" s="41" t="s">
        <v>1987</v>
      </c>
      <c r="D300" s="41" t="s">
        <v>312</v>
      </c>
      <c r="E300" s="55">
        <v>923210</v>
      </c>
      <c r="F300" s="41" t="s">
        <v>56</v>
      </c>
      <c r="G300" s="41" t="s">
        <v>29</v>
      </c>
      <c r="H300" s="41" t="s">
        <v>30</v>
      </c>
      <c r="I300" s="41" t="s">
        <v>31</v>
      </c>
      <c r="J300" s="41" t="s">
        <v>32</v>
      </c>
      <c r="K300" s="41" t="s">
        <v>33</v>
      </c>
      <c r="L300" s="50">
        <v>19357900</v>
      </c>
      <c r="M300" s="50">
        <v>0</v>
      </c>
      <c r="N300" s="50">
        <v>19357900</v>
      </c>
      <c r="O300" s="50">
        <v>18131900</v>
      </c>
      <c r="P300" s="43" t="s">
        <v>351</v>
      </c>
      <c r="Q300" s="40">
        <v>1071349192</v>
      </c>
      <c r="R300" s="41" t="s">
        <v>1988</v>
      </c>
      <c r="S300" s="41" t="s">
        <v>316</v>
      </c>
      <c r="T300" s="41" t="s">
        <v>317</v>
      </c>
      <c r="U300" s="41" t="s">
        <v>1989</v>
      </c>
      <c r="V300" s="41" t="s">
        <v>319</v>
      </c>
      <c r="W300" s="40">
        <v>860002964</v>
      </c>
      <c r="X300" s="41" t="s">
        <v>419</v>
      </c>
      <c r="Y300" s="40">
        <v>1925</v>
      </c>
      <c r="Z300" s="40">
        <v>1925</v>
      </c>
      <c r="AA300" s="40">
        <v>29925</v>
      </c>
      <c r="AB300" s="41"/>
      <c r="AC300" s="41" t="s">
        <v>2714</v>
      </c>
      <c r="AD300" s="41" t="s">
        <v>3249</v>
      </c>
      <c r="AE300" s="41"/>
      <c r="AF300" s="41" t="s">
        <v>1923</v>
      </c>
      <c r="AG300" s="41" t="s">
        <v>356</v>
      </c>
      <c r="AH300" s="41" t="s">
        <v>1991</v>
      </c>
      <c r="AI300" s="41" t="s">
        <v>1992</v>
      </c>
    </row>
    <row r="301" spans="1:35" x14ac:dyDescent="0.2">
      <c r="A301" s="53">
        <v>30025</v>
      </c>
      <c r="B301" s="41" t="s">
        <v>1923</v>
      </c>
      <c r="C301" s="41" t="s">
        <v>1993</v>
      </c>
      <c r="D301" s="41" t="s">
        <v>312</v>
      </c>
      <c r="E301" s="55">
        <v>923210</v>
      </c>
      <c r="F301" s="41" t="s">
        <v>56</v>
      </c>
      <c r="G301" s="41" t="s">
        <v>29</v>
      </c>
      <c r="H301" s="41" t="s">
        <v>30</v>
      </c>
      <c r="I301" s="41" t="s">
        <v>31</v>
      </c>
      <c r="J301" s="41" t="s">
        <v>32</v>
      </c>
      <c r="K301" s="41" t="s">
        <v>33</v>
      </c>
      <c r="L301" s="50">
        <v>27872000</v>
      </c>
      <c r="M301" s="50">
        <v>0</v>
      </c>
      <c r="N301" s="50">
        <v>27872000</v>
      </c>
      <c r="O301" s="50">
        <v>26106773</v>
      </c>
      <c r="P301" s="43" t="s">
        <v>351</v>
      </c>
      <c r="Q301" s="40">
        <v>52202874</v>
      </c>
      <c r="R301" s="41" t="s">
        <v>1994</v>
      </c>
      <c r="S301" s="41" t="s">
        <v>316</v>
      </c>
      <c r="T301" s="41" t="s">
        <v>317</v>
      </c>
      <c r="U301" s="41" t="s">
        <v>1995</v>
      </c>
      <c r="V301" s="41" t="s">
        <v>319</v>
      </c>
      <c r="W301" s="40">
        <v>860007335</v>
      </c>
      <c r="X301" s="41" t="s">
        <v>381</v>
      </c>
      <c r="Y301" s="40">
        <v>1925</v>
      </c>
      <c r="Z301" s="40">
        <v>1925</v>
      </c>
      <c r="AA301" s="40">
        <v>30025</v>
      </c>
      <c r="AB301" s="41"/>
      <c r="AC301" s="41" t="s">
        <v>2800</v>
      </c>
      <c r="AD301" s="41" t="s">
        <v>3250</v>
      </c>
      <c r="AE301" s="41"/>
      <c r="AF301" s="41" t="s">
        <v>1923</v>
      </c>
      <c r="AG301" s="41" t="s">
        <v>356</v>
      </c>
      <c r="AH301" s="41" t="s">
        <v>1997</v>
      </c>
      <c r="AI301" s="41" t="s">
        <v>1998</v>
      </c>
    </row>
    <row r="302" spans="1:35" x14ac:dyDescent="0.2">
      <c r="A302" s="53">
        <v>30125</v>
      </c>
      <c r="B302" s="41" t="s">
        <v>1923</v>
      </c>
      <c r="C302" s="41" t="s">
        <v>1999</v>
      </c>
      <c r="D302" s="41" t="s">
        <v>312</v>
      </c>
      <c r="E302" s="55">
        <v>923242</v>
      </c>
      <c r="F302" s="41" t="s">
        <v>175</v>
      </c>
      <c r="G302" s="41" t="s">
        <v>29</v>
      </c>
      <c r="H302" s="41" t="s">
        <v>30</v>
      </c>
      <c r="I302" s="41" t="s">
        <v>31</v>
      </c>
      <c r="J302" s="41" t="s">
        <v>32</v>
      </c>
      <c r="K302" s="41" t="s">
        <v>33</v>
      </c>
      <c r="L302" s="50">
        <v>21491064</v>
      </c>
      <c r="M302" s="50">
        <v>0</v>
      </c>
      <c r="N302" s="50">
        <v>21491064</v>
      </c>
      <c r="O302" s="50">
        <v>19978730</v>
      </c>
      <c r="P302" s="43" t="s">
        <v>351</v>
      </c>
      <c r="Q302" s="40">
        <v>51890685</v>
      </c>
      <c r="R302" s="41" t="s">
        <v>2000</v>
      </c>
      <c r="S302" s="41" t="s">
        <v>316</v>
      </c>
      <c r="T302" s="41" t="s">
        <v>317</v>
      </c>
      <c r="U302" s="41" t="s">
        <v>2001</v>
      </c>
      <c r="V302" s="41" t="s">
        <v>319</v>
      </c>
      <c r="W302" s="40">
        <v>890903938</v>
      </c>
      <c r="X302" s="41" t="s">
        <v>342</v>
      </c>
      <c r="Y302" s="40">
        <v>3625</v>
      </c>
      <c r="Z302" s="40">
        <v>3625</v>
      </c>
      <c r="AA302" s="40">
        <v>30125</v>
      </c>
      <c r="AB302" s="41"/>
      <c r="AC302" s="41" t="s">
        <v>2793</v>
      </c>
      <c r="AD302" s="41" t="s">
        <v>3252</v>
      </c>
      <c r="AE302" s="41"/>
      <c r="AF302" s="41" t="s">
        <v>1923</v>
      </c>
      <c r="AG302" s="41" t="s">
        <v>356</v>
      </c>
      <c r="AH302" s="41" t="s">
        <v>2003</v>
      </c>
      <c r="AI302" s="41" t="s">
        <v>2004</v>
      </c>
    </row>
    <row r="303" spans="1:35" x14ac:dyDescent="0.2">
      <c r="A303" s="53">
        <v>30225</v>
      </c>
      <c r="B303" s="41" t="s">
        <v>2005</v>
      </c>
      <c r="C303" s="41" t="s">
        <v>2006</v>
      </c>
      <c r="D303" s="41" t="s">
        <v>312</v>
      </c>
      <c r="E303" s="55">
        <v>923238</v>
      </c>
      <c r="F303" s="41" t="s">
        <v>569</v>
      </c>
      <c r="G303" s="41" t="s">
        <v>29</v>
      </c>
      <c r="H303" s="41" t="s">
        <v>30</v>
      </c>
      <c r="I303" s="41" t="s">
        <v>31</v>
      </c>
      <c r="J303" s="41" t="s">
        <v>32</v>
      </c>
      <c r="K303" s="41" t="s">
        <v>33</v>
      </c>
      <c r="L303" s="50">
        <v>465641</v>
      </c>
      <c r="M303" s="50">
        <v>0</v>
      </c>
      <c r="N303" s="50">
        <v>465641</v>
      </c>
      <c r="O303" s="50">
        <v>0</v>
      </c>
      <c r="P303" s="43" t="s">
        <v>351</v>
      </c>
      <c r="Q303" s="40">
        <v>80062448</v>
      </c>
      <c r="R303" s="41" t="s">
        <v>1943</v>
      </c>
      <c r="S303" s="41" t="s">
        <v>316</v>
      </c>
      <c r="T303" s="41" t="s">
        <v>317</v>
      </c>
      <c r="U303" s="41" t="s">
        <v>1944</v>
      </c>
      <c r="V303" s="41" t="s">
        <v>319</v>
      </c>
      <c r="W303" s="40">
        <v>860034313</v>
      </c>
      <c r="X303" s="41" t="s">
        <v>355</v>
      </c>
      <c r="Y303" s="40">
        <v>325</v>
      </c>
      <c r="Z303" s="40">
        <v>325</v>
      </c>
      <c r="AA303" s="40">
        <v>30225</v>
      </c>
      <c r="AB303" s="41"/>
      <c r="AC303" s="41" t="s">
        <v>216</v>
      </c>
      <c r="AD303" s="41" t="s">
        <v>2673</v>
      </c>
      <c r="AE303" s="41"/>
      <c r="AF303" s="41" t="s">
        <v>2005</v>
      </c>
      <c r="AG303" s="41" t="s">
        <v>1929</v>
      </c>
      <c r="AH303" s="41" t="s">
        <v>2009</v>
      </c>
      <c r="AI303" s="41" t="s">
        <v>2010</v>
      </c>
    </row>
    <row r="304" spans="1:35" x14ac:dyDescent="0.2">
      <c r="A304" s="53">
        <v>30325</v>
      </c>
      <c r="B304" s="41" t="s">
        <v>2005</v>
      </c>
      <c r="C304" s="41" t="s">
        <v>2011</v>
      </c>
      <c r="D304" s="41" t="s">
        <v>312</v>
      </c>
      <c r="E304" s="55">
        <v>923210</v>
      </c>
      <c r="F304" s="41" t="s">
        <v>56</v>
      </c>
      <c r="G304" s="41" t="s">
        <v>29</v>
      </c>
      <c r="H304" s="41" t="s">
        <v>30</v>
      </c>
      <c r="I304" s="41" t="s">
        <v>31</v>
      </c>
      <c r="J304" s="41" t="s">
        <v>32</v>
      </c>
      <c r="K304" s="41" t="s">
        <v>33</v>
      </c>
      <c r="L304" s="50">
        <v>35200</v>
      </c>
      <c r="M304" s="50">
        <v>0</v>
      </c>
      <c r="N304" s="50">
        <v>35200</v>
      </c>
      <c r="O304" s="50">
        <v>0</v>
      </c>
      <c r="P304" s="43" t="s">
        <v>351</v>
      </c>
      <c r="Q304" s="40">
        <v>79661139</v>
      </c>
      <c r="R304" s="41" t="s">
        <v>1871</v>
      </c>
      <c r="S304" s="41" t="s">
        <v>316</v>
      </c>
      <c r="T304" s="41" t="s">
        <v>317</v>
      </c>
      <c r="U304" s="41" t="s">
        <v>1872</v>
      </c>
      <c r="V304" s="41" t="s">
        <v>319</v>
      </c>
      <c r="W304" s="40">
        <v>860034313</v>
      </c>
      <c r="X304" s="41" t="s">
        <v>355</v>
      </c>
      <c r="Y304" s="40">
        <v>1625</v>
      </c>
      <c r="Z304" s="40">
        <v>1625</v>
      </c>
      <c r="AA304" s="40">
        <v>30325</v>
      </c>
      <c r="AB304" s="41"/>
      <c r="AC304" s="41" t="s">
        <v>219</v>
      </c>
      <c r="AD304" s="41" t="s">
        <v>2675</v>
      </c>
      <c r="AE304" s="41"/>
      <c r="AF304" s="41" t="s">
        <v>2005</v>
      </c>
      <c r="AG304" s="41" t="s">
        <v>1929</v>
      </c>
      <c r="AH304" s="41" t="s">
        <v>2014</v>
      </c>
      <c r="AI304" s="41" t="s">
        <v>2015</v>
      </c>
    </row>
    <row r="305" spans="1:35" x14ac:dyDescent="0.2">
      <c r="A305" s="53">
        <v>30425</v>
      </c>
      <c r="B305" s="41" t="s">
        <v>2016</v>
      </c>
      <c r="C305" s="41" t="s">
        <v>2017</v>
      </c>
      <c r="D305" s="41" t="s">
        <v>312</v>
      </c>
      <c r="E305" s="55">
        <v>923210</v>
      </c>
      <c r="F305" s="41" t="s">
        <v>56</v>
      </c>
      <c r="G305" s="41" t="s">
        <v>29</v>
      </c>
      <c r="H305" s="41" t="s">
        <v>30</v>
      </c>
      <c r="I305" s="41" t="s">
        <v>31</v>
      </c>
      <c r="J305" s="41" t="s">
        <v>32</v>
      </c>
      <c r="K305" s="41" t="s">
        <v>33</v>
      </c>
      <c r="L305" s="50">
        <v>136200</v>
      </c>
      <c r="M305" s="50">
        <v>0</v>
      </c>
      <c r="N305" s="50">
        <v>136200</v>
      </c>
      <c r="O305" s="50">
        <v>0</v>
      </c>
      <c r="P305" s="43" t="s">
        <v>351</v>
      </c>
      <c r="Q305" s="40">
        <v>79661139</v>
      </c>
      <c r="R305" s="41" t="s">
        <v>1871</v>
      </c>
      <c r="S305" s="41" t="s">
        <v>316</v>
      </c>
      <c r="T305" s="41" t="s">
        <v>317</v>
      </c>
      <c r="U305" s="41" t="s">
        <v>1872</v>
      </c>
      <c r="V305" s="41" t="s">
        <v>319</v>
      </c>
      <c r="W305" s="40">
        <v>860034313</v>
      </c>
      <c r="X305" s="41" t="s">
        <v>355</v>
      </c>
      <c r="Y305" s="40">
        <v>1625</v>
      </c>
      <c r="Z305" s="40">
        <v>1625</v>
      </c>
      <c r="AA305" s="40">
        <v>30425</v>
      </c>
      <c r="AB305" s="41"/>
      <c r="AC305" s="41" t="s">
        <v>222</v>
      </c>
      <c r="AD305" s="41" t="s">
        <v>2677</v>
      </c>
      <c r="AE305" s="41"/>
      <c r="AF305" s="41" t="s">
        <v>2016</v>
      </c>
      <c r="AG305" s="41" t="s">
        <v>1929</v>
      </c>
      <c r="AH305" s="41" t="s">
        <v>2020</v>
      </c>
      <c r="AI305" s="41" t="s">
        <v>2021</v>
      </c>
    </row>
    <row r="306" spans="1:35" x14ac:dyDescent="0.2">
      <c r="A306" s="53">
        <v>30525</v>
      </c>
      <c r="B306" s="41" t="s">
        <v>2016</v>
      </c>
      <c r="C306" s="41" t="s">
        <v>2022</v>
      </c>
      <c r="D306" s="41" t="s">
        <v>312</v>
      </c>
      <c r="E306" s="55">
        <v>923210</v>
      </c>
      <c r="F306" s="41" t="s">
        <v>56</v>
      </c>
      <c r="G306" s="41" t="s">
        <v>29</v>
      </c>
      <c r="H306" s="41" t="s">
        <v>30</v>
      </c>
      <c r="I306" s="41" t="s">
        <v>47</v>
      </c>
      <c r="J306" s="41" t="s">
        <v>48</v>
      </c>
      <c r="K306" s="41" t="s">
        <v>33</v>
      </c>
      <c r="L306" s="50">
        <v>2112083</v>
      </c>
      <c r="M306" s="50">
        <v>0</v>
      </c>
      <c r="N306" s="50">
        <v>2112083</v>
      </c>
      <c r="O306" s="50">
        <v>0</v>
      </c>
      <c r="P306" s="43" t="s">
        <v>314</v>
      </c>
      <c r="Q306" s="40">
        <v>860063875</v>
      </c>
      <c r="R306" s="41" t="s">
        <v>315</v>
      </c>
      <c r="S306" s="41" t="s">
        <v>316</v>
      </c>
      <c r="T306" s="41" t="s">
        <v>317</v>
      </c>
      <c r="U306" s="41" t="s">
        <v>318</v>
      </c>
      <c r="V306" s="41" t="s">
        <v>319</v>
      </c>
      <c r="W306" s="40">
        <v>860050750</v>
      </c>
      <c r="X306" s="41" t="s">
        <v>321</v>
      </c>
      <c r="Y306" s="40">
        <v>1225</v>
      </c>
      <c r="Z306" s="40">
        <v>1225</v>
      </c>
      <c r="AA306" s="40">
        <v>30525</v>
      </c>
      <c r="AB306" s="41" t="s">
        <v>169</v>
      </c>
      <c r="AC306" s="41" t="s">
        <v>115</v>
      </c>
      <c r="AD306" s="41" t="s">
        <v>3950</v>
      </c>
      <c r="AE306" s="41"/>
      <c r="AF306" s="41" t="s">
        <v>2016</v>
      </c>
      <c r="AG306" s="41" t="s">
        <v>323</v>
      </c>
      <c r="AH306" s="41" t="s">
        <v>2025</v>
      </c>
      <c r="AI306" s="41" t="s">
        <v>2026</v>
      </c>
    </row>
    <row r="307" spans="1:35" x14ac:dyDescent="0.2">
      <c r="A307" s="53">
        <v>30625</v>
      </c>
      <c r="B307" s="41" t="s">
        <v>2016</v>
      </c>
      <c r="C307" s="41" t="s">
        <v>2027</v>
      </c>
      <c r="D307" s="41" t="s">
        <v>312</v>
      </c>
      <c r="E307" s="55">
        <v>923210</v>
      </c>
      <c r="F307" s="41" t="s">
        <v>56</v>
      </c>
      <c r="G307" s="41" t="s">
        <v>29</v>
      </c>
      <c r="H307" s="41" t="s">
        <v>30</v>
      </c>
      <c r="I307" s="41" t="s">
        <v>47</v>
      </c>
      <c r="J307" s="41" t="s">
        <v>48</v>
      </c>
      <c r="K307" s="41" t="s">
        <v>33</v>
      </c>
      <c r="L307" s="50">
        <v>1452220</v>
      </c>
      <c r="M307" s="50">
        <v>0</v>
      </c>
      <c r="N307" s="50">
        <v>1452220</v>
      </c>
      <c r="O307" s="50">
        <v>0</v>
      </c>
      <c r="P307" s="43" t="s">
        <v>314</v>
      </c>
      <c r="Q307" s="40">
        <v>899999115</v>
      </c>
      <c r="R307" s="41" t="s">
        <v>327</v>
      </c>
      <c r="S307" s="41" t="s">
        <v>316</v>
      </c>
      <c r="T307" s="41" t="s">
        <v>328</v>
      </c>
      <c r="U307" s="41" t="s">
        <v>329</v>
      </c>
      <c r="V307" s="41" t="s">
        <v>319</v>
      </c>
      <c r="W307" s="40">
        <v>860051135</v>
      </c>
      <c r="X307" s="41" t="s">
        <v>331</v>
      </c>
      <c r="Y307" s="40">
        <v>1225</v>
      </c>
      <c r="Z307" s="40">
        <v>1225</v>
      </c>
      <c r="AA307" s="40">
        <v>30625</v>
      </c>
      <c r="AB307" s="41" t="s">
        <v>2029</v>
      </c>
      <c r="AC307" s="41" t="s">
        <v>2030</v>
      </c>
      <c r="AD307" s="41" t="s">
        <v>2031</v>
      </c>
      <c r="AE307" s="41"/>
      <c r="AF307" s="41" t="s">
        <v>2016</v>
      </c>
      <c r="AG307" s="41" t="s">
        <v>323</v>
      </c>
      <c r="AH307" s="41" t="s">
        <v>2032</v>
      </c>
      <c r="AI307" s="41" t="s">
        <v>2033</v>
      </c>
    </row>
    <row r="308" spans="1:35" x14ac:dyDescent="0.2">
      <c r="A308" s="53">
        <v>30725</v>
      </c>
      <c r="B308" s="41" t="s">
        <v>2034</v>
      </c>
      <c r="C308" s="41" t="s">
        <v>2035</v>
      </c>
      <c r="D308" s="41" t="s">
        <v>312</v>
      </c>
      <c r="E308" s="55">
        <v>923210</v>
      </c>
      <c r="F308" s="41" t="s">
        <v>56</v>
      </c>
      <c r="G308" s="41" t="s">
        <v>29</v>
      </c>
      <c r="H308" s="41" t="s">
        <v>30</v>
      </c>
      <c r="I308" s="41" t="s">
        <v>31</v>
      </c>
      <c r="J308" s="41" t="s">
        <v>32</v>
      </c>
      <c r="K308" s="41" t="s">
        <v>33</v>
      </c>
      <c r="L308" s="50">
        <v>222632</v>
      </c>
      <c r="M308" s="50">
        <v>0</v>
      </c>
      <c r="N308" s="50">
        <v>222632</v>
      </c>
      <c r="O308" s="50">
        <v>0</v>
      </c>
      <c r="P308" s="43" t="s">
        <v>351</v>
      </c>
      <c r="Q308" s="40">
        <v>11315001</v>
      </c>
      <c r="R308" s="41" t="s">
        <v>2037</v>
      </c>
      <c r="S308" s="41" t="s">
        <v>316</v>
      </c>
      <c r="T308" s="41" t="s">
        <v>317</v>
      </c>
      <c r="U308" s="41" t="s">
        <v>2038</v>
      </c>
      <c r="V308" s="41" t="s">
        <v>319</v>
      </c>
      <c r="W308" s="40">
        <v>890903938</v>
      </c>
      <c r="X308" s="41" t="s">
        <v>342</v>
      </c>
      <c r="Y308" s="40">
        <v>1625</v>
      </c>
      <c r="Z308" s="40">
        <v>1625</v>
      </c>
      <c r="AA308" s="40">
        <v>30725</v>
      </c>
      <c r="AB308" s="41"/>
      <c r="AC308" s="41" t="s">
        <v>225</v>
      </c>
      <c r="AD308" s="41" t="s">
        <v>2679</v>
      </c>
      <c r="AE308" s="41"/>
      <c r="AF308" s="41" t="s">
        <v>2034</v>
      </c>
      <c r="AG308" s="41" t="s">
        <v>1929</v>
      </c>
      <c r="AH308" s="41" t="s">
        <v>2040</v>
      </c>
      <c r="AI308" s="41" t="s">
        <v>2041</v>
      </c>
    </row>
    <row r="309" spans="1:35" x14ac:dyDescent="0.2">
      <c r="A309" s="53">
        <v>30825</v>
      </c>
      <c r="B309" s="41" t="s">
        <v>2034</v>
      </c>
      <c r="C309" s="41" t="s">
        <v>2042</v>
      </c>
      <c r="D309" s="41" t="s">
        <v>312</v>
      </c>
      <c r="E309" s="55">
        <v>923228</v>
      </c>
      <c r="F309" s="41" t="s">
        <v>158</v>
      </c>
      <c r="G309" s="41" t="s">
        <v>159</v>
      </c>
      <c r="H309" s="41" t="s">
        <v>160</v>
      </c>
      <c r="I309" s="41" t="s">
        <v>31</v>
      </c>
      <c r="J309" s="41" t="s">
        <v>32</v>
      </c>
      <c r="K309" s="41" t="s">
        <v>33</v>
      </c>
      <c r="L309" s="50">
        <v>354493</v>
      </c>
      <c r="M309" s="50">
        <v>0</v>
      </c>
      <c r="N309" s="50">
        <v>354493</v>
      </c>
      <c r="O309" s="50">
        <v>0</v>
      </c>
      <c r="P309" s="43" t="s">
        <v>351</v>
      </c>
      <c r="Q309" s="40">
        <v>40783907</v>
      </c>
      <c r="R309" s="41" t="s">
        <v>2044</v>
      </c>
      <c r="S309" s="41" t="s">
        <v>316</v>
      </c>
      <c r="T309" s="41" t="s">
        <v>317</v>
      </c>
      <c r="U309" s="41" t="s">
        <v>2045</v>
      </c>
      <c r="V309" s="41" t="s">
        <v>319</v>
      </c>
      <c r="W309" s="40">
        <v>860003020</v>
      </c>
      <c r="X309" s="41" t="s">
        <v>393</v>
      </c>
      <c r="Y309" s="40">
        <v>3425</v>
      </c>
      <c r="Z309" s="40">
        <v>3425</v>
      </c>
      <c r="AA309" s="40">
        <v>30825</v>
      </c>
      <c r="AB309" s="41"/>
      <c r="AC309" s="41" t="s">
        <v>228</v>
      </c>
      <c r="AD309" s="41" t="s">
        <v>2681</v>
      </c>
      <c r="AE309" s="41"/>
      <c r="AF309" s="41" t="s">
        <v>2034</v>
      </c>
      <c r="AG309" s="41" t="s">
        <v>1929</v>
      </c>
      <c r="AH309" s="41" t="s">
        <v>2046</v>
      </c>
      <c r="AI309" s="41" t="s">
        <v>2047</v>
      </c>
    </row>
    <row r="310" spans="1:35" x14ac:dyDescent="0.2">
      <c r="A310" s="53">
        <v>30925</v>
      </c>
      <c r="B310" s="41" t="s">
        <v>2034</v>
      </c>
      <c r="C310" s="41" t="s">
        <v>2048</v>
      </c>
      <c r="D310" s="41" t="s">
        <v>312</v>
      </c>
      <c r="E310" s="55">
        <v>923242</v>
      </c>
      <c r="F310" s="41" t="s">
        <v>175</v>
      </c>
      <c r="G310" s="41" t="s">
        <v>29</v>
      </c>
      <c r="H310" s="41" t="s">
        <v>30</v>
      </c>
      <c r="I310" s="41" t="s">
        <v>31</v>
      </c>
      <c r="J310" s="41" t="s">
        <v>32</v>
      </c>
      <c r="K310" s="41" t="s">
        <v>33</v>
      </c>
      <c r="L310" s="50">
        <v>37803940</v>
      </c>
      <c r="M310" s="50">
        <v>0</v>
      </c>
      <c r="N310" s="50">
        <v>37803940</v>
      </c>
      <c r="O310" s="50">
        <v>36039756</v>
      </c>
      <c r="P310" s="43" t="s">
        <v>351</v>
      </c>
      <c r="Q310" s="40">
        <v>1073698639</v>
      </c>
      <c r="R310" s="41" t="s">
        <v>2049</v>
      </c>
      <c r="S310" s="41" t="s">
        <v>316</v>
      </c>
      <c r="T310" s="41" t="s">
        <v>317</v>
      </c>
      <c r="U310" s="41" t="s">
        <v>2050</v>
      </c>
      <c r="V310" s="41" t="s">
        <v>319</v>
      </c>
      <c r="W310" s="40">
        <v>860007335</v>
      </c>
      <c r="X310" s="41" t="s">
        <v>381</v>
      </c>
      <c r="Y310" s="40">
        <v>3625</v>
      </c>
      <c r="Z310" s="40">
        <v>3625</v>
      </c>
      <c r="AA310" s="40">
        <v>30925</v>
      </c>
      <c r="AB310" s="41"/>
      <c r="AC310" s="41" t="s">
        <v>3258</v>
      </c>
      <c r="AD310" s="41" t="s">
        <v>3255</v>
      </c>
      <c r="AE310" s="41"/>
      <c r="AF310" s="41" t="s">
        <v>2034</v>
      </c>
      <c r="AG310" s="41" t="s">
        <v>356</v>
      </c>
      <c r="AH310" s="41" t="s">
        <v>2052</v>
      </c>
      <c r="AI310" s="41" t="s">
        <v>1910</v>
      </c>
    </row>
    <row r="311" spans="1:35" x14ac:dyDescent="0.2">
      <c r="A311" s="53">
        <v>31025</v>
      </c>
      <c r="B311" s="41" t="s">
        <v>2034</v>
      </c>
      <c r="C311" s="41" t="s">
        <v>2053</v>
      </c>
      <c r="D311" s="41" t="s">
        <v>27</v>
      </c>
      <c r="E311" s="55">
        <v>923242</v>
      </c>
      <c r="F311" s="41" t="s">
        <v>175</v>
      </c>
      <c r="G311" s="41" t="s">
        <v>29</v>
      </c>
      <c r="H311" s="41" t="s">
        <v>30</v>
      </c>
      <c r="I311" s="41" t="s">
        <v>31</v>
      </c>
      <c r="J311" s="41" t="s">
        <v>32</v>
      </c>
      <c r="K311" s="41" t="s">
        <v>33</v>
      </c>
      <c r="L311" s="50">
        <v>37803940</v>
      </c>
      <c r="M311" s="50">
        <v>-36543809</v>
      </c>
      <c r="N311" s="50">
        <v>1260131</v>
      </c>
      <c r="O311" s="50">
        <v>1260131</v>
      </c>
      <c r="P311" s="43" t="s">
        <v>351</v>
      </c>
      <c r="Q311" s="40">
        <v>1070623987</v>
      </c>
      <c r="R311" s="41" t="s">
        <v>2054</v>
      </c>
      <c r="S311" s="41" t="s">
        <v>316</v>
      </c>
      <c r="T311" s="41" t="s">
        <v>317</v>
      </c>
      <c r="U311" s="41" t="s">
        <v>2055</v>
      </c>
      <c r="V311" s="41" t="s">
        <v>319</v>
      </c>
      <c r="W311" s="40">
        <v>860007335</v>
      </c>
      <c r="X311" s="41" t="s">
        <v>381</v>
      </c>
      <c r="Y311" s="40">
        <v>3625</v>
      </c>
      <c r="Z311" s="40">
        <v>3625</v>
      </c>
      <c r="AA311" s="40">
        <v>31025</v>
      </c>
      <c r="AB311" s="41"/>
      <c r="AC311" s="41"/>
      <c r="AD311" s="41"/>
      <c r="AE311" s="41"/>
      <c r="AF311" s="41" t="s">
        <v>2034</v>
      </c>
      <c r="AG311" s="41" t="s">
        <v>356</v>
      </c>
      <c r="AH311" s="41" t="s">
        <v>2057</v>
      </c>
      <c r="AI311" s="41" t="s">
        <v>1910</v>
      </c>
    </row>
    <row r="312" spans="1:35" x14ac:dyDescent="0.2">
      <c r="A312" s="53">
        <v>31125</v>
      </c>
      <c r="B312" s="41" t="s">
        <v>2034</v>
      </c>
      <c r="C312" s="41" t="s">
        <v>2058</v>
      </c>
      <c r="D312" s="41" t="s">
        <v>312</v>
      </c>
      <c r="E312" s="55">
        <v>923242</v>
      </c>
      <c r="F312" s="41" t="s">
        <v>175</v>
      </c>
      <c r="G312" s="41" t="s">
        <v>29</v>
      </c>
      <c r="H312" s="41" t="s">
        <v>30</v>
      </c>
      <c r="I312" s="41" t="s">
        <v>31</v>
      </c>
      <c r="J312" s="41" t="s">
        <v>32</v>
      </c>
      <c r="K312" s="41" t="s">
        <v>33</v>
      </c>
      <c r="L312" s="50">
        <v>38359110</v>
      </c>
      <c r="M312" s="50">
        <v>0</v>
      </c>
      <c r="N312" s="50">
        <v>38359110</v>
      </c>
      <c r="O312" s="50">
        <v>36569018</v>
      </c>
      <c r="P312" s="43" t="s">
        <v>351</v>
      </c>
      <c r="Q312" s="40">
        <v>1024466962</v>
      </c>
      <c r="R312" s="41" t="s">
        <v>2059</v>
      </c>
      <c r="S312" s="41" t="s">
        <v>316</v>
      </c>
      <c r="T312" s="41" t="s">
        <v>317</v>
      </c>
      <c r="U312" s="41" t="s">
        <v>2060</v>
      </c>
      <c r="V312" s="41" t="s">
        <v>319</v>
      </c>
      <c r="W312" s="40">
        <v>860007335</v>
      </c>
      <c r="X312" s="41" t="s">
        <v>381</v>
      </c>
      <c r="Y312" s="40">
        <v>3625</v>
      </c>
      <c r="Z312" s="40">
        <v>3625</v>
      </c>
      <c r="AA312" s="40">
        <v>31125</v>
      </c>
      <c r="AB312" s="41"/>
      <c r="AC312" s="41" t="s">
        <v>3261</v>
      </c>
      <c r="AD312" s="41" t="s">
        <v>3259</v>
      </c>
      <c r="AE312" s="41"/>
      <c r="AF312" s="41" t="s">
        <v>2034</v>
      </c>
      <c r="AG312" s="41" t="s">
        <v>356</v>
      </c>
      <c r="AH312" s="41" t="s">
        <v>2062</v>
      </c>
      <c r="AI312" s="41" t="s">
        <v>2063</v>
      </c>
    </row>
    <row r="313" spans="1:35" x14ac:dyDescent="0.2">
      <c r="A313" s="53">
        <v>31225</v>
      </c>
      <c r="B313" s="41" t="s">
        <v>2034</v>
      </c>
      <c r="C313" s="41" t="s">
        <v>2064</v>
      </c>
      <c r="D313" s="41" t="s">
        <v>312</v>
      </c>
      <c r="E313" s="55">
        <v>923228</v>
      </c>
      <c r="F313" s="41" t="s">
        <v>158</v>
      </c>
      <c r="G313" s="41" t="s">
        <v>159</v>
      </c>
      <c r="H313" s="41" t="s">
        <v>160</v>
      </c>
      <c r="I313" s="41" t="s">
        <v>31</v>
      </c>
      <c r="J313" s="41" t="s">
        <v>32</v>
      </c>
      <c r="K313" s="41" t="s">
        <v>33</v>
      </c>
      <c r="L313" s="50">
        <v>49045333</v>
      </c>
      <c r="M313" s="50">
        <v>0</v>
      </c>
      <c r="N313" s="50">
        <v>49045333</v>
      </c>
      <c r="O313" s="50">
        <v>46786666</v>
      </c>
      <c r="P313" s="43" t="s">
        <v>351</v>
      </c>
      <c r="Q313" s="40">
        <v>1022371659</v>
      </c>
      <c r="R313" s="41" t="s">
        <v>2065</v>
      </c>
      <c r="S313" s="41" t="s">
        <v>316</v>
      </c>
      <c r="T313" s="41" t="s">
        <v>317</v>
      </c>
      <c r="U313" s="41" t="s">
        <v>2066</v>
      </c>
      <c r="V313" s="41" t="s">
        <v>319</v>
      </c>
      <c r="W313" s="40">
        <v>860034313</v>
      </c>
      <c r="X313" s="41" t="s">
        <v>355</v>
      </c>
      <c r="Y313" s="40">
        <v>3325</v>
      </c>
      <c r="Z313" s="40">
        <v>3325</v>
      </c>
      <c r="AA313" s="40">
        <v>31225</v>
      </c>
      <c r="AB313" s="41"/>
      <c r="AC313" s="41" t="s">
        <v>3265</v>
      </c>
      <c r="AD313" s="41" t="s">
        <v>3262</v>
      </c>
      <c r="AE313" s="41"/>
      <c r="AF313" s="41" t="s">
        <v>2034</v>
      </c>
      <c r="AG313" s="41" t="s">
        <v>356</v>
      </c>
      <c r="AH313" s="41" t="s">
        <v>2068</v>
      </c>
      <c r="AI313" s="41" t="s">
        <v>2069</v>
      </c>
    </row>
    <row r="314" spans="1:35" x14ac:dyDescent="0.2">
      <c r="A314" s="53">
        <v>31325</v>
      </c>
      <c r="B314" s="41" t="s">
        <v>2034</v>
      </c>
      <c r="C314" s="41" t="s">
        <v>2070</v>
      </c>
      <c r="D314" s="41" t="s">
        <v>312</v>
      </c>
      <c r="E314" s="55">
        <v>923228</v>
      </c>
      <c r="F314" s="41" t="s">
        <v>158</v>
      </c>
      <c r="G314" s="41" t="s">
        <v>159</v>
      </c>
      <c r="H314" s="41" t="s">
        <v>160</v>
      </c>
      <c r="I314" s="41" t="s">
        <v>31</v>
      </c>
      <c r="J314" s="41" t="s">
        <v>32</v>
      </c>
      <c r="K314" s="41" t="s">
        <v>33</v>
      </c>
      <c r="L314" s="50">
        <v>49045333</v>
      </c>
      <c r="M314" s="50">
        <v>0</v>
      </c>
      <c r="N314" s="50">
        <v>49045333</v>
      </c>
      <c r="O314" s="50">
        <v>46786666</v>
      </c>
      <c r="P314" s="43" t="s">
        <v>351</v>
      </c>
      <c r="Q314" s="40">
        <v>79822903</v>
      </c>
      <c r="R314" s="41" t="s">
        <v>2071</v>
      </c>
      <c r="S314" s="41" t="s">
        <v>316</v>
      </c>
      <c r="T314" s="41" t="s">
        <v>317</v>
      </c>
      <c r="U314" s="41" t="s">
        <v>2072</v>
      </c>
      <c r="V314" s="41" t="s">
        <v>319</v>
      </c>
      <c r="W314" s="40">
        <v>860034313</v>
      </c>
      <c r="X314" s="41" t="s">
        <v>355</v>
      </c>
      <c r="Y314" s="40">
        <v>3325</v>
      </c>
      <c r="Z314" s="40">
        <v>3325</v>
      </c>
      <c r="AA314" s="40">
        <v>31325</v>
      </c>
      <c r="AB314" s="41"/>
      <c r="AC314" s="41" t="s">
        <v>3268</v>
      </c>
      <c r="AD314" s="41" t="s">
        <v>3266</v>
      </c>
      <c r="AE314" s="41"/>
      <c r="AF314" s="41" t="s">
        <v>2034</v>
      </c>
      <c r="AG314" s="41" t="s">
        <v>356</v>
      </c>
      <c r="AH314" s="41" t="s">
        <v>2074</v>
      </c>
      <c r="AI314" s="41" t="s">
        <v>2069</v>
      </c>
    </row>
    <row r="315" spans="1:35" x14ac:dyDescent="0.2">
      <c r="A315" s="53">
        <v>31425</v>
      </c>
      <c r="B315" s="41" t="s">
        <v>2034</v>
      </c>
      <c r="C315" s="41" t="s">
        <v>2075</v>
      </c>
      <c r="D315" s="41" t="s">
        <v>312</v>
      </c>
      <c r="E315" s="55">
        <v>923228</v>
      </c>
      <c r="F315" s="41" t="s">
        <v>158</v>
      </c>
      <c r="G315" s="41" t="s">
        <v>159</v>
      </c>
      <c r="H315" s="41" t="s">
        <v>160</v>
      </c>
      <c r="I315" s="41" t="s">
        <v>31</v>
      </c>
      <c r="J315" s="41" t="s">
        <v>32</v>
      </c>
      <c r="K315" s="41" t="s">
        <v>33</v>
      </c>
      <c r="L315" s="50">
        <v>49045333</v>
      </c>
      <c r="M315" s="50">
        <v>0</v>
      </c>
      <c r="N315" s="50">
        <v>49045333</v>
      </c>
      <c r="O315" s="50">
        <v>46786666</v>
      </c>
      <c r="P315" s="43" t="s">
        <v>351</v>
      </c>
      <c r="Q315" s="40">
        <v>3171437</v>
      </c>
      <c r="R315" s="41" t="s">
        <v>2076</v>
      </c>
      <c r="S315" s="41" t="s">
        <v>316</v>
      </c>
      <c r="T315" s="41" t="s">
        <v>317</v>
      </c>
      <c r="U315" s="41" t="s">
        <v>2077</v>
      </c>
      <c r="V315" s="41" t="s">
        <v>319</v>
      </c>
      <c r="W315" s="40">
        <v>860003020</v>
      </c>
      <c r="X315" s="41" t="s">
        <v>393</v>
      </c>
      <c r="Y315" s="40">
        <v>3325</v>
      </c>
      <c r="Z315" s="40">
        <v>3325</v>
      </c>
      <c r="AA315" s="40">
        <v>31425</v>
      </c>
      <c r="AB315" s="41"/>
      <c r="AC315" s="41" t="s">
        <v>3271</v>
      </c>
      <c r="AD315" s="41" t="s">
        <v>3269</v>
      </c>
      <c r="AE315" s="41"/>
      <c r="AF315" s="41" t="s">
        <v>2034</v>
      </c>
      <c r="AG315" s="41" t="s">
        <v>356</v>
      </c>
      <c r="AH315" s="41" t="s">
        <v>2079</v>
      </c>
      <c r="AI315" s="41" t="s">
        <v>2069</v>
      </c>
    </row>
    <row r="316" spans="1:35" x14ac:dyDescent="0.2">
      <c r="A316" s="53">
        <v>31525</v>
      </c>
      <c r="B316" s="41" t="s">
        <v>2034</v>
      </c>
      <c r="C316" s="41" t="s">
        <v>2080</v>
      </c>
      <c r="D316" s="41" t="s">
        <v>312</v>
      </c>
      <c r="E316" s="55">
        <v>923228</v>
      </c>
      <c r="F316" s="41" t="s">
        <v>158</v>
      </c>
      <c r="G316" s="41" t="s">
        <v>159</v>
      </c>
      <c r="H316" s="41" t="s">
        <v>160</v>
      </c>
      <c r="I316" s="41" t="s">
        <v>31</v>
      </c>
      <c r="J316" s="41" t="s">
        <v>32</v>
      </c>
      <c r="K316" s="41" t="s">
        <v>33</v>
      </c>
      <c r="L316" s="50">
        <v>49045333</v>
      </c>
      <c r="M316" s="50">
        <v>0</v>
      </c>
      <c r="N316" s="50">
        <v>49045333</v>
      </c>
      <c r="O316" s="50">
        <v>46786666</v>
      </c>
      <c r="P316" s="43" t="s">
        <v>351</v>
      </c>
      <c r="Q316" s="40">
        <v>17973156</v>
      </c>
      <c r="R316" s="41" t="s">
        <v>2081</v>
      </c>
      <c r="S316" s="41" t="s">
        <v>316</v>
      </c>
      <c r="T316" s="41" t="s">
        <v>317</v>
      </c>
      <c r="U316" s="41" t="s">
        <v>2082</v>
      </c>
      <c r="V316" s="41" t="s">
        <v>319</v>
      </c>
      <c r="W316" s="40">
        <v>860034313</v>
      </c>
      <c r="X316" s="41" t="s">
        <v>355</v>
      </c>
      <c r="Y316" s="40">
        <v>3325</v>
      </c>
      <c r="Z316" s="40">
        <v>3325</v>
      </c>
      <c r="AA316" s="40">
        <v>31525</v>
      </c>
      <c r="AB316" s="41"/>
      <c r="AC316" s="41" t="s">
        <v>3273</v>
      </c>
      <c r="AD316" s="41" t="s">
        <v>3272</v>
      </c>
      <c r="AE316" s="41"/>
      <c r="AF316" s="41" t="s">
        <v>2034</v>
      </c>
      <c r="AG316" s="41" t="s">
        <v>356</v>
      </c>
      <c r="AH316" s="41" t="s">
        <v>2084</v>
      </c>
      <c r="AI316" s="41" t="s">
        <v>2069</v>
      </c>
    </row>
    <row r="317" spans="1:35" x14ac:dyDescent="0.2">
      <c r="A317" s="53">
        <v>31625</v>
      </c>
      <c r="B317" s="41" t="s">
        <v>2034</v>
      </c>
      <c r="C317" s="41" t="s">
        <v>2085</v>
      </c>
      <c r="D317" s="41" t="s">
        <v>312</v>
      </c>
      <c r="E317" s="55">
        <v>923210</v>
      </c>
      <c r="F317" s="41" t="s">
        <v>56</v>
      </c>
      <c r="G317" s="41" t="s">
        <v>29</v>
      </c>
      <c r="H317" s="41" t="s">
        <v>30</v>
      </c>
      <c r="I317" s="41" t="s">
        <v>31</v>
      </c>
      <c r="J317" s="41" t="s">
        <v>32</v>
      </c>
      <c r="K317" s="41" t="s">
        <v>33</v>
      </c>
      <c r="L317" s="50">
        <v>26208000</v>
      </c>
      <c r="M317" s="50">
        <v>0</v>
      </c>
      <c r="N317" s="50">
        <v>26208000</v>
      </c>
      <c r="O317" s="50">
        <v>24793600</v>
      </c>
      <c r="P317" s="43" t="s">
        <v>351</v>
      </c>
      <c r="Q317" s="40">
        <v>1010209964</v>
      </c>
      <c r="R317" s="41" t="s">
        <v>2086</v>
      </c>
      <c r="S317" s="41" t="s">
        <v>316</v>
      </c>
      <c r="T317" s="41" t="s">
        <v>317</v>
      </c>
      <c r="U317" s="41" t="s">
        <v>2087</v>
      </c>
      <c r="V317" s="41" t="s">
        <v>319</v>
      </c>
      <c r="W317" s="40">
        <v>890903938</v>
      </c>
      <c r="X317" s="41" t="s">
        <v>342</v>
      </c>
      <c r="Y317" s="40">
        <v>1925</v>
      </c>
      <c r="Z317" s="40">
        <v>1925</v>
      </c>
      <c r="AA317" s="40">
        <v>31625</v>
      </c>
      <c r="AB317" s="41"/>
      <c r="AC317" s="41" t="s">
        <v>3277</v>
      </c>
      <c r="AD317" s="41" t="s">
        <v>3274</v>
      </c>
      <c r="AE317" s="41"/>
      <c r="AF317" s="41" t="s">
        <v>2034</v>
      </c>
      <c r="AG317" s="41" t="s">
        <v>356</v>
      </c>
      <c r="AH317" s="41" t="s">
        <v>2089</v>
      </c>
      <c r="AI317" s="41" t="s">
        <v>2090</v>
      </c>
    </row>
    <row r="318" spans="1:35" x14ac:dyDescent="0.2">
      <c r="A318" s="53">
        <v>31725</v>
      </c>
      <c r="B318" s="41" t="s">
        <v>2034</v>
      </c>
      <c r="C318" s="41" t="s">
        <v>2091</v>
      </c>
      <c r="D318" s="41" t="s">
        <v>312</v>
      </c>
      <c r="E318" s="55">
        <v>923228</v>
      </c>
      <c r="F318" s="41" t="s">
        <v>158</v>
      </c>
      <c r="G318" s="41" t="s">
        <v>159</v>
      </c>
      <c r="H318" s="41" t="s">
        <v>160</v>
      </c>
      <c r="I318" s="41" t="s">
        <v>31</v>
      </c>
      <c r="J318" s="41" t="s">
        <v>32</v>
      </c>
      <c r="K318" s="41" t="s">
        <v>33</v>
      </c>
      <c r="L318" s="50">
        <v>49045333</v>
      </c>
      <c r="M318" s="50">
        <v>0</v>
      </c>
      <c r="N318" s="50">
        <v>49045333</v>
      </c>
      <c r="O318" s="50">
        <v>46786666</v>
      </c>
      <c r="P318" s="43" t="s">
        <v>351</v>
      </c>
      <c r="Q318" s="40">
        <v>1032446718</v>
      </c>
      <c r="R318" s="41" t="s">
        <v>2092</v>
      </c>
      <c r="S318" s="41" t="s">
        <v>316</v>
      </c>
      <c r="T318" s="41" t="s">
        <v>317</v>
      </c>
      <c r="U318" s="41" t="s">
        <v>2093</v>
      </c>
      <c r="V318" s="41" t="s">
        <v>319</v>
      </c>
      <c r="W318" s="40">
        <v>890903938</v>
      </c>
      <c r="X318" s="41" t="s">
        <v>342</v>
      </c>
      <c r="Y318" s="40">
        <v>3325</v>
      </c>
      <c r="Z318" s="40">
        <v>3325</v>
      </c>
      <c r="AA318" s="40">
        <v>31725</v>
      </c>
      <c r="AB318" s="41"/>
      <c r="AC318" s="41" t="s">
        <v>3280</v>
      </c>
      <c r="AD318" s="41" t="s">
        <v>3278</v>
      </c>
      <c r="AE318" s="41"/>
      <c r="AF318" s="41" t="s">
        <v>2034</v>
      </c>
      <c r="AG318" s="41" t="s">
        <v>356</v>
      </c>
      <c r="AH318" s="41" t="s">
        <v>2095</v>
      </c>
      <c r="AI318" s="41" t="s">
        <v>2069</v>
      </c>
    </row>
    <row r="319" spans="1:35" x14ac:dyDescent="0.2">
      <c r="A319" s="53">
        <v>31825</v>
      </c>
      <c r="B319" s="41" t="s">
        <v>2034</v>
      </c>
      <c r="C319" s="41" t="s">
        <v>2096</v>
      </c>
      <c r="D319" s="41" t="s">
        <v>312</v>
      </c>
      <c r="E319" s="55">
        <v>923228</v>
      </c>
      <c r="F319" s="41" t="s">
        <v>158</v>
      </c>
      <c r="G319" s="41" t="s">
        <v>159</v>
      </c>
      <c r="H319" s="41" t="s">
        <v>160</v>
      </c>
      <c r="I319" s="41" t="s">
        <v>31</v>
      </c>
      <c r="J319" s="41" t="s">
        <v>32</v>
      </c>
      <c r="K319" s="41" t="s">
        <v>33</v>
      </c>
      <c r="L319" s="50">
        <v>34538393</v>
      </c>
      <c r="M319" s="50">
        <v>0</v>
      </c>
      <c r="N319" s="50">
        <v>34538393</v>
      </c>
      <c r="O319" s="50">
        <v>32947809</v>
      </c>
      <c r="P319" s="43" t="s">
        <v>351</v>
      </c>
      <c r="Q319" s="40">
        <v>79324276</v>
      </c>
      <c r="R319" s="41" t="s">
        <v>2097</v>
      </c>
      <c r="S319" s="41" t="s">
        <v>316</v>
      </c>
      <c r="T319" s="41" t="s">
        <v>317</v>
      </c>
      <c r="U319" s="41" t="s">
        <v>2098</v>
      </c>
      <c r="V319" s="41" t="s">
        <v>319</v>
      </c>
      <c r="W319" s="40">
        <v>890903938</v>
      </c>
      <c r="X319" s="41" t="s">
        <v>342</v>
      </c>
      <c r="Y319" s="40">
        <v>3325</v>
      </c>
      <c r="Z319" s="40">
        <v>3325</v>
      </c>
      <c r="AA319" s="40">
        <v>31825</v>
      </c>
      <c r="AB319" s="41"/>
      <c r="AC319" s="41" t="s">
        <v>3284</v>
      </c>
      <c r="AD319" s="41" t="s">
        <v>3281</v>
      </c>
      <c r="AE319" s="41"/>
      <c r="AF319" s="41" t="s">
        <v>2034</v>
      </c>
      <c r="AG319" s="41" t="s">
        <v>356</v>
      </c>
      <c r="AH319" s="41" t="s">
        <v>2100</v>
      </c>
      <c r="AI319" s="41" t="s">
        <v>2101</v>
      </c>
    </row>
    <row r="320" spans="1:35" x14ac:dyDescent="0.2">
      <c r="A320" s="53">
        <v>31925</v>
      </c>
      <c r="B320" s="41" t="s">
        <v>2034</v>
      </c>
      <c r="C320" s="41" t="s">
        <v>2102</v>
      </c>
      <c r="D320" s="41" t="s">
        <v>312</v>
      </c>
      <c r="E320" s="55">
        <v>923242</v>
      </c>
      <c r="F320" s="41" t="s">
        <v>175</v>
      </c>
      <c r="G320" s="41" t="s">
        <v>29</v>
      </c>
      <c r="H320" s="41" t="s">
        <v>30</v>
      </c>
      <c r="I320" s="41" t="s">
        <v>31</v>
      </c>
      <c r="J320" s="41" t="s">
        <v>32</v>
      </c>
      <c r="K320" s="41" t="s">
        <v>33</v>
      </c>
      <c r="L320" s="50">
        <v>24462500</v>
      </c>
      <c r="M320" s="50">
        <v>0</v>
      </c>
      <c r="N320" s="50">
        <v>24462500</v>
      </c>
      <c r="O320" s="50">
        <v>23175000</v>
      </c>
      <c r="P320" s="43" t="s">
        <v>351</v>
      </c>
      <c r="Q320" s="40">
        <v>1026276407</v>
      </c>
      <c r="R320" s="41" t="s">
        <v>2103</v>
      </c>
      <c r="S320" s="41" t="s">
        <v>316</v>
      </c>
      <c r="T320" s="41" t="s">
        <v>317</v>
      </c>
      <c r="U320" s="41" t="s">
        <v>2104</v>
      </c>
      <c r="V320" s="41" t="s">
        <v>319</v>
      </c>
      <c r="W320" s="40">
        <v>860007335</v>
      </c>
      <c r="X320" s="41" t="s">
        <v>381</v>
      </c>
      <c r="Y320" s="40">
        <v>3625</v>
      </c>
      <c r="Z320" s="40">
        <v>3625</v>
      </c>
      <c r="AA320" s="40">
        <v>31925</v>
      </c>
      <c r="AB320" s="41"/>
      <c r="AC320" s="41" t="s">
        <v>3288</v>
      </c>
      <c r="AD320" s="41" t="s">
        <v>3285</v>
      </c>
      <c r="AE320" s="41"/>
      <c r="AF320" s="41" t="s">
        <v>2034</v>
      </c>
      <c r="AG320" s="41" t="s">
        <v>356</v>
      </c>
      <c r="AH320" s="41" t="s">
        <v>2106</v>
      </c>
      <c r="AI320" s="41" t="s">
        <v>2107</v>
      </c>
    </row>
    <row r="321" spans="1:35" x14ac:dyDescent="0.2">
      <c r="A321" s="53">
        <v>32025</v>
      </c>
      <c r="B321" s="41" t="s">
        <v>2034</v>
      </c>
      <c r="C321" s="41" t="s">
        <v>2108</v>
      </c>
      <c r="D321" s="41" t="s">
        <v>312</v>
      </c>
      <c r="E321" s="55">
        <v>923228</v>
      </c>
      <c r="F321" s="41" t="s">
        <v>158</v>
      </c>
      <c r="G321" s="41" t="s">
        <v>159</v>
      </c>
      <c r="H321" s="41" t="s">
        <v>160</v>
      </c>
      <c r="I321" s="41" t="s">
        <v>31</v>
      </c>
      <c r="J321" s="41" t="s">
        <v>32</v>
      </c>
      <c r="K321" s="41" t="s">
        <v>33</v>
      </c>
      <c r="L321" s="50">
        <v>40333333</v>
      </c>
      <c r="M321" s="50">
        <v>0</v>
      </c>
      <c r="N321" s="50">
        <v>40333333</v>
      </c>
      <c r="O321" s="50">
        <v>38074666</v>
      </c>
      <c r="P321" s="43" t="s">
        <v>351</v>
      </c>
      <c r="Q321" s="40">
        <v>80500306</v>
      </c>
      <c r="R321" s="41" t="s">
        <v>2109</v>
      </c>
      <c r="S321" s="41" t="s">
        <v>316</v>
      </c>
      <c r="T321" s="41" t="s">
        <v>317</v>
      </c>
      <c r="U321" s="41" t="s">
        <v>2110</v>
      </c>
      <c r="V321" s="41" t="s">
        <v>319</v>
      </c>
      <c r="W321" s="40">
        <v>860003020</v>
      </c>
      <c r="X321" s="41" t="s">
        <v>393</v>
      </c>
      <c r="Y321" s="40">
        <v>3325</v>
      </c>
      <c r="Z321" s="40">
        <v>3325</v>
      </c>
      <c r="AA321" s="40">
        <v>32025</v>
      </c>
      <c r="AB321" s="41"/>
      <c r="AC321" s="41" t="s">
        <v>3291</v>
      </c>
      <c r="AD321" s="41" t="s">
        <v>3289</v>
      </c>
      <c r="AE321" s="41"/>
      <c r="AF321" s="41" t="s">
        <v>2034</v>
      </c>
      <c r="AG321" s="41" t="s">
        <v>356</v>
      </c>
      <c r="AH321" s="41" t="s">
        <v>2112</v>
      </c>
      <c r="AI321" s="41" t="s">
        <v>2069</v>
      </c>
    </row>
    <row r="322" spans="1:35" x14ac:dyDescent="0.2">
      <c r="A322" s="53">
        <v>32125</v>
      </c>
      <c r="B322" s="41" t="s">
        <v>2113</v>
      </c>
      <c r="C322" s="41" t="s">
        <v>2114</v>
      </c>
      <c r="D322" s="41" t="s">
        <v>312</v>
      </c>
      <c r="E322" s="55">
        <v>923210</v>
      </c>
      <c r="F322" s="41" t="s">
        <v>56</v>
      </c>
      <c r="G322" s="41" t="s">
        <v>29</v>
      </c>
      <c r="H322" s="41" t="s">
        <v>30</v>
      </c>
      <c r="I322" s="41" t="s">
        <v>47</v>
      </c>
      <c r="J322" s="41" t="s">
        <v>48</v>
      </c>
      <c r="K322" s="41" t="s">
        <v>33</v>
      </c>
      <c r="L322" s="50">
        <v>183.45</v>
      </c>
      <c r="M322" s="50">
        <v>183266.55</v>
      </c>
      <c r="N322" s="50">
        <v>183450</v>
      </c>
      <c r="O322" s="50">
        <v>0</v>
      </c>
      <c r="P322" s="43" t="s">
        <v>314</v>
      </c>
      <c r="Q322" s="40">
        <v>899999115</v>
      </c>
      <c r="R322" s="41" t="s">
        <v>327</v>
      </c>
      <c r="S322" s="41" t="s">
        <v>316</v>
      </c>
      <c r="T322" s="41" t="s">
        <v>328</v>
      </c>
      <c r="U322" s="41" t="s">
        <v>329</v>
      </c>
      <c r="V322" s="41" t="s">
        <v>319</v>
      </c>
      <c r="W322" s="40">
        <v>860051135</v>
      </c>
      <c r="X322" s="41" t="s">
        <v>331</v>
      </c>
      <c r="Y322" s="40">
        <v>1225</v>
      </c>
      <c r="Z322" s="40">
        <v>1225</v>
      </c>
      <c r="AA322" s="40">
        <v>32125</v>
      </c>
      <c r="AB322" s="41" t="s">
        <v>2116</v>
      </c>
      <c r="AC322" s="41" t="s">
        <v>2117</v>
      </c>
      <c r="AD322" s="41" t="s">
        <v>2118</v>
      </c>
      <c r="AE322" s="41"/>
      <c r="AF322" s="41" t="s">
        <v>2113</v>
      </c>
      <c r="AG322" s="41" t="s">
        <v>323</v>
      </c>
      <c r="AH322" s="41" t="s">
        <v>2119</v>
      </c>
      <c r="AI322" s="41" t="s">
        <v>2120</v>
      </c>
    </row>
    <row r="323" spans="1:35" x14ac:dyDescent="0.2">
      <c r="A323" s="53">
        <v>32225</v>
      </c>
      <c r="B323" s="41" t="s">
        <v>2121</v>
      </c>
      <c r="C323" s="41" t="s">
        <v>2122</v>
      </c>
      <c r="D323" s="41" t="s">
        <v>312</v>
      </c>
      <c r="E323" s="55">
        <v>923211</v>
      </c>
      <c r="F323" s="41" t="s">
        <v>69</v>
      </c>
      <c r="G323" s="41" t="s">
        <v>29</v>
      </c>
      <c r="H323" s="41" t="s">
        <v>30</v>
      </c>
      <c r="I323" s="41" t="s">
        <v>31</v>
      </c>
      <c r="J323" s="41" t="s">
        <v>32</v>
      </c>
      <c r="K323" s="41" t="s">
        <v>33</v>
      </c>
      <c r="L323" s="50">
        <v>478585</v>
      </c>
      <c r="M323" s="50">
        <v>0</v>
      </c>
      <c r="N323" s="50">
        <v>478585</v>
      </c>
      <c r="O323" s="50">
        <v>0</v>
      </c>
      <c r="P323" s="43" t="s">
        <v>351</v>
      </c>
      <c r="Q323" s="40">
        <v>11313776</v>
      </c>
      <c r="R323" s="41" t="s">
        <v>676</v>
      </c>
      <c r="S323" s="41" t="s">
        <v>316</v>
      </c>
      <c r="T323" s="41" t="s">
        <v>317</v>
      </c>
      <c r="U323" s="41" t="s">
        <v>2123</v>
      </c>
      <c r="V323" s="41" t="s">
        <v>319</v>
      </c>
      <c r="W323" s="40">
        <v>890903938</v>
      </c>
      <c r="X323" s="41" t="s">
        <v>342</v>
      </c>
      <c r="Y323" s="40">
        <v>925</v>
      </c>
      <c r="Z323" s="40">
        <v>925</v>
      </c>
      <c r="AA323" s="40">
        <v>32225</v>
      </c>
      <c r="AB323" s="41"/>
      <c r="AC323" s="41" t="s">
        <v>233</v>
      </c>
      <c r="AD323" s="41" t="s">
        <v>2683</v>
      </c>
      <c r="AE323" s="41"/>
      <c r="AF323" s="41" t="s">
        <v>2121</v>
      </c>
      <c r="AG323" s="41" t="s">
        <v>1929</v>
      </c>
      <c r="AH323" s="41" t="s">
        <v>2125</v>
      </c>
      <c r="AI323" s="41" t="s">
        <v>2126</v>
      </c>
    </row>
    <row r="324" spans="1:35" x14ac:dyDescent="0.2">
      <c r="A324" s="53">
        <v>32325</v>
      </c>
      <c r="B324" s="41" t="s">
        <v>2121</v>
      </c>
      <c r="C324" s="41" t="s">
        <v>2127</v>
      </c>
      <c r="D324" s="41" t="s">
        <v>312</v>
      </c>
      <c r="E324" s="55">
        <v>923211</v>
      </c>
      <c r="F324" s="41" t="s">
        <v>69</v>
      </c>
      <c r="G324" s="41" t="s">
        <v>29</v>
      </c>
      <c r="H324" s="41" t="s">
        <v>30</v>
      </c>
      <c r="I324" s="41" t="s">
        <v>31</v>
      </c>
      <c r="J324" s="41" t="s">
        <v>32</v>
      </c>
      <c r="K324" s="41" t="s">
        <v>33</v>
      </c>
      <c r="L324" s="50">
        <v>478585</v>
      </c>
      <c r="M324" s="50">
        <v>0</v>
      </c>
      <c r="N324" s="50">
        <v>478585</v>
      </c>
      <c r="O324" s="50">
        <v>0</v>
      </c>
      <c r="P324" s="43" t="s">
        <v>351</v>
      </c>
      <c r="Q324" s="40">
        <v>11223758</v>
      </c>
      <c r="R324" s="41" t="s">
        <v>671</v>
      </c>
      <c r="S324" s="41" t="s">
        <v>316</v>
      </c>
      <c r="T324" s="41" t="s">
        <v>317</v>
      </c>
      <c r="U324" s="41" t="s">
        <v>672</v>
      </c>
      <c r="V324" s="41" t="s">
        <v>319</v>
      </c>
      <c r="W324" s="40">
        <v>890903938</v>
      </c>
      <c r="X324" s="41" t="s">
        <v>342</v>
      </c>
      <c r="Y324" s="40">
        <v>925</v>
      </c>
      <c r="Z324" s="40">
        <v>925</v>
      </c>
      <c r="AA324" s="40">
        <v>32325</v>
      </c>
      <c r="AB324" s="41"/>
      <c r="AC324" s="41" t="s">
        <v>236</v>
      </c>
      <c r="AD324" s="41" t="s">
        <v>2684</v>
      </c>
      <c r="AE324" s="41"/>
      <c r="AF324" s="41" t="s">
        <v>2121</v>
      </c>
      <c r="AG324" s="41" t="s">
        <v>1929</v>
      </c>
      <c r="AH324" s="41" t="s">
        <v>2129</v>
      </c>
      <c r="AI324" s="41" t="s">
        <v>2126</v>
      </c>
    </row>
    <row r="325" spans="1:35" x14ac:dyDescent="0.2">
      <c r="A325" s="53">
        <v>32425</v>
      </c>
      <c r="B325" s="41" t="s">
        <v>2121</v>
      </c>
      <c r="C325" s="41" t="s">
        <v>2130</v>
      </c>
      <c r="D325" s="41" t="s">
        <v>312</v>
      </c>
      <c r="E325" s="55">
        <v>923238</v>
      </c>
      <c r="F325" s="41" t="s">
        <v>569</v>
      </c>
      <c r="G325" s="41" t="s">
        <v>29</v>
      </c>
      <c r="H325" s="41" t="s">
        <v>30</v>
      </c>
      <c r="I325" s="41" t="s">
        <v>31</v>
      </c>
      <c r="J325" s="41" t="s">
        <v>32</v>
      </c>
      <c r="K325" s="41" t="s">
        <v>33</v>
      </c>
      <c r="L325" s="50">
        <v>465641</v>
      </c>
      <c r="M325" s="50">
        <v>0</v>
      </c>
      <c r="N325" s="50">
        <v>465641</v>
      </c>
      <c r="O325" s="50">
        <v>0</v>
      </c>
      <c r="P325" s="43" t="s">
        <v>351</v>
      </c>
      <c r="Q325" s="40">
        <v>11315001</v>
      </c>
      <c r="R325" s="41" t="s">
        <v>2037</v>
      </c>
      <c r="S325" s="41" t="s">
        <v>316</v>
      </c>
      <c r="T325" s="41" t="s">
        <v>317</v>
      </c>
      <c r="U325" s="41" t="s">
        <v>2038</v>
      </c>
      <c r="V325" s="41" t="s">
        <v>319</v>
      </c>
      <c r="W325" s="40">
        <v>890903938</v>
      </c>
      <c r="X325" s="41" t="s">
        <v>342</v>
      </c>
      <c r="Y325" s="40">
        <v>325</v>
      </c>
      <c r="Z325" s="40">
        <v>325</v>
      </c>
      <c r="AA325" s="40">
        <v>32425</v>
      </c>
      <c r="AB325" s="41"/>
      <c r="AC325" s="41" t="s">
        <v>244</v>
      </c>
      <c r="AD325" s="41" t="s">
        <v>2685</v>
      </c>
      <c r="AE325" s="41"/>
      <c r="AF325" s="41" t="s">
        <v>2121</v>
      </c>
      <c r="AG325" s="41" t="s">
        <v>1929</v>
      </c>
      <c r="AH325" s="41" t="s">
        <v>2132</v>
      </c>
      <c r="AI325" s="41" t="s">
        <v>2133</v>
      </c>
    </row>
    <row r="326" spans="1:35" x14ac:dyDescent="0.2">
      <c r="A326" s="53">
        <v>32525</v>
      </c>
      <c r="B326" s="41" t="s">
        <v>2121</v>
      </c>
      <c r="C326" s="41" t="s">
        <v>2134</v>
      </c>
      <c r="D326" s="41" t="s">
        <v>312</v>
      </c>
      <c r="E326" s="55">
        <v>923270</v>
      </c>
      <c r="F326" s="41" t="s">
        <v>589</v>
      </c>
      <c r="G326" s="41" t="s">
        <v>590</v>
      </c>
      <c r="H326" s="41" t="s">
        <v>591</v>
      </c>
      <c r="I326" s="41" t="s">
        <v>47</v>
      </c>
      <c r="J326" s="41" t="s">
        <v>76</v>
      </c>
      <c r="K326" s="41" t="s">
        <v>33</v>
      </c>
      <c r="L326" s="50">
        <v>58800000</v>
      </c>
      <c r="M326" s="50">
        <v>0</v>
      </c>
      <c r="N326" s="50">
        <v>58800000</v>
      </c>
      <c r="O326" s="50">
        <v>56000000</v>
      </c>
      <c r="P326" s="43" t="s">
        <v>351</v>
      </c>
      <c r="Q326" s="40">
        <v>52712359</v>
      </c>
      <c r="R326" s="41" t="s">
        <v>2135</v>
      </c>
      <c r="S326" s="41" t="s">
        <v>316</v>
      </c>
      <c r="T326" s="41" t="s">
        <v>317</v>
      </c>
      <c r="U326" s="41" t="s">
        <v>2136</v>
      </c>
      <c r="V326" s="41" t="s">
        <v>319</v>
      </c>
      <c r="W326" s="40">
        <v>890903938</v>
      </c>
      <c r="X326" s="41" t="s">
        <v>342</v>
      </c>
      <c r="Y326" s="40">
        <v>7125</v>
      </c>
      <c r="Z326" s="40">
        <v>7125</v>
      </c>
      <c r="AA326" s="40">
        <v>32525</v>
      </c>
      <c r="AB326" s="41"/>
      <c r="AC326" s="41" t="s">
        <v>3295</v>
      </c>
      <c r="AD326" s="41" t="s">
        <v>3292</v>
      </c>
      <c r="AE326" s="41"/>
      <c r="AF326" s="41" t="s">
        <v>2121</v>
      </c>
      <c r="AG326" s="41" t="s">
        <v>356</v>
      </c>
      <c r="AH326" s="41" t="s">
        <v>2138</v>
      </c>
      <c r="AI326" s="41" t="s">
        <v>2139</v>
      </c>
    </row>
    <row r="327" spans="1:35" x14ac:dyDescent="0.2">
      <c r="A327" s="53">
        <v>32625</v>
      </c>
      <c r="B327" s="41" t="s">
        <v>2121</v>
      </c>
      <c r="C327" s="41" t="s">
        <v>2140</v>
      </c>
      <c r="D327" s="41" t="s">
        <v>312</v>
      </c>
      <c r="E327" s="55">
        <v>923269</v>
      </c>
      <c r="F327" s="41" t="s">
        <v>581</v>
      </c>
      <c r="G327" s="41" t="s">
        <v>582</v>
      </c>
      <c r="H327" s="41" t="s">
        <v>583</v>
      </c>
      <c r="I327" s="41" t="s">
        <v>47</v>
      </c>
      <c r="J327" s="41" t="s">
        <v>76</v>
      </c>
      <c r="K327" s="41" t="s">
        <v>33</v>
      </c>
      <c r="L327" s="50">
        <v>29400000</v>
      </c>
      <c r="M327" s="50">
        <v>0</v>
      </c>
      <c r="N327" s="50">
        <v>29400000</v>
      </c>
      <c r="O327" s="50">
        <v>28000000</v>
      </c>
      <c r="P327" s="43" t="s">
        <v>351</v>
      </c>
      <c r="Q327" s="40">
        <v>1030685664</v>
      </c>
      <c r="R327" s="41" t="s">
        <v>2141</v>
      </c>
      <c r="S327" s="41" t="s">
        <v>316</v>
      </c>
      <c r="T327" s="41" t="s">
        <v>317</v>
      </c>
      <c r="U327" s="41" t="s">
        <v>4646</v>
      </c>
      <c r="V327" s="41" t="s">
        <v>319</v>
      </c>
      <c r="W327" s="40">
        <v>860034594</v>
      </c>
      <c r="X327" s="41" t="s">
        <v>374</v>
      </c>
      <c r="Y327" s="40">
        <v>7025</v>
      </c>
      <c r="Z327" s="40">
        <v>7025</v>
      </c>
      <c r="AA327" s="40">
        <v>32625</v>
      </c>
      <c r="AB327" s="41"/>
      <c r="AC327" s="41" t="s">
        <v>3299</v>
      </c>
      <c r="AD327" s="41" t="s">
        <v>3296</v>
      </c>
      <c r="AE327" s="41"/>
      <c r="AF327" s="41" t="s">
        <v>2121</v>
      </c>
      <c r="AG327" s="41" t="s">
        <v>356</v>
      </c>
      <c r="AH327" s="41" t="s">
        <v>2144</v>
      </c>
      <c r="AI327" s="41" t="s">
        <v>2145</v>
      </c>
    </row>
    <row r="328" spans="1:35" x14ac:dyDescent="0.2">
      <c r="A328" s="53">
        <v>32725</v>
      </c>
      <c r="B328" s="41" t="s">
        <v>2121</v>
      </c>
      <c r="C328" s="41" t="s">
        <v>2146</v>
      </c>
      <c r="D328" s="41" t="s">
        <v>312</v>
      </c>
      <c r="E328" s="55">
        <v>923211</v>
      </c>
      <c r="F328" s="41" t="s">
        <v>69</v>
      </c>
      <c r="G328" s="41" t="s">
        <v>29</v>
      </c>
      <c r="H328" s="41" t="s">
        <v>30</v>
      </c>
      <c r="I328" s="41" t="s">
        <v>31</v>
      </c>
      <c r="J328" s="41" t="s">
        <v>32</v>
      </c>
      <c r="K328" s="41" t="s">
        <v>33</v>
      </c>
      <c r="L328" s="50">
        <v>46148427</v>
      </c>
      <c r="M328" s="50">
        <v>0</v>
      </c>
      <c r="N328" s="50">
        <v>46148427</v>
      </c>
      <c r="O328" s="50">
        <v>44308623</v>
      </c>
      <c r="P328" s="43" t="s">
        <v>351</v>
      </c>
      <c r="Q328" s="40">
        <v>1026307427</v>
      </c>
      <c r="R328" s="41" t="s">
        <v>2147</v>
      </c>
      <c r="S328" s="41" t="s">
        <v>316</v>
      </c>
      <c r="T328" s="41" t="s">
        <v>317</v>
      </c>
      <c r="U328" s="41" t="s">
        <v>3581</v>
      </c>
      <c r="V328" s="41" t="s">
        <v>319</v>
      </c>
      <c r="W328" s="40">
        <v>860002964</v>
      </c>
      <c r="X328" s="41" t="s">
        <v>419</v>
      </c>
      <c r="Y328" s="40">
        <v>2125</v>
      </c>
      <c r="Z328" s="40">
        <v>2125</v>
      </c>
      <c r="AA328" s="40">
        <v>32725</v>
      </c>
      <c r="AB328" s="41"/>
      <c r="AC328" s="41" t="s">
        <v>3404</v>
      </c>
      <c r="AD328" s="41" t="s">
        <v>3579</v>
      </c>
      <c r="AE328" s="41"/>
      <c r="AF328" s="41" t="s">
        <v>2121</v>
      </c>
      <c r="AG328" s="41" t="s">
        <v>356</v>
      </c>
      <c r="AH328" s="41" t="s">
        <v>2149</v>
      </c>
      <c r="AI328" s="41" t="s">
        <v>1886</v>
      </c>
    </row>
    <row r="329" spans="1:35" x14ac:dyDescent="0.2">
      <c r="A329" s="53">
        <v>32825</v>
      </c>
      <c r="B329" s="41" t="s">
        <v>2121</v>
      </c>
      <c r="C329" s="41" t="s">
        <v>2150</v>
      </c>
      <c r="D329" s="41" t="s">
        <v>312</v>
      </c>
      <c r="E329" s="55">
        <v>923270</v>
      </c>
      <c r="F329" s="41" t="s">
        <v>589</v>
      </c>
      <c r="G329" s="41" t="s">
        <v>590</v>
      </c>
      <c r="H329" s="41" t="s">
        <v>591</v>
      </c>
      <c r="I329" s="41" t="s">
        <v>47</v>
      </c>
      <c r="J329" s="41" t="s">
        <v>76</v>
      </c>
      <c r="K329" s="41" t="s">
        <v>33</v>
      </c>
      <c r="L329" s="50">
        <v>58800000</v>
      </c>
      <c r="M329" s="50">
        <v>0</v>
      </c>
      <c r="N329" s="50">
        <v>58800000</v>
      </c>
      <c r="O329" s="50">
        <v>56000000</v>
      </c>
      <c r="P329" s="43" t="s">
        <v>351</v>
      </c>
      <c r="Q329" s="40">
        <v>1121827031</v>
      </c>
      <c r="R329" s="41" t="s">
        <v>2151</v>
      </c>
      <c r="S329" s="41" t="s">
        <v>316</v>
      </c>
      <c r="T329" s="41" t="s">
        <v>317</v>
      </c>
      <c r="U329" s="41" t="s">
        <v>2152</v>
      </c>
      <c r="V329" s="41" t="s">
        <v>319</v>
      </c>
      <c r="W329" s="40">
        <v>890903938</v>
      </c>
      <c r="X329" s="41" t="s">
        <v>342</v>
      </c>
      <c r="Y329" s="40">
        <v>7125</v>
      </c>
      <c r="Z329" s="40">
        <v>7125</v>
      </c>
      <c r="AA329" s="40">
        <v>32825</v>
      </c>
      <c r="AB329" s="41"/>
      <c r="AC329" s="41" t="s">
        <v>3302</v>
      </c>
      <c r="AD329" s="41" t="s">
        <v>3300</v>
      </c>
      <c r="AE329" s="41"/>
      <c r="AF329" s="41" t="s">
        <v>2121</v>
      </c>
      <c r="AG329" s="41" t="s">
        <v>356</v>
      </c>
      <c r="AH329" s="41" t="s">
        <v>2154</v>
      </c>
      <c r="AI329" s="41" t="s">
        <v>2155</v>
      </c>
    </row>
    <row r="330" spans="1:35" x14ac:dyDescent="0.2">
      <c r="A330" s="53">
        <v>32925</v>
      </c>
      <c r="B330" s="41" t="s">
        <v>2121</v>
      </c>
      <c r="C330" s="41" t="s">
        <v>2156</v>
      </c>
      <c r="D330" s="41" t="s">
        <v>312</v>
      </c>
      <c r="E330" s="55">
        <v>923270</v>
      </c>
      <c r="F330" s="41" t="s">
        <v>589</v>
      </c>
      <c r="G330" s="41" t="s">
        <v>590</v>
      </c>
      <c r="H330" s="41" t="s">
        <v>591</v>
      </c>
      <c r="I330" s="41" t="s">
        <v>47</v>
      </c>
      <c r="J330" s="41" t="s">
        <v>76</v>
      </c>
      <c r="K330" s="41" t="s">
        <v>33</v>
      </c>
      <c r="L330" s="50">
        <v>58800000</v>
      </c>
      <c r="M330" s="50">
        <v>0</v>
      </c>
      <c r="N330" s="50">
        <v>58800000</v>
      </c>
      <c r="O330" s="50">
        <v>56000000</v>
      </c>
      <c r="P330" s="43" t="s">
        <v>351</v>
      </c>
      <c r="Q330" s="40">
        <v>1098740549</v>
      </c>
      <c r="R330" s="41" t="s">
        <v>2157</v>
      </c>
      <c r="S330" s="41" t="s">
        <v>316</v>
      </c>
      <c r="T330" s="41" t="s">
        <v>317</v>
      </c>
      <c r="U330" s="41" t="s">
        <v>2158</v>
      </c>
      <c r="V330" s="41" t="s">
        <v>319</v>
      </c>
      <c r="W330" s="40">
        <v>890903938</v>
      </c>
      <c r="X330" s="41" t="s">
        <v>342</v>
      </c>
      <c r="Y330" s="40">
        <v>7125</v>
      </c>
      <c r="Z330" s="40">
        <v>7125</v>
      </c>
      <c r="AA330" s="40">
        <v>32925</v>
      </c>
      <c r="AB330" s="41"/>
      <c r="AC330" s="41" t="s">
        <v>3305</v>
      </c>
      <c r="AD330" s="41" t="s">
        <v>3303</v>
      </c>
      <c r="AE330" s="41"/>
      <c r="AF330" s="41" t="s">
        <v>2121</v>
      </c>
      <c r="AG330" s="41" t="s">
        <v>356</v>
      </c>
      <c r="AH330" s="41" t="s">
        <v>2160</v>
      </c>
      <c r="AI330" s="41" t="s">
        <v>2155</v>
      </c>
    </row>
    <row r="331" spans="1:35" x14ac:dyDescent="0.2">
      <c r="A331" s="53">
        <v>33025</v>
      </c>
      <c r="B331" s="41" t="s">
        <v>2121</v>
      </c>
      <c r="C331" s="41" t="s">
        <v>2161</v>
      </c>
      <c r="D331" s="41" t="s">
        <v>312</v>
      </c>
      <c r="E331" s="55">
        <v>923270</v>
      </c>
      <c r="F331" s="41" t="s">
        <v>589</v>
      </c>
      <c r="G331" s="41" t="s">
        <v>590</v>
      </c>
      <c r="H331" s="41" t="s">
        <v>591</v>
      </c>
      <c r="I331" s="41" t="s">
        <v>47</v>
      </c>
      <c r="J331" s="41" t="s">
        <v>76</v>
      </c>
      <c r="K331" s="41" t="s">
        <v>33</v>
      </c>
      <c r="L331" s="50">
        <v>58800000</v>
      </c>
      <c r="M331" s="50">
        <v>0</v>
      </c>
      <c r="N331" s="50">
        <v>58800000</v>
      </c>
      <c r="O331" s="50">
        <v>56000000</v>
      </c>
      <c r="P331" s="43" t="s">
        <v>351</v>
      </c>
      <c r="Q331" s="40">
        <v>1053797721</v>
      </c>
      <c r="R331" s="41" t="s">
        <v>2162</v>
      </c>
      <c r="S331" s="41" t="s">
        <v>316</v>
      </c>
      <c r="T331" s="41" t="s">
        <v>317</v>
      </c>
      <c r="U331" s="41" t="s">
        <v>2163</v>
      </c>
      <c r="V331" s="41" t="s">
        <v>319</v>
      </c>
      <c r="W331" s="40">
        <v>890903938</v>
      </c>
      <c r="X331" s="41" t="s">
        <v>342</v>
      </c>
      <c r="Y331" s="40">
        <v>7125</v>
      </c>
      <c r="Z331" s="40">
        <v>7125</v>
      </c>
      <c r="AA331" s="40">
        <v>33025</v>
      </c>
      <c r="AB331" s="41"/>
      <c r="AC331" s="41" t="s">
        <v>3307</v>
      </c>
      <c r="AD331" s="41" t="s">
        <v>3306</v>
      </c>
      <c r="AE331" s="41"/>
      <c r="AF331" s="41" t="s">
        <v>2121</v>
      </c>
      <c r="AG331" s="41" t="s">
        <v>356</v>
      </c>
      <c r="AH331" s="41" t="s">
        <v>2165</v>
      </c>
      <c r="AI331" s="41" t="s">
        <v>2155</v>
      </c>
    </row>
    <row r="332" spans="1:35" x14ac:dyDescent="0.2">
      <c r="A332" s="53">
        <v>33125</v>
      </c>
      <c r="B332" s="41" t="s">
        <v>2121</v>
      </c>
      <c r="C332" s="41" t="s">
        <v>2166</v>
      </c>
      <c r="D332" s="41" t="s">
        <v>312</v>
      </c>
      <c r="E332" s="55">
        <v>923270</v>
      </c>
      <c r="F332" s="41" t="s">
        <v>589</v>
      </c>
      <c r="G332" s="41" t="s">
        <v>590</v>
      </c>
      <c r="H332" s="41" t="s">
        <v>591</v>
      </c>
      <c r="I332" s="41" t="s">
        <v>47</v>
      </c>
      <c r="J332" s="41" t="s">
        <v>76</v>
      </c>
      <c r="K332" s="41" t="s">
        <v>33</v>
      </c>
      <c r="L332" s="50">
        <v>58800000</v>
      </c>
      <c r="M332" s="50">
        <v>0</v>
      </c>
      <c r="N332" s="50">
        <v>58800000</v>
      </c>
      <c r="O332" s="50">
        <v>56000000</v>
      </c>
      <c r="P332" s="43" t="s">
        <v>351</v>
      </c>
      <c r="Q332" s="40">
        <v>7179866</v>
      </c>
      <c r="R332" s="41" t="s">
        <v>2167</v>
      </c>
      <c r="S332" s="41" t="s">
        <v>316</v>
      </c>
      <c r="T332" s="41" t="s">
        <v>317</v>
      </c>
      <c r="U332" s="41" t="s">
        <v>3309</v>
      </c>
      <c r="V332" s="41" t="s">
        <v>319</v>
      </c>
      <c r="W332" s="40">
        <v>890903938</v>
      </c>
      <c r="X332" s="41" t="s">
        <v>342</v>
      </c>
      <c r="Y332" s="40">
        <v>7125</v>
      </c>
      <c r="Z332" s="40">
        <v>7125</v>
      </c>
      <c r="AA332" s="40">
        <v>33125</v>
      </c>
      <c r="AB332" s="41"/>
      <c r="AC332" s="41" t="s">
        <v>3310</v>
      </c>
      <c r="AD332" s="41" t="s">
        <v>3308</v>
      </c>
      <c r="AE332" s="41"/>
      <c r="AF332" s="41" t="s">
        <v>2121</v>
      </c>
      <c r="AG332" s="41" t="s">
        <v>356</v>
      </c>
      <c r="AH332" s="41" t="s">
        <v>2169</v>
      </c>
      <c r="AI332" s="41" t="s">
        <v>2155</v>
      </c>
    </row>
    <row r="333" spans="1:35" x14ac:dyDescent="0.2">
      <c r="A333" s="53">
        <v>33225</v>
      </c>
      <c r="B333" s="41" t="s">
        <v>2121</v>
      </c>
      <c r="C333" s="41" t="s">
        <v>2170</v>
      </c>
      <c r="D333" s="41" t="s">
        <v>312</v>
      </c>
      <c r="E333" s="55">
        <v>923269</v>
      </c>
      <c r="F333" s="41" t="s">
        <v>581</v>
      </c>
      <c r="G333" s="41" t="s">
        <v>582</v>
      </c>
      <c r="H333" s="41" t="s">
        <v>583</v>
      </c>
      <c r="I333" s="41" t="s">
        <v>47</v>
      </c>
      <c r="J333" s="41" t="s">
        <v>76</v>
      </c>
      <c r="K333" s="41" t="s">
        <v>33</v>
      </c>
      <c r="L333" s="50">
        <v>58800000</v>
      </c>
      <c r="M333" s="50">
        <v>0</v>
      </c>
      <c r="N333" s="50">
        <v>58800000</v>
      </c>
      <c r="O333" s="50">
        <v>56000000</v>
      </c>
      <c r="P333" s="43" t="s">
        <v>351</v>
      </c>
      <c r="Q333" s="40">
        <v>11220943</v>
      </c>
      <c r="R333" s="41" t="s">
        <v>2171</v>
      </c>
      <c r="S333" s="41" t="s">
        <v>316</v>
      </c>
      <c r="T333" s="41" t="s">
        <v>317</v>
      </c>
      <c r="U333" s="41" t="s">
        <v>2172</v>
      </c>
      <c r="V333" s="41" t="s">
        <v>319</v>
      </c>
      <c r="W333" s="40">
        <v>890903938</v>
      </c>
      <c r="X333" s="41" t="s">
        <v>342</v>
      </c>
      <c r="Y333" s="40">
        <v>7025</v>
      </c>
      <c r="Z333" s="40">
        <v>7025</v>
      </c>
      <c r="AA333" s="40">
        <v>33225</v>
      </c>
      <c r="AB333" s="41"/>
      <c r="AC333" s="41" t="s">
        <v>3312</v>
      </c>
      <c r="AD333" s="41" t="s">
        <v>3311</v>
      </c>
      <c r="AE333" s="41"/>
      <c r="AF333" s="41" t="s">
        <v>2121</v>
      </c>
      <c r="AG333" s="41" t="s">
        <v>356</v>
      </c>
      <c r="AH333" s="41" t="s">
        <v>2174</v>
      </c>
      <c r="AI333" s="41" t="s">
        <v>2175</v>
      </c>
    </row>
    <row r="334" spans="1:35" x14ac:dyDescent="0.2">
      <c r="A334" s="53">
        <v>33325</v>
      </c>
      <c r="B334" s="41" t="s">
        <v>2121</v>
      </c>
      <c r="C334" s="41" t="s">
        <v>2176</v>
      </c>
      <c r="D334" s="41" t="s">
        <v>312</v>
      </c>
      <c r="E334" s="55">
        <v>923269</v>
      </c>
      <c r="F334" s="41" t="s">
        <v>581</v>
      </c>
      <c r="G334" s="41" t="s">
        <v>582</v>
      </c>
      <c r="H334" s="41" t="s">
        <v>583</v>
      </c>
      <c r="I334" s="41" t="s">
        <v>47</v>
      </c>
      <c r="J334" s="41" t="s">
        <v>76</v>
      </c>
      <c r="K334" s="41" t="s">
        <v>33</v>
      </c>
      <c r="L334" s="50">
        <v>58800000</v>
      </c>
      <c r="M334" s="50">
        <v>0</v>
      </c>
      <c r="N334" s="50">
        <v>58800000</v>
      </c>
      <c r="O334" s="50">
        <v>56000000</v>
      </c>
      <c r="P334" s="43" t="s">
        <v>351</v>
      </c>
      <c r="Q334" s="40">
        <v>87714602</v>
      </c>
      <c r="R334" s="41" t="s">
        <v>2177</v>
      </c>
      <c r="S334" s="41" t="s">
        <v>316</v>
      </c>
      <c r="T334" s="41" t="s">
        <v>317</v>
      </c>
      <c r="U334" s="41" t="s">
        <v>3315</v>
      </c>
      <c r="V334" s="41" t="s">
        <v>319</v>
      </c>
      <c r="W334" s="40">
        <v>890903938</v>
      </c>
      <c r="X334" s="41" t="s">
        <v>342</v>
      </c>
      <c r="Y334" s="40">
        <v>7025</v>
      </c>
      <c r="Z334" s="40">
        <v>7025</v>
      </c>
      <c r="AA334" s="40">
        <v>33325</v>
      </c>
      <c r="AB334" s="41"/>
      <c r="AC334" s="41" t="s">
        <v>3316</v>
      </c>
      <c r="AD334" s="41" t="s">
        <v>3313</v>
      </c>
      <c r="AE334" s="41"/>
      <c r="AF334" s="41" t="s">
        <v>2121</v>
      </c>
      <c r="AG334" s="41" t="s">
        <v>356</v>
      </c>
      <c r="AH334" s="41" t="s">
        <v>2179</v>
      </c>
      <c r="AI334" s="41" t="s">
        <v>2175</v>
      </c>
    </row>
    <row r="335" spans="1:35" x14ac:dyDescent="0.2">
      <c r="A335" s="53">
        <v>33425</v>
      </c>
      <c r="B335" s="41" t="s">
        <v>2121</v>
      </c>
      <c r="C335" s="41" t="s">
        <v>2180</v>
      </c>
      <c r="D335" s="41" t="s">
        <v>312</v>
      </c>
      <c r="E335" s="55">
        <v>923269</v>
      </c>
      <c r="F335" s="41" t="s">
        <v>581</v>
      </c>
      <c r="G335" s="41" t="s">
        <v>582</v>
      </c>
      <c r="H335" s="41" t="s">
        <v>583</v>
      </c>
      <c r="I335" s="41" t="s">
        <v>47</v>
      </c>
      <c r="J335" s="41" t="s">
        <v>76</v>
      </c>
      <c r="K335" s="41" t="s">
        <v>33</v>
      </c>
      <c r="L335" s="50">
        <v>58800000</v>
      </c>
      <c r="M335" s="50">
        <v>0</v>
      </c>
      <c r="N335" s="50">
        <v>58800000</v>
      </c>
      <c r="O335" s="50">
        <v>56000000</v>
      </c>
      <c r="P335" s="43" t="s">
        <v>351</v>
      </c>
      <c r="Q335" s="40">
        <v>79564002</v>
      </c>
      <c r="R335" s="41" t="s">
        <v>2181</v>
      </c>
      <c r="S335" s="41" t="s">
        <v>316</v>
      </c>
      <c r="T335" s="41" t="s">
        <v>317</v>
      </c>
      <c r="U335" s="41" t="s">
        <v>2182</v>
      </c>
      <c r="V335" s="41" t="s">
        <v>319</v>
      </c>
      <c r="W335" s="40">
        <v>890903938</v>
      </c>
      <c r="X335" s="41" t="s">
        <v>342</v>
      </c>
      <c r="Y335" s="40">
        <v>7025</v>
      </c>
      <c r="Z335" s="40">
        <v>7025</v>
      </c>
      <c r="AA335" s="40">
        <v>33425</v>
      </c>
      <c r="AB335" s="41"/>
      <c r="AC335" s="41" t="s">
        <v>3318</v>
      </c>
      <c r="AD335" s="41" t="s">
        <v>3317</v>
      </c>
      <c r="AE335" s="41"/>
      <c r="AF335" s="41" t="s">
        <v>2121</v>
      </c>
      <c r="AG335" s="41" t="s">
        <v>356</v>
      </c>
      <c r="AH335" s="41" t="s">
        <v>2184</v>
      </c>
      <c r="AI335" s="41" t="s">
        <v>2175</v>
      </c>
    </row>
    <row r="336" spans="1:35" x14ac:dyDescent="0.2">
      <c r="A336" s="53">
        <v>33525</v>
      </c>
      <c r="B336" s="41" t="s">
        <v>2121</v>
      </c>
      <c r="C336" s="41" t="s">
        <v>2185</v>
      </c>
      <c r="D336" s="41" t="s">
        <v>312</v>
      </c>
      <c r="E336" s="55">
        <v>923269</v>
      </c>
      <c r="F336" s="41" t="s">
        <v>581</v>
      </c>
      <c r="G336" s="41" t="s">
        <v>582</v>
      </c>
      <c r="H336" s="41" t="s">
        <v>583</v>
      </c>
      <c r="I336" s="41" t="s">
        <v>47</v>
      </c>
      <c r="J336" s="41" t="s">
        <v>76</v>
      </c>
      <c r="K336" s="41" t="s">
        <v>33</v>
      </c>
      <c r="L336" s="50">
        <v>58800000</v>
      </c>
      <c r="M336" s="50">
        <v>0</v>
      </c>
      <c r="N336" s="50">
        <v>58800000</v>
      </c>
      <c r="O336" s="50">
        <v>56000000</v>
      </c>
      <c r="P336" s="43" t="s">
        <v>351</v>
      </c>
      <c r="Q336" s="40">
        <v>5471664</v>
      </c>
      <c r="R336" s="41" t="s">
        <v>2186</v>
      </c>
      <c r="S336" s="41" t="s">
        <v>316</v>
      </c>
      <c r="T336" s="41" t="s">
        <v>317</v>
      </c>
      <c r="U336" s="41" t="s">
        <v>2187</v>
      </c>
      <c r="V336" s="41" t="s">
        <v>319</v>
      </c>
      <c r="W336" s="40">
        <v>860034313</v>
      </c>
      <c r="X336" s="41" t="s">
        <v>355</v>
      </c>
      <c r="Y336" s="40">
        <v>7025</v>
      </c>
      <c r="Z336" s="40">
        <v>7025</v>
      </c>
      <c r="AA336" s="40">
        <v>33525</v>
      </c>
      <c r="AB336" s="41"/>
      <c r="AC336" s="41" t="s">
        <v>3321</v>
      </c>
      <c r="AD336" s="41" t="s">
        <v>3319</v>
      </c>
      <c r="AE336" s="41"/>
      <c r="AF336" s="41" t="s">
        <v>2121</v>
      </c>
      <c r="AG336" s="41" t="s">
        <v>356</v>
      </c>
      <c r="AH336" s="41" t="s">
        <v>2189</v>
      </c>
      <c r="AI336" s="41" t="s">
        <v>2175</v>
      </c>
    </row>
    <row r="337" spans="1:35" x14ac:dyDescent="0.2">
      <c r="A337" s="53">
        <v>33625</v>
      </c>
      <c r="B337" s="41" t="s">
        <v>2631</v>
      </c>
      <c r="C337" s="41" t="s">
        <v>3951</v>
      </c>
      <c r="D337" s="41" t="s">
        <v>312</v>
      </c>
      <c r="E337" s="55">
        <v>923210</v>
      </c>
      <c r="F337" s="41" t="s">
        <v>56</v>
      </c>
      <c r="G337" s="41" t="s">
        <v>29</v>
      </c>
      <c r="H337" s="41" t="s">
        <v>30</v>
      </c>
      <c r="I337" s="41" t="s">
        <v>31</v>
      </c>
      <c r="J337" s="41" t="s">
        <v>32</v>
      </c>
      <c r="K337" s="41" t="s">
        <v>33</v>
      </c>
      <c r="L337" s="50">
        <v>17887392</v>
      </c>
      <c r="M337" s="50">
        <v>0</v>
      </c>
      <c r="N337" s="50">
        <v>17887392</v>
      </c>
      <c r="O337" s="50">
        <v>16959898</v>
      </c>
      <c r="P337" s="43" t="s">
        <v>351</v>
      </c>
      <c r="Q337" s="40">
        <v>1010040399</v>
      </c>
      <c r="R337" s="41" t="s">
        <v>3324</v>
      </c>
      <c r="S337" s="41" t="s">
        <v>316</v>
      </c>
      <c r="T337" s="41" t="s">
        <v>317</v>
      </c>
      <c r="U337" s="41" t="s">
        <v>3325</v>
      </c>
      <c r="V337" s="41" t="s">
        <v>319</v>
      </c>
      <c r="W337" s="40">
        <v>860034313</v>
      </c>
      <c r="X337" s="41" t="s">
        <v>355</v>
      </c>
      <c r="Y337" s="40">
        <v>1925</v>
      </c>
      <c r="Z337" s="40">
        <v>1925</v>
      </c>
      <c r="AA337" s="40">
        <v>33625</v>
      </c>
      <c r="AB337" s="41"/>
      <c r="AC337" s="41" t="s">
        <v>3327</v>
      </c>
      <c r="AD337" s="41" t="s">
        <v>3322</v>
      </c>
      <c r="AE337" s="41"/>
      <c r="AF337" s="41" t="s">
        <v>2631</v>
      </c>
      <c r="AG337" s="41" t="s">
        <v>356</v>
      </c>
      <c r="AH337" s="41" t="s">
        <v>3328</v>
      </c>
      <c r="AI337" s="41" t="s">
        <v>3329</v>
      </c>
    </row>
    <row r="338" spans="1:35" x14ac:dyDescent="0.2">
      <c r="A338" s="53">
        <v>33725</v>
      </c>
      <c r="B338" s="41" t="s">
        <v>2631</v>
      </c>
      <c r="C338" s="41" t="s">
        <v>3952</v>
      </c>
      <c r="D338" s="41" t="s">
        <v>312</v>
      </c>
      <c r="E338" s="55">
        <v>923290</v>
      </c>
      <c r="F338" s="41" t="s">
        <v>208</v>
      </c>
      <c r="G338" s="41" t="s">
        <v>29</v>
      </c>
      <c r="H338" s="41" t="s">
        <v>30</v>
      </c>
      <c r="I338" s="41" t="s">
        <v>31</v>
      </c>
      <c r="J338" s="41" t="s">
        <v>32</v>
      </c>
      <c r="K338" s="41" t="s">
        <v>33</v>
      </c>
      <c r="L338" s="50">
        <v>156195</v>
      </c>
      <c r="M338" s="50">
        <v>0</v>
      </c>
      <c r="N338" s="50">
        <v>156195</v>
      </c>
      <c r="O338" s="50">
        <v>0</v>
      </c>
      <c r="P338" s="43" t="s">
        <v>351</v>
      </c>
      <c r="Q338" s="40">
        <v>1012449137</v>
      </c>
      <c r="R338" s="41" t="s">
        <v>390</v>
      </c>
      <c r="S338" s="41" t="s">
        <v>316</v>
      </c>
      <c r="T338" s="41" t="s">
        <v>317</v>
      </c>
      <c r="U338" s="41" t="s">
        <v>391</v>
      </c>
      <c r="V338" s="41" t="s">
        <v>319</v>
      </c>
      <c r="W338" s="40">
        <v>860003020</v>
      </c>
      <c r="X338" s="41" t="s">
        <v>393</v>
      </c>
      <c r="Y338" s="40">
        <v>4925</v>
      </c>
      <c r="Z338" s="40">
        <v>4925</v>
      </c>
      <c r="AA338" s="40">
        <v>33725</v>
      </c>
      <c r="AB338" s="41"/>
      <c r="AC338" s="41" t="s">
        <v>249</v>
      </c>
      <c r="AD338" s="41" t="s">
        <v>2687</v>
      </c>
      <c r="AE338" s="41"/>
      <c r="AF338" s="41" t="s">
        <v>2631</v>
      </c>
      <c r="AG338" s="41" t="s">
        <v>1929</v>
      </c>
      <c r="AH338" s="41" t="s">
        <v>2691</v>
      </c>
      <c r="AI338" s="41" t="s">
        <v>2692</v>
      </c>
    </row>
    <row r="339" spans="1:35" x14ac:dyDescent="0.2">
      <c r="A339" s="53">
        <v>33825</v>
      </c>
      <c r="B339" s="41" t="s">
        <v>2631</v>
      </c>
      <c r="C339" s="41" t="s">
        <v>3953</v>
      </c>
      <c r="D339" s="41" t="s">
        <v>312</v>
      </c>
      <c r="E339" s="55">
        <v>923285</v>
      </c>
      <c r="F339" s="41" t="s">
        <v>572</v>
      </c>
      <c r="G339" s="41" t="s">
        <v>29</v>
      </c>
      <c r="H339" s="41" t="s">
        <v>30</v>
      </c>
      <c r="I339" s="41" t="s">
        <v>31</v>
      </c>
      <c r="J339" s="41" t="s">
        <v>32</v>
      </c>
      <c r="K339" s="41" t="s">
        <v>33</v>
      </c>
      <c r="L339" s="50">
        <v>322390</v>
      </c>
      <c r="M339" s="50">
        <v>0</v>
      </c>
      <c r="N339" s="50">
        <v>322390</v>
      </c>
      <c r="O339" s="50">
        <v>0</v>
      </c>
      <c r="P339" s="43" t="s">
        <v>351</v>
      </c>
      <c r="Q339" s="40">
        <v>1018436224</v>
      </c>
      <c r="R339" s="41" t="s">
        <v>739</v>
      </c>
      <c r="S339" s="41" t="s">
        <v>316</v>
      </c>
      <c r="T339" s="41" t="s">
        <v>317</v>
      </c>
      <c r="U339" s="41" t="s">
        <v>740</v>
      </c>
      <c r="V339" s="41" t="s">
        <v>319</v>
      </c>
      <c r="W339" s="40">
        <v>890903938</v>
      </c>
      <c r="X339" s="41" t="s">
        <v>342</v>
      </c>
      <c r="Y339" s="40">
        <v>4425</v>
      </c>
      <c r="Z339" s="40">
        <v>4425</v>
      </c>
      <c r="AA339" s="40">
        <v>33825</v>
      </c>
      <c r="AB339" s="41"/>
      <c r="AC339" s="41" t="s">
        <v>254</v>
      </c>
      <c r="AD339" s="41" t="s">
        <v>2693</v>
      </c>
      <c r="AE339" s="41"/>
      <c r="AF339" s="41" t="s">
        <v>2631</v>
      </c>
      <c r="AG339" s="41" t="s">
        <v>1929</v>
      </c>
      <c r="AH339" s="41" t="s">
        <v>2697</v>
      </c>
      <c r="AI339" s="41" t="s">
        <v>2698</v>
      </c>
    </row>
    <row r="340" spans="1:35" x14ac:dyDescent="0.2">
      <c r="A340" s="53">
        <v>33925</v>
      </c>
      <c r="B340" s="41" t="s">
        <v>2631</v>
      </c>
      <c r="C340" s="41" t="s">
        <v>3954</v>
      </c>
      <c r="D340" s="41" t="s">
        <v>312</v>
      </c>
      <c r="E340" s="55">
        <v>923238</v>
      </c>
      <c r="F340" s="41" t="s">
        <v>569</v>
      </c>
      <c r="G340" s="41" t="s">
        <v>29</v>
      </c>
      <c r="H340" s="41" t="s">
        <v>30</v>
      </c>
      <c r="I340" s="41" t="s">
        <v>31</v>
      </c>
      <c r="J340" s="41" t="s">
        <v>32</v>
      </c>
      <c r="K340" s="41" t="s">
        <v>33</v>
      </c>
      <c r="L340" s="50">
        <v>404493</v>
      </c>
      <c r="M340" s="50">
        <v>0</v>
      </c>
      <c r="N340" s="50">
        <v>404493</v>
      </c>
      <c r="O340" s="50">
        <v>0</v>
      </c>
      <c r="P340" s="43" t="s">
        <v>351</v>
      </c>
      <c r="Q340" s="40">
        <v>80724086</v>
      </c>
      <c r="R340" s="41" t="s">
        <v>1926</v>
      </c>
      <c r="S340" s="41" t="s">
        <v>316</v>
      </c>
      <c r="T340" s="41" t="s">
        <v>317</v>
      </c>
      <c r="U340" s="41" t="s">
        <v>1927</v>
      </c>
      <c r="V340" s="41" t="s">
        <v>319</v>
      </c>
      <c r="W340" s="40">
        <v>890903938</v>
      </c>
      <c r="X340" s="41" t="s">
        <v>342</v>
      </c>
      <c r="Y340" s="40">
        <v>325</v>
      </c>
      <c r="Z340" s="40">
        <v>325</v>
      </c>
      <c r="AA340" s="40">
        <v>33925</v>
      </c>
      <c r="AB340" s="41"/>
      <c r="AC340" s="41" t="s">
        <v>257</v>
      </c>
      <c r="AD340" s="41" t="s">
        <v>2699</v>
      </c>
      <c r="AE340" s="41"/>
      <c r="AF340" s="41" t="s">
        <v>2631</v>
      </c>
      <c r="AG340" s="41" t="s">
        <v>1929</v>
      </c>
      <c r="AH340" s="41" t="s">
        <v>2703</v>
      </c>
      <c r="AI340" s="41" t="s">
        <v>2704</v>
      </c>
    </row>
    <row r="341" spans="1:35" x14ac:dyDescent="0.2">
      <c r="A341" s="53">
        <v>34025</v>
      </c>
      <c r="B341" s="41" t="s">
        <v>2631</v>
      </c>
      <c r="C341" s="41" t="s">
        <v>3955</v>
      </c>
      <c r="D341" s="41" t="s">
        <v>312</v>
      </c>
      <c r="E341" s="55">
        <v>923290</v>
      </c>
      <c r="F341" s="41" t="s">
        <v>208</v>
      </c>
      <c r="G341" s="41" t="s">
        <v>29</v>
      </c>
      <c r="H341" s="41" t="s">
        <v>30</v>
      </c>
      <c r="I341" s="41" t="s">
        <v>31</v>
      </c>
      <c r="J341" s="41" t="s">
        <v>32</v>
      </c>
      <c r="K341" s="41" t="s">
        <v>33</v>
      </c>
      <c r="L341" s="50">
        <v>119839</v>
      </c>
      <c r="M341" s="50">
        <v>0</v>
      </c>
      <c r="N341" s="50">
        <v>119839</v>
      </c>
      <c r="O341" s="50">
        <v>0</v>
      </c>
      <c r="P341" s="43" t="s">
        <v>351</v>
      </c>
      <c r="Q341" s="40">
        <v>79207235</v>
      </c>
      <c r="R341" s="41" t="s">
        <v>1860</v>
      </c>
      <c r="S341" s="41" t="s">
        <v>316</v>
      </c>
      <c r="T341" s="41" t="s">
        <v>317</v>
      </c>
      <c r="U341" s="41" t="s">
        <v>1861</v>
      </c>
      <c r="V341" s="41" t="s">
        <v>319</v>
      </c>
      <c r="W341" s="40">
        <v>860007335</v>
      </c>
      <c r="X341" s="41" t="s">
        <v>381</v>
      </c>
      <c r="Y341" s="40">
        <v>4825</v>
      </c>
      <c r="Z341" s="40">
        <v>4825</v>
      </c>
      <c r="AA341" s="40">
        <v>34025</v>
      </c>
      <c r="AB341" s="41"/>
      <c r="AC341" s="41" t="s">
        <v>260</v>
      </c>
      <c r="AD341" s="41" t="s">
        <v>2705</v>
      </c>
      <c r="AE341" s="41"/>
      <c r="AF341" s="41" t="s">
        <v>2631</v>
      </c>
      <c r="AG341" s="41" t="s">
        <v>1929</v>
      </c>
      <c r="AH341" s="41" t="s">
        <v>2709</v>
      </c>
      <c r="AI341" s="41" t="s">
        <v>2710</v>
      </c>
    </row>
    <row r="342" spans="1:35" x14ac:dyDescent="0.2">
      <c r="A342" s="53">
        <v>34125</v>
      </c>
      <c r="B342" s="41" t="s">
        <v>2631</v>
      </c>
      <c r="C342" s="41" t="s">
        <v>3956</v>
      </c>
      <c r="D342" s="41" t="s">
        <v>312</v>
      </c>
      <c r="E342" s="55">
        <v>923238</v>
      </c>
      <c r="F342" s="41" t="s">
        <v>569</v>
      </c>
      <c r="G342" s="41" t="s">
        <v>29</v>
      </c>
      <c r="H342" s="41" t="s">
        <v>30</v>
      </c>
      <c r="I342" s="41" t="s">
        <v>31</v>
      </c>
      <c r="J342" s="41" t="s">
        <v>32</v>
      </c>
      <c r="K342" s="41" t="s">
        <v>33</v>
      </c>
      <c r="L342" s="50">
        <v>801659</v>
      </c>
      <c r="M342" s="50">
        <v>0</v>
      </c>
      <c r="N342" s="50">
        <v>801659</v>
      </c>
      <c r="O342" s="50">
        <v>0</v>
      </c>
      <c r="P342" s="43" t="s">
        <v>351</v>
      </c>
      <c r="Q342" s="40">
        <v>80062448</v>
      </c>
      <c r="R342" s="41" t="s">
        <v>1943</v>
      </c>
      <c r="S342" s="41" t="s">
        <v>316</v>
      </c>
      <c r="T342" s="41" t="s">
        <v>317</v>
      </c>
      <c r="U342" s="41" t="s">
        <v>1944</v>
      </c>
      <c r="V342" s="41" t="s">
        <v>319</v>
      </c>
      <c r="W342" s="40">
        <v>860034313</v>
      </c>
      <c r="X342" s="41" t="s">
        <v>355</v>
      </c>
      <c r="Y342" s="40">
        <v>325</v>
      </c>
      <c r="Z342" s="40">
        <v>325</v>
      </c>
      <c r="AA342" s="40">
        <v>34125</v>
      </c>
      <c r="AB342" s="41"/>
      <c r="AC342" s="41" t="s">
        <v>263</v>
      </c>
      <c r="AD342" s="41" t="s">
        <v>2711</v>
      </c>
      <c r="AE342" s="41"/>
      <c r="AF342" s="41" t="s">
        <v>2631</v>
      </c>
      <c r="AG342" s="41" t="s">
        <v>1929</v>
      </c>
      <c r="AH342" s="41" t="s">
        <v>2715</v>
      </c>
      <c r="AI342" s="41" t="s">
        <v>2716</v>
      </c>
    </row>
    <row r="343" spans="1:35" x14ac:dyDescent="0.2">
      <c r="A343" s="53">
        <v>34225</v>
      </c>
      <c r="B343" s="41" t="s">
        <v>2631</v>
      </c>
      <c r="C343" s="41" t="s">
        <v>3957</v>
      </c>
      <c r="D343" s="41" t="s">
        <v>312</v>
      </c>
      <c r="E343" s="55">
        <v>923210</v>
      </c>
      <c r="F343" s="41" t="s">
        <v>56</v>
      </c>
      <c r="G343" s="41" t="s">
        <v>29</v>
      </c>
      <c r="H343" s="41" t="s">
        <v>30</v>
      </c>
      <c r="I343" s="41" t="s">
        <v>47</v>
      </c>
      <c r="J343" s="41" t="s">
        <v>48</v>
      </c>
      <c r="K343" s="41" t="s">
        <v>33</v>
      </c>
      <c r="L343" s="50">
        <v>244110</v>
      </c>
      <c r="M343" s="50">
        <v>0</v>
      </c>
      <c r="N343" s="50">
        <v>244110</v>
      </c>
      <c r="O343" s="50">
        <v>0</v>
      </c>
      <c r="P343" s="43" t="s">
        <v>314</v>
      </c>
      <c r="Q343" s="40">
        <v>899999094</v>
      </c>
      <c r="R343" s="41" t="s">
        <v>432</v>
      </c>
      <c r="S343" s="41" t="s">
        <v>316</v>
      </c>
      <c r="T343" s="41" t="s">
        <v>317</v>
      </c>
      <c r="U343" s="41" t="s">
        <v>433</v>
      </c>
      <c r="V343" s="41" t="s">
        <v>319</v>
      </c>
      <c r="W343" s="40">
        <v>860034313</v>
      </c>
      <c r="X343" s="41" t="s">
        <v>355</v>
      </c>
      <c r="Y343" s="40">
        <v>1225</v>
      </c>
      <c r="Z343" s="40">
        <v>1225</v>
      </c>
      <c r="AA343" s="40">
        <v>34225</v>
      </c>
      <c r="AB343" s="41" t="s">
        <v>190</v>
      </c>
      <c r="AC343" s="41" t="s">
        <v>586</v>
      </c>
      <c r="AD343" s="41" t="s">
        <v>2796</v>
      </c>
      <c r="AE343" s="41"/>
      <c r="AF343" s="41" t="s">
        <v>2631</v>
      </c>
      <c r="AG343" s="41" t="s">
        <v>323</v>
      </c>
      <c r="AH343" s="41" t="s">
        <v>2801</v>
      </c>
      <c r="AI343" s="41" t="s">
        <v>2802</v>
      </c>
    </row>
    <row r="344" spans="1:35" x14ac:dyDescent="0.2">
      <c r="A344" s="53">
        <v>34325</v>
      </c>
      <c r="B344" s="41" t="s">
        <v>2631</v>
      </c>
      <c r="C344" s="41" t="s">
        <v>3958</v>
      </c>
      <c r="D344" s="41" t="s">
        <v>312</v>
      </c>
      <c r="E344" s="55">
        <v>923210</v>
      </c>
      <c r="F344" s="41" t="s">
        <v>56</v>
      </c>
      <c r="G344" s="41" t="s">
        <v>29</v>
      </c>
      <c r="H344" s="41" t="s">
        <v>30</v>
      </c>
      <c r="I344" s="41" t="s">
        <v>47</v>
      </c>
      <c r="J344" s="41" t="s">
        <v>48</v>
      </c>
      <c r="K344" s="41" t="s">
        <v>33</v>
      </c>
      <c r="L344" s="50">
        <v>26070</v>
      </c>
      <c r="M344" s="50">
        <v>0</v>
      </c>
      <c r="N344" s="50">
        <v>26070</v>
      </c>
      <c r="O344" s="50">
        <v>0</v>
      </c>
      <c r="P344" s="43" t="s">
        <v>314</v>
      </c>
      <c r="Q344" s="40">
        <v>899999094</v>
      </c>
      <c r="R344" s="41" t="s">
        <v>432</v>
      </c>
      <c r="S344" s="41" t="s">
        <v>316</v>
      </c>
      <c r="T344" s="41" t="s">
        <v>317</v>
      </c>
      <c r="U344" s="41" t="s">
        <v>433</v>
      </c>
      <c r="V344" s="41" t="s">
        <v>319</v>
      </c>
      <c r="W344" s="40">
        <v>860034313</v>
      </c>
      <c r="X344" s="41" t="s">
        <v>355</v>
      </c>
      <c r="Y344" s="40">
        <v>1225</v>
      </c>
      <c r="Z344" s="40">
        <v>1225</v>
      </c>
      <c r="AA344" s="40">
        <v>34325</v>
      </c>
      <c r="AB344" s="41" t="s">
        <v>192</v>
      </c>
      <c r="AC344" s="41" t="s">
        <v>844</v>
      </c>
      <c r="AD344" s="41" t="s">
        <v>2790</v>
      </c>
      <c r="AE344" s="41"/>
      <c r="AF344" s="41" t="s">
        <v>2631</v>
      </c>
      <c r="AG344" s="41" t="s">
        <v>323</v>
      </c>
      <c r="AH344" s="41" t="s">
        <v>2794</v>
      </c>
      <c r="AI344" s="41" t="s">
        <v>2795</v>
      </c>
    </row>
    <row r="345" spans="1:35" x14ac:dyDescent="0.2">
      <c r="A345" s="53">
        <v>34425</v>
      </c>
      <c r="B345" s="41" t="s">
        <v>2631</v>
      </c>
      <c r="C345" s="41" t="s">
        <v>3959</v>
      </c>
      <c r="D345" s="41" t="s">
        <v>312</v>
      </c>
      <c r="E345" s="55">
        <v>923211</v>
      </c>
      <c r="F345" s="41" t="s">
        <v>69</v>
      </c>
      <c r="G345" s="41" t="s">
        <v>29</v>
      </c>
      <c r="H345" s="41" t="s">
        <v>30</v>
      </c>
      <c r="I345" s="41" t="s">
        <v>31</v>
      </c>
      <c r="J345" s="41" t="s">
        <v>32</v>
      </c>
      <c r="K345" s="41" t="s">
        <v>33</v>
      </c>
      <c r="L345" s="50">
        <v>46148427</v>
      </c>
      <c r="M345" s="50">
        <v>0</v>
      </c>
      <c r="N345" s="50">
        <v>46148427</v>
      </c>
      <c r="O345" s="50">
        <v>44308623</v>
      </c>
      <c r="P345" s="43" t="s">
        <v>351</v>
      </c>
      <c r="Q345" s="40">
        <v>80797270</v>
      </c>
      <c r="R345" s="41" t="s">
        <v>3332</v>
      </c>
      <c r="S345" s="41" t="s">
        <v>316</v>
      </c>
      <c r="T345" s="41" t="s">
        <v>317</v>
      </c>
      <c r="U345" s="41" t="s">
        <v>3333</v>
      </c>
      <c r="V345" s="41" t="s">
        <v>319</v>
      </c>
      <c r="W345" s="40">
        <v>860034313</v>
      </c>
      <c r="X345" s="41" t="s">
        <v>355</v>
      </c>
      <c r="Y345" s="40">
        <v>2125</v>
      </c>
      <c r="Z345" s="40">
        <v>2125</v>
      </c>
      <c r="AA345" s="40">
        <v>34425</v>
      </c>
      <c r="AB345" s="41"/>
      <c r="AC345" s="41" t="s">
        <v>3335</v>
      </c>
      <c r="AD345" s="41" t="s">
        <v>3330</v>
      </c>
      <c r="AE345" s="41"/>
      <c r="AF345" s="41" t="s">
        <v>2631</v>
      </c>
      <c r="AG345" s="41" t="s">
        <v>356</v>
      </c>
      <c r="AH345" s="41" t="s">
        <v>3336</v>
      </c>
      <c r="AI345" s="41" t="s">
        <v>1158</v>
      </c>
    </row>
    <row r="346" spans="1:35" x14ac:dyDescent="0.2">
      <c r="A346" s="53">
        <v>34525</v>
      </c>
      <c r="B346" s="41" t="s">
        <v>2631</v>
      </c>
      <c r="C346" s="41" t="s">
        <v>3960</v>
      </c>
      <c r="D346" s="41" t="s">
        <v>312</v>
      </c>
      <c r="E346" s="55">
        <v>923211</v>
      </c>
      <c r="F346" s="41" t="s">
        <v>69</v>
      </c>
      <c r="G346" s="41" t="s">
        <v>29</v>
      </c>
      <c r="H346" s="41" t="s">
        <v>30</v>
      </c>
      <c r="I346" s="41" t="s">
        <v>31</v>
      </c>
      <c r="J346" s="41" t="s">
        <v>32</v>
      </c>
      <c r="K346" s="41" t="s">
        <v>33</v>
      </c>
      <c r="L346" s="50">
        <v>46148427</v>
      </c>
      <c r="M346" s="50">
        <v>0</v>
      </c>
      <c r="N346" s="50">
        <v>46148427</v>
      </c>
      <c r="O346" s="50">
        <v>44308623</v>
      </c>
      <c r="P346" s="43" t="s">
        <v>351</v>
      </c>
      <c r="Q346" s="40">
        <v>52423278</v>
      </c>
      <c r="R346" s="41" t="s">
        <v>3339</v>
      </c>
      <c r="S346" s="41" t="s">
        <v>316</v>
      </c>
      <c r="T346" s="41" t="s">
        <v>317</v>
      </c>
      <c r="U346" s="41" t="s">
        <v>3340</v>
      </c>
      <c r="V346" s="41" t="s">
        <v>319</v>
      </c>
      <c r="W346" s="40">
        <v>890903938</v>
      </c>
      <c r="X346" s="41" t="s">
        <v>342</v>
      </c>
      <c r="Y346" s="40">
        <v>2125</v>
      </c>
      <c r="Z346" s="40">
        <v>2125</v>
      </c>
      <c r="AA346" s="40">
        <v>34525</v>
      </c>
      <c r="AB346" s="41"/>
      <c r="AC346" s="41" t="s">
        <v>3341</v>
      </c>
      <c r="AD346" s="41" t="s">
        <v>3337</v>
      </c>
      <c r="AE346" s="41"/>
      <c r="AF346" s="41" t="s">
        <v>2631</v>
      </c>
      <c r="AG346" s="41" t="s">
        <v>356</v>
      </c>
      <c r="AH346" s="41" t="s">
        <v>3342</v>
      </c>
      <c r="AI346" s="41" t="s">
        <v>3343</v>
      </c>
    </row>
    <row r="347" spans="1:35" x14ac:dyDescent="0.2">
      <c r="A347" s="53">
        <v>34625</v>
      </c>
      <c r="B347" s="41" t="s">
        <v>2631</v>
      </c>
      <c r="C347" s="41" t="s">
        <v>3960</v>
      </c>
      <c r="D347" s="41" t="s">
        <v>312</v>
      </c>
      <c r="E347" s="55">
        <v>923211</v>
      </c>
      <c r="F347" s="41" t="s">
        <v>69</v>
      </c>
      <c r="G347" s="41" t="s">
        <v>29</v>
      </c>
      <c r="H347" s="41" t="s">
        <v>30</v>
      </c>
      <c r="I347" s="41" t="s">
        <v>31</v>
      </c>
      <c r="J347" s="41" t="s">
        <v>32</v>
      </c>
      <c r="K347" s="41" t="s">
        <v>33</v>
      </c>
      <c r="L347" s="50">
        <v>46148427</v>
      </c>
      <c r="M347" s="50">
        <v>0</v>
      </c>
      <c r="N347" s="50">
        <v>46148427</v>
      </c>
      <c r="O347" s="50">
        <v>44308623</v>
      </c>
      <c r="P347" s="43" t="s">
        <v>351</v>
      </c>
      <c r="Q347" s="40">
        <v>52121132</v>
      </c>
      <c r="R347" s="41" t="s">
        <v>3346</v>
      </c>
      <c r="S347" s="41" t="s">
        <v>316</v>
      </c>
      <c r="T347" s="41" t="s">
        <v>317</v>
      </c>
      <c r="U347" s="41" t="s">
        <v>3347</v>
      </c>
      <c r="V347" s="41" t="s">
        <v>319</v>
      </c>
      <c r="W347" s="40">
        <v>860007335</v>
      </c>
      <c r="X347" s="41" t="s">
        <v>381</v>
      </c>
      <c r="Y347" s="40">
        <v>2125</v>
      </c>
      <c r="Z347" s="40">
        <v>2125</v>
      </c>
      <c r="AA347" s="40">
        <v>34625</v>
      </c>
      <c r="AB347" s="41"/>
      <c r="AC347" s="41" t="s">
        <v>3348</v>
      </c>
      <c r="AD347" s="41" t="s">
        <v>3344</v>
      </c>
      <c r="AE347" s="41"/>
      <c r="AF347" s="41" t="s">
        <v>2631</v>
      </c>
      <c r="AG347" s="41" t="s">
        <v>356</v>
      </c>
      <c r="AH347" s="41" t="s">
        <v>3349</v>
      </c>
      <c r="AI347" s="41" t="s">
        <v>1158</v>
      </c>
    </row>
    <row r="348" spans="1:35" x14ac:dyDescent="0.2">
      <c r="A348" s="53">
        <v>34725</v>
      </c>
      <c r="B348" s="41" t="s">
        <v>2631</v>
      </c>
      <c r="C348" s="41" t="s">
        <v>3961</v>
      </c>
      <c r="D348" s="41" t="s">
        <v>312</v>
      </c>
      <c r="E348" s="55">
        <v>923211</v>
      </c>
      <c r="F348" s="41" t="s">
        <v>69</v>
      </c>
      <c r="G348" s="41" t="s">
        <v>29</v>
      </c>
      <c r="H348" s="41" t="s">
        <v>30</v>
      </c>
      <c r="I348" s="41" t="s">
        <v>31</v>
      </c>
      <c r="J348" s="41" t="s">
        <v>32</v>
      </c>
      <c r="K348" s="41" t="s">
        <v>33</v>
      </c>
      <c r="L348" s="50">
        <v>46148427</v>
      </c>
      <c r="M348" s="50">
        <v>0</v>
      </c>
      <c r="N348" s="50">
        <v>46148427</v>
      </c>
      <c r="O348" s="50">
        <v>44308623</v>
      </c>
      <c r="P348" s="43" t="s">
        <v>351</v>
      </c>
      <c r="Q348" s="40">
        <v>1015410686</v>
      </c>
      <c r="R348" s="41" t="s">
        <v>3352</v>
      </c>
      <c r="S348" s="41" t="s">
        <v>316</v>
      </c>
      <c r="T348" s="41" t="s">
        <v>317</v>
      </c>
      <c r="U348" s="41" t="s">
        <v>3353</v>
      </c>
      <c r="V348" s="41" t="s">
        <v>319</v>
      </c>
      <c r="W348" s="40">
        <v>890903938</v>
      </c>
      <c r="X348" s="41" t="s">
        <v>342</v>
      </c>
      <c r="Y348" s="40">
        <v>2125</v>
      </c>
      <c r="Z348" s="40">
        <v>2125</v>
      </c>
      <c r="AA348" s="40">
        <v>34725</v>
      </c>
      <c r="AB348" s="41"/>
      <c r="AC348" s="41" t="s">
        <v>3354</v>
      </c>
      <c r="AD348" s="41" t="s">
        <v>3350</v>
      </c>
      <c r="AE348" s="41"/>
      <c r="AF348" s="41" t="s">
        <v>2631</v>
      </c>
      <c r="AG348" s="41" t="s">
        <v>356</v>
      </c>
      <c r="AH348" s="41" t="s">
        <v>3355</v>
      </c>
      <c r="AI348" s="41" t="s">
        <v>1158</v>
      </c>
    </row>
    <row r="349" spans="1:35" x14ac:dyDescent="0.2">
      <c r="A349" s="53">
        <v>34825</v>
      </c>
      <c r="B349" s="41" t="s">
        <v>2631</v>
      </c>
      <c r="C349" s="41" t="s">
        <v>3962</v>
      </c>
      <c r="D349" s="41" t="s">
        <v>312</v>
      </c>
      <c r="E349" s="55">
        <v>923211</v>
      </c>
      <c r="F349" s="41" t="s">
        <v>69</v>
      </c>
      <c r="G349" s="41" t="s">
        <v>29</v>
      </c>
      <c r="H349" s="41" t="s">
        <v>30</v>
      </c>
      <c r="I349" s="41" t="s">
        <v>31</v>
      </c>
      <c r="J349" s="41" t="s">
        <v>32</v>
      </c>
      <c r="K349" s="41" t="s">
        <v>33</v>
      </c>
      <c r="L349" s="50">
        <v>46148427</v>
      </c>
      <c r="M349" s="50">
        <v>0</v>
      </c>
      <c r="N349" s="50">
        <v>46148427</v>
      </c>
      <c r="O349" s="50">
        <v>44308623</v>
      </c>
      <c r="P349" s="43" t="s">
        <v>351</v>
      </c>
      <c r="Q349" s="40">
        <v>1032366666</v>
      </c>
      <c r="R349" s="41" t="s">
        <v>3358</v>
      </c>
      <c r="S349" s="41" t="s">
        <v>316</v>
      </c>
      <c r="T349" s="41" t="s">
        <v>317</v>
      </c>
      <c r="U349" s="41" t="s">
        <v>3359</v>
      </c>
      <c r="V349" s="41" t="s">
        <v>319</v>
      </c>
      <c r="W349" s="40">
        <v>860034313</v>
      </c>
      <c r="X349" s="41" t="s">
        <v>355</v>
      </c>
      <c r="Y349" s="40">
        <v>2125</v>
      </c>
      <c r="Z349" s="40">
        <v>2125</v>
      </c>
      <c r="AA349" s="40">
        <v>34825</v>
      </c>
      <c r="AB349" s="41"/>
      <c r="AC349" s="41" t="s">
        <v>3360</v>
      </c>
      <c r="AD349" s="41" t="s">
        <v>3356</v>
      </c>
      <c r="AE349" s="41"/>
      <c r="AF349" s="41" t="s">
        <v>2631</v>
      </c>
      <c r="AG349" s="41" t="s">
        <v>356</v>
      </c>
      <c r="AH349" s="41" t="s">
        <v>3361</v>
      </c>
      <c r="AI349" s="41" t="s">
        <v>1158</v>
      </c>
    </row>
    <row r="350" spans="1:35" x14ac:dyDescent="0.2">
      <c r="A350" s="53">
        <v>34925</v>
      </c>
      <c r="B350" s="41" t="s">
        <v>2631</v>
      </c>
      <c r="C350" s="41" t="s">
        <v>3963</v>
      </c>
      <c r="D350" s="41" t="s">
        <v>312</v>
      </c>
      <c r="E350" s="55">
        <v>923211</v>
      </c>
      <c r="F350" s="41" t="s">
        <v>69</v>
      </c>
      <c r="G350" s="41" t="s">
        <v>29</v>
      </c>
      <c r="H350" s="41" t="s">
        <v>30</v>
      </c>
      <c r="I350" s="41" t="s">
        <v>31</v>
      </c>
      <c r="J350" s="41" t="s">
        <v>32</v>
      </c>
      <c r="K350" s="41" t="s">
        <v>33</v>
      </c>
      <c r="L350" s="50">
        <v>46148427</v>
      </c>
      <c r="M350" s="50">
        <v>0</v>
      </c>
      <c r="N350" s="50">
        <v>46148427</v>
      </c>
      <c r="O350" s="50">
        <v>44308623</v>
      </c>
      <c r="P350" s="43" t="s">
        <v>351</v>
      </c>
      <c r="Q350" s="40">
        <v>1012364106</v>
      </c>
      <c r="R350" s="41" t="s">
        <v>3363</v>
      </c>
      <c r="S350" s="41" t="s">
        <v>316</v>
      </c>
      <c r="T350" s="41" t="s">
        <v>317</v>
      </c>
      <c r="U350" s="41" t="s">
        <v>3364</v>
      </c>
      <c r="V350" s="41" t="s">
        <v>319</v>
      </c>
      <c r="W350" s="40">
        <v>860007335</v>
      </c>
      <c r="X350" s="41" t="s">
        <v>381</v>
      </c>
      <c r="Y350" s="40">
        <v>2125</v>
      </c>
      <c r="Z350" s="40">
        <v>2125</v>
      </c>
      <c r="AA350" s="40">
        <v>34925</v>
      </c>
      <c r="AB350" s="41"/>
      <c r="AC350" s="41" t="s">
        <v>3365</v>
      </c>
      <c r="AD350" s="41" t="s">
        <v>3362</v>
      </c>
      <c r="AE350" s="41"/>
      <c r="AF350" s="41" t="s">
        <v>2631</v>
      </c>
      <c r="AG350" s="41" t="s">
        <v>356</v>
      </c>
      <c r="AH350" s="41" t="s">
        <v>3366</v>
      </c>
      <c r="AI350" s="41" t="s">
        <v>1158</v>
      </c>
    </row>
    <row r="351" spans="1:35" x14ac:dyDescent="0.2">
      <c r="A351" s="53">
        <v>35025</v>
      </c>
      <c r="B351" s="41" t="s">
        <v>2631</v>
      </c>
      <c r="C351" s="41" t="s">
        <v>3964</v>
      </c>
      <c r="D351" s="41" t="s">
        <v>312</v>
      </c>
      <c r="E351" s="55">
        <v>923238</v>
      </c>
      <c r="F351" s="41" t="s">
        <v>569</v>
      </c>
      <c r="G351" s="41" t="s">
        <v>29</v>
      </c>
      <c r="H351" s="41" t="s">
        <v>30</v>
      </c>
      <c r="I351" s="41" t="s">
        <v>31</v>
      </c>
      <c r="J351" s="41" t="s">
        <v>32</v>
      </c>
      <c r="K351" s="41" t="s">
        <v>33</v>
      </c>
      <c r="L351" s="50">
        <v>46148427</v>
      </c>
      <c r="M351" s="50">
        <v>0</v>
      </c>
      <c r="N351" s="50">
        <v>46148427</v>
      </c>
      <c r="O351" s="50">
        <v>44308623</v>
      </c>
      <c r="P351" s="43" t="s">
        <v>351</v>
      </c>
      <c r="Q351" s="40">
        <v>79840465</v>
      </c>
      <c r="R351" s="41" t="s">
        <v>3368</v>
      </c>
      <c r="S351" s="41" t="s">
        <v>316</v>
      </c>
      <c r="T351" s="41" t="s">
        <v>317</v>
      </c>
      <c r="U351" s="41" t="s">
        <v>3369</v>
      </c>
      <c r="V351" s="41" t="s">
        <v>319</v>
      </c>
      <c r="W351" s="40">
        <v>860034313</v>
      </c>
      <c r="X351" s="41" t="s">
        <v>355</v>
      </c>
      <c r="Y351" s="40">
        <v>125</v>
      </c>
      <c r="Z351" s="40">
        <v>125</v>
      </c>
      <c r="AA351" s="40">
        <v>35025</v>
      </c>
      <c r="AB351" s="41"/>
      <c r="AC351" s="41" t="s">
        <v>3370</v>
      </c>
      <c r="AD351" s="41" t="s">
        <v>3367</v>
      </c>
      <c r="AE351" s="41"/>
      <c r="AF351" s="41" t="s">
        <v>2631</v>
      </c>
      <c r="AG351" s="41" t="s">
        <v>356</v>
      </c>
      <c r="AH351" s="41" t="s">
        <v>3371</v>
      </c>
      <c r="AI351" s="41" t="s">
        <v>742</v>
      </c>
    </row>
    <row r="352" spans="1:35" x14ac:dyDescent="0.2">
      <c r="A352" s="53">
        <v>35125</v>
      </c>
      <c r="B352" s="41" t="s">
        <v>2631</v>
      </c>
      <c r="C352" s="41" t="s">
        <v>3965</v>
      </c>
      <c r="D352" s="41" t="s">
        <v>312</v>
      </c>
      <c r="E352" s="55">
        <v>923245</v>
      </c>
      <c r="F352" s="41" t="s">
        <v>180</v>
      </c>
      <c r="G352" s="41" t="s">
        <v>29</v>
      </c>
      <c r="H352" s="41" t="s">
        <v>30</v>
      </c>
      <c r="I352" s="41" t="s">
        <v>31</v>
      </c>
      <c r="J352" s="41" t="s">
        <v>32</v>
      </c>
      <c r="K352" s="41" t="s">
        <v>33</v>
      </c>
      <c r="L352" s="50">
        <v>46148427</v>
      </c>
      <c r="M352" s="50">
        <v>0</v>
      </c>
      <c r="N352" s="50">
        <v>46148427</v>
      </c>
      <c r="O352" s="50">
        <v>44308623</v>
      </c>
      <c r="P352" s="43" t="s">
        <v>351</v>
      </c>
      <c r="Q352" s="40">
        <v>80737587</v>
      </c>
      <c r="R352" s="41" t="s">
        <v>3566</v>
      </c>
      <c r="S352" s="41" t="s">
        <v>316</v>
      </c>
      <c r="T352" s="41" t="s">
        <v>317</v>
      </c>
      <c r="U352" s="41" t="s">
        <v>3567</v>
      </c>
      <c r="V352" s="41" t="s">
        <v>319</v>
      </c>
      <c r="W352" s="40">
        <v>900047981</v>
      </c>
      <c r="X352" s="41" t="s">
        <v>399</v>
      </c>
      <c r="Y352" s="40">
        <v>3825</v>
      </c>
      <c r="Z352" s="40">
        <v>3825</v>
      </c>
      <c r="AA352" s="40">
        <v>35125</v>
      </c>
      <c r="AB352" s="41"/>
      <c r="AC352" s="41" t="s">
        <v>3568</v>
      </c>
      <c r="AD352" s="41" t="s">
        <v>3564</v>
      </c>
      <c r="AE352" s="41"/>
      <c r="AF352" s="41" t="s">
        <v>2631</v>
      </c>
      <c r="AG352" s="41" t="s">
        <v>356</v>
      </c>
      <c r="AH352" s="41" t="s">
        <v>3569</v>
      </c>
      <c r="AI352" s="41" t="s">
        <v>742</v>
      </c>
    </row>
    <row r="353" spans="1:35" x14ac:dyDescent="0.2">
      <c r="A353" s="53">
        <v>35225</v>
      </c>
      <c r="B353" s="41" t="s">
        <v>2632</v>
      </c>
      <c r="C353" s="41" t="s">
        <v>3966</v>
      </c>
      <c r="D353" s="41" t="s">
        <v>312</v>
      </c>
      <c r="E353" s="55">
        <v>923245</v>
      </c>
      <c r="F353" s="41" t="s">
        <v>180</v>
      </c>
      <c r="G353" s="41" t="s">
        <v>29</v>
      </c>
      <c r="H353" s="41" t="s">
        <v>30</v>
      </c>
      <c r="I353" s="41" t="s">
        <v>31</v>
      </c>
      <c r="J353" s="41" t="s">
        <v>32</v>
      </c>
      <c r="K353" s="41" t="s">
        <v>33</v>
      </c>
      <c r="L353" s="50">
        <v>46148427</v>
      </c>
      <c r="M353" s="50">
        <v>0</v>
      </c>
      <c r="N353" s="50">
        <v>46148427</v>
      </c>
      <c r="O353" s="50">
        <v>44308623</v>
      </c>
      <c r="P353" s="43" t="s">
        <v>351</v>
      </c>
      <c r="Q353" s="40">
        <v>39668402</v>
      </c>
      <c r="R353" s="41" t="s">
        <v>3373</v>
      </c>
      <c r="S353" s="41" t="s">
        <v>316</v>
      </c>
      <c r="T353" s="41" t="s">
        <v>317</v>
      </c>
      <c r="U353" s="41" t="s">
        <v>3374</v>
      </c>
      <c r="V353" s="41" t="s">
        <v>319</v>
      </c>
      <c r="W353" s="40">
        <v>860007335</v>
      </c>
      <c r="X353" s="41" t="s">
        <v>381</v>
      </c>
      <c r="Y353" s="40">
        <v>3825</v>
      </c>
      <c r="Z353" s="40">
        <v>3825</v>
      </c>
      <c r="AA353" s="40">
        <v>35225</v>
      </c>
      <c r="AB353" s="41"/>
      <c r="AC353" s="41" t="s">
        <v>3375</v>
      </c>
      <c r="AD353" s="41" t="s">
        <v>3372</v>
      </c>
      <c r="AE353" s="41"/>
      <c r="AF353" s="41" t="s">
        <v>2632</v>
      </c>
      <c r="AG353" s="41" t="s">
        <v>356</v>
      </c>
      <c r="AH353" s="41" t="s">
        <v>3376</v>
      </c>
      <c r="AI353" s="41" t="s">
        <v>3377</v>
      </c>
    </row>
    <row r="354" spans="1:35" x14ac:dyDescent="0.2">
      <c r="A354" s="53">
        <v>35325</v>
      </c>
      <c r="B354" s="41" t="s">
        <v>2632</v>
      </c>
      <c r="C354" s="41" t="s">
        <v>3967</v>
      </c>
      <c r="D354" s="41" t="s">
        <v>312</v>
      </c>
      <c r="E354" s="55">
        <v>923245</v>
      </c>
      <c r="F354" s="41" t="s">
        <v>180</v>
      </c>
      <c r="G354" s="41" t="s">
        <v>29</v>
      </c>
      <c r="H354" s="41" t="s">
        <v>30</v>
      </c>
      <c r="I354" s="41" t="s">
        <v>31</v>
      </c>
      <c r="J354" s="41" t="s">
        <v>32</v>
      </c>
      <c r="K354" s="41" t="s">
        <v>33</v>
      </c>
      <c r="L354" s="50">
        <v>46148427</v>
      </c>
      <c r="M354" s="50">
        <v>0</v>
      </c>
      <c r="N354" s="50">
        <v>46148427</v>
      </c>
      <c r="O354" s="50">
        <v>44308623</v>
      </c>
      <c r="P354" s="43" t="s">
        <v>351</v>
      </c>
      <c r="Q354" s="40">
        <v>1010179352</v>
      </c>
      <c r="R354" s="41" t="s">
        <v>3380</v>
      </c>
      <c r="S354" s="41" t="s">
        <v>316</v>
      </c>
      <c r="T354" s="41" t="s">
        <v>317</v>
      </c>
      <c r="U354" s="41" t="s">
        <v>3381</v>
      </c>
      <c r="V354" s="41" t="s">
        <v>319</v>
      </c>
      <c r="W354" s="40">
        <v>860002964</v>
      </c>
      <c r="X354" s="41" t="s">
        <v>419</v>
      </c>
      <c r="Y354" s="40">
        <v>3825</v>
      </c>
      <c r="Z354" s="40">
        <v>3825</v>
      </c>
      <c r="AA354" s="40">
        <v>35325</v>
      </c>
      <c r="AB354" s="41"/>
      <c r="AC354" s="41" t="s">
        <v>3382</v>
      </c>
      <c r="AD354" s="41" t="s">
        <v>3378</v>
      </c>
      <c r="AE354" s="41"/>
      <c r="AF354" s="41" t="s">
        <v>2632</v>
      </c>
      <c r="AG354" s="41" t="s">
        <v>356</v>
      </c>
      <c r="AH354" s="41" t="s">
        <v>3383</v>
      </c>
      <c r="AI354" s="41" t="s">
        <v>3377</v>
      </c>
    </row>
    <row r="355" spans="1:35" x14ac:dyDescent="0.2">
      <c r="A355" s="53">
        <v>35425</v>
      </c>
      <c r="B355" s="41" t="s">
        <v>2632</v>
      </c>
      <c r="C355" s="41" t="s">
        <v>3968</v>
      </c>
      <c r="D355" s="41" t="s">
        <v>312</v>
      </c>
      <c r="E355" s="55">
        <v>923245</v>
      </c>
      <c r="F355" s="41" t="s">
        <v>180</v>
      </c>
      <c r="G355" s="41" t="s">
        <v>29</v>
      </c>
      <c r="H355" s="41" t="s">
        <v>30</v>
      </c>
      <c r="I355" s="41" t="s">
        <v>31</v>
      </c>
      <c r="J355" s="41" t="s">
        <v>32</v>
      </c>
      <c r="K355" s="41" t="s">
        <v>33</v>
      </c>
      <c r="L355" s="50">
        <v>46148427</v>
      </c>
      <c r="M355" s="50">
        <v>0</v>
      </c>
      <c r="N355" s="50">
        <v>46148427</v>
      </c>
      <c r="O355" s="50">
        <v>44308623</v>
      </c>
      <c r="P355" s="43" t="s">
        <v>351</v>
      </c>
      <c r="Q355" s="40">
        <v>80830134</v>
      </c>
      <c r="R355" s="41" t="s">
        <v>3386</v>
      </c>
      <c r="S355" s="41" t="s">
        <v>316</v>
      </c>
      <c r="T355" s="41" t="s">
        <v>317</v>
      </c>
      <c r="U355" s="41" t="s">
        <v>3387</v>
      </c>
      <c r="V355" s="41" t="s">
        <v>319</v>
      </c>
      <c r="W355" s="40">
        <v>860034594</v>
      </c>
      <c r="X355" s="41" t="s">
        <v>374</v>
      </c>
      <c r="Y355" s="40">
        <v>3825</v>
      </c>
      <c r="Z355" s="40">
        <v>3825</v>
      </c>
      <c r="AA355" s="40">
        <v>35425</v>
      </c>
      <c r="AB355" s="41"/>
      <c r="AC355" s="41" t="s">
        <v>3388</v>
      </c>
      <c r="AD355" s="41" t="s">
        <v>3384</v>
      </c>
      <c r="AE355" s="41"/>
      <c r="AF355" s="41" t="s">
        <v>2632</v>
      </c>
      <c r="AG355" s="41" t="s">
        <v>356</v>
      </c>
      <c r="AH355" s="41" t="s">
        <v>3389</v>
      </c>
      <c r="AI355" s="41" t="s">
        <v>3377</v>
      </c>
    </row>
    <row r="356" spans="1:35" x14ac:dyDescent="0.2">
      <c r="A356" s="53">
        <v>35525</v>
      </c>
      <c r="B356" s="41" t="s">
        <v>2632</v>
      </c>
      <c r="C356" s="41" t="s">
        <v>3969</v>
      </c>
      <c r="D356" s="41" t="s">
        <v>312</v>
      </c>
      <c r="E356" s="55">
        <v>923245</v>
      </c>
      <c r="F356" s="41" t="s">
        <v>180</v>
      </c>
      <c r="G356" s="41" t="s">
        <v>29</v>
      </c>
      <c r="H356" s="41" t="s">
        <v>30</v>
      </c>
      <c r="I356" s="41" t="s">
        <v>31</v>
      </c>
      <c r="J356" s="41" t="s">
        <v>32</v>
      </c>
      <c r="K356" s="41" t="s">
        <v>33</v>
      </c>
      <c r="L356" s="50">
        <v>46148427</v>
      </c>
      <c r="M356" s="50">
        <v>0</v>
      </c>
      <c r="N356" s="50">
        <v>46148427</v>
      </c>
      <c r="O356" s="50">
        <v>44308623</v>
      </c>
      <c r="P356" s="43" t="s">
        <v>351</v>
      </c>
      <c r="Q356" s="40">
        <v>1073708200</v>
      </c>
      <c r="R356" s="41" t="s">
        <v>3392</v>
      </c>
      <c r="S356" s="41" t="s">
        <v>316</v>
      </c>
      <c r="T356" s="41" t="s">
        <v>317</v>
      </c>
      <c r="U356" s="41" t="s">
        <v>3393</v>
      </c>
      <c r="V356" s="41" t="s">
        <v>319</v>
      </c>
      <c r="W356" s="40">
        <v>860002964</v>
      </c>
      <c r="X356" s="41" t="s">
        <v>419</v>
      </c>
      <c r="Y356" s="40">
        <v>3825</v>
      </c>
      <c r="Z356" s="40">
        <v>3825</v>
      </c>
      <c r="AA356" s="40">
        <v>35525</v>
      </c>
      <c r="AB356" s="41"/>
      <c r="AC356" s="41" t="s">
        <v>3394</v>
      </c>
      <c r="AD356" s="41" t="s">
        <v>3390</v>
      </c>
      <c r="AE356" s="41"/>
      <c r="AF356" s="41" t="s">
        <v>2632</v>
      </c>
      <c r="AG356" s="41" t="s">
        <v>356</v>
      </c>
      <c r="AH356" s="41" t="s">
        <v>3395</v>
      </c>
      <c r="AI356" s="41" t="s">
        <v>3377</v>
      </c>
    </row>
    <row r="357" spans="1:35" x14ac:dyDescent="0.2">
      <c r="A357" s="53">
        <v>35625</v>
      </c>
      <c r="B357" s="41" t="s">
        <v>2632</v>
      </c>
      <c r="C357" s="41" t="s">
        <v>3970</v>
      </c>
      <c r="D357" s="41" t="s">
        <v>312</v>
      </c>
      <c r="E357" s="55">
        <v>923245</v>
      </c>
      <c r="F357" s="41" t="s">
        <v>180</v>
      </c>
      <c r="G357" s="41" t="s">
        <v>29</v>
      </c>
      <c r="H357" s="41" t="s">
        <v>30</v>
      </c>
      <c r="I357" s="41" t="s">
        <v>31</v>
      </c>
      <c r="J357" s="41" t="s">
        <v>32</v>
      </c>
      <c r="K357" s="41" t="s">
        <v>33</v>
      </c>
      <c r="L357" s="50">
        <v>46148427</v>
      </c>
      <c r="M357" s="50">
        <v>0</v>
      </c>
      <c r="N357" s="50">
        <v>46148427</v>
      </c>
      <c r="O357" s="50">
        <v>44308623</v>
      </c>
      <c r="P357" s="43" t="s">
        <v>351</v>
      </c>
      <c r="Q357" s="40">
        <v>80357724</v>
      </c>
      <c r="R357" s="41" t="s">
        <v>3397</v>
      </c>
      <c r="S357" s="41" t="s">
        <v>316</v>
      </c>
      <c r="T357" s="41" t="s">
        <v>317</v>
      </c>
      <c r="U357" s="41" t="s">
        <v>3398</v>
      </c>
      <c r="V357" s="41" t="s">
        <v>319</v>
      </c>
      <c r="W357" s="40">
        <v>890903938</v>
      </c>
      <c r="X357" s="41" t="s">
        <v>342</v>
      </c>
      <c r="Y357" s="40">
        <v>3825</v>
      </c>
      <c r="Z357" s="40">
        <v>3825</v>
      </c>
      <c r="AA357" s="40">
        <v>35625</v>
      </c>
      <c r="AB357" s="41"/>
      <c r="AC357" s="41" t="s">
        <v>3399</v>
      </c>
      <c r="AD357" s="41" t="s">
        <v>3396</v>
      </c>
      <c r="AE357" s="41"/>
      <c r="AF357" s="41" t="s">
        <v>2632</v>
      </c>
      <c r="AG357" s="41" t="s">
        <v>356</v>
      </c>
      <c r="AH357" s="41" t="s">
        <v>3400</v>
      </c>
      <c r="AI357" s="41" t="s">
        <v>3377</v>
      </c>
    </row>
    <row r="358" spans="1:35" x14ac:dyDescent="0.2">
      <c r="A358" s="53">
        <v>35725</v>
      </c>
      <c r="B358" s="41" t="s">
        <v>2632</v>
      </c>
      <c r="C358" s="41" t="s">
        <v>3971</v>
      </c>
      <c r="D358" s="41" t="s">
        <v>312</v>
      </c>
      <c r="E358" s="55">
        <v>923245</v>
      </c>
      <c r="F358" s="41" t="s">
        <v>180</v>
      </c>
      <c r="G358" s="41" t="s">
        <v>29</v>
      </c>
      <c r="H358" s="41" t="s">
        <v>30</v>
      </c>
      <c r="I358" s="41" t="s">
        <v>31</v>
      </c>
      <c r="J358" s="41" t="s">
        <v>32</v>
      </c>
      <c r="K358" s="41" t="s">
        <v>33</v>
      </c>
      <c r="L358" s="50">
        <v>46148427</v>
      </c>
      <c r="M358" s="50">
        <v>0</v>
      </c>
      <c r="N358" s="50">
        <v>46148427</v>
      </c>
      <c r="O358" s="50">
        <v>44308623</v>
      </c>
      <c r="P358" s="43" t="s">
        <v>351</v>
      </c>
      <c r="Q358" s="40">
        <v>7167348</v>
      </c>
      <c r="R358" s="41" t="s">
        <v>3402</v>
      </c>
      <c r="S358" s="41" t="s">
        <v>316</v>
      </c>
      <c r="T358" s="41" t="s">
        <v>317</v>
      </c>
      <c r="U358" s="41" t="s">
        <v>3403</v>
      </c>
      <c r="V358" s="41" t="s">
        <v>319</v>
      </c>
      <c r="W358" s="40">
        <v>860034313</v>
      </c>
      <c r="X358" s="41" t="s">
        <v>355</v>
      </c>
      <c r="Y358" s="40">
        <v>3825</v>
      </c>
      <c r="Z358" s="40">
        <v>3825</v>
      </c>
      <c r="AA358" s="40">
        <v>35725</v>
      </c>
      <c r="AB358" s="41"/>
      <c r="AC358" s="41" t="s">
        <v>3405</v>
      </c>
      <c r="AD358" s="41" t="s">
        <v>3401</v>
      </c>
      <c r="AE358" s="41"/>
      <c r="AF358" s="41" t="s">
        <v>2632</v>
      </c>
      <c r="AG358" s="41" t="s">
        <v>356</v>
      </c>
      <c r="AH358" s="41" t="s">
        <v>3406</v>
      </c>
      <c r="AI358" s="41" t="s">
        <v>3377</v>
      </c>
    </row>
    <row r="359" spans="1:35" x14ac:dyDescent="0.2">
      <c r="A359" s="53">
        <v>35825</v>
      </c>
      <c r="B359" s="41" t="s">
        <v>2632</v>
      </c>
      <c r="C359" s="41" t="s">
        <v>3972</v>
      </c>
      <c r="D359" s="41" t="s">
        <v>312</v>
      </c>
      <c r="E359" s="55">
        <v>923245</v>
      </c>
      <c r="F359" s="41" t="s">
        <v>180</v>
      </c>
      <c r="G359" s="41" t="s">
        <v>29</v>
      </c>
      <c r="H359" s="41" t="s">
        <v>30</v>
      </c>
      <c r="I359" s="41" t="s">
        <v>31</v>
      </c>
      <c r="J359" s="41" t="s">
        <v>32</v>
      </c>
      <c r="K359" s="41" t="s">
        <v>33</v>
      </c>
      <c r="L359" s="50">
        <v>46148427</v>
      </c>
      <c r="M359" s="50">
        <v>0</v>
      </c>
      <c r="N359" s="50">
        <v>46148427</v>
      </c>
      <c r="O359" s="50">
        <v>44308623</v>
      </c>
      <c r="P359" s="43" t="s">
        <v>351</v>
      </c>
      <c r="Q359" s="40">
        <v>1022374983</v>
      </c>
      <c r="R359" s="41" t="s">
        <v>3409</v>
      </c>
      <c r="S359" s="41" t="s">
        <v>316</v>
      </c>
      <c r="T359" s="41" t="s">
        <v>317</v>
      </c>
      <c r="U359" s="41" t="s">
        <v>3410</v>
      </c>
      <c r="V359" s="41" t="s">
        <v>319</v>
      </c>
      <c r="W359" s="40">
        <v>890903938</v>
      </c>
      <c r="X359" s="41" t="s">
        <v>342</v>
      </c>
      <c r="Y359" s="40">
        <v>3825</v>
      </c>
      <c r="Z359" s="40">
        <v>3825</v>
      </c>
      <c r="AA359" s="40">
        <v>35825</v>
      </c>
      <c r="AB359" s="41"/>
      <c r="AC359" s="41" t="s">
        <v>3411</v>
      </c>
      <c r="AD359" s="41" t="s">
        <v>3407</v>
      </c>
      <c r="AE359" s="41"/>
      <c r="AF359" s="41" t="s">
        <v>2632</v>
      </c>
      <c r="AG359" s="41" t="s">
        <v>356</v>
      </c>
      <c r="AH359" s="41" t="s">
        <v>3412</v>
      </c>
      <c r="AI359" s="41" t="s">
        <v>3413</v>
      </c>
    </row>
    <row r="360" spans="1:35" x14ac:dyDescent="0.2">
      <c r="A360" s="53">
        <v>35925</v>
      </c>
      <c r="B360" s="41" t="s">
        <v>2632</v>
      </c>
      <c r="C360" s="41" t="s">
        <v>3973</v>
      </c>
      <c r="D360" s="41" t="s">
        <v>312</v>
      </c>
      <c r="E360" s="55">
        <v>923245</v>
      </c>
      <c r="F360" s="41" t="s">
        <v>180</v>
      </c>
      <c r="G360" s="41" t="s">
        <v>29</v>
      </c>
      <c r="H360" s="41" t="s">
        <v>30</v>
      </c>
      <c r="I360" s="41" t="s">
        <v>31</v>
      </c>
      <c r="J360" s="41" t="s">
        <v>32</v>
      </c>
      <c r="K360" s="41" t="s">
        <v>33</v>
      </c>
      <c r="L360" s="50">
        <v>46148427</v>
      </c>
      <c r="M360" s="50">
        <v>0</v>
      </c>
      <c r="N360" s="50">
        <v>46148427</v>
      </c>
      <c r="O360" s="50">
        <v>44308623</v>
      </c>
      <c r="P360" s="43" t="s">
        <v>351</v>
      </c>
      <c r="Q360" s="40">
        <v>79220367</v>
      </c>
      <c r="R360" s="41" t="s">
        <v>3415</v>
      </c>
      <c r="S360" s="41" t="s">
        <v>316</v>
      </c>
      <c r="T360" s="41" t="s">
        <v>317</v>
      </c>
      <c r="U360" s="41" t="s">
        <v>3416</v>
      </c>
      <c r="V360" s="41" t="s">
        <v>319</v>
      </c>
      <c r="W360" s="40">
        <v>890903938</v>
      </c>
      <c r="X360" s="41" t="s">
        <v>342</v>
      </c>
      <c r="Y360" s="40">
        <v>3825</v>
      </c>
      <c r="Z360" s="40">
        <v>3825</v>
      </c>
      <c r="AA360" s="40">
        <v>35925</v>
      </c>
      <c r="AB360" s="41"/>
      <c r="AC360" s="41" t="s">
        <v>2719</v>
      </c>
      <c r="AD360" s="41" t="s">
        <v>3414</v>
      </c>
      <c r="AE360" s="41"/>
      <c r="AF360" s="41" t="s">
        <v>2632</v>
      </c>
      <c r="AG360" s="41" t="s">
        <v>356</v>
      </c>
      <c r="AH360" s="41" t="s">
        <v>3417</v>
      </c>
      <c r="AI360" s="41" t="s">
        <v>3377</v>
      </c>
    </row>
    <row r="361" spans="1:35" x14ac:dyDescent="0.2">
      <c r="A361" s="53">
        <v>36025</v>
      </c>
      <c r="B361" s="41" t="s">
        <v>2632</v>
      </c>
      <c r="C361" s="41" t="s">
        <v>3974</v>
      </c>
      <c r="D361" s="41" t="s">
        <v>312</v>
      </c>
      <c r="E361" s="55">
        <v>923245</v>
      </c>
      <c r="F361" s="41" t="s">
        <v>180</v>
      </c>
      <c r="G361" s="41" t="s">
        <v>29</v>
      </c>
      <c r="H361" s="41" t="s">
        <v>30</v>
      </c>
      <c r="I361" s="41" t="s">
        <v>31</v>
      </c>
      <c r="J361" s="41" t="s">
        <v>32</v>
      </c>
      <c r="K361" s="41" t="s">
        <v>33</v>
      </c>
      <c r="L361" s="50">
        <v>46148427</v>
      </c>
      <c r="M361" s="50">
        <v>0</v>
      </c>
      <c r="N361" s="50">
        <v>46148427</v>
      </c>
      <c r="O361" s="50">
        <v>44308623</v>
      </c>
      <c r="P361" s="43" t="s">
        <v>351</v>
      </c>
      <c r="Q361" s="40">
        <v>79207730</v>
      </c>
      <c r="R361" s="41" t="s">
        <v>3419</v>
      </c>
      <c r="S361" s="41" t="s">
        <v>316</v>
      </c>
      <c r="T361" s="41" t="s">
        <v>317</v>
      </c>
      <c r="U361" s="41" t="s">
        <v>3420</v>
      </c>
      <c r="V361" s="41" t="s">
        <v>319</v>
      </c>
      <c r="W361" s="40">
        <v>890903938</v>
      </c>
      <c r="X361" s="41" t="s">
        <v>342</v>
      </c>
      <c r="Y361" s="40">
        <v>3825</v>
      </c>
      <c r="Z361" s="40">
        <v>3825</v>
      </c>
      <c r="AA361" s="40">
        <v>36025</v>
      </c>
      <c r="AB361" s="41"/>
      <c r="AC361" s="41" t="s">
        <v>2726</v>
      </c>
      <c r="AD361" s="41" t="s">
        <v>3418</v>
      </c>
      <c r="AE361" s="41"/>
      <c r="AF361" s="41" t="s">
        <v>2632</v>
      </c>
      <c r="AG361" s="41" t="s">
        <v>356</v>
      </c>
      <c r="AH361" s="41" t="s">
        <v>3421</v>
      </c>
      <c r="AI361" s="41" t="s">
        <v>748</v>
      </c>
    </row>
    <row r="362" spans="1:35" x14ac:dyDescent="0.2">
      <c r="A362" s="53">
        <v>36125</v>
      </c>
      <c r="B362" s="41" t="s">
        <v>2632</v>
      </c>
      <c r="C362" s="41" t="s">
        <v>3975</v>
      </c>
      <c r="D362" s="41" t="s">
        <v>312</v>
      </c>
      <c r="E362" s="55">
        <v>923245</v>
      </c>
      <c r="F362" s="41" t="s">
        <v>180</v>
      </c>
      <c r="G362" s="41" t="s">
        <v>29</v>
      </c>
      <c r="H362" s="41" t="s">
        <v>30</v>
      </c>
      <c r="I362" s="41" t="s">
        <v>31</v>
      </c>
      <c r="J362" s="41" t="s">
        <v>32</v>
      </c>
      <c r="K362" s="41" t="s">
        <v>33</v>
      </c>
      <c r="L362" s="50">
        <v>46148427</v>
      </c>
      <c r="M362" s="50">
        <v>0</v>
      </c>
      <c r="N362" s="50">
        <v>46148427</v>
      </c>
      <c r="O362" s="50">
        <v>44308623</v>
      </c>
      <c r="P362" s="43" t="s">
        <v>351</v>
      </c>
      <c r="Q362" s="40">
        <v>53890046</v>
      </c>
      <c r="R362" s="41" t="s">
        <v>3423</v>
      </c>
      <c r="S362" s="41" t="s">
        <v>316</v>
      </c>
      <c r="T362" s="41" t="s">
        <v>317</v>
      </c>
      <c r="U362" s="41" t="s">
        <v>3424</v>
      </c>
      <c r="V362" s="41" t="s">
        <v>319</v>
      </c>
      <c r="W362" s="40">
        <v>890903938</v>
      </c>
      <c r="X362" s="41" t="s">
        <v>342</v>
      </c>
      <c r="Y362" s="40">
        <v>3825</v>
      </c>
      <c r="Z362" s="40">
        <v>3825</v>
      </c>
      <c r="AA362" s="40">
        <v>36125</v>
      </c>
      <c r="AB362" s="41"/>
      <c r="AC362" s="41" t="s">
        <v>2732</v>
      </c>
      <c r="AD362" s="41" t="s">
        <v>3422</v>
      </c>
      <c r="AE362" s="41"/>
      <c r="AF362" s="41" t="s">
        <v>2632</v>
      </c>
      <c r="AG362" s="41" t="s">
        <v>356</v>
      </c>
      <c r="AH362" s="41" t="s">
        <v>3425</v>
      </c>
      <c r="AI362" s="41" t="s">
        <v>748</v>
      </c>
    </row>
    <row r="363" spans="1:35" x14ac:dyDescent="0.2">
      <c r="A363" s="53">
        <v>36225</v>
      </c>
      <c r="B363" s="41" t="s">
        <v>2632</v>
      </c>
      <c r="C363" s="41" t="s">
        <v>3976</v>
      </c>
      <c r="D363" s="41" t="s">
        <v>312</v>
      </c>
      <c r="E363" s="55">
        <v>923245</v>
      </c>
      <c r="F363" s="41" t="s">
        <v>180</v>
      </c>
      <c r="G363" s="41" t="s">
        <v>29</v>
      </c>
      <c r="H363" s="41" t="s">
        <v>30</v>
      </c>
      <c r="I363" s="41" t="s">
        <v>31</v>
      </c>
      <c r="J363" s="41" t="s">
        <v>32</v>
      </c>
      <c r="K363" s="41" t="s">
        <v>33</v>
      </c>
      <c r="L363" s="50">
        <v>46148427</v>
      </c>
      <c r="M363" s="50">
        <v>0</v>
      </c>
      <c r="N363" s="50">
        <v>46148427</v>
      </c>
      <c r="O363" s="50">
        <v>44308623</v>
      </c>
      <c r="P363" s="43" t="s">
        <v>351</v>
      </c>
      <c r="Q363" s="40">
        <v>79217310</v>
      </c>
      <c r="R363" s="41" t="s">
        <v>3427</v>
      </c>
      <c r="S363" s="41" t="s">
        <v>316</v>
      </c>
      <c r="T363" s="41" t="s">
        <v>317</v>
      </c>
      <c r="U363" s="41" t="s">
        <v>3428</v>
      </c>
      <c r="V363" s="41" t="s">
        <v>319</v>
      </c>
      <c r="W363" s="40">
        <v>860002964</v>
      </c>
      <c r="X363" s="41" t="s">
        <v>419</v>
      </c>
      <c r="Y363" s="40">
        <v>3825</v>
      </c>
      <c r="Z363" s="40">
        <v>3825</v>
      </c>
      <c r="AA363" s="40">
        <v>36225</v>
      </c>
      <c r="AB363" s="41"/>
      <c r="AC363" s="41" t="s">
        <v>2738</v>
      </c>
      <c r="AD363" s="41" t="s">
        <v>3426</v>
      </c>
      <c r="AE363" s="41"/>
      <c r="AF363" s="41" t="s">
        <v>2632</v>
      </c>
      <c r="AG363" s="41" t="s">
        <v>356</v>
      </c>
      <c r="AH363" s="41" t="s">
        <v>3429</v>
      </c>
      <c r="AI363" s="41" t="s">
        <v>3430</v>
      </c>
    </row>
    <row r="364" spans="1:35" x14ac:dyDescent="0.2">
      <c r="A364" s="53">
        <v>36325</v>
      </c>
      <c r="B364" s="41" t="s">
        <v>2632</v>
      </c>
      <c r="C364" s="41" t="s">
        <v>3977</v>
      </c>
      <c r="D364" s="41" t="s">
        <v>312</v>
      </c>
      <c r="E364" s="55">
        <v>923245</v>
      </c>
      <c r="F364" s="41" t="s">
        <v>180</v>
      </c>
      <c r="G364" s="41" t="s">
        <v>29</v>
      </c>
      <c r="H364" s="41" t="s">
        <v>30</v>
      </c>
      <c r="I364" s="41" t="s">
        <v>31</v>
      </c>
      <c r="J364" s="41" t="s">
        <v>32</v>
      </c>
      <c r="K364" s="41" t="s">
        <v>33</v>
      </c>
      <c r="L364" s="50">
        <v>46148427</v>
      </c>
      <c r="M364" s="50">
        <v>0</v>
      </c>
      <c r="N364" s="50">
        <v>46148427</v>
      </c>
      <c r="O364" s="50">
        <v>44308623</v>
      </c>
      <c r="P364" s="43" t="s">
        <v>351</v>
      </c>
      <c r="Q364" s="40">
        <v>49729347</v>
      </c>
      <c r="R364" s="41" t="s">
        <v>3433</v>
      </c>
      <c r="S364" s="41" t="s">
        <v>316</v>
      </c>
      <c r="T364" s="41" t="s">
        <v>317</v>
      </c>
      <c r="U364" s="41" t="s">
        <v>3434</v>
      </c>
      <c r="V364" s="41" t="s">
        <v>319</v>
      </c>
      <c r="W364" s="40">
        <v>860034594</v>
      </c>
      <c r="X364" s="41" t="s">
        <v>374</v>
      </c>
      <c r="Y364" s="40">
        <v>3825</v>
      </c>
      <c r="Z364" s="40">
        <v>3825</v>
      </c>
      <c r="AA364" s="40">
        <v>36325</v>
      </c>
      <c r="AB364" s="41"/>
      <c r="AC364" s="41" t="s">
        <v>2746</v>
      </c>
      <c r="AD364" s="41" t="s">
        <v>3431</v>
      </c>
      <c r="AE364" s="41"/>
      <c r="AF364" s="41" t="s">
        <v>2632</v>
      </c>
      <c r="AG364" s="41" t="s">
        <v>356</v>
      </c>
      <c r="AH364" s="41" t="s">
        <v>3435</v>
      </c>
      <c r="AI364" s="41" t="s">
        <v>748</v>
      </c>
    </row>
    <row r="365" spans="1:35" x14ac:dyDescent="0.2">
      <c r="A365" s="53">
        <v>36425</v>
      </c>
      <c r="B365" s="41" t="s">
        <v>2632</v>
      </c>
      <c r="C365" s="41" t="s">
        <v>3978</v>
      </c>
      <c r="D365" s="41" t="s">
        <v>312</v>
      </c>
      <c r="E365" s="55">
        <v>923285</v>
      </c>
      <c r="F365" s="41" t="s">
        <v>572</v>
      </c>
      <c r="G365" s="41" t="s">
        <v>29</v>
      </c>
      <c r="H365" s="41" t="s">
        <v>30</v>
      </c>
      <c r="I365" s="41" t="s">
        <v>31</v>
      </c>
      <c r="J365" s="41" t="s">
        <v>32</v>
      </c>
      <c r="K365" s="41" t="s">
        <v>33</v>
      </c>
      <c r="L365" s="50">
        <v>46148427</v>
      </c>
      <c r="M365" s="50">
        <v>0</v>
      </c>
      <c r="N365" s="50">
        <v>46148427</v>
      </c>
      <c r="O365" s="50">
        <v>44308623</v>
      </c>
      <c r="P365" s="43" t="s">
        <v>351</v>
      </c>
      <c r="Q365" s="40">
        <v>11317827</v>
      </c>
      <c r="R365" s="41" t="s">
        <v>3438</v>
      </c>
      <c r="S365" s="41" t="s">
        <v>316</v>
      </c>
      <c r="T365" s="41" t="s">
        <v>317</v>
      </c>
      <c r="U365" s="41" t="s">
        <v>3439</v>
      </c>
      <c r="V365" s="41" t="s">
        <v>319</v>
      </c>
      <c r="W365" s="40">
        <v>860034313</v>
      </c>
      <c r="X365" s="41" t="s">
        <v>355</v>
      </c>
      <c r="Y365" s="40">
        <v>4225</v>
      </c>
      <c r="Z365" s="40">
        <v>4225</v>
      </c>
      <c r="AA365" s="40">
        <v>36425</v>
      </c>
      <c r="AB365" s="41"/>
      <c r="AC365" s="41" t="s">
        <v>2752</v>
      </c>
      <c r="AD365" s="41" t="s">
        <v>3436</v>
      </c>
      <c r="AE365" s="41"/>
      <c r="AF365" s="41" t="s">
        <v>2632</v>
      </c>
      <c r="AG365" s="41" t="s">
        <v>356</v>
      </c>
      <c r="AH365" s="41" t="s">
        <v>3440</v>
      </c>
      <c r="AI365" s="41" t="s">
        <v>742</v>
      </c>
    </row>
    <row r="366" spans="1:35" x14ac:dyDescent="0.2">
      <c r="A366" s="53">
        <v>36525</v>
      </c>
      <c r="B366" s="41" t="s">
        <v>2632</v>
      </c>
      <c r="C366" s="41" t="s">
        <v>3979</v>
      </c>
      <c r="D366" s="41" t="s">
        <v>312</v>
      </c>
      <c r="E366" s="55">
        <v>923285</v>
      </c>
      <c r="F366" s="41" t="s">
        <v>572</v>
      </c>
      <c r="G366" s="41" t="s">
        <v>29</v>
      </c>
      <c r="H366" s="41" t="s">
        <v>30</v>
      </c>
      <c r="I366" s="41" t="s">
        <v>31</v>
      </c>
      <c r="J366" s="41" t="s">
        <v>32</v>
      </c>
      <c r="K366" s="41" t="s">
        <v>33</v>
      </c>
      <c r="L366" s="50">
        <v>46148427</v>
      </c>
      <c r="M366" s="50">
        <v>0</v>
      </c>
      <c r="N366" s="50">
        <v>46148427</v>
      </c>
      <c r="O366" s="50">
        <v>44308623</v>
      </c>
      <c r="P366" s="43" t="s">
        <v>351</v>
      </c>
      <c r="Q366" s="40">
        <v>1022328098</v>
      </c>
      <c r="R366" s="41" t="s">
        <v>3443</v>
      </c>
      <c r="S366" s="41" t="s">
        <v>316</v>
      </c>
      <c r="T366" s="41" t="s">
        <v>317</v>
      </c>
      <c r="U366" s="41" t="s">
        <v>3444</v>
      </c>
      <c r="V366" s="41" t="s">
        <v>319</v>
      </c>
      <c r="W366" s="40">
        <v>860034313</v>
      </c>
      <c r="X366" s="41" t="s">
        <v>355</v>
      </c>
      <c r="Y366" s="40">
        <v>4225</v>
      </c>
      <c r="Z366" s="40">
        <v>4225</v>
      </c>
      <c r="AA366" s="40">
        <v>36525</v>
      </c>
      <c r="AB366" s="41"/>
      <c r="AC366" s="41" t="s">
        <v>2758</v>
      </c>
      <c r="AD366" s="41" t="s">
        <v>3441</v>
      </c>
      <c r="AE366" s="41"/>
      <c r="AF366" s="41" t="s">
        <v>2632</v>
      </c>
      <c r="AG366" s="41" t="s">
        <v>356</v>
      </c>
      <c r="AH366" s="41" t="s">
        <v>3445</v>
      </c>
      <c r="AI366" s="41" t="s">
        <v>742</v>
      </c>
    </row>
    <row r="367" spans="1:35" x14ac:dyDescent="0.2">
      <c r="A367" s="53">
        <v>36625</v>
      </c>
      <c r="B367" s="41" t="s">
        <v>2632</v>
      </c>
      <c r="C367" s="41" t="s">
        <v>3980</v>
      </c>
      <c r="D367" s="41" t="s">
        <v>312</v>
      </c>
      <c r="E367" s="55">
        <v>923210</v>
      </c>
      <c r="F367" s="41" t="s">
        <v>56</v>
      </c>
      <c r="G367" s="41" t="s">
        <v>57</v>
      </c>
      <c r="H367" s="41" t="s">
        <v>58</v>
      </c>
      <c r="I367" s="41" t="s">
        <v>31</v>
      </c>
      <c r="J367" s="41" t="s">
        <v>32</v>
      </c>
      <c r="K367" s="41" t="s">
        <v>33</v>
      </c>
      <c r="L367" s="50">
        <v>46148427</v>
      </c>
      <c r="M367" s="50">
        <v>0</v>
      </c>
      <c r="N367" s="50">
        <v>46148427</v>
      </c>
      <c r="O367" s="50">
        <v>44308623</v>
      </c>
      <c r="P367" s="43" t="s">
        <v>351</v>
      </c>
      <c r="Q367" s="40">
        <v>1032464545</v>
      </c>
      <c r="R367" s="41" t="s">
        <v>3448</v>
      </c>
      <c r="S367" s="41" t="s">
        <v>316</v>
      </c>
      <c r="T367" s="41" t="s">
        <v>317</v>
      </c>
      <c r="U367" s="41" t="s">
        <v>3449</v>
      </c>
      <c r="V367" s="41" t="s">
        <v>319</v>
      </c>
      <c r="W367" s="40">
        <v>860002964</v>
      </c>
      <c r="X367" s="41" t="s">
        <v>419</v>
      </c>
      <c r="Y367" s="40">
        <v>825</v>
      </c>
      <c r="Z367" s="40">
        <v>825</v>
      </c>
      <c r="AA367" s="40">
        <v>36625</v>
      </c>
      <c r="AB367" s="41"/>
      <c r="AC367" s="41" t="s">
        <v>2764</v>
      </c>
      <c r="AD367" s="41" t="s">
        <v>3446</v>
      </c>
      <c r="AE367" s="41"/>
      <c r="AF367" s="41" t="s">
        <v>2632</v>
      </c>
      <c r="AG367" s="41" t="s">
        <v>356</v>
      </c>
      <c r="AH367" s="41" t="s">
        <v>3450</v>
      </c>
      <c r="AI367" s="41" t="s">
        <v>1332</v>
      </c>
    </row>
    <row r="368" spans="1:35" x14ac:dyDescent="0.2">
      <c r="A368" s="53">
        <v>36725</v>
      </c>
      <c r="B368" s="41" t="s">
        <v>2632</v>
      </c>
      <c r="C368" s="41" t="s">
        <v>3981</v>
      </c>
      <c r="D368" s="41" t="s">
        <v>312</v>
      </c>
      <c r="E368" s="55">
        <v>923245</v>
      </c>
      <c r="F368" s="41" t="s">
        <v>180</v>
      </c>
      <c r="G368" s="41" t="s">
        <v>29</v>
      </c>
      <c r="H368" s="41" t="s">
        <v>30</v>
      </c>
      <c r="I368" s="41" t="s">
        <v>31</v>
      </c>
      <c r="J368" s="41" t="s">
        <v>32</v>
      </c>
      <c r="K368" s="41" t="s">
        <v>33</v>
      </c>
      <c r="L368" s="50">
        <v>35677249</v>
      </c>
      <c r="M368" s="50">
        <v>0</v>
      </c>
      <c r="N368" s="50">
        <v>35677249</v>
      </c>
      <c r="O368" s="50">
        <v>34254900</v>
      </c>
      <c r="P368" s="43" t="s">
        <v>351</v>
      </c>
      <c r="Q368" s="40">
        <v>1073699701</v>
      </c>
      <c r="R368" s="41" t="s">
        <v>3452</v>
      </c>
      <c r="S368" s="41" t="s">
        <v>316</v>
      </c>
      <c r="T368" s="41" t="s">
        <v>317</v>
      </c>
      <c r="U368" s="41" t="s">
        <v>3453</v>
      </c>
      <c r="V368" s="41" t="s">
        <v>319</v>
      </c>
      <c r="W368" s="40">
        <v>860035827</v>
      </c>
      <c r="X368" s="41" t="s">
        <v>653</v>
      </c>
      <c r="Y368" s="40">
        <v>3825</v>
      </c>
      <c r="Z368" s="40">
        <v>3825</v>
      </c>
      <c r="AA368" s="40">
        <v>36725</v>
      </c>
      <c r="AB368" s="41"/>
      <c r="AC368" s="41" t="s">
        <v>2772</v>
      </c>
      <c r="AD368" s="41" t="s">
        <v>3451</v>
      </c>
      <c r="AE368" s="41"/>
      <c r="AF368" s="41" t="s">
        <v>2632</v>
      </c>
      <c r="AG368" s="41" t="s">
        <v>356</v>
      </c>
      <c r="AH368" s="41" t="s">
        <v>3455</v>
      </c>
      <c r="AI368" s="41" t="s">
        <v>1332</v>
      </c>
    </row>
    <row r="369" spans="1:35" x14ac:dyDescent="0.2">
      <c r="A369" s="53">
        <v>36825</v>
      </c>
      <c r="B369" s="41" t="s">
        <v>2632</v>
      </c>
      <c r="C369" s="41" t="s">
        <v>3982</v>
      </c>
      <c r="D369" s="41" t="s">
        <v>312</v>
      </c>
      <c r="E369" s="55">
        <v>923218</v>
      </c>
      <c r="F369" s="41" t="s">
        <v>118</v>
      </c>
      <c r="G369" s="41" t="s">
        <v>29</v>
      </c>
      <c r="H369" s="41" t="s">
        <v>30</v>
      </c>
      <c r="I369" s="41" t="s">
        <v>47</v>
      </c>
      <c r="J369" s="41" t="s">
        <v>121</v>
      </c>
      <c r="K369" s="41" t="s">
        <v>33</v>
      </c>
      <c r="L369" s="50">
        <v>46148427</v>
      </c>
      <c r="M369" s="50">
        <v>0</v>
      </c>
      <c r="N369" s="50">
        <v>46148427</v>
      </c>
      <c r="O369" s="50">
        <v>44308623</v>
      </c>
      <c r="P369" s="43" t="s">
        <v>351</v>
      </c>
      <c r="Q369" s="40">
        <v>1016100841</v>
      </c>
      <c r="R369" s="41" t="s">
        <v>3457</v>
      </c>
      <c r="S369" s="41" t="s">
        <v>316</v>
      </c>
      <c r="T369" s="41" t="s">
        <v>317</v>
      </c>
      <c r="U369" s="41" t="s">
        <v>3458</v>
      </c>
      <c r="V369" s="41" t="s">
        <v>319</v>
      </c>
      <c r="W369" s="40">
        <v>860034313</v>
      </c>
      <c r="X369" s="41" t="s">
        <v>355</v>
      </c>
      <c r="Y369" s="40">
        <v>2825</v>
      </c>
      <c r="Z369" s="40">
        <v>2825</v>
      </c>
      <c r="AA369" s="40">
        <v>36825</v>
      </c>
      <c r="AB369" s="41"/>
      <c r="AC369" s="41" t="s">
        <v>2780</v>
      </c>
      <c r="AD369" s="41" t="s">
        <v>3456</v>
      </c>
      <c r="AE369" s="41"/>
      <c r="AF369" s="41" t="s">
        <v>2632</v>
      </c>
      <c r="AG369" s="41" t="s">
        <v>356</v>
      </c>
      <c r="AH369" s="41" t="s">
        <v>3459</v>
      </c>
      <c r="AI369" s="41" t="s">
        <v>1332</v>
      </c>
    </row>
    <row r="370" spans="1:35" x14ac:dyDescent="0.2">
      <c r="A370" s="53">
        <v>36925</v>
      </c>
      <c r="B370" s="41" t="s">
        <v>2632</v>
      </c>
      <c r="C370" s="41" t="s">
        <v>3983</v>
      </c>
      <c r="D370" s="41" t="s">
        <v>312</v>
      </c>
      <c r="E370" s="55">
        <v>923245</v>
      </c>
      <c r="F370" s="41" t="s">
        <v>180</v>
      </c>
      <c r="G370" s="41" t="s">
        <v>29</v>
      </c>
      <c r="H370" s="41" t="s">
        <v>30</v>
      </c>
      <c r="I370" s="41" t="s">
        <v>31</v>
      </c>
      <c r="J370" s="41" t="s">
        <v>32</v>
      </c>
      <c r="K370" s="41" t="s">
        <v>33</v>
      </c>
      <c r="L370" s="50">
        <v>46148427</v>
      </c>
      <c r="M370" s="50">
        <v>0</v>
      </c>
      <c r="N370" s="50">
        <v>46148427</v>
      </c>
      <c r="O370" s="50">
        <v>44308623</v>
      </c>
      <c r="P370" s="43" t="s">
        <v>351</v>
      </c>
      <c r="Q370" s="40">
        <v>1013615808</v>
      </c>
      <c r="R370" s="41" t="s">
        <v>3461</v>
      </c>
      <c r="S370" s="41" t="s">
        <v>316</v>
      </c>
      <c r="T370" s="41" t="s">
        <v>317</v>
      </c>
      <c r="U370" s="41" t="s">
        <v>3462</v>
      </c>
      <c r="V370" s="41" t="s">
        <v>319</v>
      </c>
      <c r="W370" s="40">
        <v>860034313</v>
      </c>
      <c r="X370" s="41" t="s">
        <v>355</v>
      </c>
      <c r="Y370" s="40">
        <v>3825</v>
      </c>
      <c r="Z370" s="40">
        <v>3825</v>
      </c>
      <c r="AA370" s="40">
        <v>36925</v>
      </c>
      <c r="AB370" s="41"/>
      <c r="AC370" s="41" t="s">
        <v>2787</v>
      </c>
      <c r="AD370" s="41" t="s">
        <v>3460</v>
      </c>
      <c r="AE370" s="41"/>
      <c r="AF370" s="41" t="s">
        <v>2632</v>
      </c>
      <c r="AG370" s="41" t="s">
        <v>356</v>
      </c>
      <c r="AH370" s="41" t="s">
        <v>3463</v>
      </c>
      <c r="AI370" s="41" t="s">
        <v>748</v>
      </c>
    </row>
    <row r="371" spans="1:35" x14ac:dyDescent="0.2">
      <c r="A371" s="53">
        <v>37025</v>
      </c>
      <c r="B371" s="41" t="s">
        <v>2632</v>
      </c>
      <c r="C371" s="41" t="s">
        <v>3984</v>
      </c>
      <c r="D371" s="41" t="s">
        <v>312</v>
      </c>
      <c r="E371" s="55">
        <v>923245</v>
      </c>
      <c r="F371" s="41" t="s">
        <v>180</v>
      </c>
      <c r="G371" s="41" t="s">
        <v>29</v>
      </c>
      <c r="H371" s="41" t="s">
        <v>30</v>
      </c>
      <c r="I371" s="41" t="s">
        <v>31</v>
      </c>
      <c r="J371" s="41" t="s">
        <v>32</v>
      </c>
      <c r="K371" s="41" t="s">
        <v>33</v>
      </c>
      <c r="L371" s="50">
        <v>35677249</v>
      </c>
      <c r="M371" s="50">
        <v>0</v>
      </c>
      <c r="N371" s="50">
        <v>35677249</v>
      </c>
      <c r="O371" s="50">
        <v>34254900</v>
      </c>
      <c r="P371" s="43" t="s">
        <v>351</v>
      </c>
      <c r="Q371" s="40">
        <v>36181189</v>
      </c>
      <c r="R371" s="41" t="s">
        <v>3466</v>
      </c>
      <c r="S371" s="41" t="s">
        <v>316</v>
      </c>
      <c r="T371" s="41" t="s">
        <v>317</v>
      </c>
      <c r="U371" s="41" t="s">
        <v>3467</v>
      </c>
      <c r="V371" s="41" t="s">
        <v>319</v>
      </c>
      <c r="W371" s="40">
        <v>860050750</v>
      </c>
      <c r="X371" s="41" t="s">
        <v>321</v>
      </c>
      <c r="Y371" s="40">
        <v>3825</v>
      </c>
      <c r="Z371" s="40">
        <v>3825</v>
      </c>
      <c r="AA371" s="40">
        <v>37025</v>
      </c>
      <c r="AB371" s="41"/>
      <c r="AC371" s="41" t="s">
        <v>3468</v>
      </c>
      <c r="AD371" s="41" t="s">
        <v>3464</v>
      </c>
      <c r="AE371" s="41"/>
      <c r="AF371" s="41" t="s">
        <v>2632</v>
      </c>
      <c r="AG371" s="41" t="s">
        <v>356</v>
      </c>
      <c r="AH371" s="41" t="s">
        <v>3469</v>
      </c>
      <c r="AI371" s="41" t="s">
        <v>748</v>
      </c>
    </row>
    <row r="372" spans="1:35" x14ac:dyDescent="0.2">
      <c r="A372" s="53">
        <v>37125</v>
      </c>
      <c r="B372" s="41" t="s">
        <v>2632</v>
      </c>
      <c r="C372" s="41" t="s">
        <v>3985</v>
      </c>
      <c r="D372" s="41" t="s">
        <v>312</v>
      </c>
      <c r="E372" s="55">
        <v>923245</v>
      </c>
      <c r="F372" s="41" t="s">
        <v>180</v>
      </c>
      <c r="G372" s="41" t="s">
        <v>29</v>
      </c>
      <c r="H372" s="41" t="s">
        <v>30</v>
      </c>
      <c r="I372" s="41" t="s">
        <v>31</v>
      </c>
      <c r="J372" s="41" t="s">
        <v>32</v>
      </c>
      <c r="K372" s="41" t="s">
        <v>33</v>
      </c>
      <c r="L372" s="50">
        <v>46148427</v>
      </c>
      <c r="M372" s="50">
        <v>0</v>
      </c>
      <c r="N372" s="50">
        <v>46148427</v>
      </c>
      <c r="O372" s="50">
        <v>44308623</v>
      </c>
      <c r="P372" s="43" t="s">
        <v>351</v>
      </c>
      <c r="Q372" s="40">
        <v>51976419</v>
      </c>
      <c r="R372" s="41" t="s">
        <v>3472</v>
      </c>
      <c r="S372" s="41" t="s">
        <v>316</v>
      </c>
      <c r="T372" s="41" t="s">
        <v>317</v>
      </c>
      <c r="U372" s="41" t="s">
        <v>3473</v>
      </c>
      <c r="V372" s="41" t="s">
        <v>319</v>
      </c>
      <c r="W372" s="40">
        <v>860003020</v>
      </c>
      <c r="X372" s="41" t="s">
        <v>393</v>
      </c>
      <c r="Y372" s="40">
        <v>3825</v>
      </c>
      <c r="Z372" s="40">
        <v>3825</v>
      </c>
      <c r="AA372" s="40">
        <v>37125</v>
      </c>
      <c r="AB372" s="41"/>
      <c r="AC372" s="41" t="s">
        <v>3474</v>
      </c>
      <c r="AD372" s="41" t="s">
        <v>3470</v>
      </c>
      <c r="AE372" s="41"/>
      <c r="AF372" s="41" t="s">
        <v>2632</v>
      </c>
      <c r="AG372" s="41" t="s">
        <v>356</v>
      </c>
      <c r="AH372" s="41" t="s">
        <v>3475</v>
      </c>
      <c r="AI372" s="41" t="s">
        <v>748</v>
      </c>
    </row>
    <row r="373" spans="1:35" x14ac:dyDescent="0.2">
      <c r="A373" s="53">
        <v>37225</v>
      </c>
      <c r="B373" s="41" t="s">
        <v>2632</v>
      </c>
      <c r="C373" s="41" t="s">
        <v>3986</v>
      </c>
      <c r="D373" s="41" t="s">
        <v>312</v>
      </c>
      <c r="E373" s="55">
        <v>923245</v>
      </c>
      <c r="F373" s="41" t="s">
        <v>180</v>
      </c>
      <c r="G373" s="41" t="s">
        <v>29</v>
      </c>
      <c r="H373" s="41" t="s">
        <v>30</v>
      </c>
      <c r="I373" s="41" t="s">
        <v>31</v>
      </c>
      <c r="J373" s="41" t="s">
        <v>32</v>
      </c>
      <c r="K373" s="41" t="s">
        <v>33</v>
      </c>
      <c r="L373" s="50">
        <v>46148427</v>
      </c>
      <c r="M373" s="50">
        <v>0</v>
      </c>
      <c r="N373" s="50">
        <v>46148427</v>
      </c>
      <c r="O373" s="50">
        <v>44308623</v>
      </c>
      <c r="P373" s="43" t="s">
        <v>351</v>
      </c>
      <c r="Q373" s="40">
        <v>1001277409</v>
      </c>
      <c r="R373" s="41" t="s">
        <v>3478</v>
      </c>
      <c r="S373" s="41" t="s">
        <v>316</v>
      </c>
      <c r="T373" s="41" t="s">
        <v>317</v>
      </c>
      <c r="U373" s="41" t="s">
        <v>3479</v>
      </c>
      <c r="V373" s="41" t="s">
        <v>319</v>
      </c>
      <c r="W373" s="40">
        <v>860035827</v>
      </c>
      <c r="X373" s="41" t="s">
        <v>653</v>
      </c>
      <c r="Y373" s="40">
        <v>3825</v>
      </c>
      <c r="Z373" s="40">
        <v>3825</v>
      </c>
      <c r="AA373" s="40">
        <v>37225</v>
      </c>
      <c r="AB373" s="41"/>
      <c r="AC373" s="41" t="s">
        <v>3480</v>
      </c>
      <c r="AD373" s="41" t="s">
        <v>3476</v>
      </c>
      <c r="AE373" s="41"/>
      <c r="AF373" s="41" t="s">
        <v>2632</v>
      </c>
      <c r="AG373" s="41" t="s">
        <v>356</v>
      </c>
      <c r="AH373" s="41" t="s">
        <v>3481</v>
      </c>
      <c r="AI373" s="41" t="s">
        <v>3482</v>
      </c>
    </row>
    <row r="374" spans="1:35" x14ac:dyDescent="0.2">
      <c r="A374" s="53">
        <v>37325</v>
      </c>
      <c r="B374" s="41" t="s">
        <v>2632</v>
      </c>
      <c r="C374" s="41" t="s">
        <v>3987</v>
      </c>
      <c r="D374" s="41" t="s">
        <v>312</v>
      </c>
      <c r="E374" s="55">
        <v>923245</v>
      </c>
      <c r="F374" s="41" t="s">
        <v>180</v>
      </c>
      <c r="G374" s="41" t="s">
        <v>29</v>
      </c>
      <c r="H374" s="41" t="s">
        <v>30</v>
      </c>
      <c r="I374" s="41" t="s">
        <v>31</v>
      </c>
      <c r="J374" s="41" t="s">
        <v>32</v>
      </c>
      <c r="K374" s="41" t="s">
        <v>33</v>
      </c>
      <c r="L374" s="50">
        <v>46148427</v>
      </c>
      <c r="M374" s="50">
        <v>0</v>
      </c>
      <c r="N374" s="50">
        <v>46148427</v>
      </c>
      <c r="O374" s="50">
        <v>44308623</v>
      </c>
      <c r="P374" s="43" t="s">
        <v>351</v>
      </c>
      <c r="Q374" s="40">
        <v>37862143</v>
      </c>
      <c r="R374" s="41" t="s">
        <v>3485</v>
      </c>
      <c r="S374" s="41" t="s">
        <v>316</v>
      </c>
      <c r="T374" s="41" t="s">
        <v>317</v>
      </c>
      <c r="U374" s="41" t="s">
        <v>3486</v>
      </c>
      <c r="V374" s="41" t="s">
        <v>319</v>
      </c>
      <c r="W374" s="40">
        <v>890903938</v>
      </c>
      <c r="X374" s="41" t="s">
        <v>342</v>
      </c>
      <c r="Y374" s="40">
        <v>3825</v>
      </c>
      <c r="Z374" s="40">
        <v>3825</v>
      </c>
      <c r="AA374" s="40">
        <v>37325</v>
      </c>
      <c r="AB374" s="41"/>
      <c r="AC374" s="41" t="s">
        <v>3487</v>
      </c>
      <c r="AD374" s="41" t="s">
        <v>3483</v>
      </c>
      <c r="AE374" s="41"/>
      <c r="AF374" s="41" t="s">
        <v>2632</v>
      </c>
      <c r="AG374" s="41" t="s">
        <v>356</v>
      </c>
      <c r="AH374" s="41" t="s">
        <v>3488</v>
      </c>
      <c r="AI374" s="41" t="s">
        <v>3482</v>
      </c>
    </row>
    <row r="375" spans="1:35" x14ac:dyDescent="0.2">
      <c r="A375" s="53">
        <v>37425</v>
      </c>
      <c r="B375" s="41" t="s">
        <v>2632</v>
      </c>
      <c r="C375" s="41" t="s">
        <v>3988</v>
      </c>
      <c r="D375" s="41" t="s">
        <v>312</v>
      </c>
      <c r="E375" s="55">
        <v>923245</v>
      </c>
      <c r="F375" s="41" t="s">
        <v>180</v>
      </c>
      <c r="G375" s="41" t="s">
        <v>29</v>
      </c>
      <c r="H375" s="41" t="s">
        <v>30</v>
      </c>
      <c r="I375" s="41" t="s">
        <v>31</v>
      </c>
      <c r="J375" s="41" t="s">
        <v>32</v>
      </c>
      <c r="K375" s="41" t="s">
        <v>33</v>
      </c>
      <c r="L375" s="50">
        <v>46148427</v>
      </c>
      <c r="M375" s="50">
        <v>0</v>
      </c>
      <c r="N375" s="50">
        <v>46148427</v>
      </c>
      <c r="O375" s="50">
        <v>44308623</v>
      </c>
      <c r="P375" s="43" t="s">
        <v>351</v>
      </c>
      <c r="Q375" s="40">
        <v>1091667951</v>
      </c>
      <c r="R375" s="41" t="s">
        <v>3490</v>
      </c>
      <c r="S375" s="41" t="s">
        <v>316</v>
      </c>
      <c r="T375" s="41" t="s">
        <v>317</v>
      </c>
      <c r="U375" s="41" t="s">
        <v>3491</v>
      </c>
      <c r="V375" s="41" t="s">
        <v>319</v>
      </c>
      <c r="W375" s="40">
        <v>860003020</v>
      </c>
      <c r="X375" s="41" t="s">
        <v>393</v>
      </c>
      <c r="Y375" s="40">
        <v>3825</v>
      </c>
      <c r="Z375" s="40">
        <v>3825</v>
      </c>
      <c r="AA375" s="40">
        <v>37425</v>
      </c>
      <c r="AB375" s="41"/>
      <c r="AC375" s="41" t="s">
        <v>3492</v>
      </c>
      <c r="AD375" s="41" t="s">
        <v>3489</v>
      </c>
      <c r="AE375" s="41"/>
      <c r="AF375" s="41" t="s">
        <v>2632</v>
      </c>
      <c r="AG375" s="41" t="s">
        <v>356</v>
      </c>
      <c r="AH375" s="41" t="s">
        <v>3493</v>
      </c>
      <c r="AI375" s="41" t="s">
        <v>3482</v>
      </c>
    </row>
    <row r="376" spans="1:35" x14ac:dyDescent="0.2">
      <c r="A376" s="53">
        <v>37525</v>
      </c>
      <c r="B376" s="41" t="s">
        <v>2632</v>
      </c>
      <c r="C376" s="41" t="s">
        <v>3989</v>
      </c>
      <c r="D376" s="41" t="s">
        <v>312</v>
      </c>
      <c r="E376" s="55">
        <v>923245</v>
      </c>
      <c r="F376" s="41" t="s">
        <v>180</v>
      </c>
      <c r="G376" s="41" t="s">
        <v>29</v>
      </c>
      <c r="H376" s="41" t="s">
        <v>30</v>
      </c>
      <c r="I376" s="41" t="s">
        <v>31</v>
      </c>
      <c r="J376" s="41" t="s">
        <v>32</v>
      </c>
      <c r="K376" s="41" t="s">
        <v>33</v>
      </c>
      <c r="L376" s="50">
        <v>46148427</v>
      </c>
      <c r="M376" s="50">
        <v>0</v>
      </c>
      <c r="N376" s="50">
        <v>46148427</v>
      </c>
      <c r="O376" s="50">
        <v>44308623</v>
      </c>
      <c r="P376" s="43" t="s">
        <v>351</v>
      </c>
      <c r="Q376" s="40">
        <v>1032488155</v>
      </c>
      <c r="R376" s="41" t="s">
        <v>3495</v>
      </c>
      <c r="S376" s="41" t="s">
        <v>316</v>
      </c>
      <c r="T376" s="41" t="s">
        <v>317</v>
      </c>
      <c r="U376" s="41" t="s">
        <v>3496</v>
      </c>
      <c r="V376" s="41" t="s">
        <v>319</v>
      </c>
      <c r="W376" s="40">
        <v>890903938</v>
      </c>
      <c r="X376" s="41" t="s">
        <v>342</v>
      </c>
      <c r="Y376" s="40">
        <v>3825</v>
      </c>
      <c r="Z376" s="40">
        <v>3825</v>
      </c>
      <c r="AA376" s="40">
        <v>37525</v>
      </c>
      <c r="AB376" s="41"/>
      <c r="AC376" s="41" t="s">
        <v>3497</v>
      </c>
      <c r="AD376" s="41" t="s">
        <v>3494</v>
      </c>
      <c r="AE376" s="41"/>
      <c r="AF376" s="41" t="s">
        <v>2632</v>
      </c>
      <c r="AG376" s="41" t="s">
        <v>356</v>
      </c>
      <c r="AH376" s="41" t="s">
        <v>3498</v>
      </c>
      <c r="AI376" s="41" t="s">
        <v>748</v>
      </c>
    </row>
    <row r="377" spans="1:35" x14ac:dyDescent="0.2">
      <c r="A377" s="53">
        <v>37625</v>
      </c>
      <c r="B377" s="41" t="s">
        <v>2632</v>
      </c>
      <c r="C377" s="41" t="s">
        <v>3990</v>
      </c>
      <c r="D377" s="41" t="s">
        <v>312</v>
      </c>
      <c r="E377" s="55">
        <v>923245</v>
      </c>
      <c r="F377" s="41" t="s">
        <v>180</v>
      </c>
      <c r="G377" s="41" t="s">
        <v>29</v>
      </c>
      <c r="H377" s="41" t="s">
        <v>30</v>
      </c>
      <c r="I377" s="41" t="s">
        <v>31</v>
      </c>
      <c r="J377" s="41" t="s">
        <v>32</v>
      </c>
      <c r="K377" s="41" t="s">
        <v>33</v>
      </c>
      <c r="L377" s="50">
        <v>46148427</v>
      </c>
      <c r="M377" s="50">
        <v>0</v>
      </c>
      <c r="N377" s="50">
        <v>46148427</v>
      </c>
      <c r="O377" s="50">
        <v>44308623</v>
      </c>
      <c r="P377" s="43" t="s">
        <v>351</v>
      </c>
      <c r="Q377" s="40">
        <v>1073694768</v>
      </c>
      <c r="R377" s="41" t="s">
        <v>3500</v>
      </c>
      <c r="S377" s="41" t="s">
        <v>316</v>
      </c>
      <c r="T377" s="41" t="s">
        <v>317</v>
      </c>
      <c r="U377" s="41" t="s">
        <v>3501</v>
      </c>
      <c r="V377" s="41" t="s">
        <v>319</v>
      </c>
      <c r="W377" s="40">
        <v>860003020</v>
      </c>
      <c r="X377" s="41" t="s">
        <v>393</v>
      </c>
      <c r="Y377" s="40">
        <v>3825</v>
      </c>
      <c r="Z377" s="40">
        <v>3825</v>
      </c>
      <c r="AA377" s="40">
        <v>37625</v>
      </c>
      <c r="AB377" s="41"/>
      <c r="AC377" s="41" t="s">
        <v>3502</v>
      </c>
      <c r="AD377" s="41" t="s">
        <v>3499</v>
      </c>
      <c r="AE377" s="41"/>
      <c r="AF377" s="41" t="s">
        <v>2632</v>
      </c>
      <c r="AG377" s="41" t="s">
        <v>356</v>
      </c>
      <c r="AH377" s="41" t="s">
        <v>3503</v>
      </c>
      <c r="AI377" s="41" t="s">
        <v>3482</v>
      </c>
    </row>
    <row r="378" spans="1:35" x14ac:dyDescent="0.2">
      <c r="A378" s="53">
        <v>37725</v>
      </c>
      <c r="B378" s="41" t="s">
        <v>2632</v>
      </c>
      <c r="C378" s="41" t="s">
        <v>3991</v>
      </c>
      <c r="D378" s="41" t="s">
        <v>312</v>
      </c>
      <c r="E378" s="55">
        <v>923211</v>
      </c>
      <c r="F378" s="41" t="s">
        <v>69</v>
      </c>
      <c r="G378" s="41" t="s">
        <v>29</v>
      </c>
      <c r="H378" s="41" t="s">
        <v>30</v>
      </c>
      <c r="I378" s="41" t="s">
        <v>31</v>
      </c>
      <c r="J378" s="41" t="s">
        <v>32</v>
      </c>
      <c r="K378" s="41" t="s">
        <v>33</v>
      </c>
      <c r="L378" s="50">
        <v>46148427</v>
      </c>
      <c r="M378" s="50">
        <v>0</v>
      </c>
      <c r="N378" s="50">
        <v>46148427</v>
      </c>
      <c r="O378" s="50">
        <v>44308623</v>
      </c>
      <c r="P378" s="43" t="s">
        <v>351</v>
      </c>
      <c r="Q378" s="40">
        <v>52229277</v>
      </c>
      <c r="R378" s="41" t="s">
        <v>3506</v>
      </c>
      <c r="S378" s="41" t="s">
        <v>316</v>
      </c>
      <c r="T378" s="41" t="s">
        <v>317</v>
      </c>
      <c r="U378" s="41" t="s">
        <v>3507</v>
      </c>
      <c r="V378" s="41" t="s">
        <v>319</v>
      </c>
      <c r="W378" s="40">
        <v>860007335</v>
      </c>
      <c r="X378" s="41" t="s">
        <v>381</v>
      </c>
      <c r="Y378" s="40">
        <v>2125</v>
      </c>
      <c r="Z378" s="40">
        <v>2125</v>
      </c>
      <c r="AA378" s="40">
        <v>37725</v>
      </c>
      <c r="AB378" s="41"/>
      <c r="AC378" s="41" t="s">
        <v>3508</v>
      </c>
      <c r="AD378" s="41" t="s">
        <v>3504</v>
      </c>
      <c r="AE378" s="41"/>
      <c r="AF378" s="41" t="s">
        <v>2632</v>
      </c>
      <c r="AG378" s="41" t="s">
        <v>356</v>
      </c>
      <c r="AH378" s="41" t="s">
        <v>3509</v>
      </c>
      <c r="AI378" s="41" t="s">
        <v>3343</v>
      </c>
    </row>
    <row r="379" spans="1:35" x14ac:dyDescent="0.2">
      <c r="A379" s="53">
        <v>37825</v>
      </c>
      <c r="B379" s="41" t="s">
        <v>2632</v>
      </c>
      <c r="C379" s="41" t="s">
        <v>3992</v>
      </c>
      <c r="D379" s="41" t="s">
        <v>312</v>
      </c>
      <c r="E379" s="55">
        <v>923238</v>
      </c>
      <c r="F379" s="41" t="s">
        <v>569</v>
      </c>
      <c r="G379" s="41" t="s">
        <v>29</v>
      </c>
      <c r="H379" s="41" t="s">
        <v>30</v>
      </c>
      <c r="I379" s="41" t="s">
        <v>31</v>
      </c>
      <c r="J379" s="41" t="s">
        <v>32</v>
      </c>
      <c r="K379" s="41" t="s">
        <v>33</v>
      </c>
      <c r="L379" s="50">
        <v>45995110</v>
      </c>
      <c r="M379" s="50">
        <v>0</v>
      </c>
      <c r="N379" s="50">
        <v>45995110</v>
      </c>
      <c r="O379" s="50">
        <v>44308623</v>
      </c>
      <c r="P379" s="43" t="s">
        <v>351</v>
      </c>
      <c r="Q379" s="40">
        <v>1024480867</v>
      </c>
      <c r="R379" s="41" t="s">
        <v>3512</v>
      </c>
      <c r="S379" s="41" t="s">
        <v>316</v>
      </c>
      <c r="T379" s="41" t="s">
        <v>317</v>
      </c>
      <c r="U379" s="41" t="s">
        <v>3513</v>
      </c>
      <c r="V379" s="41" t="s">
        <v>319</v>
      </c>
      <c r="W379" s="40">
        <v>890903938</v>
      </c>
      <c r="X379" s="41" t="s">
        <v>342</v>
      </c>
      <c r="Y379" s="40">
        <v>125</v>
      </c>
      <c r="Z379" s="40">
        <v>125</v>
      </c>
      <c r="AA379" s="40">
        <v>37825</v>
      </c>
      <c r="AB379" s="41"/>
      <c r="AC379" s="41" t="s">
        <v>3515</v>
      </c>
      <c r="AD379" s="41" t="s">
        <v>3510</v>
      </c>
      <c r="AE379" s="41"/>
      <c r="AF379" s="41" t="s">
        <v>2632</v>
      </c>
      <c r="AG379" s="41" t="s">
        <v>356</v>
      </c>
      <c r="AH379" s="41" t="s">
        <v>3516</v>
      </c>
      <c r="AI379" s="41" t="s">
        <v>742</v>
      </c>
    </row>
    <row r="380" spans="1:35" x14ac:dyDescent="0.2">
      <c r="A380" s="53">
        <v>37925</v>
      </c>
      <c r="B380" s="41" t="s">
        <v>2632</v>
      </c>
      <c r="C380" s="41" t="s">
        <v>3993</v>
      </c>
      <c r="D380" s="41" t="s">
        <v>312</v>
      </c>
      <c r="E380" s="55">
        <v>923210</v>
      </c>
      <c r="F380" s="41" t="s">
        <v>56</v>
      </c>
      <c r="G380" s="41" t="s">
        <v>29</v>
      </c>
      <c r="H380" s="41" t="s">
        <v>30</v>
      </c>
      <c r="I380" s="41" t="s">
        <v>31</v>
      </c>
      <c r="J380" s="41" t="s">
        <v>32</v>
      </c>
      <c r="K380" s="41" t="s">
        <v>33</v>
      </c>
      <c r="L380" s="50">
        <v>25750000</v>
      </c>
      <c r="M380" s="50">
        <v>0</v>
      </c>
      <c r="N380" s="50">
        <v>25750000</v>
      </c>
      <c r="O380" s="50">
        <v>24805833</v>
      </c>
      <c r="P380" s="43" t="s">
        <v>351</v>
      </c>
      <c r="Q380" s="40">
        <v>1012341213</v>
      </c>
      <c r="R380" s="41" t="s">
        <v>3519</v>
      </c>
      <c r="S380" s="41" t="s">
        <v>316</v>
      </c>
      <c r="T380" s="41" t="s">
        <v>317</v>
      </c>
      <c r="U380" s="41" t="s">
        <v>3520</v>
      </c>
      <c r="V380" s="41" t="s">
        <v>319</v>
      </c>
      <c r="W380" s="40">
        <v>860003020</v>
      </c>
      <c r="X380" s="41" t="s">
        <v>393</v>
      </c>
      <c r="Y380" s="40">
        <v>1925</v>
      </c>
      <c r="Z380" s="40">
        <v>1925</v>
      </c>
      <c r="AA380" s="40">
        <v>37925</v>
      </c>
      <c r="AB380" s="41"/>
      <c r="AC380" s="41" t="s">
        <v>3522</v>
      </c>
      <c r="AD380" s="41" t="s">
        <v>3517</v>
      </c>
      <c r="AE380" s="41"/>
      <c r="AF380" s="41" t="s">
        <v>2632</v>
      </c>
      <c r="AG380" s="41" t="s">
        <v>356</v>
      </c>
      <c r="AH380" s="41" t="s">
        <v>3523</v>
      </c>
      <c r="AI380" s="41" t="s">
        <v>3524</v>
      </c>
    </row>
    <row r="381" spans="1:35" x14ac:dyDescent="0.2">
      <c r="A381" s="53">
        <v>38025</v>
      </c>
      <c r="B381" s="41" t="s">
        <v>2632</v>
      </c>
      <c r="C381" s="41" t="s">
        <v>3994</v>
      </c>
      <c r="D381" s="41" t="s">
        <v>312</v>
      </c>
      <c r="E381" s="55">
        <v>923211</v>
      </c>
      <c r="F381" s="41" t="s">
        <v>69</v>
      </c>
      <c r="G381" s="41" t="s">
        <v>29</v>
      </c>
      <c r="H381" s="41" t="s">
        <v>30</v>
      </c>
      <c r="I381" s="41" t="s">
        <v>31</v>
      </c>
      <c r="J381" s="41" t="s">
        <v>32</v>
      </c>
      <c r="K381" s="41" t="s">
        <v>33</v>
      </c>
      <c r="L381" s="50">
        <v>45841793</v>
      </c>
      <c r="M381" s="50">
        <v>0</v>
      </c>
      <c r="N381" s="50">
        <v>45841793</v>
      </c>
      <c r="O381" s="50">
        <v>44308623</v>
      </c>
      <c r="P381" s="43" t="s">
        <v>351</v>
      </c>
      <c r="Q381" s="40">
        <v>1022393720</v>
      </c>
      <c r="R381" s="41" t="s">
        <v>3527</v>
      </c>
      <c r="S381" s="41" t="s">
        <v>316</v>
      </c>
      <c r="T381" s="41" t="s">
        <v>317</v>
      </c>
      <c r="U381" s="41" t="s">
        <v>3528</v>
      </c>
      <c r="V381" s="41" t="s">
        <v>319</v>
      </c>
      <c r="W381" s="40">
        <v>890903938</v>
      </c>
      <c r="X381" s="41" t="s">
        <v>342</v>
      </c>
      <c r="Y381" s="40">
        <v>2125</v>
      </c>
      <c r="Z381" s="40">
        <v>2125</v>
      </c>
      <c r="AA381" s="40">
        <v>38025</v>
      </c>
      <c r="AB381" s="41"/>
      <c r="AC381" s="41" t="s">
        <v>3530</v>
      </c>
      <c r="AD381" s="41" t="s">
        <v>3525</v>
      </c>
      <c r="AE381" s="41"/>
      <c r="AF381" s="41" t="s">
        <v>2632</v>
      </c>
      <c r="AG381" s="41" t="s">
        <v>356</v>
      </c>
      <c r="AH381" s="41" t="s">
        <v>3531</v>
      </c>
      <c r="AI381" s="41" t="s">
        <v>1532</v>
      </c>
    </row>
    <row r="382" spans="1:35" x14ac:dyDescent="0.2">
      <c r="A382" s="53">
        <v>38125</v>
      </c>
      <c r="B382" s="41" t="s">
        <v>2720</v>
      </c>
      <c r="C382" s="41" t="s">
        <v>3995</v>
      </c>
      <c r="D382" s="41" t="s">
        <v>312</v>
      </c>
      <c r="E382" s="55">
        <v>923238</v>
      </c>
      <c r="F382" s="41" t="s">
        <v>569</v>
      </c>
      <c r="G382" s="41" t="s">
        <v>29</v>
      </c>
      <c r="H382" s="41" t="s">
        <v>30</v>
      </c>
      <c r="I382" s="41" t="s">
        <v>31</v>
      </c>
      <c r="J382" s="41" t="s">
        <v>32</v>
      </c>
      <c r="K382" s="41" t="s">
        <v>33</v>
      </c>
      <c r="L382" s="50">
        <v>156195</v>
      </c>
      <c r="M382" s="50">
        <v>0</v>
      </c>
      <c r="N382" s="50">
        <v>156195</v>
      </c>
      <c r="O382" s="50">
        <v>0</v>
      </c>
      <c r="P382" s="43" t="s">
        <v>351</v>
      </c>
      <c r="Q382" s="40">
        <v>1075254883</v>
      </c>
      <c r="R382" s="41" t="s">
        <v>938</v>
      </c>
      <c r="S382" s="41" t="s">
        <v>316</v>
      </c>
      <c r="T382" s="41" t="s">
        <v>317</v>
      </c>
      <c r="U382" s="41" t="s">
        <v>939</v>
      </c>
      <c r="V382" s="41" t="s">
        <v>319</v>
      </c>
      <c r="W382" s="40">
        <v>860034313</v>
      </c>
      <c r="X382" s="41" t="s">
        <v>355</v>
      </c>
      <c r="Y382" s="40">
        <v>325</v>
      </c>
      <c r="Z382" s="40">
        <v>325</v>
      </c>
      <c r="AA382" s="40">
        <v>38125</v>
      </c>
      <c r="AB382" s="41"/>
      <c r="AC382" s="41" t="s">
        <v>266</v>
      </c>
      <c r="AD382" s="41" t="s">
        <v>2717</v>
      </c>
      <c r="AE382" s="41"/>
      <c r="AF382" s="41" t="s">
        <v>2720</v>
      </c>
      <c r="AG382" s="41" t="s">
        <v>1929</v>
      </c>
      <c r="AH382" s="41" t="s">
        <v>2721</v>
      </c>
      <c r="AI382" s="41" t="s">
        <v>2722</v>
      </c>
    </row>
    <row r="383" spans="1:35" x14ac:dyDescent="0.2">
      <c r="A383" s="53">
        <v>38225</v>
      </c>
      <c r="B383" s="41" t="s">
        <v>2720</v>
      </c>
      <c r="C383" s="41" t="s">
        <v>3996</v>
      </c>
      <c r="D383" s="41" t="s">
        <v>312</v>
      </c>
      <c r="E383" s="55">
        <v>923238</v>
      </c>
      <c r="F383" s="41" t="s">
        <v>569</v>
      </c>
      <c r="G383" s="41" t="s">
        <v>29</v>
      </c>
      <c r="H383" s="41" t="s">
        <v>30</v>
      </c>
      <c r="I383" s="41" t="s">
        <v>31</v>
      </c>
      <c r="J383" s="41" t="s">
        <v>32</v>
      </c>
      <c r="K383" s="41" t="s">
        <v>33</v>
      </c>
      <c r="L383" s="50">
        <v>312390</v>
      </c>
      <c r="M383" s="50">
        <v>0</v>
      </c>
      <c r="N383" s="50">
        <v>312390</v>
      </c>
      <c r="O383" s="50">
        <v>0</v>
      </c>
      <c r="P383" s="43" t="s">
        <v>351</v>
      </c>
      <c r="Q383" s="40">
        <v>1012439964</v>
      </c>
      <c r="R383" s="41" t="s">
        <v>1055</v>
      </c>
      <c r="S383" s="41" t="s">
        <v>316</v>
      </c>
      <c r="T383" s="41" t="s">
        <v>317</v>
      </c>
      <c r="U383" s="41" t="s">
        <v>1056</v>
      </c>
      <c r="V383" s="41" t="s">
        <v>319</v>
      </c>
      <c r="W383" s="40">
        <v>890903938</v>
      </c>
      <c r="X383" s="41" t="s">
        <v>342</v>
      </c>
      <c r="Y383" s="40">
        <v>325</v>
      </c>
      <c r="Z383" s="40">
        <v>325</v>
      </c>
      <c r="AA383" s="40">
        <v>38225</v>
      </c>
      <c r="AB383" s="41"/>
      <c r="AC383" s="41" t="s">
        <v>269</v>
      </c>
      <c r="AD383" s="41" t="s">
        <v>2723</v>
      </c>
      <c r="AE383" s="41"/>
      <c r="AF383" s="41" t="s">
        <v>2720</v>
      </c>
      <c r="AG383" s="41" t="s">
        <v>1929</v>
      </c>
      <c r="AH383" s="41" t="s">
        <v>2727</v>
      </c>
      <c r="AI383" s="41" t="s">
        <v>2728</v>
      </c>
    </row>
    <row r="384" spans="1:35" x14ac:dyDescent="0.2">
      <c r="A384" s="53">
        <v>38325</v>
      </c>
      <c r="B384" s="41" t="s">
        <v>2720</v>
      </c>
      <c r="C384" s="41" t="s">
        <v>3997</v>
      </c>
      <c r="D384" s="41" t="s">
        <v>312</v>
      </c>
      <c r="E384" s="55">
        <v>923238</v>
      </c>
      <c r="F384" s="41" t="s">
        <v>569</v>
      </c>
      <c r="G384" s="41" t="s">
        <v>29</v>
      </c>
      <c r="H384" s="41" t="s">
        <v>30</v>
      </c>
      <c r="I384" s="41" t="s">
        <v>31</v>
      </c>
      <c r="J384" s="41" t="s">
        <v>32</v>
      </c>
      <c r="K384" s="41" t="s">
        <v>33</v>
      </c>
      <c r="L384" s="50">
        <v>468585</v>
      </c>
      <c r="M384" s="50">
        <v>0</v>
      </c>
      <c r="N384" s="50">
        <v>468585</v>
      </c>
      <c r="O384" s="50">
        <v>0</v>
      </c>
      <c r="P384" s="43" t="s">
        <v>351</v>
      </c>
      <c r="Q384" s="40">
        <v>52505799</v>
      </c>
      <c r="R384" s="41" t="s">
        <v>813</v>
      </c>
      <c r="S384" s="41" t="s">
        <v>316</v>
      </c>
      <c r="T384" s="41" t="s">
        <v>317</v>
      </c>
      <c r="U384" s="41" t="s">
        <v>814</v>
      </c>
      <c r="V384" s="41" t="s">
        <v>319</v>
      </c>
      <c r="W384" s="40">
        <v>860034313</v>
      </c>
      <c r="X384" s="41" t="s">
        <v>355</v>
      </c>
      <c r="Y384" s="40">
        <v>325</v>
      </c>
      <c r="Z384" s="40">
        <v>325</v>
      </c>
      <c r="AA384" s="40">
        <v>38325</v>
      </c>
      <c r="AB384" s="41"/>
      <c r="AC384" s="41" t="s">
        <v>272</v>
      </c>
      <c r="AD384" s="41" t="s">
        <v>2729</v>
      </c>
      <c r="AE384" s="41"/>
      <c r="AF384" s="41" t="s">
        <v>2720</v>
      </c>
      <c r="AG384" s="41" t="s">
        <v>1929</v>
      </c>
      <c r="AH384" s="41" t="s">
        <v>2733</v>
      </c>
      <c r="AI384" s="41" t="s">
        <v>2734</v>
      </c>
    </row>
    <row r="385" spans="1:35" x14ac:dyDescent="0.2">
      <c r="A385" s="53">
        <v>38425</v>
      </c>
      <c r="B385" s="41" t="s">
        <v>2720</v>
      </c>
      <c r="C385" s="41" t="s">
        <v>3998</v>
      </c>
      <c r="D385" s="41" t="s">
        <v>312</v>
      </c>
      <c r="E385" s="55">
        <v>923238</v>
      </c>
      <c r="F385" s="41" t="s">
        <v>569</v>
      </c>
      <c r="G385" s="41" t="s">
        <v>29</v>
      </c>
      <c r="H385" s="41" t="s">
        <v>30</v>
      </c>
      <c r="I385" s="41" t="s">
        <v>31</v>
      </c>
      <c r="J385" s="41" t="s">
        <v>32</v>
      </c>
      <c r="K385" s="41" t="s">
        <v>33</v>
      </c>
      <c r="L385" s="50">
        <v>624780</v>
      </c>
      <c r="M385" s="50">
        <v>0</v>
      </c>
      <c r="N385" s="50">
        <v>624780</v>
      </c>
      <c r="O385" s="50">
        <v>0</v>
      </c>
      <c r="P385" s="43" t="s">
        <v>351</v>
      </c>
      <c r="Q385" s="40">
        <v>79408514</v>
      </c>
      <c r="R385" s="41" t="s">
        <v>792</v>
      </c>
      <c r="S385" s="41" t="s">
        <v>316</v>
      </c>
      <c r="T385" s="41" t="s">
        <v>317</v>
      </c>
      <c r="U385" s="41" t="s">
        <v>793</v>
      </c>
      <c r="V385" s="41" t="s">
        <v>319</v>
      </c>
      <c r="W385" s="40">
        <v>900047981</v>
      </c>
      <c r="X385" s="41" t="s">
        <v>399</v>
      </c>
      <c r="Y385" s="40">
        <v>325</v>
      </c>
      <c r="Z385" s="40">
        <v>325</v>
      </c>
      <c r="AA385" s="40">
        <v>38425</v>
      </c>
      <c r="AB385" s="41"/>
      <c r="AC385" s="41" t="s">
        <v>275</v>
      </c>
      <c r="AD385" s="41" t="s">
        <v>2735</v>
      </c>
      <c r="AE385" s="41"/>
      <c r="AF385" s="41" t="s">
        <v>2720</v>
      </c>
      <c r="AG385" s="41" t="s">
        <v>1929</v>
      </c>
      <c r="AH385" s="41" t="s">
        <v>2739</v>
      </c>
      <c r="AI385" s="41" t="s">
        <v>2740</v>
      </c>
    </row>
    <row r="386" spans="1:35" x14ac:dyDescent="0.2">
      <c r="A386" s="53">
        <v>38525</v>
      </c>
      <c r="B386" s="41" t="s">
        <v>2720</v>
      </c>
      <c r="C386" s="41" t="s">
        <v>3999</v>
      </c>
      <c r="D386" s="41" t="s">
        <v>312</v>
      </c>
      <c r="E386" s="55">
        <v>923238</v>
      </c>
      <c r="F386" s="41" t="s">
        <v>569</v>
      </c>
      <c r="G386" s="41" t="s">
        <v>29</v>
      </c>
      <c r="H386" s="41" t="s">
        <v>30</v>
      </c>
      <c r="I386" s="41" t="s">
        <v>31</v>
      </c>
      <c r="J386" s="41" t="s">
        <v>32</v>
      </c>
      <c r="K386" s="41" t="s">
        <v>33</v>
      </c>
      <c r="L386" s="50">
        <v>232058</v>
      </c>
      <c r="M386" s="50">
        <v>0</v>
      </c>
      <c r="N386" s="50">
        <v>232058</v>
      </c>
      <c r="O386" s="50">
        <v>0</v>
      </c>
      <c r="P386" s="43" t="s">
        <v>351</v>
      </c>
      <c r="Q386" s="40">
        <v>4041331</v>
      </c>
      <c r="R386" s="41" t="s">
        <v>2743</v>
      </c>
      <c r="S386" s="41" t="s">
        <v>316</v>
      </c>
      <c r="T386" s="41" t="s">
        <v>317</v>
      </c>
      <c r="U386" s="41" t="s">
        <v>2744</v>
      </c>
      <c r="V386" s="41" t="s">
        <v>319</v>
      </c>
      <c r="W386" s="40">
        <v>860034313</v>
      </c>
      <c r="X386" s="41" t="s">
        <v>355</v>
      </c>
      <c r="Y386" s="40">
        <v>325</v>
      </c>
      <c r="Z386" s="40">
        <v>325</v>
      </c>
      <c r="AA386" s="40">
        <v>38525</v>
      </c>
      <c r="AB386" s="41"/>
      <c r="AC386" s="41" t="s">
        <v>278</v>
      </c>
      <c r="AD386" s="41" t="s">
        <v>2741</v>
      </c>
      <c r="AE386" s="41"/>
      <c r="AF386" s="41" t="s">
        <v>2720</v>
      </c>
      <c r="AG386" s="41" t="s">
        <v>1929</v>
      </c>
      <c r="AH386" s="41" t="s">
        <v>2747</v>
      </c>
      <c r="AI386" s="41" t="s">
        <v>2748</v>
      </c>
    </row>
    <row r="387" spans="1:35" x14ac:dyDescent="0.2">
      <c r="A387" s="53">
        <v>38625</v>
      </c>
      <c r="B387" s="41" t="s">
        <v>2720</v>
      </c>
      <c r="C387" s="41" t="s">
        <v>4000</v>
      </c>
      <c r="D387" s="41" t="s">
        <v>312</v>
      </c>
      <c r="E387" s="55">
        <v>923238</v>
      </c>
      <c r="F387" s="41" t="s">
        <v>569</v>
      </c>
      <c r="G387" s="41" t="s">
        <v>29</v>
      </c>
      <c r="H387" s="41" t="s">
        <v>30</v>
      </c>
      <c r="I387" s="41" t="s">
        <v>31</v>
      </c>
      <c r="J387" s="41" t="s">
        <v>32</v>
      </c>
      <c r="K387" s="41" t="s">
        <v>33</v>
      </c>
      <c r="L387" s="50">
        <v>166195</v>
      </c>
      <c r="M387" s="50">
        <v>0</v>
      </c>
      <c r="N387" s="50">
        <v>166195</v>
      </c>
      <c r="O387" s="50">
        <v>0</v>
      </c>
      <c r="P387" s="43" t="s">
        <v>351</v>
      </c>
      <c r="Q387" s="40">
        <v>13478907</v>
      </c>
      <c r="R387" s="41" t="s">
        <v>948</v>
      </c>
      <c r="S387" s="41" t="s">
        <v>316</v>
      </c>
      <c r="T387" s="41" t="s">
        <v>317</v>
      </c>
      <c r="U387" s="41" t="s">
        <v>949</v>
      </c>
      <c r="V387" s="41" t="s">
        <v>319</v>
      </c>
      <c r="W387" s="40">
        <v>890903938</v>
      </c>
      <c r="X387" s="41" t="s">
        <v>342</v>
      </c>
      <c r="Y387" s="40">
        <v>325</v>
      </c>
      <c r="Z387" s="40">
        <v>325</v>
      </c>
      <c r="AA387" s="40">
        <v>38625</v>
      </c>
      <c r="AB387" s="41"/>
      <c r="AC387" s="41" t="s">
        <v>281</v>
      </c>
      <c r="AD387" s="41" t="s">
        <v>2749</v>
      </c>
      <c r="AE387" s="41"/>
      <c r="AF387" s="41" t="s">
        <v>2720</v>
      </c>
      <c r="AG387" s="41" t="s">
        <v>1929</v>
      </c>
      <c r="AH387" s="41" t="s">
        <v>2753</v>
      </c>
      <c r="AI387" s="41" t="s">
        <v>2754</v>
      </c>
    </row>
    <row r="388" spans="1:35" x14ac:dyDescent="0.2">
      <c r="A388" s="53">
        <v>38725</v>
      </c>
      <c r="B388" s="41" t="s">
        <v>2720</v>
      </c>
      <c r="C388" s="41" t="s">
        <v>4001</v>
      </c>
      <c r="D388" s="41" t="s">
        <v>312</v>
      </c>
      <c r="E388" s="55">
        <v>923238</v>
      </c>
      <c r="F388" s="41" t="s">
        <v>569</v>
      </c>
      <c r="G388" s="41" t="s">
        <v>29</v>
      </c>
      <c r="H388" s="41" t="s">
        <v>30</v>
      </c>
      <c r="I388" s="41" t="s">
        <v>31</v>
      </c>
      <c r="J388" s="41" t="s">
        <v>32</v>
      </c>
      <c r="K388" s="41" t="s">
        <v>33</v>
      </c>
      <c r="L388" s="50">
        <v>528207</v>
      </c>
      <c r="M388" s="50">
        <v>0</v>
      </c>
      <c r="N388" s="50">
        <v>528207</v>
      </c>
      <c r="O388" s="50">
        <v>0</v>
      </c>
      <c r="P388" s="43" t="s">
        <v>351</v>
      </c>
      <c r="Q388" s="40">
        <v>52425990</v>
      </c>
      <c r="R388" s="41" t="s">
        <v>1953</v>
      </c>
      <c r="S388" s="41" t="s">
        <v>316</v>
      </c>
      <c r="T388" s="41" t="s">
        <v>317</v>
      </c>
      <c r="U388" s="41" t="s">
        <v>1954</v>
      </c>
      <c r="V388" s="41" t="s">
        <v>319</v>
      </c>
      <c r="W388" s="40">
        <v>860007335</v>
      </c>
      <c r="X388" s="41" t="s">
        <v>381</v>
      </c>
      <c r="Y388" s="40">
        <v>325</v>
      </c>
      <c r="Z388" s="40">
        <v>325</v>
      </c>
      <c r="AA388" s="40">
        <v>38725</v>
      </c>
      <c r="AB388" s="41"/>
      <c r="AC388" s="41" t="s">
        <v>284</v>
      </c>
      <c r="AD388" s="41" t="s">
        <v>2755</v>
      </c>
      <c r="AE388" s="41"/>
      <c r="AF388" s="41" t="s">
        <v>2720</v>
      </c>
      <c r="AG388" s="41" t="s">
        <v>1929</v>
      </c>
      <c r="AH388" s="41" t="s">
        <v>2759</v>
      </c>
      <c r="AI388" s="41" t="s">
        <v>2760</v>
      </c>
    </row>
    <row r="389" spans="1:35" x14ac:dyDescent="0.2">
      <c r="A389" s="53">
        <v>38825</v>
      </c>
      <c r="B389" s="41" t="s">
        <v>2720</v>
      </c>
      <c r="C389" s="41" t="s">
        <v>4002</v>
      </c>
      <c r="D389" s="41" t="s">
        <v>312</v>
      </c>
      <c r="E389" s="55">
        <v>923238</v>
      </c>
      <c r="F389" s="41" t="s">
        <v>569</v>
      </c>
      <c r="G389" s="41" t="s">
        <v>29</v>
      </c>
      <c r="H389" s="41" t="s">
        <v>30</v>
      </c>
      <c r="I389" s="41" t="s">
        <v>31</v>
      </c>
      <c r="J389" s="41" t="s">
        <v>32</v>
      </c>
      <c r="K389" s="41" t="s">
        <v>33</v>
      </c>
      <c r="L389" s="50">
        <v>668651</v>
      </c>
      <c r="M389" s="50">
        <v>0</v>
      </c>
      <c r="N389" s="50">
        <v>668651</v>
      </c>
      <c r="O389" s="50">
        <v>0</v>
      </c>
      <c r="P389" s="43" t="s">
        <v>351</v>
      </c>
      <c r="Q389" s="40">
        <v>80062448</v>
      </c>
      <c r="R389" s="41" t="s">
        <v>1943</v>
      </c>
      <c r="S389" s="41" t="s">
        <v>316</v>
      </c>
      <c r="T389" s="41" t="s">
        <v>317</v>
      </c>
      <c r="U389" s="41" t="s">
        <v>1944</v>
      </c>
      <c r="V389" s="41" t="s">
        <v>319</v>
      </c>
      <c r="W389" s="40">
        <v>860034313</v>
      </c>
      <c r="X389" s="41" t="s">
        <v>355</v>
      </c>
      <c r="Y389" s="40">
        <v>325</v>
      </c>
      <c r="Z389" s="40">
        <v>325</v>
      </c>
      <c r="AA389" s="40">
        <v>38825</v>
      </c>
      <c r="AB389" s="41"/>
      <c r="AC389" s="41" t="s">
        <v>287</v>
      </c>
      <c r="AD389" s="41" t="s">
        <v>2761</v>
      </c>
      <c r="AE389" s="41"/>
      <c r="AF389" s="41" t="s">
        <v>2720</v>
      </c>
      <c r="AG389" s="41" t="s">
        <v>1929</v>
      </c>
      <c r="AH389" s="41" t="s">
        <v>2765</v>
      </c>
      <c r="AI389" s="41" t="s">
        <v>2766</v>
      </c>
    </row>
    <row r="390" spans="1:35" x14ac:dyDescent="0.2">
      <c r="A390" s="53">
        <v>38925</v>
      </c>
      <c r="B390" s="41" t="s">
        <v>2720</v>
      </c>
      <c r="C390" s="41" t="s">
        <v>4003</v>
      </c>
      <c r="D390" s="41" t="s">
        <v>312</v>
      </c>
      <c r="E390" s="55">
        <v>923210</v>
      </c>
      <c r="F390" s="41" t="s">
        <v>56</v>
      </c>
      <c r="G390" s="41" t="s">
        <v>29</v>
      </c>
      <c r="H390" s="41" t="s">
        <v>30</v>
      </c>
      <c r="I390" s="41" t="s">
        <v>31</v>
      </c>
      <c r="J390" s="41" t="s">
        <v>32</v>
      </c>
      <c r="K390" s="41" t="s">
        <v>33</v>
      </c>
      <c r="L390" s="50">
        <v>199914</v>
      </c>
      <c r="M390" s="50">
        <v>0</v>
      </c>
      <c r="N390" s="50">
        <v>199914</v>
      </c>
      <c r="O390" s="50">
        <v>0</v>
      </c>
      <c r="P390" s="43" t="s">
        <v>351</v>
      </c>
      <c r="Q390" s="40">
        <v>20927278</v>
      </c>
      <c r="R390" s="41" t="s">
        <v>2769</v>
      </c>
      <c r="S390" s="41" t="s">
        <v>316</v>
      </c>
      <c r="T390" s="41" t="s">
        <v>317</v>
      </c>
      <c r="U390" s="41" t="s">
        <v>2770</v>
      </c>
      <c r="V390" s="41" t="s">
        <v>319</v>
      </c>
      <c r="W390" s="40">
        <v>860035827</v>
      </c>
      <c r="X390" s="41" t="s">
        <v>653</v>
      </c>
      <c r="Y390" s="40">
        <v>1625</v>
      </c>
      <c r="Z390" s="40">
        <v>1625</v>
      </c>
      <c r="AA390" s="40">
        <v>38925</v>
      </c>
      <c r="AB390" s="41"/>
      <c r="AC390" s="41" t="s">
        <v>290</v>
      </c>
      <c r="AD390" s="41" t="s">
        <v>2767</v>
      </c>
      <c r="AE390" s="41"/>
      <c r="AF390" s="41" t="s">
        <v>2720</v>
      </c>
      <c r="AG390" s="41" t="s">
        <v>1929</v>
      </c>
      <c r="AH390" s="41" t="s">
        <v>2773</v>
      </c>
      <c r="AI390" s="41" t="s">
        <v>2774</v>
      </c>
    </row>
    <row r="391" spans="1:35" x14ac:dyDescent="0.2">
      <c r="A391" s="53">
        <v>39025</v>
      </c>
      <c r="B391" s="41" t="s">
        <v>2720</v>
      </c>
      <c r="C391" s="41" t="s">
        <v>4004</v>
      </c>
      <c r="D391" s="41" t="s">
        <v>312</v>
      </c>
      <c r="E391" s="55">
        <v>923210</v>
      </c>
      <c r="F391" s="41" t="s">
        <v>56</v>
      </c>
      <c r="G391" s="41" t="s">
        <v>57</v>
      </c>
      <c r="H391" s="41" t="s">
        <v>58</v>
      </c>
      <c r="I391" s="41" t="s">
        <v>31</v>
      </c>
      <c r="J391" s="41" t="s">
        <v>32</v>
      </c>
      <c r="K391" s="41" t="s">
        <v>33</v>
      </c>
      <c r="L391" s="50">
        <v>139896</v>
      </c>
      <c r="M391" s="50">
        <v>0</v>
      </c>
      <c r="N391" s="50">
        <v>139896</v>
      </c>
      <c r="O391" s="50">
        <v>0</v>
      </c>
      <c r="P391" s="43" t="s">
        <v>351</v>
      </c>
      <c r="Q391" s="40">
        <v>1070825199</v>
      </c>
      <c r="R391" s="41" t="s">
        <v>2777</v>
      </c>
      <c r="S391" s="41" t="s">
        <v>316</v>
      </c>
      <c r="T391" s="41" t="s">
        <v>317</v>
      </c>
      <c r="U391" s="41" t="s">
        <v>2778</v>
      </c>
      <c r="V391" s="41" t="s">
        <v>319</v>
      </c>
      <c r="W391" s="40">
        <v>890903938</v>
      </c>
      <c r="X391" s="41" t="s">
        <v>342</v>
      </c>
      <c r="Y391" s="40">
        <v>625</v>
      </c>
      <c r="Z391" s="40">
        <v>625</v>
      </c>
      <c r="AA391" s="40">
        <v>39025</v>
      </c>
      <c r="AB391" s="41"/>
      <c r="AC391" s="41" t="s">
        <v>577</v>
      </c>
      <c r="AD391" s="41" t="s">
        <v>2775</v>
      </c>
      <c r="AE391" s="41"/>
      <c r="AF391" s="41" t="s">
        <v>2720</v>
      </c>
      <c r="AG391" s="41" t="s">
        <v>1929</v>
      </c>
      <c r="AH391" s="41" t="s">
        <v>2781</v>
      </c>
      <c r="AI391" s="41" t="s">
        <v>2782</v>
      </c>
    </row>
    <row r="392" spans="1:35" x14ac:dyDescent="0.2">
      <c r="A392" s="53">
        <v>39125</v>
      </c>
      <c r="B392" s="41" t="s">
        <v>2659</v>
      </c>
      <c r="C392" s="41" t="s">
        <v>4005</v>
      </c>
      <c r="D392" s="41" t="s">
        <v>312</v>
      </c>
      <c r="E392" s="55">
        <v>923238</v>
      </c>
      <c r="F392" s="41" t="s">
        <v>569</v>
      </c>
      <c r="G392" s="41" t="s">
        <v>29</v>
      </c>
      <c r="H392" s="41" t="s">
        <v>30</v>
      </c>
      <c r="I392" s="41" t="s">
        <v>31</v>
      </c>
      <c r="J392" s="41" t="s">
        <v>32</v>
      </c>
      <c r="K392" s="41" t="s">
        <v>33</v>
      </c>
      <c r="L392" s="50">
        <v>668651</v>
      </c>
      <c r="M392" s="50">
        <v>0</v>
      </c>
      <c r="N392" s="50">
        <v>668651</v>
      </c>
      <c r="O392" s="50">
        <v>0</v>
      </c>
      <c r="P392" s="43" t="s">
        <v>351</v>
      </c>
      <c r="Q392" s="40">
        <v>11315001</v>
      </c>
      <c r="R392" s="41" t="s">
        <v>2037</v>
      </c>
      <c r="S392" s="41" t="s">
        <v>316</v>
      </c>
      <c r="T392" s="41" t="s">
        <v>317</v>
      </c>
      <c r="U392" s="41" t="s">
        <v>2038</v>
      </c>
      <c r="V392" s="41" t="s">
        <v>319</v>
      </c>
      <c r="W392" s="40">
        <v>890903938</v>
      </c>
      <c r="X392" s="41" t="s">
        <v>342</v>
      </c>
      <c r="Y392" s="40">
        <v>325</v>
      </c>
      <c r="Z392" s="40">
        <v>325</v>
      </c>
      <c r="AA392" s="40">
        <v>39125</v>
      </c>
      <c r="AB392" s="41" t="s">
        <v>199</v>
      </c>
      <c r="AC392" s="41" t="s">
        <v>854</v>
      </c>
      <c r="AD392" s="41" t="s">
        <v>2783</v>
      </c>
      <c r="AE392" s="41"/>
      <c r="AF392" s="41" t="s">
        <v>2659</v>
      </c>
      <c r="AG392" s="41" t="s">
        <v>1929</v>
      </c>
      <c r="AH392" s="41" t="s">
        <v>2788</v>
      </c>
      <c r="AI392" s="41" t="s">
        <v>2789</v>
      </c>
    </row>
    <row r="393" spans="1:35" x14ac:dyDescent="0.2">
      <c r="A393" s="53">
        <v>39225</v>
      </c>
      <c r="B393" s="41" t="s">
        <v>2784</v>
      </c>
      <c r="C393" s="41" t="s">
        <v>4006</v>
      </c>
      <c r="D393" s="41" t="s">
        <v>312</v>
      </c>
      <c r="E393" s="55">
        <v>923210</v>
      </c>
      <c r="F393" s="41" t="s">
        <v>56</v>
      </c>
      <c r="G393" s="41" t="s">
        <v>29</v>
      </c>
      <c r="H393" s="41" t="s">
        <v>30</v>
      </c>
      <c r="I393" s="41" t="s">
        <v>31</v>
      </c>
      <c r="J393" s="41" t="s">
        <v>32</v>
      </c>
      <c r="K393" s="41" t="s">
        <v>33</v>
      </c>
      <c r="L393" s="50">
        <v>298512</v>
      </c>
      <c r="M393" s="50">
        <v>0</v>
      </c>
      <c r="N393" s="50">
        <v>298512</v>
      </c>
      <c r="O393" s="50">
        <v>0</v>
      </c>
      <c r="P393" s="43" t="s">
        <v>351</v>
      </c>
      <c r="Q393" s="40">
        <v>1023890091</v>
      </c>
      <c r="R393" s="41" t="s">
        <v>4007</v>
      </c>
      <c r="S393" s="41" t="s">
        <v>316</v>
      </c>
      <c r="T393" s="41" t="s">
        <v>317</v>
      </c>
      <c r="U393" s="41" t="s">
        <v>4008</v>
      </c>
      <c r="V393" s="41" t="s">
        <v>319</v>
      </c>
      <c r="W393" s="40">
        <v>890903938</v>
      </c>
      <c r="X393" s="41" t="s">
        <v>342</v>
      </c>
      <c r="Y393" s="40">
        <v>1625</v>
      </c>
      <c r="Z393" s="40">
        <v>1625</v>
      </c>
      <c r="AA393" s="40">
        <v>39225</v>
      </c>
      <c r="AB393" s="41"/>
      <c r="AC393" s="41" t="s">
        <v>4647</v>
      </c>
      <c r="AD393" s="41"/>
      <c r="AE393" s="41"/>
      <c r="AF393" s="41" t="s">
        <v>2784</v>
      </c>
      <c r="AG393" s="41" t="s">
        <v>1929</v>
      </c>
      <c r="AH393" s="41" t="s">
        <v>4009</v>
      </c>
      <c r="AI393" s="41" t="s">
        <v>4010</v>
      </c>
    </row>
    <row r="394" spans="1:35" x14ac:dyDescent="0.2">
      <c r="A394" s="53">
        <v>39325</v>
      </c>
      <c r="B394" s="41" t="s">
        <v>3594</v>
      </c>
      <c r="C394" s="41" t="s">
        <v>4011</v>
      </c>
      <c r="D394" s="41" t="s">
        <v>312</v>
      </c>
      <c r="E394" s="55">
        <v>923210</v>
      </c>
      <c r="F394" s="41" t="s">
        <v>56</v>
      </c>
      <c r="G394" s="41" t="s">
        <v>29</v>
      </c>
      <c r="H394" s="41" t="s">
        <v>30</v>
      </c>
      <c r="I394" s="41" t="s">
        <v>31</v>
      </c>
      <c r="J394" s="41" t="s">
        <v>32</v>
      </c>
      <c r="K394" s="41" t="s">
        <v>33</v>
      </c>
      <c r="L394" s="50">
        <v>252632</v>
      </c>
      <c r="M394" s="50">
        <v>0</v>
      </c>
      <c r="N394" s="50">
        <v>252632</v>
      </c>
      <c r="O394" s="50">
        <v>0</v>
      </c>
      <c r="P394" s="43" t="s">
        <v>351</v>
      </c>
      <c r="Q394" s="40">
        <v>11315001</v>
      </c>
      <c r="R394" s="41" t="s">
        <v>2037</v>
      </c>
      <c r="S394" s="41" t="s">
        <v>316</v>
      </c>
      <c r="T394" s="41" t="s">
        <v>317</v>
      </c>
      <c r="U394" s="41" t="s">
        <v>2038</v>
      </c>
      <c r="V394" s="41" t="s">
        <v>319</v>
      </c>
      <c r="W394" s="40">
        <v>890903938</v>
      </c>
      <c r="X394" s="41" t="s">
        <v>342</v>
      </c>
      <c r="Y394" s="40">
        <v>1625</v>
      </c>
      <c r="Z394" s="40">
        <v>1625</v>
      </c>
      <c r="AA394" s="40">
        <v>39325</v>
      </c>
      <c r="AB394" s="41"/>
      <c r="AC394" s="41" t="s">
        <v>4360</v>
      </c>
      <c r="AD394" s="41"/>
      <c r="AE394" s="41"/>
      <c r="AF394" s="41" t="s">
        <v>3594</v>
      </c>
      <c r="AG394" s="41" t="s">
        <v>1929</v>
      </c>
      <c r="AH394" s="41" t="s">
        <v>4012</v>
      </c>
      <c r="AI394" s="41" t="s">
        <v>4013</v>
      </c>
    </row>
    <row r="395" spans="1:35" x14ac:dyDescent="0.2">
      <c r="A395" s="53">
        <v>39425</v>
      </c>
      <c r="B395" s="41" t="s">
        <v>3594</v>
      </c>
      <c r="C395" s="41" t="s">
        <v>4014</v>
      </c>
      <c r="D395" s="41" t="s">
        <v>312</v>
      </c>
      <c r="E395" s="55">
        <v>923218</v>
      </c>
      <c r="F395" s="41" t="s">
        <v>118</v>
      </c>
      <c r="G395" s="41" t="s">
        <v>119</v>
      </c>
      <c r="H395" s="41" t="s">
        <v>120</v>
      </c>
      <c r="I395" s="41" t="s">
        <v>47</v>
      </c>
      <c r="J395" s="41" t="s">
        <v>121</v>
      </c>
      <c r="K395" s="41" t="s">
        <v>33</v>
      </c>
      <c r="L395" s="50">
        <v>854100</v>
      </c>
      <c r="M395" s="50">
        <v>0</v>
      </c>
      <c r="N395" s="50">
        <v>854100</v>
      </c>
      <c r="O395" s="50">
        <v>0</v>
      </c>
      <c r="P395" s="43" t="s">
        <v>3589</v>
      </c>
      <c r="Q395" s="40">
        <v>1074812614</v>
      </c>
      <c r="R395" s="41" t="s">
        <v>3590</v>
      </c>
      <c r="S395" s="41" t="s">
        <v>316</v>
      </c>
      <c r="T395" s="41" t="s">
        <v>317</v>
      </c>
      <c r="U395" s="41" t="s">
        <v>3591</v>
      </c>
      <c r="V395" s="41" t="s">
        <v>319</v>
      </c>
      <c r="W395" s="40">
        <v>860007335</v>
      </c>
      <c r="X395" s="41" t="s">
        <v>381</v>
      </c>
      <c r="Y395" s="40">
        <v>2325</v>
      </c>
      <c r="Z395" s="40">
        <v>2325</v>
      </c>
      <c r="AA395" s="40">
        <v>39425</v>
      </c>
      <c r="AB395" s="41"/>
      <c r="AC395" s="41" t="s">
        <v>3593</v>
      </c>
      <c r="AD395" s="41" t="s">
        <v>3588</v>
      </c>
      <c r="AE395" s="41"/>
      <c r="AF395" s="41" t="s">
        <v>3594</v>
      </c>
      <c r="AG395" s="41" t="s">
        <v>3595</v>
      </c>
      <c r="AH395" s="41" t="s">
        <v>3596</v>
      </c>
      <c r="AI395" s="41" t="s">
        <v>3597</v>
      </c>
    </row>
    <row r="396" spans="1:35" x14ac:dyDescent="0.2">
      <c r="A396" s="53">
        <v>39525</v>
      </c>
      <c r="B396" s="41" t="s">
        <v>3594</v>
      </c>
      <c r="C396" s="41" t="s">
        <v>4015</v>
      </c>
      <c r="D396" s="41" t="s">
        <v>312</v>
      </c>
      <c r="E396" s="55">
        <v>923218</v>
      </c>
      <c r="F396" s="41" t="s">
        <v>118</v>
      </c>
      <c r="G396" s="41" t="s">
        <v>119</v>
      </c>
      <c r="H396" s="41" t="s">
        <v>120</v>
      </c>
      <c r="I396" s="41" t="s">
        <v>47</v>
      </c>
      <c r="J396" s="41" t="s">
        <v>121</v>
      </c>
      <c r="K396" s="41" t="s">
        <v>33</v>
      </c>
      <c r="L396" s="50">
        <v>854100</v>
      </c>
      <c r="M396" s="50">
        <v>0</v>
      </c>
      <c r="N396" s="50">
        <v>854100</v>
      </c>
      <c r="O396" s="50">
        <v>0</v>
      </c>
      <c r="P396" s="43" t="s">
        <v>351</v>
      </c>
      <c r="Q396" s="40">
        <v>79859066</v>
      </c>
      <c r="R396" s="41" t="s">
        <v>3599</v>
      </c>
      <c r="S396" s="41" t="s">
        <v>316</v>
      </c>
      <c r="T396" s="41" t="s">
        <v>317</v>
      </c>
      <c r="U396" s="41" t="s">
        <v>3600</v>
      </c>
      <c r="V396" s="41" t="s">
        <v>319</v>
      </c>
      <c r="W396" s="40">
        <v>860007335</v>
      </c>
      <c r="X396" s="41" t="s">
        <v>381</v>
      </c>
      <c r="Y396" s="40">
        <v>2325</v>
      </c>
      <c r="Z396" s="40">
        <v>2325</v>
      </c>
      <c r="AA396" s="40">
        <v>39525</v>
      </c>
      <c r="AB396" s="41"/>
      <c r="AC396" s="41" t="s">
        <v>3601</v>
      </c>
      <c r="AD396" s="41" t="s">
        <v>3598</v>
      </c>
      <c r="AE396" s="41"/>
      <c r="AF396" s="41" t="s">
        <v>3594</v>
      </c>
      <c r="AG396" s="41" t="s">
        <v>3595</v>
      </c>
      <c r="AH396" s="41" t="s">
        <v>3596</v>
      </c>
      <c r="AI396" s="41" t="s">
        <v>3597</v>
      </c>
    </row>
    <row r="397" spans="1:35" x14ac:dyDescent="0.2">
      <c r="A397" s="53">
        <v>39625</v>
      </c>
      <c r="B397" s="41" t="s">
        <v>3594</v>
      </c>
      <c r="C397" s="41" t="s">
        <v>4016</v>
      </c>
      <c r="D397" s="41" t="s">
        <v>312</v>
      </c>
      <c r="E397" s="55">
        <v>923238</v>
      </c>
      <c r="F397" s="41" t="s">
        <v>569</v>
      </c>
      <c r="G397" s="41" t="s">
        <v>29</v>
      </c>
      <c r="H397" s="41" t="s">
        <v>30</v>
      </c>
      <c r="I397" s="41" t="s">
        <v>31</v>
      </c>
      <c r="J397" s="41" t="s">
        <v>32</v>
      </c>
      <c r="K397" s="41" t="s">
        <v>33</v>
      </c>
      <c r="L397" s="50">
        <v>739364</v>
      </c>
      <c r="M397" s="50">
        <v>0</v>
      </c>
      <c r="N397" s="50">
        <v>739364</v>
      </c>
      <c r="O397" s="50">
        <v>0</v>
      </c>
      <c r="P397" s="43" t="s">
        <v>351</v>
      </c>
      <c r="Q397" s="40">
        <v>4041331</v>
      </c>
      <c r="R397" s="41" t="s">
        <v>2743</v>
      </c>
      <c r="S397" s="41" t="s">
        <v>316</v>
      </c>
      <c r="T397" s="41" t="s">
        <v>317</v>
      </c>
      <c r="U397" s="41" t="s">
        <v>2744</v>
      </c>
      <c r="V397" s="41" t="s">
        <v>319</v>
      </c>
      <c r="W397" s="40">
        <v>860034313</v>
      </c>
      <c r="X397" s="41" t="s">
        <v>355</v>
      </c>
      <c r="Y397" s="40">
        <v>325</v>
      </c>
      <c r="Z397" s="40">
        <v>325</v>
      </c>
      <c r="AA397" s="40">
        <v>39625</v>
      </c>
      <c r="AB397" s="41"/>
      <c r="AC397" s="41" t="s">
        <v>4355</v>
      </c>
      <c r="AD397" s="41"/>
      <c r="AE397" s="41"/>
      <c r="AF397" s="41" t="s">
        <v>3594</v>
      </c>
      <c r="AG397" s="41" t="s">
        <v>1929</v>
      </c>
      <c r="AH397" s="41" t="s">
        <v>4017</v>
      </c>
      <c r="AI397" s="41" t="s">
        <v>4018</v>
      </c>
    </row>
    <row r="398" spans="1:35" x14ac:dyDescent="0.2">
      <c r="A398" s="53">
        <v>39725</v>
      </c>
      <c r="B398" s="41" t="s">
        <v>3594</v>
      </c>
      <c r="C398" s="41" t="s">
        <v>4019</v>
      </c>
      <c r="D398" s="41" t="s">
        <v>312</v>
      </c>
      <c r="E398" s="55">
        <v>923238</v>
      </c>
      <c r="F398" s="41" t="s">
        <v>569</v>
      </c>
      <c r="G398" s="41" t="s">
        <v>29</v>
      </c>
      <c r="H398" s="41" t="s">
        <v>30</v>
      </c>
      <c r="I398" s="41" t="s">
        <v>31</v>
      </c>
      <c r="J398" s="41" t="s">
        <v>32</v>
      </c>
      <c r="K398" s="41" t="s">
        <v>33</v>
      </c>
      <c r="L398" s="50">
        <v>780975</v>
      </c>
      <c r="M398" s="50">
        <v>0</v>
      </c>
      <c r="N398" s="50">
        <v>780975</v>
      </c>
      <c r="O398" s="50">
        <v>0</v>
      </c>
      <c r="P398" s="43" t="s">
        <v>351</v>
      </c>
      <c r="Q398" s="40">
        <v>1075254883</v>
      </c>
      <c r="R398" s="41" t="s">
        <v>938</v>
      </c>
      <c r="S398" s="41" t="s">
        <v>316</v>
      </c>
      <c r="T398" s="41" t="s">
        <v>317</v>
      </c>
      <c r="U398" s="41" t="s">
        <v>939</v>
      </c>
      <c r="V398" s="41" t="s">
        <v>319</v>
      </c>
      <c r="W398" s="40">
        <v>860034313</v>
      </c>
      <c r="X398" s="41" t="s">
        <v>355</v>
      </c>
      <c r="Y398" s="40">
        <v>325</v>
      </c>
      <c r="Z398" s="40">
        <v>325</v>
      </c>
      <c r="AA398" s="40">
        <v>39725</v>
      </c>
      <c r="AB398" s="41"/>
      <c r="AC398" s="41" t="s">
        <v>4349</v>
      </c>
      <c r="AD398" s="41"/>
      <c r="AE398" s="41"/>
      <c r="AF398" s="41" t="s">
        <v>3594</v>
      </c>
      <c r="AG398" s="41" t="s">
        <v>1929</v>
      </c>
      <c r="AH398" s="41" t="s">
        <v>4020</v>
      </c>
      <c r="AI398" s="41" t="s">
        <v>4021</v>
      </c>
    </row>
    <row r="399" spans="1:35" x14ac:dyDescent="0.2">
      <c r="A399" s="53">
        <v>39825</v>
      </c>
      <c r="B399" s="41" t="s">
        <v>3594</v>
      </c>
      <c r="C399" s="41" t="s">
        <v>4022</v>
      </c>
      <c r="D399" s="41" t="s">
        <v>312</v>
      </c>
      <c r="E399" s="55">
        <v>923211</v>
      </c>
      <c r="F399" s="41" t="s">
        <v>69</v>
      </c>
      <c r="G399" s="41" t="s">
        <v>29</v>
      </c>
      <c r="H399" s="41" t="s">
        <v>30</v>
      </c>
      <c r="I399" s="41" t="s">
        <v>31</v>
      </c>
      <c r="J399" s="41" t="s">
        <v>32</v>
      </c>
      <c r="K399" s="41" t="s">
        <v>33</v>
      </c>
      <c r="L399" s="50">
        <v>166195</v>
      </c>
      <c r="M399" s="50">
        <v>0</v>
      </c>
      <c r="N399" s="50">
        <v>166195</v>
      </c>
      <c r="O399" s="50">
        <v>0</v>
      </c>
      <c r="P399" s="43" t="s">
        <v>351</v>
      </c>
      <c r="Q399" s="40">
        <v>11313776</v>
      </c>
      <c r="R399" s="41" t="s">
        <v>676</v>
      </c>
      <c r="S399" s="41" t="s">
        <v>316</v>
      </c>
      <c r="T399" s="41" t="s">
        <v>317</v>
      </c>
      <c r="U399" s="41" t="s">
        <v>2123</v>
      </c>
      <c r="V399" s="41" t="s">
        <v>319</v>
      </c>
      <c r="W399" s="40">
        <v>890903938</v>
      </c>
      <c r="X399" s="41" t="s">
        <v>342</v>
      </c>
      <c r="Y399" s="40">
        <v>925</v>
      </c>
      <c r="Z399" s="40">
        <v>925</v>
      </c>
      <c r="AA399" s="40">
        <v>39825</v>
      </c>
      <c r="AB399" s="41"/>
      <c r="AC399" s="41" t="s">
        <v>3661</v>
      </c>
      <c r="AD399" s="41"/>
      <c r="AE399" s="41"/>
      <c r="AF399" s="41" t="s">
        <v>3594</v>
      </c>
      <c r="AG399" s="41" t="s">
        <v>1929</v>
      </c>
      <c r="AH399" s="41" t="s">
        <v>4023</v>
      </c>
      <c r="AI399" s="41" t="s">
        <v>4024</v>
      </c>
    </row>
    <row r="400" spans="1:35" x14ac:dyDescent="0.2">
      <c r="A400" s="53">
        <v>39925</v>
      </c>
      <c r="B400" s="41" t="s">
        <v>3594</v>
      </c>
      <c r="C400" s="41" t="s">
        <v>4025</v>
      </c>
      <c r="D400" s="41" t="s">
        <v>312</v>
      </c>
      <c r="E400" s="55">
        <v>923211</v>
      </c>
      <c r="F400" s="41" t="s">
        <v>69</v>
      </c>
      <c r="G400" s="41" t="s">
        <v>29</v>
      </c>
      <c r="H400" s="41" t="s">
        <v>30</v>
      </c>
      <c r="I400" s="41" t="s">
        <v>31</v>
      </c>
      <c r="J400" s="41" t="s">
        <v>32</v>
      </c>
      <c r="K400" s="41" t="s">
        <v>33</v>
      </c>
      <c r="L400" s="50">
        <v>164513</v>
      </c>
      <c r="M400" s="50">
        <v>0</v>
      </c>
      <c r="N400" s="50">
        <v>164513</v>
      </c>
      <c r="O400" s="50">
        <v>0</v>
      </c>
      <c r="P400" s="43" t="s">
        <v>351</v>
      </c>
      <c r="Q400" s="40">
        <v>11223758</v>
      </c>
      <c r="R400" s="41" t="s">
        <v>671</v>
      </c>
      <c r="S400" s="41" t="s">
        <v>316</v>
      </c>
      <c r="T400" s="41" t="s">
        <v>317</v>
      </c>
      <c r="U400" s="41" t="s">
        <v>672</v>
      </c>
      <c r="V400" s="41" t="s">
        <v>319</v>
      </c>
      <c r="W400" s="40">
        <v>890903938</v>
      </c>
      <c r="X400" s="41" t="s">
        <v>342</v>
      </c>
      <c r="Y400" s="40">
        <v>925</v>
      </c>
      <c r="Z400" s="40">
        <v>925</v>
      </c>
      <c r="AA400" s="40">
        <v>39925</v>
      </c>
      <c r="AB400" s="41"/>
      <c r="AC400" s="41" t="s">
        <v>3651</v>
      </c>
      <c r="AD400" s="41"/>
      <c r="AE400" s="41"/>
      <c r="AF400" s="41" t="s">
        <v>3594</v>
      </c>
      <c r="AG400" s="41" t="s">
        <v>1929</v>
      </c>
      <c r="AH400" s="41" t="s">
        <v>4026</v>
      </c>
      <c r="AI400" s="41" t="s">
        <v>4024</v>
      </c>
    </row>
    <row r="401" spans="1:35" x14ac:dyDescent="0.2">
      <c r="A401" s="53">
        <v>40025</v>
      </c>
      <c r="B401" s="41" t="s">
        <v>3594</v>
      </c>
      <c r="C401" s="41" t="s">
        <v>4027</v>
      </c>
      <c r="D401" s="41" t="s">
        <v>312</v>
      </c>
      <c r="E401" s="55">
        <v>923211</v>
      </c>
      <c r="F401" s="41" t="s">
        <v>69</v>
      </c>
      <c r="G401" s="41" t="s">
        <v>29</v>
      </c>
      <c r="H401" s="41" t="s">
        <v>30</v>
      </c>
      <c r="I401" s="41" t="s">
        <v>31</v>
      </c>
      <c r="J401" s="41" t="s">
        <v>32</v>
      </c>
      <c r="K401" s="41" t="s">
        <v>33</v>
      </c>
      <c r="L401" s="50">
        <v>232058</v>
      </c>
      <c r="M401" s="50">
        <v>0</v>
      </c>
      <c r="N401" s="50">
        <v>232058</v>
      </c>
      <c r="O401" s="50">
        <v>0</v>
      </c>
      <c r="P401" s="43" t="s">
        <v>351</v>
      </c>
      <c r="Q401" s="40">
        <v>79359242</v>
      </c>
      <c r="R401" s="41" t="s">
        <v>1959</v>
      </c>
      <c r="S401" s="41" t="s">
        <v>316</v>
      </c>
      <c r="T401" s="41" t="s">
        <v>317</v>
      </c>
      <c r="U401" s="41" t="s">
        <v>1960</v>
      </c>
      <c r="V401" s="41" t="s">
        <v>319</v>
      </c>
      <c r="W401" s="40">
        <v>860002964</v>
      </c>
      <c r="X401" s="41" t="s">
        <v>419</v>
      </c>
      <c r="Y401" s="40">
        <v>925</v>
      </c>
      <c r="Z401" s="40">
        <v>925</v>
      </c>
      <c r="AA401" s="40">
        <v>40025</v>
      </c>
      <c r="AB401" s="41"/>
      <c r="AC401" s="41" t="s">
        <v>4404</v>
      </c>
      <c r="AD401" s="41"/>
      <c r="AE401" s="41"/>
      <c r="AF401" s="41" t="s">
        <v>3594</v>
      </c>
      <c r="AG401" s="41" t="s">
        <v>1929</v>
      </c>
      <c r="AH401" s="41" t="s">
        <v>4028</v>
      </c>
      <c r="AI401" s="41" t="s">
        <v>4029</v>
      </c>
    </row>
    <row r="402" spans="1:35" x14ac:dyDescent="0.2">
      <c r="A402" s="53">
        <v>40125</v>
      </c>
      <c r="B402" s="41" t="s">
        <v>3594</v>
      </c>
      <c r="C402" s="41" t="s">
        <v>4030</v>
      </c>
      <c r="D402" s="41" t="s">
        <v>312</v>
      </c>
      <c r="E402" s="55">
        <v>923238</v>
      </c>
      <c r="F402" s="41" t="s">
        <v>569</v>
      </c>
      <c r="G402" s="41" t="s">
        <v>29</v>
      </c>
      <c r="H402" s="41" t="s">
        <v>30</v>
      </c>
      <c r="I402" s="41" t="s">
        <v>31</v>
      </c>
      <c r="J402" s="41" t="s">
        <v>32</v>
      </c>
      <c r="K402" s="41" t="s">
        <v>33</v>
      </c>
      <c r="L402" s="50">
        <v>904365</v>
      </c>
      <c r="M402" s="50">
        <v>0</v>
      </c>
      <c r="N402" s="50">
        <v>904365</v>
      </c>
      <c r="O402" s="50">
        <v>0</v>
      </c>
      <c r="P402" s="43" t="s">
        <v>351</v>
      </c>
      <c r="Q402" s="40">
        <v>52505799</v>
      </c>
      <c r="R402" s="41" t="s">
        <v>813</v>
      </c>
      <c r="S402" s="41" t="s">
        <v>316</v>
      </c>
      <c r="T402" s="41" t="s">
        <v>317</v>
      </c>
      <c r="U402" s="41" t="s">
        <v>814</v>
      </c>
      <c r="V402" s="41" t="s">
        <v>319</v>
      </c>
      <c r="W402" s="40">
        <v>860034313</v>
      </c>
      <c r="X402" s="41" t="s">
        <v>355</v>
      </c>
      <c r="Y402" s="40">
        <v>325</v>
      </c>
      <c r="Z402" s="40">
        <v>325</v>
      </c>
      <c r="AA402" s="40">
        <v>40125</v>
      </c>
      <c r="AB402" s="41"/>
      <c r="AC402" s="41" t="s">
        <v>3691</v>
      </c>
      <c r="AD402" s="41"/>
      <c r="AE402" s="41"/>
      <c r="AF402" s="41" t="s">
        <v>3594</v>
      </c>
      <c r="AG402" s="41" t="s">
        <v>1929</v>
      </c>
      <c r="AH402" s="41" t="s">
        <v>4031</v>
      </c>
      <c r="AI402" s="41" t="s">
        <v>4032</v>
      </c>
    </row>
    <row r="403" spans="1:35" x14ac:dyDescent="0.2">
      <c r="A403" s="53">
        <v>40225</v>
      </c>
      <c r="B403" s="41" t="s">
        <v>3594</v>
      </c>
      <c r="C403" s="41" t="s">
        <v>4033</v>
      </c>
      <c r="D403" s="41" t="s">
        <v>312</v>
      </c>
      <c r="E403" s="55">
        <v>923238</v>
      </c>
      <c r="F403" s="41" t="s">
        <v>569</v>
      </c>
      <c r="G403" s="41" t="s">
        <v>29</v>
      </c>
      <c r="H403" s="41" t="s">
        <v>30</v>
      </c>
      <c r="I403" s="41" t="s">
        <v>31</v>
      </c>
      <c r="J403" s="41" t="s">
        <v>32</v>
      </c>
      <c r="K403" s="41" t="s">
        <v>33</v>
      </c>
      <c r="L403" s="50">
        <v>664780</v>
      </c>
      <c r="M403" s="50">
        <v>0</v>
      </c>
      <c r="N403" s="50">
        <v>664780</v>
      </c>
      <c r="O403" s="50">
        <v>0</v>
      </c>
      <c r="P403" s="43" t="s">
        <v>351</v>
      </c>
      <c r="Q403" s="40">
        <v>13478907</v>
      </c>
      <c r="R403" s="41" t="s">
        <v>948</v>
      </c>
      <c r="S403" s="41" t="s">
        <v>316</v>
      </c>
      <c r="T403" s="41" t="s">
        <v>317</v>
      </c>
      <c r="U403" s="41" t="s">
        <v>949</v>
      </c>
      <c r="V403" s="41" t="s">
        <v>319</v>
      </c>
      <c r="W403" s="40">
        <v>890903938</v>
      </c>
      <c r="X403" s="41" t="s">
        <v>342</v>
      </c>
      <c r="Y403" s="40">
        <v>325</v>
      </c>
      <c r="Z403" s="40">
        <v>325</v>
      </c>
      <c r="AA403" s="40">
        <v>40225</v>
      </c>
      <c r="AB403" s="41"/>
      <c r="AC403" s="41" t="s">
        <v>3671</v>
      </c>
      <c r="AD403" s="41"/>
      <c r="AE403" s="41"/>
      <c r="AF403" s="41" t="s">
        <v>3594</v>
      </c>
      <c r="AG403" s="41" t="s">
        <v>1929</v>
      </c>
      <c r="AH403" s="41" t="s">
        <v>4034</v>
      </c>
      <c r="AI403" s="41" t="s">
        <v>4035</v>
      </c>
    </row>
    <row r="404" spans="1:35" x14ac:dyDescent="0.2">
      <c r="A404" s="53">
        <v>40325</v>
      </c>
      <c r="B404" s="41" t="s">
        <v>4036</v>
      </c>
      <c r="C404" s="41" t="s">
        <v>4037</v>
      </c>
      <c r="D404" s="41" t="s">
        <v>312</v>
      </c>
      <c r="E404" s="55">
        <v>923238</v>
      </c>
      <c r="F404" s="41" t="s">
        <v>569</v>
      </c>
      <c r="G404" s="41" t="s">
        <v>29</v>
      </c>
      <c r="H404" s="41" t="s">
        <v>30</v>
      </c>
      <c r="I404" s="41" t="s">
        <v>31</v>
      </c>
      <c r="J404" s="41" t="s">
        <v>32</v>
      </c>
      <c r="K404" s="41" t="s">
        <v>33</v>
      </c>
      <c r="L404" s="50">
        <v>628651</v>
      </c>
      <c r="M404" s="50">
        <v>0</v>
      </c>
      <c r="N404" s="50">
        <v>628651</v>
      </c>
      <c r="O404" s="50">
        <v>0</v>
      </c>
      <c r="P404" s="43" t="s">
        <v>351</v>
      </c>
      <c r="Q404" s="40">
        <v>11315001</v>
      </c>
      <c r="R404" s="41" t="s">
        <v>2037</v>
      </c>
      <c r="S404" s="41" t="s">
        <v>316</v>
      </c>
      <c r="T404" s="41" t="s">
        <v>317</v>
      </c>
      <c r="U404" s="41" t="s">
        <v>2038</v>
      </c>
      <c r="V404" s="41" t="s">
        <v>319</v>
      </c>
      <c r="W404" s="40">
        <v>890903938</v>
      </c>
      <c r="X404" s="41" t="s">
        <v>342</v>
      </c>
      <c r="Y404" s="40">
        <v>325</v>
      </c>
      <c r="Z404" s="40">
        <v>325</v>
      </c>
      <c r="AA404" s="40">
        <v>40325</v>
      </c>
      <c r="AB404" s="41"/>
      <c r="AC404" s="41" t="s">
        <v>4366</v>
      </c>
      <c r="AD404" s="41"/>
      <c r="AE404" s="41"/>
      <c r="AF404" s="41" t="s">
        <v>4036</v>
      </c>
      <c r="AG404" s="41" t="s">
        <v>1929</v>
      </c>
      <c r="AH404" s="41" t="s">
        <v>4038</v>
      </c>
      <c r="AI404" s="41" t="s">
        <v>4039</v>
      </c>
    </row>
    <row r="405" spans="1:35" x14ac:dyDescent="0.2">
      <c r="A405" s="53">
        <v>40425</v>
      </c>
      <c r="B405" s="41" t="s">
        <v>4036</v>
      </c>
      <c r="C405" s="41" t="s">
        <v>4040</v>
      </c>
      <c r="D405" s="41" t="s">
        <v>312</v>
      </c>
      <c r="E405" s="55">
        <v>923238</v>
      </c>
      <c r="F405" s="41" t="s">
        <v>569</v>
      </c>
      <c r="G405" s="41" t="s">
        <v>29</v>
      </c>
      <c r="H405" s="41" t="s">
        <v>30</v>
      </c>
      <c r="I405" s="41" t="s">
        <v>31</v>
      </c>
      <c r="J405" s="41" t="s">
        <v>32</v>
      </c>
      <c r="K405" s="41" t="s">
        <v>33</v>
      </c>
      <c r="L405" s="50">
        <v>322390</v>
      </c>
      <c r="M405" s="50">
        <v>0</v>
      </c>
      <c r="N405" s="50">
        <v>322390</v>
      </c>
      <c r="O405" s="50">
        <v>0</v>
      </c>
      <c r="P405" s="43" t="s">
        <v>351</v>
      </c>
      <c r="Q405" s="40">
        <v>79863951</v>
      </c>
      <c r="R405" s="41" t="s">
        <v>1715</v>
      </c>
      <c r="S405" s="41" t="s">
        <v>316</v>
      </c>
      <c r="T405" s="41" t="s">
        <v>317</v>
      </c>
      <c r="U405" s="41" t="s">
        <v>1716</v>
      </c>
      <c r="V405" s="41" t="s">
        <v>319</v>
      </c>
      <c r="W405" s="40">
        <v>890903938</v>
      </c>
      <c r="X405" s="41" t="s">
        <v>342</v>
      </c>
      <c r="Y405" s="40">
        <v>325</v>
      </c>
      <c r="Z405" s="40">
        <v>325</v>
      </c>
      <c r="AA405" s="40">
        <v>40425</v>
      </c>
      <c r="AB405" s="41"/>
      <c r="AC405" s="41" t="s">
        <v>3761</v>
      </c>
      <c r="AD405" s="41"/>
      <c r="AE405" s="41"/>
      <c r="AF405" s="41" t="s">
        <v>4036</v>
      </c>
      <c r="AG405" s="41" t="s">
        <v>1929</v>
      </c>
      <c r="AH405" s="41" t="s">
        <v>4041</v>
      </c>
      <c r="AI405" s="41" t="s">
        <v>4042</v>
      </c>
    </row>
    <row r="406" spans="1:35" x14ac:dyDescent="0.2">
      <c r="A406" s="53">
        <v>40525</v>
      </c>
      <c r="B406" s="41" t="s">
        <v>4036</v>
      </c>
      <c r="C406" s="41" t="s">
        <v>4043</v>
      </c>
      <c r="D406" s="41" t="s">
        <v>312</v>
      </c>
      <c r="E406" s="55">
        <v>923238</v>
      </c>
      <c r="F406" s="41" t="s">
        <v>569</v>
      </c>
      <c r="G406" s="41" t="s">
        <v>29</v>
      </c>
      <c r="H406" s="41" t="s">
        <v>30</v>
      </c>
      <c r="I406" s="41" t="s">
        <v>31</v>
      </c>
      <c r="J406" s="41" t="s">
        <v>32</v>
      </c>
      <c r="K406" s="41" t="s">
        <v>33</v>
      </c>
      <c r="L406" s="50">
        <v>332390</v>
      </c>
      <c r="M406" s="50">
        <v>0</v>
      </c>
      <c r="N406" s="50">
        <v>332390</v>
      </c>
      <c r="O406" s="50">
        <v>0</v>
      </c>
      <c r="P406" s="43" t="s">
        <v>351</v>
      </c>
      <c r="Q406" s="40">
        <v>3170948</v>
      </c>
      <c r="R406" s="41" t="s">
        <v>1764</v>
      </c>
      <c r="S406" s="41" t="s">
        <v>316</v>
      </c>
      <c r="T406" s="41" t="s">
        <v>317</v>
      </c>
      <c r="U406" s="41" t="s">
        <v>1765</v>
      </c>
      <c r="V406" s="41" t="s">
        <v>319</v>
      </c>
      <c r="W406" s="40">
        <v>860034313</v>
      </c>
      <c r="X406" s="41" t="s">
        <v>355</v>
      </c>
      <c r="Y406" s="40">
        <v>325</v>
      </c>
      <c r="Z406" s="40">
        <v>325</v>
      </c>
      <c r="AA406" s="40">
        <v>40525</v>
      </c>
      <c r="AB406" s="41"/>
      <c r="AC406" s="41" t="s">
        <v>3631</v>
      </c>
      <c r="AD406" s="41"/>
      <c r="AE406" s="41"/>
      <c r="AF406" s="41" t="s">
        <v>4036</v>
      </c>
      <c r="AG406" s="41" t="s">
        <v>1929</v>
      </c>
      <c r="AH406" s="41" t="s">
        <v>4044</v>
      </c>
      <c r="AI406" s="41" t="s">
        <v>4045</v>
      </c>
    </row>
    <row r="407" spans="1:35" x14ac:dyDescent="0.2">
      <c r="A407" s="53">
        <v>40625</v>
      </c>
      <c r="B407" s="41" t="s">
        <v>4036</v>
      </c>
      <c r="C407" s="41" t="s">
        <v>4046</v>
      </c>
      <c r="D407" s="41" t="s">
        <v>312</v>
      </c>
      <c r="E407" s="55">
        <v>923238</v>
      </c>
      <c r="F407" s="41" t="s">
        <v>569</v>
      </c>
      <c r="G407" s="41" t="s">
        <v>29</v>
      </c>
      <c r="H407" s="41" t="s">
        <v>30</v>
      </c>
      <c r="I407" s="41" t="s">
        <v>31</v>
      </c>
      <c r="J407" s="41" t="s">
        <v>32</v>
      </c>
      <c r="K407" s="41" t="s">
        <v>33</v>
      </c>
      <c r="L407" s="50">
        <v>322390</v>
      </c>
      <c r="M407" s="50">
        <v>0</v>
      </c>
      <c r="N407" s="50">
        <v>322390</v>
      </c>
      <c r="O407" s="50">
        <v>0</v>
      </c>
      <c r="P407" s="43" t="s">
        <v>351</v>
      </c>
      <c r="Q407" s="40">
        <v>80232876</v>
      </c>
      <c r="R407" s="41" t="s">
        <v>1730</v>
      </c>
      <c r="S407" s="41" t="s">
        <v>316</v>
      </c>
      <c r="T407" s="41" t="s">
        <v>317</v>
      </c>
      <c r="U407" s="41" t="s">
        <v>1731</v>
      </c>
      <c r="V407" s="41" t="s">
        <v>319</v>
      </c>
      <c r="W407" s="40">
        <v>890903938</v>
      </c>
      <c r="X407" s="41" t="s">
        <v>342</v>
      </c>
      <c r="Y407" s="40">
        <v>325</v>
      </c>
      <c r="Z407" s="40">
        <v>325</v>
      </c>
      <c r="AA407" s="40">
        <v>40625</v>
      </c>
      <c r="AB407" s="41"/>
      <c r="AC407" s="41" t="s">
        <v>3779</v>
      </c>
      <c r="AD407" s="41"/>
      <c r="AE407" s="41"/>
      <c r="AF407" s="41" t="s">
        <v>4036</v>
      </c>
      <c r="AG407" s="41" t="s">
        <v>1929</v>
      </c>
      <c r="AH407" s="41" t="s">
        <v>4047</v>
      </c>
      <c r="AI407" s="41" t="s">
        <v>4048</v>
      </c>
    </row>
    <row r="408" spans="1:35" x14ac:dyDescent="0.2">
      <c r="A408" s="53">
        <v>40725</v>
      </c>
      <c r="B408" s="41" t="s">
        <v>4036</v>
      </c>
      <c r="C408" s="41" t="s">
        <v>4049</v>
      </c>
      <c r="D408" s="41" t="s">
        <v>312</v>
      </c>
      <c r="E408" s="55">
        <v>923238</v>
      </c>
      <c r="F408" s="41" t="s">
        <v>569</v>
      </c>
      <c r="G408" s="41" t="s">
        <v>29</v>
      </c>
      <c r="H408" s="41" t="s">
        <v>30</v>
      </c>
      <c r="I408" s="41" t="s">
        <v>31</v>
      </c>
      <c r="J408" s="41" t="s">
        <v>32</v>
      </c>
      <c r="K408" s="41" t="s">
        <v>33</v>
      </c>
      <c r="L408" s="50">
        <v>312390</v>
      </c>
      <c r="M408" s="50">
        <v>0</v>
      </c>
      <c r="N408" s="50">
        <v>312390</v>
      </c>
      <c r="O408" s="50">
        <v>0</v>
      </c>
      <c r="P408" s="43" t="s">
        <v>351</v>
      </c>
      <c r="Q408" s="40">
        <v>79977580</v>
      </c>
      <c r="R408" s="41" t="s">
        <v>1740</v>
      </c>
      <c r="S408" s="41" t="s">
        <v>316</v>
      </c>
      <c r="T408" s="41" t="s">
        <v>317</v>
      </c>
      <c r="U408" s="41" t="s">
        <v>1741</v>
      </c>
      <c r="V408" s="41" t="s">
        <v>319</v>
      </c>
      <c r="W408" s="40">
        <v>860007335</v>
      </c>
      <c r="X408" s="41" t="s">
        <v>381</v>
      </c>
      <c r="Y408" s="40">
        <v>325</v>
      </c>
      <c r="Z408" s="40">
        <v>325</v>
      </c>
      <c r="AA408" s="40">
        <v>40725</v>
      </c>
      <c r="AB408" s="41"/>
      <c r="AC408" s="41" t="s">
        <v>3775</v>
      </c>
      <c r="AD408" s="41"/>
      <c r="AE408" s="41"/>
      <c r="AF408" s="41" t="s">
        <v>4036</v>
      </c>
      <c r="AG408" s="41" t="s">
        <v>1929</v>
      </c>
      <c r="AH408" s="41" t="s">
        <v>4050</v>
      </c>
      <c r="AI408" s="41" t="s">
        <v>4051</v>
      </c>
    </row>
    <row r="409" spans="1:35" x14ac:dyDescent="0.2">
      <c r="A409" s="53">
        <v>40825</v>
      </c>
      <c r="B409" s="41" t="s">
        <v>4036</v>
      </c>
      <c r="C409" s="41" t="s">
        <v>4052</v>
      </c>
      <c r="D409" s="41" t="s">
        <v>312</v>
      </c>
      <c r="E409" s="55">
        <v>923238</v>
      </c>
      <c r="F409" s="41" t="s">
        <v>569</v>
      </c>
      <c r="G409" s="41" t="s">
        <v>29</v>
      </c>
      <c r="H409" s="41" t="s">
        <v>30</v>
      </c>
      <c r="I409" s="41" t="s">
        <v>31</v>
      </c>
      <c r="J409" s="41" t="s">
        <v>32</v>
      </c>
      <c r="K409" s="41" t="s">
        <v>33</v>
      </c>
      <c r="L409" s="50">
        <v>644780</v>
      </c>
      <c r="M409" s="50">
        <v>0</v>
      </c>
      <c r="N409" s="50">
        <v>644780</v>
      </c>
      <c r="O409" s="50">
        <v>0</v>
      </c>
      <c r="P409" s="43" t="s">
        <v>351</v>
      </c>
      <c r="Q409" s="40">
        <v>1052381667</v>
      </c>
      <c r="R409" s="41" t="s">
        <v>1702</v>
      </c>
      <c r="S409" s="41" t="s">
        <v>316</v>
      </c>
      <c r="T409" s="41" t="s">
        <v>317</v>
      </c>
      <c r="U409" s="41" t="s">
        <v>1703</v>
      </c>
      <c r="V409" s="41" t="s">
        <v>319</v>
      </c>
      <c r="W409" s="40">
        <v>860007738</v>
      </c>
      <c r="X409" s="41" t="s">
        <v>784</v>
      </c>
      <c r="Y409" s="40">
        <v>325</v>
      </c>
      <c r="Z409" s="40">
        <v>325</v>
      </c>
      <c r="AA409" s="40">
        <v>40825</v>
      </c>
      <c r="AB409" s="41"/>
      <c r="AC409" s="41" t="s">
        <v>4338</v>
      </c>
      <c r="AD409" s="41"/>
      <c r="AE409" s="41"/>
      <c r="AF409" s="41" t="s">
        <v>4036</v>
      </c>
      <c r="AG409" s="41" t="s">
        <v>1929</v>
      </c>
      <c r="AH409" s="41" t="s">
        <v>4053</v>
      </c>
      <c r="AI409" s="41" t="s">
        <v>4054</v>
      </c>
    </row>
    <row r="410" spans="1:35" x14ac:dyDescent="0.2">
      <c r="A410" s="53">
        <v>40925</v>
      </c>
      <c r="B410" s="41" t="s">
        <v>4036</v>
      </c>
      <c r="C410" s="41" t="s">
        <v>4055</v>
      </c>
      <c r="D410" s="41" t="s">
        <v>312</v>
      </c>
      <c r="E410" s="55">
        <v>923238</v>
      </c>
      <c r="F410" s="41" t="s">
        <v>569</v>
      </c>
      <c r="G410" s="41" t="s">
        <v>29</v>
      </c>
      <c r="H410" s="41" t="s">
        <v>30</v>
      </c>
      <c r="I410" s="41" t="s">
        <v>31</v>
      </c>
      <c r="J410" s="41" t="s">
        <v>32</v>
      </c>
      <c r="K410" s="41" t="s">
        <v>33</v>
      </c>
      <c r="L410" s="50">
        <v>322390</v>
      </c>
      <c r="M410" s="50">
        <v>0</v>
      </c>
      <c r="N410" s="50">
        <v>322390</v>
      </c>
      <c r="O410" s="50">
        <v>0</v>
      </c>
      <c r="P410" s="43" t="s">
        <v>351</v>
      </c>
      <c r="Q410" s="40">
        <v>88260450</v>
      </c>
      <c r="R410" s="41" t="s">
        <v>1759</v>
      </c>
      <c r="S410" s="41" t="s">
        <v>316</v>
      </c>
      <c r="T410" s="41" t="s">
        <v>317</v>
      </c>
      <c r="U410" s="41" t="s">
        <v>1760</v>
      </c>
      <c r="V410" s="41" t="s">
        <v>319</v>
      </c>
      <c r="W410" s="40">
        <v>860007335</v>
      </c>
      <c r="X410" s="41" t="s">
        <v>381</v>
      </c>
      <c r="Y410" s="40">
        <v>325</v>
      </c>
      <c r="Z410" s="40">
        <v>325</v>
      </c>
      <c r="AA410" s="40">
        <v>40925</v>
      </c>
      <c r="AB410" s="41"/>
      <c r="AC410" s="41" t="s">
        <v>4266</v>
      </c>
      <c r="AD410" s="41"/>
      <c r="AE410" s="41"/>
      <c r="AF410" s="41" t="s">
        <v>4036</v>
      </c>
      <c r="AG410" s="41" t="s">
        <v>1929</v>
      </c>
      <c r="AH410" s="41" t="s">
        <v>4056</v>
      </c>
      <c r="AI410" s="41" t="s">
        <v>4057</v>
      </c>
    </row>
    <row r="411" spans="1:35" x14ac:dyDescent="0.2">
      <c r="A411" s="53">
        <v>41025</v>
      </c>
      <c r="B411" s="41" t="s">
        <v>4036</v>
      </c>
      <c r="C411" s="41" t="s">
        <v>4058</v>
      </c>
      <c r="D411" s="41" t="s">
        <v>312</v>
      </c>
      <c r="E411" s="55">
        <v>923238</v>
      </c>
      <c r="F411" s="41" t="s">
        <v>569</v>
      </c>
      <c r="G411" s="41" t="s">
        <v>29</v>
      </c>
      <c r="H411" s="41" t="s">
        <v>30</v>
      </c>
      <c r="I411" s="41" t="s">
        <v>31</v>
      </c>
      <c r="J411" s="41" t="s">
        <v>32</v>
      </c>
      <c r="K411" s="41" t="s">
        <v>33</v>
      </c>
      <c r="L411" s="50">
        <v>396520</v>
      </c>
      <c r="M411" s="50">
        <v>0</v>
      </c>
      <c r="N411" s="50">
        <v>396520</v>
      </c>
      <c r="O411" s="50">
        <v>0</v>
      </c>
      <c r="P411" s="43" t="s">
        <v>351</v>
      </c>
      <c r="Q411" s="40">
        <v>55177634</v>
      </c>
      <c r="R411" s="41" t="s">
        <v>1754</v>
      </c>
      <c r="S411" s="41" t="s">
        <v>316</v>
      </c>
      <c r="T411" s="41" t="s">
        <v>317</v>
      </c>
      <c r="U411" s="41" t="s">
        <v>1755</v>
      </c>
      <c r="V411" s="41" t="s">
        <v>319</v>
      </c>
      <c r="W411" s="40">
        <v>860034313</v>
      </c>
      <c r="X411" s="41" t="s">
        <v>355</v>
      </c>
      <c r="Y411" s="40">
        <v>325</v>
      </c>
      <c r="Z411" s="40">
        <v>325</v>
      </c>
      <c r="AA411" s="40">
        <v>41025</v>
      </c>
      <c r="AB411" s="41"/>
      <c r="AC411" s="41" t="s">
        <v>3706</v>
      </c>
      <c r="AD411" s="41"/>
      <c r="AE411" s="41"/>
      <c r="AF411" s="41" t="s">
        <v>4036</v>
      </c>
      <c r="AG411" s="41" t="s">
        <v>1929</v>
      </c>
      <c r="AH411" s="41" t="s">
        <v>4059</v>
      </c>
      <c r="AI411" s="41" t="s">
        <v>4060</v>
      </c>
    </row>
    <row r="412" spans="1:35" x14ac:dyDescent="0.2">
      <c r="A412" s="53">
        <v>41125</v>
      </c>
      <c r="B412" s="41" t="s">
        <v>4036</v>
      </c>
      <c r="C412" s="41" t="s">
        <v>4061</v>
      </c>
      <c r="D412" s="41" t="s">
        <v>312</v>
      </c>
      <c r="E412" s="55">
        <v>923238</v>
      </c>
      <c r="F412" s="41" t="s">
        <v>569</v>
      </c>
      <c r="G412" s="41" t="s">
        <v>29</v>
      </c>
      <c r="H412" s="41" t="s">
        <v>30</v>
      </c>
      <c r="I412" s="41" t="s">
        <v>31</v>
      </c>
      <c r="J412" s="41" t="s">
        <v>32</v>
      </c>
      <c r="K412" s="41" t="s">
        <v>33</v>
      </c>
      <c r="L412" s="50">
        <v>624780</v>
      </c>
      <c r="M412" s="50">
        <v>0</v>
      </c>
      <c r="N412" s="50">
        <v>624780</v>
      </c>
      <c r="O412" s="50">
        <v>0</v>
      </c>
      <c r="P412" s="43" t="s">
        <v>351</v>
      </c>
      <c r="Q412" s="40">
        <v>39671472</v>
      </c>
      <c r="R412" s="41" t="s">
        <v>1749</v>
      </c>
      <c r="S412" s="41" t="s">
        <v>316</v>
      </c>
      <c r="T412" s="41" t="s">
        <v>317</v>
      </c>
      <c r="U412" s="41" t="s">
        <v>1750</v>
      </c>
      <c r="V412" s="41" t="s">
        <v>319</v>
      </c>
      <c r="W412" s="40">
        <v>890903938</v>
      </c>
      <c r="X412" s="41" t="s">
        <v>342</v>
      </c>
      <c r="Y412" s="40">
        <v>325</v>
      </c>
      <c r="Z412" s="40">
        <v>325</v>
      </c>
      <c r="AA412" s="40">
        <v>41125</v>
      </c>
      <c r="AB412" s="41"/>
      <c r="AC412" s="41" t="s">
        <v>3681</v>
      </c>
      <c r="AD412" s="41"/>
      <c r="AE412" s="41"/>
      <c r="AF412" s="41" t="s">
        <v>4036</v>
      </c>
      <c r="AG412" s="41" t="s">
        <v>1929</v>
      </c>
      <c r="AH412" s="41" t="s">
        <v>4062</v>
      </c>
      <c r="AI412" s="41" t="s">
        <v>4063</v>
      </c>
    </row>
    <row r="413" spans="1:35" x14ac:dyDescent="0.2">
      <c r="A413" s="53">
        <v>41225</v>
      </c>
      <c r="B413" s="41" t="s">
        <v>4036</v>
      </c>
      <c r="C413" s="41" t="s">
        <v>4064</v>
      </c>
      <c r="D413" s="41" t="s">
        <v>312</v>
      </c>
      <c r="E413" s="55">
        <v>923238</v>
      </c>
      <c r="F413" s="41" t="s">
        <v>569</v>
      </c>
      <c r="G413" s="41" t="s">
        <v>29</v>
      </c>
      <c r="H413" s="41" t="s">
        <v>30</v>
      </c>
      <c r="I413" s="41" t="s">
        <v>31</v>
      </c>
      <c r="J413" s="41" t="s">
        <v>32</v>
      </c>
      <c r="K413" s="41" t="s">
        <v>33</v>
      </c>
      <c r="L413" s="50">
        <v>624780</v>
      </c>
      <c r="M413" s="50">
        <v>0</v>
      </c>
      <c r="N413" s="50">
        <v>624780</v>
      </c>
      <c r="O413" s="50">
        <v>0</v>
      </c>
      <c r="P413" s="43" t="s">
        <v>351</v>
      </c>
      <c r="Q413" s="40">
        <v>82395365</v>
      </c>
      <c r="R413" s="41" t="s">
        <v>1692</v>
      </c>
      <c r="S413" s="41" t="s">
        <v>316</v>
      </c>
      <c r="T413" s="41" t="s">
        <v>317</v>
      </c>
      <c r="U413" s="41" t="s">
        <v>1693</v>
      </c>
      <c r="V413" s="41" t="s">
        <v>319</v>
      </c>
      <c r="W413" s="40">
        <v>860003020</v>
      </c>
      <c r="X413" s="41" t="s">
        <v>393</v>
      </c>
      <c r="Y413" s="40">
        <v>325</v>
      </c>
      <c r="Z413" s="40">
        <v>325</v>
      </c>
      <c r="AA413" s="40">
        <v>41225</v>
      </c>
      <c r="AB413" s="41"/>
      <c r="AC413" s="41" t="s">
        <v>4256</v>
      </c>
      <c r="AD413" s="41"/>
      <c r="AE413" s="41"/>
      <c r="AF413" s="41" t="s">
        <v>4036</v>
      </c>
      <c r="AG413" s="41" t="s">
        <v>1929</v>
      </c>
      <c r="AH413" s="41" t="s">
        <v>4065</v>
      </c>
      <c r="AI413" s="41" t="s">
        <v>4066</v>
      </c>
    </row>
    <row r="414" spans="1:35" x14ac:dyDescent="0.2">
      <c r="A414" s="53">
        <v>41325</v>
      </c>
      <c r="B414" s="41" t="s">
        <v>4036</v>
      </c>
      <c r="C414" s="41" t="s">
        <v>4067</v>
      </c>
      <c r="D414" s="41" t="s">
        <v>312</v>
      </c>
      <c r="E414" s="55">
        <v>923238</v>
      </c>
      <c r="F414" s="41" t="s">
        <v>569</v>
      </c>
      <c r="G414" s="41" t="s">
        <v>29</v>
      </c>
      <c r="H414" s="41" t="s">
        <v>30</v>
      </c>
      <c r="I414" s="41" t="s">
        <v>31</v>
      </c>
      <c r="J414" s="41" t="s">
        <v>32</v>
      </c>
      <c r="K414" s="41" t="s">
        <v>33</v>
      </c>
      <c r="L414" s="50">
        <v>644780</v>
      </c>
      <c r="M414" s="50">
        <v>0</v>
      </c>
      <c r="N414" s="50">
        <v>644780</v>
      </c>
      <c r="O414" s="50">
        <v>0</v>
      </c>
      <c r="P414" s="43" t="s">
        <v>351</v>
      </c>
      <c r="Q414" s="40">
        <v>11257178</v>
      </c>
      <c r="R414" s="41" t="s">
        <v>1687</v>
      </c>
      <c r="S414" s="41" t="s">
        <v>316</v>
      </c>
      <c r="T414" s="41" t="s">
        <v>317</v>
      </c>
      <c r="U414" s="41" t="s">
        <v>1688</v>
      </c>
      <c r="V414" s="41" t="s">
        <v>319</v>
      </c>
      <c r="W414" s="40">
        <v>890903938</v>
      </c>
      <c r="X414" s="41" t="s">
        <v>342</v>
      </c>
      <c r="Y414" s="40">
        <v>325</v>
      </c>
      <c r="Z414" s="40">
        <v>325</v>
      </c>
      <c r="AA414" s="40">
        <v>41325</v>
      </c>
      <c r="AB414" s="41"/>
      <c r="AC414" s="41" t="s">
        <v>3656</v>
      </c>
      <c r="AD414" s="41"/>
      <c r="AE414" s="41"/>
      <c r="AF414" s="41" t="s">
        <v>4036</v>
      </c>
      <c r="AG414" s="41" t="s">
        <v>1929</v>
      </c>
      <c r="AH414" s="41" t="s">
        <v>4068</v>
      </c>
      <c r="AI414" s="41" t="s">
        <v>4069</v>
      </c>
    </row>
    <row r="415" spans="1:35" x14ac:dyDescent="0.2">
      <c r="A415" s="53">
        <v>41425</v>
      </c>
      <c r="B415" s="41" t="s">
        <v>4036</v>
      </c>
      <c r="C415" s="41" t="s">
        <v>4070</v>
      </c>
      <c r="D415" s="41" t="s">
        <v>312</v>
      </c>
      <c r="E415" s="55">
        <v>923238</v>
      </c>
      <c r="F415" s="41" t="s">
        <v>569</v>
      </c>
      <c r="G415" s="41" t="s">
        <v>29</v>
      </c>
      <c r="H415" s="41" t="s">
        <v>30</v>
      </c>
      <c r="I415" s="41" t="s">
        <v>31</v>
      </c>
      <c r="J415" s="41" t="s">
        <v>32</v>
      </c>
      <c r="K415" s="41" t="s">
        <v>33</v>
      </c>
      <c r="L415" s="50">
        <v>1104235</v>
      </c>
      <c r="M415" s="50">
        <v>0</v>
      </c>
      <c r="N415" s="50">
        <v>1104235</v>
      </c>
      <c r="O415" s="50">
        <v>0</v>
      </c>
      <c r="P415" s="43" t="s">
        <v>351</v>
      </c>
      <c r="Q415" s="40">
        <v>80724086</v>
      </c>
      <c r="R415" s="41" t="s">
        <v>1926</v>
      </c>
      <c r="S415" s="41" t="s">
        <v>316</v>
      </c>
      <c r="T415" s="41" t="s">
        <v>317</v>
      </c>
      <c r="U415" s="41" t="s">
        <v>1927</v>
      </c>
      <c r="V415" s="41" t="s">
        <v>319</v>
      </c>
      <c r="W415" s="40">
        <v>890903938</v>
      </c>
      <c r="X415" s="41" t="s">
        <v>342</v>
      </c>
      <c r="Y415" s="40">
        <v>325</v>
      </c>
      <c r="Z415" s="40">
        <v>325</v>
      </c>
      <c r="AA415" s="40">
        <v>41425</v>
      </c>
      <c r="AB415" s="41"/>
      <c r="AC415" s="41" t="s">
        <v>4648</v>
      </c>
      <c r="AD415" s="41"/>
      <c r="AE415" s="41"/>
      <c r="AF415" s="41" t="s">
        <v>4036</v>
      </c>
      <c r="AG415" s="41" t="s">
        <v>1929</v>
      </c>
      <c r="AH415" s="41" t="s">
        <v>4071</v>
      </c>
      <c r="AI415" s="41" t="s">
        <v>4072</v>
      </c>
    </row>
    <row r="416" spans="1:35" x14ac:dyDescent="0.2">
      <c r="A416" s="53">
        <v>41525</v>
      </c>
      <c r="B416" s="41" t="s">
        <v>4036</v>
      </c>
      <c r="C416" s="41" t="s">
        <v>4073</v>
      </c>
      <c r="D416" s="41" t="s">
        <v>312</v>
      </c>
      <c r="E416" s="55">
        <v>923290</v>
      </c>
      <c r="F416" s="41" t="s">
        <v>208</v>
      </c>
      <c r="G416" s="41" t="s">
        <v>29</v>
      </c>
      <c r="H416" s="41" t="s">
        <v>30</v>
      </c>
      <c r="I416" s="41" t="s">
        <v>31</v>
      </c>
      <c r="J416" s="41" t="s">
        <v>32</v>
      </c>
      <c r="K416" s="41" t="s">
        <v>33</v>
      </c>
      <c r="L416" s="50">
        <v>957170</v>
      </c>
      <c r="M416" s="50">
        <v>0</v>
      </c>
      <c r="N416" s="50">
        <v>957170</v>
      </c>
      <c r="O416" s="50">
        <v>0</v>
      </c>
      <c r="P416" s="43" t="s">
        <v>351</v>
      </c>
      <c r="Q416" s="40">
        <v>1012449137</v>
      </c>
      <c r="R416" s="41" t="s">
        <v>390</v>
      </c>
      <c r="S416" s="41" t="s">
        <v>316</v>
      </c>
      <c r="T416" s="41" t="s">
        <v>317</v>
      </c>
      <c r="U416" s="41" t="s">
        <v>391</v>
      </c>
      <c r="V416" s="41" t="s">
        <v>319</v>
      </c>
      <c r="W416" s="40">
        <v>860003020</v>
      </c>
      <c r="X416" s="41" t="s">
        <v>393</v>
      </c>
      <c r="Y416" s="40">
        <v>4925</v>
      </c>
      <c r="Z416" s="40">
        <v>4925</v>
      </c>
      <c r="AA416" s="40">
        <v>41525</v>
      </c>
      <c r="AB416" s="41"/>
      <c r="AC416" s="41" t="s">
        <v>4298</v>
      </c>
      <c r="AD416" s="41"/>
      <c r="AE416" s="41"/>
      <c r="AF416" s="41" t="s">
        <v>4036</v>
      </c>
      <c r="AG416" s="41" t="s">
        <v>1929</v>
      </c>
      <c r="AH416" s="41" t="s">
        <v>4074</v>
      </c>
      <c r="AI416" s="41" t="s">
        <v>4075</v>
      </c>
    </row>
    <row r="417" spans="1:35" x14ac:dyDescent="0.2">
      <c r="A417" s="53">
        <v>41625</v>
      </c>
      <c r="B417" s="41" t="s">
        <v>4036</v>
      </c>
      <c r="C417" s="41" t="s">
        <v>4076</v>
      </c>
      <c r="D417" s="41" t="s">
        <v>312</v>
      </c>
      <c r="E417" s="55">
        <v>923238</v>
      </c>
      <c r="F417" s="41" t="s">
        <v>569</v>
      </c>
      <c r="G417" s="41" t="s">
        <v>29</v>
      </c>
      <c r="H417" s="41" t="s">
        <v>30</v>
      </c>
      <c r="I417" s="41" t="s">
        <v>31</v>
      </c>
      <c r="J417" s="41" t="s">
        <v>32</v>
      </c>
      <c r="K417" s="41" t="s">
        <v>33</v>
      </c>
      <c r="L417" s="50">
        <v>1006792</v>
      </c>
      <c r="M417" s="50">
        <v>0</v>
      </c>
      <c r="N417" s="50">
        <v>1006792</v>
      </c>
      <c r="O417" s="50">
        <v>0</v>
      </c>
      <c r="P417" s="43" t="s">
        <v>351</v>
      </c>
      <c r="Q417" s="40">
        <v>52425990</v>
      </c>
      <c r="R417" s="41" t="s">
        <v>1953</v>
      </c>
      <c r="S417" s="41" t="s">
        <v>316</v>
      </c>
      <c r="T417" s="41" t="s">
        <v>317</v>
      </c>
      <c r="U417" s="41" t="s">
        <v>1954</v>
      </c>
      <c r="V417" s="41" t="s">
        <v>319</v>
      </c>
      <c r="W417" s="40">
        <v>860007335</v>
      </c>
      <c r="X417" s="41" t="s">
        <v>381</v>
      </c>
      <c r="Y417" s="40">
        <v>325</v>
      </c>
      <c r="Z417" s="40">
        <v>325</v>
      </c>
      <c r="AA417" s="40">
        <v>41625</v>
      </c>
      <c r="AB417" s="41"/>
      <c r="AC417" s="41" t="s">
        <v>4394</v>
      </c>
      <c r="AD417" s="41"/>
      <c r="AE417" s="41"/>
      <c r="AF417" s="41" t="s">
        <v>4036</v>
      </c>
      <c r="AG417" s="41" t="s">
        <v>1929</v>
      </c>
      <c r="AH417" s="41" t="s">
        <v>4077</v>
      </c>
      <c r="AI417" s="41" t="s">
        <v>4078</v>
      </c>
    </row>
    <row r="418" spans="1:35" x14ac:dyDescent="0.2">
      <c r="A418" s="53">
        <v>41725</v>
      </c>
      <c r="B418" s="41" t="s">
        <v>4036</v>
      </c>
      <c r="C418" s="41" t="s">
        <v>4079</v>
      </c>
      <c r="D418" s="41" t="s">
        <v>312</v>
      </c>
      <c r="E418" s="55">
        <v>923238</v>
      </c>
      <c r="F418" s="41" t="s">
        <v>569</v>
      </c>
      <c r="G418" s="41" t="s">
        <v>29</v>
      </c>
      <c r="H418" s="41" t="s">
        <v>30</v>
      </c>
      <c r="I418" s="41" t="s">
        <v>31</v>
      </c>
      <c r="J418" s="41" t="s">
        <v>32</v>
      </c>
      <c r="K418" s="41" t="s">
        <v>33</v>
      </c>
      <c r="L418" s="50">
        <v>937170</v>
      </c>
      <c r="M418" s="50">
        <v>0</v>
      </c>
      <c r="N418" s="50">
        <v>937170</v>
      </c>
      <c r="O418" s="50">
        <v>0</v>
      </c>
      <c r="P418" s="43" t="s">
        <v>351</v>
      </c>
      <c r="Q418" s="40">
        <v>1001277409</v>
      </c>
      <c r="R418" s="41" t="s">
        <v>3478</v>
      </c>
      <c r="S418" s="41" t="s">
        <v>316</v>
      </c>
      <c r="T418" s="41" t="s">
        <v>317</v>
      </c>
      <c r="U418" s="41" t="s">
        <v>3479</v>
      </c>
      <c r="V418" s="41" t="s">
        <v>319</v>
      </c>
      <c r="W418" s="40">
        <v>860035827</v>
      </c>
      <c r="X418" s="41" t="s">
        <v>653</v>
      </c>
      <c r="Y418" s="40">
        <v>325</v>
      </c>
      <c r="Z418" s="40">
        <v>325</v>
      </c>
      <c r="AA418" s="40">
        <v>41725</v>
      </c>
      <c r="AB418" s="41"/>
      <c r="AC418" s="41" t="s">
        <v>4278</v>
      </c>
      <c r="AD418" s="41"/>
      <c r="AE418" s="41"/>
      <c r="AF418" s="41" t="s">
        <v>4036</v>
      </c>
      <c r="AG418" s="41" t="s">
        <v>1929</v>
      </c>
      <c r="AH418" s="41" t="s">
        <v>4080</v>
      </c>
      <c r="AI418" s="41" t="s">
        <v>4081</v>
      </c>
    </row>
    <row r="419" spans="1:35" x14ac:dyDescent="0.2">
      <c r="A419" s="53">
        <v>41825</v>
      </c>
      <c r="B419" s="41" t="s">
        <v>4036</v>
      </c>
      <c r="C419" s="41" t="s">
        <v>4082</v>
      </c>
      <c r="D419" s="41" t="s">
        <v>312</v>
      </c>
      <c r="E419" s="55">
        <v>923238</v>
      </c>
      <c r="F419" s="41" t="s">
        <v>569</v>
      </c>
      <c r="G419" s="41" t="s">
        <v>29</v>
      </c>
      <c r="H419" s="41" t="s">
        <v>30</v>
      </c>
      <c r="I419" s="41" t="s">
        <v>31</v>
      </c>
      <c r="J419" s="41" t="s">
        <v>32</v>
      </c>
      <c r="K419" s="41" t="s">
        <v>33</v>
      </c>
      <c r="L419" s="50">
        <v>1249560</v>
      </c>
      <c r="M419" s="50">
        <v>0</v>
      </c>
      <c r="N419" s="50">
        <v>1249560</v>
      </c>
      <c r="O419" s="50">
        <v>0</v>
      </c>
      <c r="P419" s="43" t="s">
        <v>351</v>
      </c>
      <c r="Q419" s="40">
        <v>79408514</v>
      </c>
      <c r="R419" s="41" t="s">
        <v>792</v>
      </c>
      <c r="S419" s="41" t="s">
        <v>316</v>
      </c>
      <c r="T419" s="41" t="s">
        <v>317</v>
      </c>
      <c r="U419" s="41" t="s">
        <v>793</v>
      </c>
      <c r="V419" s="41" t="s">
        <v>319</v>
      </c>
      <c r="W419" s="40">
        <v>900047981</v>
      </c>
      <c r="X419" s="41" t="s">
        <v>399</v>
      </c>
      <c r="Y419" s="40">
        <v>325</v>
      </c>
      <c r="Z419" s="40">
        <v>325</v>
      </c>
      <c r="AA419" s="40">
        <v>41825</v>
      </c>
      <c r="AB419" s="41"/>
      <c r="AC419" s="41" t="s">
        <v>3736</v>
      </c>
      <c r="AD419" s="41"/>
      <c r="AE419" s="41"/>
      <c r="AF419" s="41" t="s">
        <v>4036</v>
      </c>
      <c r="AG419" s="41" t="s">
        <v>1929</v>
      </c>
      <c r="AH419" s="41" t="s">
        <v>4083</v>
      </c>
      <c r="AI419" s="41" t="s">
        <v>4084</v>
      </c>
    </row>
    <row r="420" spans="1:35" x14ac:dyDescent="0.2">
      <c r="A420" s="53">
        <v>41925</v>
      </c>
      <c r="B420" s="41" t="s">
        <v>4036</v>
      </c>
      <c r="C420" s="41" t="s">
        <v>4085</v>
      </c>
      <c r="D420" s="41" t="s">
        <v>312</v>
      </c>
      <c r="E420" s="55">
        <v>923210</v>
      </c>
      <c r="F420" s="41" t="s">
        <v>56</v>
      </c>
      <c r="G420" s="41" t="s">
        <v>29</v>
      </c>
      <c r="H420" s="41" t="s">
        <v>30</v>
      </c>
      <c r="I420" s="41" t="s">
        <v>31</v>
      </c>
      <c r="J420" s="41" t="s">
        <v>32</v>
      </c>
      <c r="K420" s="41" t="s">
        <v>33</v>
      </c>
      <c r="L420" s="50">
        <v>35200</v>
      </c>
      <c r="M420" s="50">
        <v>0</v>
      </c>
      <c r="N420" s="50">
        <v>35200</v>
      </c>
      <c r="O420" s="50">
        <v>0</v>
      </c>
      <c r="P420" s="43" t="s">
        <v>351</v>
      </c>
      <c r="Q420" s="40">
        <v>79205725</v>
      </c>
      <c r="R420" s="41" t="s">
        <v>1877</v>
      </c>
      <c r="S420" s="41" t="s">
        <v>316</v>
      </c>
      <c r="T420" s="41" t="s">
        <v>317</v>
      </c>
      <c r="U420" s="41" t="s">
        <v>1878</v>
      </c>
      <c r="V420" s="41" t="s">
        <v>319</v>
      </c>
      <c r="W420" s="40">
        <v>860002964</v>
      </c>
      <c r="X420" s="41" t="s">
        <v>419</v>
      </c>
      <c r="Y420" s="40">
        <v>1625</v>
      </c>
      <c r="Z420" s="40">
        <v>1625</v>
      </c>
      <c r="AA420" s="40">
        <v>41925</v>
      </c>
      <c r="AB420" s="41"/>
      <c r="AC420" s="41" t="s">
        <v>3722</v>
      </c>
      <c r="AD420" s="41"/>
      <c r="AE420" s="41"/>
      <c r="AF420" s="41" t="s">
        <v>4036</v>
      </c>
      <c r="AG420" s="41" t="s">
        <v>1929</v>
      </c>
      <c r="AH420" s="41" t="s">
        <v>4086</v>
      </c>
      <c r="AI420" s="41" t="s">
        <v>4087</v>
      </c>
    </row>
    <row r="421" spans="1:35" x14ac:dyDescent="0.2">
      <c r="A421" s="53">
        <v>42025</v>
      </c>
      <c r="B421" s="41" t="s">
        <v>4036</v>
      </c>
      <c r="C421" s="41" t="s">
        <v>4088</v>
      </c>
      <c r="D421" s="41" t="s">
        <v>312</v>
      </c>
      <c r="E421" s="55">
        <v>923211</v>
      </c>
      <c r="F421" s="41" t="s">
        <v>69</v>
      </c>
      <c r="G421" s="41" t="s">
        <v>29</v>
      </c>
      <c r="H421" s="41" t="s">
        <v>30</v>
      </c>
      <c r="I421" s="41" t="s">
        <v>31</v>
      </c>
      <c r="J421" s="41" t="s">
        <v>32</v>
      </c>
      <c r="K421" s="41" t="s">
        <v>33</v>
      </c>
      <c r="L421" s="50">
        <v>312390</v>
      </c>
      <c r="M421" s="50">
        <v>0</v>
      </c>
      <c r="N421" s="50">
        <v>312390</v>
      </c>
      <c r="O421" s="50">
        <v>0</v>
      </c>
      <c r="P421" s="43" t="s">
        <v>351</v>
      </c>
      <c r="Q421" s="40">
        <v>79876770</v>
      </c>
      <c r="R421" s="41" t="s">
        <v>1682</v>
      </c>
      <c r="S421" s="41" t="s">
        <v>316</v>
      </c>
      <c r="T421" s="41" t="s">
        <v>317</v>
      </c>
      <c r="U421" s="41" t="s">
        <v>1683</v>
      </c>
      <c r="V421" s="41" t="s">
        <v>319</v>
      </c>
      <c r="W421" s="40">
        <v>860007335</v>
      </c>
      <c r="X421" s="41" t="s">
        <v>381</v>
      </c>
      <c r="Y421" s="40">
        <v>925</v>
      </c>
      <c r="Z421" s="40">
        <v>925</v>
      </c>
      <c r="AA421" s="40">
        <v>42025</v>
      </c>
      <c r="AB421" s="41"/>
      <c r="AC421" s="41" t="s">
        <v>3771</v>
      </c>
      <c r="AD421" s="41"/>
      <c r="AE421" s="41"/>
      <c r="AF421" s="41" t="s">
        <v>4036</v>
      </c>
      <c r="AG421" s="41" t="s">
        <v>1929</v>
      </c>
      <c r="AH421" s="41" t="s">
        <v>4089</v>
      </c>
      <c r="AI421" s="41" t="s">
        <v>4090</v>
      </c>
    </row>
    <row r="422" spans="1:35" x14ac:dyDescent="0.2">
      <c r="A422" s="53">
        <v>42125</v>
      </c>
      <c r="B422" s="41" t="s">
        <v>4036</v>
      </c>
      <c r="C422" s="41" t="s">
        <v>4091</v>
      </c>
      <c r="D422" s="41" t="s">
        <v>27</v>
      </c>
      <c r="E422" s="55">
        <v>923211</v>
      </c>
      <c r="F422" s="41" t="s">
        <v>69</v>
      </c>
      <c r="G422" s="41" t="s">
        <v>29</v>
      </c>
      <c r="H422" s="41" t="s">
        <v>30</v>
      </c>
      <c r="I422" s="41" t="s">
        <v>31</v>
      </c>
      <c r="J422" s="41" t="s">
        <v>32</v>
      </c>
      <c r="K422" s="41" t="s">
        <v>33</v>
      </c>
      <c r="L422" s="50">
        <v>44001989</v>
      </c>
      <c r="M422" s="50">
        <v>0</v>
      </c>
      <c r="N422" s="50">
        <v>44001989</v>
      </c>
      <c r="O422" s="50">
        <v>44001989</v>
      </c>
      <c r="P422" s="43" t="s">
        <v>351</v>
      </c>
      <c r="Q422" s="40">
        <v>1033678111</v>
      </c>
      <c r="R422" s="41" t="s">
        <v>4092</v>
      </c>
      <c r="S422" s="41" t="s">
        <v>316</v>
      </c>
      <c r="T422" s="41" t="s">
        <v>317</v>
      </c>
      <c r="U422" s="41" t="s">
        <v>4093</v>
      </c>
      <c r="V422" s="41" t="s">
        <v>319</v>
      </c>
      <c r="W422" s="40">
        <v>890903938</v>
      </c>
      <c r="X422" s="41" t="s">
        <v>342</v>
      </c>
      <c r="Y422" s="40">
        <v>2125</v>
      </c>
      <c r="Z422" s="40">
        <v>2125</v>
      </c>
      <c r="AA422" s="40">
        <v>42125</v>
      </c>
      <c r="AB422" s="41"/>
      <c r="AC422" s="41"/>
      <c r="AD422" s="41"/>
      <c r="AE422" s="41"/>
      <c r="AF422" s="41" t="s">
        <v>4036</v>
      </c>
      <c r="AG422" s="41" t="s">
        <v>356</v>
      </c>
      <c r="AH422" s="41" t="s">
        <v>4094</v>
      </c>
      <c r="AI422" s="41" t="s">
        <v>1532</v>
      </c>
    </row>
    <row r="423" spans="1:35" x14ac:dyDescent="0.2">
      <c r="A423" s="53">
        <v>42225</v>
      </c>
      <c r="B423" s="41" t="s">
        <v>4036</v>
      </c>
      <c r="C423" s="41" t="s">
        <v>4095</v>
      </c>
      <c r="D423" s="41" t="s">
        <v>27</v>
      </c>
      <c r="E423" s="55">
        <v>923211</v>
      </c>
      <c r="F423" s="41" t="s">
        <v>69</v>
      </c>
      <c r="G423" s="41" t="s">
        <v>29</v>
      </c>
      <c r="H423" s="41" t="s">
        <v>30</v>
      </c>
      <c r="I423" s="41" t="s">
        <v>31</v>
      </c>
      <c r="J423" s="41" t="s">
        <v>32</v>
      </c>
      <c r="K423" s="41" t="s">
        <v>33</v>
      </c>
      <c r="L423" s="50">
        <v>44001989</v>
      </c>
      <c r="M423" s="50">
        <v>0</v>
      </c>
      <c r="N423" s="50">
        <v>44001989</v>
      </c>
      <c r="O423" s="50">
        <v>44001989</v>
      </c>
      <c r="P423" s="43" t="s">
        <v>351</v>
      </c>
      <c r="Q423" s="40">
        <v>1000318956</v>
      </c>
      <c r="R423" s="41" t="s">
        <v>4096</v>
      </c>
      <c r="S423" s="41" t="s">
        <v>316</v>
      </c>
      <c r="T423" s="41" t="s">
        <v>317</v>
      </c>
      <c r="U423" s="41" t="s">
        <v>4097</v>
      </c>
      <c r="V423" s="41" t="s">
        <v>319</v>
      </c>
      <c r="W423" s="40">
        <v>890903937</v>
      </c>
      <c r="X423" s="41" t="s">
        <v>1046</v>
      </c>
      <c r="Y423" s="40">
        <v>2125</v>
      </c>
      <c r="Z423" s="40">
        <v>2125</v>
      </c>
      <c r="AA423" s="40">
        <v>42225</v>
      </c>
      <c r="AB423" s="41"/>
      <c r="AC423" s="41"/>
      <c r="AD423" s="41"/>
      <c r="AE423" s="41"/>
      <c r="AF423" s="41" t="s">
        <v>4036</v>
      </c>
      <c r="AG423" s="41" t="s">
        <v>356</v>
      </c>
      <c r="AH423" s="41" t="s">
        <v>4098</v>
      </c>
      <c r="AI423" s="41" t="s">
        <v>1158</v>
      </c>
    </row>
    <row r="424" spans="1:35" x14ac:dyDescent="0.2">
      <c r="A424" s="53">
        <v>42325</v>
      </c>
      <c r="B424" s="41" t="s">
        <v>4036</v>
      </c>
      <c r="C424" s="41" t="s">
        <v>4099</v>
      </c>
      <c r="D424" s="41" t="s">
        <v>27</v>
      </c>
      <c r="E424" s="55">
        <v>923211</v>
      </c>
      <c r="F424" s="41" t="s">
        <v>69</v>
      </c>
      <c r="G424" s="41" t="s">
        <v>29</v>
      </c>
      <c r="H424" s="41" t="s">
        <v>30</v>
      </c>
      <c r="I424" s="41" t="s">
        <v>31</v>
      </c>
      <c r="J424" s="41" t="s">
        <v>32</v>
      </c>
      <c r="K424" s="41" t="s">
        <v>33</v>
      </c>
      <c r="L424" s="50">
        <v>44001989</v>
      </c>
      <c r="M424" s="50">
        <v>0</v>
      </c>
      <c r="N424" s="50">
        <v>44001989</v>
      </c>
      <c r="O424" s="50">
        <v>44001989</v>
      </c>
      <c r="P424" s="43" t="s">
        <v>351</v>
      </c>
      <c r="Q424" s="40">
        <v>79212098</v>
      </c>
      <c r="R424" s="41" t="s">
        <v>4100</v>
      </c>
      <c r="S424" s="41" t="s">
        <v>316</v>
      </c>
      <c r="T424" s="41" t="s">
        <v>317</v>
      </c>
      <c r="U424" s="41" t="s">
        <v>4101</v>
      </c>
      <c r="V424" s="41" t="s">
        <v>319</v>
      </c>
      <c r="W424" s="40">
        <v>860035827</v>
      </c>
      <c r="X424" s="41" t="s">
        <v>653</v>
      </c>
      <c r="Y424" s="40">
        <v>2125</v>
      </c>
      <c r="Z424" s="40">
        <v>2125</v>
      </c>
      <c r="AA424" s="40">
        <v>42325</v>
      </c>
      <c r="AB424" s="41"/>
      <c r="AC424" s="41"/>
      <c r="AD424" s="41"/>
      <c r="AE424" s="41"/>
      <c r="AF424" s="41" t="s">
        <v>4036</v>
      </c>
      <c r="AG424" s="41" t="s">
        <v>356</v>
      </c>
      <c r="AH424" s="41" t="s">
        <v>4102</v>
      </c>
      <c r="AI424" s="41" t="s">
        <v>1158</v>
      </c>
    </row>
    <row r="425" spans="1:35" x14ac:dyDescent="0.2">
      <c r="A425" s="53">
        <v>42425</v>
      </c>
      <c r="B425" s="41" t="s">
        <v>4036</v>
      </c>
      <c r="C425" s="41" t="s">
        <v>4103</v>
      </c>
      <c r="D425" s="41" t="s">
        <v>27</v>
      </c>
      <c r="E425" s="55">
        <v>923238</v>
      </c>
      <c r="F425" s="41" t="s">
        <v>569</v>
      </c>
      <c r="G425" s="41" t="s">
        <v>29</v>
      </c>
      <c r="H425" s="41" t="s">
        <v>30</v>
      </c>
      <c r="I425" s="41" t="s">
        <v>31</v>
      </c>
      <c r="J425" s="41" t="s">
        <v>32</v>
      </c>
      <c r="K425" s="41" t="s">
        <v>33</v>
      </c>
      <c r="L425" s="50">
        <v>44001989</v>
      </c>
      <c r="M425" s="50">
        <v>0</v>
      </c>
      <c r="N425" s="50">
        <v>44001989</v>
      </c>
      <c r="O425" s="50">
        <v>44001989</v>
      </c>
      <c r="P425" s="43" t="s">
        <v>351</v>
      </c>
      <c r="Q425" s="40">
        <v>93376330</v>
      </c>
      <c r="R425" s="41" t="s">
        <v>4104</v>
      </c>
      <c r="S425" s="41" t="s">
        <v>316</v>
      </c>
      <c r="T425" s="41" t="s">
        <v>317</v>
      </c>
      <c r="U425" s="41" t="s">
        <v>4105</v>
      </c>
      <c r="V425" s="41" t="s">
        <v>319</v>
      </c>
      <c r="W425" s="40">
        <v>860007335</v>
      </c>
      <c r="X425" s="41" t="s">
        <v>381</v>
      </c>
      <c r="Y425" s="40">
        <v>125</v>
      </c>
      <c r="Z425" s="40">
        <v>125</v>
      </c>
      <c r="AA425" s="40">
        <v>42425</v>
      </c>
      <c r="AB425" s="41"/>
      <c r="AC425" s="41"/>
      <c r="AD425" s="41"/>
      <c r="AE425" s="41"/>
      <c r="AF425" s="41" t="s">
        <v>4036</v>
      </c>
      <c r="AG425" s="41" t="s">
        <v>356</v>
      </c>
      <c r="AH425" s="41" t="s">
        <v>4106</v>
      </c>
      <c r="AI425" s="41" t="s">
        <v>742</v>
      </c>
    </row>
    <row r="426" spans="1:35" x14ac:dyDescent="0.2">
      <c r="A426" s="53">
        <v>42525</v>
      </c>
      <c r="B426" s="41" t="s">
        <v>4036</v>
      </c>
      <c r="C426" s="41" t="s">
        <v>4107</v>
      </c>
      <c r="D426" s="41" t="s">
        <v>27</v>
      </c>
      <c r="E426" s="55">
        <v>923211</v>
      </c>
      <c r="F426" s="41" t="s">
        <v>69</v>
      </c>
      <c r="G426" s="41" t="s">
        <v>29</v>
      </c>
      <c r="H426" s="41" t="s">
        <v>30</v>
      </c>
      <c r="I426" s="41" t="s">
        <v>31</v>
      </c>
      <c r="J426" s="41" t="s">
        <v>32</v>
      </c>
      <c r="K426" s="41" t="s">
        <v>33</v>
      </c>
      <c r="L426" s="50">
        <v>44001989</v>
      </c>
      <c r="M426" s="50">
        <v>0</v>
      </c>
      <c r="N426" s="50">
        <v>44001989</v>
      </c>
      <c r="O426" s="50">
        <v>44001989</v>
      </c>
      <c r="P426" s="43" t="s">
        <v>351</v>
      </c>
      <c r="Q426" s="40">
        <v>1024583521</v>
      </c>
      <c r="R426" s="41" t="s">
        <v>4108</v>
      </c>
      <c r="S426" s="41" t="s">
        <v>316</v>
      </c>
      <c r="T426" s="41" t="s">
        <v>317</v>
      </c>
      <c r="U426" s="41" t="s">
        <v>4109</v>
      </c>
      <c r="V426" s="41" t="s">
        <v>319</v>
      </c>
      <c r="W426" s="40">
        <v>890903938</v>
      </c>
      <c r="X426" s="41" t="s">
        <v>342</v>
      </c>
      <c r="Y426" s="40">
        <v>2125</v>
      </c>
      <c r="Z426" s="40">
        <v>2125</v>
      </c>
      <c r="AA426" s="40">
        <v>42525</v>
      </c>
      <c r="AB426" s="41"/>
      <c r="AC426" s="41"/>
      <c r="AD426" s="41"/>
      <c r="AE426" s="41"/>
      <c r="AF426" s="41" t="s">
        <v>4036</v>
      </c>
      <c r="AG426" s="41" t="s">
        <v>356</v>
      </c>
      <c r="AH426" s="41" t="s">
        <v>4110</v>
      </c>
      <c r="AI426" s="41" t="s">
        <v>4111</v>
      </c>
    </row>
    <row r="427" spans="1:35" x14ac:dyDescent="0.2">
      <c r="A427" s="53">
        <v>42625</v>
      </c>
      <c r="B427" s="41" t="s">
        <v>4036</v>
      </c>
      <c r="C427" s="41" t="s">
        <v>4112</v>
      </c>
      <c r="D427" s="41" t="s">
        <v>27</v>
      </c>
      <c r="E427" s="55">
        <v>923211</v>
      </c>
      <c r="F427" s="41" t="s">
        <v>69</v>
      </c>
      <c r="G427" s="41" t="s">
        <v>29</v>
      </c>
      <c r="H427" s="41" t="s">
        <v>30</v>
      </c>
      <c r="I427" s="41" t="s">
        <v>31</v>
      </c>
      <c r="J427" s="41" t="s">
        <v>32</v>
      </c>
      <c r="K427" s="41" t="s">
        <v>33</v>
      </c>
      <c r="L427" s="50">
        <v>44001989</v>
      </c>
      <c r="M427" s="50">
        <v>0</v>
      </c>
      <c r="N427" s="50">
        <v>44001989</v>
      </c>
      <c r="O427" s="50">
        <v>44001989</v>
      </c>
      <c r="P427" s="43" t="s">
        <v>351</v>
      </c>
      <c r="Q427" s="40">
        <v>73195945</v>
      </c>
      <c r="R427" s="41" t="s">
        <v>4113</v>
      </c>
      <c r="S427" s="41" t="s">
        <v>316</v>
      </c>
      <c r="T427" s="41" t="s">
        <v>317</v>
      </c>
      <c r="U427" s="41" t="s">
        <v>4114</v>
      </c>
      <c r="V427" s="41" t="s">
        <v>319</v>
      </c>
      <c r="W427" s="40">
        <v>890903938</v>
      </c>
      <c r="X427" s="41" t="s">
        <v>342</v>
      </c>
      <c r="Y427" s="40">
        <v>2125</v>
      </c>
      <c r="Z427" s="40">
        <v>2125</v>
      </c>
      <c r="AA427" s="40">
        <v>42625</v>
      </c>
      <c r="AB427" s="41"/>
      <c r="AC427" s="41"/>
      <c r="AD427" s="41"/>
      <c r="AE427" s="41"/>
      <c r="AF427" s="41" t="s">
        <v>4036</v>
      </c>
      <c r="AG427" s="41" t="s">
        <v>356</v>
      </c>
      <c r="AH427" s="41" t="s">
        <v>4115</v>
      </c>
      <c r="AI427" s="41" t="s">
        <v>1158</v>
      </c>
    </row>
    <row r="428" spans="1:35" x14ac:dyDescent="0.2">
      <c r="A428" s="53">
        <v>42725</v>
      </c>
      <c r="B428" s="41" t="s">
        <v>4036</v>
      </c>
      <c r="C428" s="41" t="s">
        <v>4116</v>
      </c>
      <c r="D428" s="41" t="s">
        <v>27</v>
      </c>
      <c r="E428" s="55">
        <v>923211</v>
      </c>
      <c r="F428" s="41" t="s">
        <v>69</v>
      </c>
      <c r="G428" s="41" t="s">
        <v>29</v>
      </c>
      <c r="H428" s="41" t="s">
        <v>30</v>
      </c>
      <c r="I428" s="41" t="s">
        <v>31</v>
      </c>
      <c r="J428" s="41" t="s">
        <v>32</v>
      </c>
      <c r="K428" s="41" t="s">
        <v>33</v>
      </c>
      <c r="L428" s="50">
        <v>44001989</v>
      </c>
      <c r="M428" s="50">
        <v>0</v>
      </c>
      <c r="N428" s="50">
        <v>44001989</v>
      </c>
      <c r="O428" s="50">
        <v>44001989</v>
      </c>
      <c r="P428" s="43" t="s">
        <v>351</v>
      </c>
      <c r="Q428" s="40">
        <v>19332877</v>
      </c>
      <c r="R428" s="41" t="s">
        <v>4117</v>
      </c>
      <c r="S428" s="41" t="s">
        <v>635</v>
      </c>
      <c r="T428" s="54"/>
      <c r="U428" s="54"/>
      <c r="V428" s="54"/>
      <c r="W428" s="54"/>
      <c r="X428" s="54"/>
      <c r="Y428" s="40">
        <v>2125</v>
      </c>
      <c r="Z428" s="40">
        <v>2125</v>
      </c>
      <c r="AA428" s="40">
        <v>42725</v>
      </c>
      <c r="AB428" s="41"/>
      <c r="AC428" s="41"/>
      <c r="AD428" s="41"/>
      <c r="AE428" s="41"/>
      <c r="AF428" s="41" t="s">
        <v>4036</v>
      </c>
      <c r="AG428" s="41" t="s">
        <v>356</v>
      </c>
      <c r="AH428" s="41" t="s">
        <v>4118</v>
      </c>
      <c r="AI428" s="41" t="s">
        <v>1158</v>
      </c>
    </row>
    <row r="429" spans="1:35" x14ac:dyDescent="0.2">
      <c r="A429" s="53">
        <v>42825</v>
      </c>
      <c r="B429" s="41" t="s">
        <v>4036</v>
      </c>
      <c r="C429" s="41" t="s">
        <v>4119</v>
      </c>
      <c r="D429" s="41" t="s">
        <v>27</v>
      </c>
      <c r="E429" s="55">
        <v>923284</v>
      </c>
      <c r="F429" s="41" t="s">
        <v>163</v>
      </c>
      <c r="G429" s="41" t="s">
        <v>159</v>
      </c>
      <c r="H429" s="41" t="s">
        <v>160</v>
      </c>
      <c r="I429" s="41" t="s">
        <v>31</v>
      </c>
      <c r="J429" s="41" t="s">
        <v>32</v>
      </c>
      <c r="K429" s="41" t="s">
        <v>33</v>
      </c>
      <c r="L429" s="50">
        <v>40333333</v>
      </c>
      <c r="M429" s="50">
        <v>0</v>
      </c>
      <c r="N429" s="50">
        <v>40333333</v>
      </c>
      <c r="O429" s="50">
        <v>40333333</v>
      </c>
      <c r="P429" s="43" t="s">
        <v>351</v>
      </c>
      <c r="Q429" s="40">
        <v>35251138</v>
      </c>
      <c r="R429" s="41" t="s">
        <v>4120</v>
      </c>
      <c r="S429" s="41" t="s">
        <v>316</v>
      </c>
      <c r="T429" s="41" t="s">
        <v>317</v>
      </c>
      <c r="U429" s="41" t="s">
        <v>4121</v>
      </c>
      <c r="V429" s="41" t="s">
        <v>319</v>
      </c>
      <c r="W429" s="41" t="s">
        <v>418</v>
      </c>
      <c r="X429" s="41" t="s">
        <v>419</v>
      </c>
      <c r="Y429" s="40">
        <v>3325</v>
      </c>
      <c r="Z429" s="40">
        <v>3325</v>
      </c>
      <c r="AA429" s="40">
        <v>42825</v>
      </c>
      <c r="AB429" s="41"/>
      <c r="AC429" s="41"/>
      <c r="AD429" s="41"/>
      <c r="AE429" s="41"/>
      <c r="AF429" s="41" t="s">
        <v>4036</v>
      </c>
      <c r="AG429" s="41" t="s">
        <v>356</v>
      </c>
      <c r="AH429" s="41" t="s">
        <v>4122</v>
      </c>
      <c r="AI429" s="41" t="s">
        <v>4123</v>
      </c>
    </row>
    <row r="430" spans="1:35" x14ac:dyDescent="0.2">
      <c r="A430" s="53">
        <v>42925</v>
      </c>
      <c r="B430" s="41" t="s">
        <v>4036</v>
      </c>
      <c r="C430" s="41" t="s">
        <v>4124</v>
      </c>
      <c r="D430" s="41" t="s">
        <v>27</v>
      </c>
      <c r="E430" s="55">
        <v>923245</v>
      </c>
      <c r="F430" s="41" t="s">
        <v>180</v>
      </c>
      <c r="G430" s="41" t="s">
        <v>29</v>
      </c>
      <c r="H430" s="41" t="s">
        <v>30</v>
      </c>
      <c r="I430" s="41" t="s">
        <v>31</v>
      </c>
      <c r="J430" s="41" t="s">
        <v>32</v>
      </c>
      <c r="K430" s="41" t="s">
        <v>33</v>
      </c>
      <c r="L430" s="50">
        <v>44001989</v>
      </c>
      <c r="M430" s="50">
        <v>0</v>
      </c>
      <c r="N430" s="50">
        <v>44001989</v>
      </c>
      <c r="O430" s="50">
        <v>44001989</v>
      </c>
      <c r="P430" s="43" t="s">
        <v>351</v>
      </c>
      <c r="Q430" s="40">
        <v>80235361</v>
      </c>
      <c r="R430" s="41" t="s">
        <v>4125</v>
      </c>
      <c r="S430" s="41" t="s">
        <v>316</v>
      </c>
      <c r="T430" s="41" t="s">
        <v>317</v>
      </c>
      <c r="U430" s="41" t="s">
        <v>4126</v>
      </c>
      <c r="V430" s="41" t="s">
        <v>319</v>
      </c>
      <c r="W430" s="41" t="s">
        <v>341</v>
      </c>
      <c r="X430" s="41" t="s">
        <v>342</v>
      </c>
      <c r="Y430" s="40">
        <v>3825</v>
      </c>
      <c r="Z430" s="40">
        <v>3825</v>
      </c>
      <c r="AA430" s="40">
        <v>42925</v>
      </c>
      <c r="AB430" s="41"/>
      <c r="AC430" s="41"/>
      <c r="AD430" s="41"/>
      <c r="AE430" s="41"/>
      <c r="AF430" s="41" t="s">
        <v>4036</v>
      </c>
      <c r="AG430" s="41" t="s">
        <v>356</v>
      </c>
      <c r="AH430" s="41" t="s">
        <v>4127</v>
      </c>
      <c r="AI430" s="41" t="s">
        <v>1332</v>
      </c>
    </row>
    <row r="431" spans="1:35" x14ac:dyDescent="0.2">
      <c r="A431" s="53">
        <v>43025</v>
      </c>
      <c r="B431" s="41" t="s">
        <v>4036</v>
      </c>
      <c r="C431" s="41" t="s">
        <v>4128</v>
      </c>
      <c r="D431" s="41" t="s">
        <v>27</v>
      </c>
      <c r="E431" s="55">
        <v>923245</v>
      </c>
      <c r="F431" s="41" t="s">
        <v>180</v>
      </c>
      <c r="G431" s="41" t="s">
        <v>29</v>
      </c>
      <c r="H431" s="41" t="s">
        <v>30</v>
      </c>
      <c r="I431" s="41" t="s">
        <v>31</v>
      </c>
      <c r="J431" s="41" t="s">
        <v>32</v>
      </c>
      <c r="K431" s="41" t="s">
        <v>33</v>
      </c>
      <c r="L431" s="50">
        <v>44001989</v>
      </c>
      <c r="M431" s="50">
        <v>0</v>
      </c>
      <c r="N431" s="50">
        <v>44001989</v>
      </c>
      <c r="O431" s="50">
        <v>44001989</v>
      </c>
      <c r="P431" s="43" t="s">
        <v>351</v>
      </c>
      <c r="Q431" s="40">
        <v>1070591576</v>
      </c>
      <c r="R431" s="41" t="s">
        <v>4129</v>
      </c>
      <c r="S431" s="41" t="s">
        <v>316</v>
      </c>
      <c r="T431" s="41" t="s">
        <v>317</v>
      </c>
      <c r="U431" s="41" t="s">
        <v>4130</v>
      </c>
      <c r="V431" s="41" t="s">
        <v>319</v>
      </c>
      <c r="W431" s="41" t="s">
        <v>659</v>
      </c>
      <c r="X431" s="41" t="s">
        <v>660</v>
      </c>
      <c r="Y431" s="40">
        <v>3825</v>
      </c>
      <c r="Z431" s="40">
        <v>3825</v>
      </c>
      <c r="AA431" s="40">
        <v>43025</v>
      </c>
      <c r="AB431" s="41"/>
      <c r="AC431" s="41"/>
      <c r="AD431" s="41"/>
      <c r="AE431" s="41"/>
      <c r="AF431" s="41" t="s">
        <v>4036</v>
      </c>
      <c r="AG431" s="41" t="s">
        <v>356</v>
      </c>
      <c r="AH431" s="41" t="s">
        <v>4131</v>
      </c>
      <c r="AI431" s="41" t="s">
        <v>1332</v>
      </c>
    </row>
    <row r="432" spans="1:35" x14ac:dyDescent="0.2">
      <c r="A432" s="53">
        <v>43125</v>
      </c>
      <c r="B432" s="41" t="s">
        <v>4036</v>
      </c>
      <c r="C432" s="41" t="s">
        <v>4132</v>
      </c>
      <c r="D432" s="41" t="s">
        <v>27</v>
      </c>
      <c r="E432" s="55">
        <v>923245</v>
      </c>
      <c r="F432" s="41" t="s">
        <v>180</v>
      </c>
      <c r="G432" s="41" t="s">
        <v>29</v>
      </c>
      <c r="H432" s="41" t="s">
        <v>30</v>
      </c>
      <c r="I432" s="41" t="s">
        <v>31</v>
      </c>
      <c r="J432" s="41" t="s">
        <v>32</v>
      </c>
      <c r="K432" s="41" t="s">
        <v>33</v>
      </c>
      <c r="L432" s="50">
        <v>44001989</v>
      </c>
      <c r="M432" s="50">
        <v>0</v>
      </c>
      <c r="N432" s="50">
        <v>44001989</v>
      </c>
      <c r="O432" s="50">
        <v>44001989</v>
      </c>
      <c r="P432" s="43" t="s">
        <v>351</v>
      </c>
      <c r="Q432" s="40">
        <v>80792215</v>
      </c>
      <c r="R432" s="41" t="s">
        <v>4133</v>
      </c>
      <c r="S432" s="41" t="s">
        <v>316</v>
      </c>
      <c r="T432" s="41" t="s">
        <v>317</v>
      </c>
      <c r="U432" s="41" t="s">
        <v>4134</v>
      </c>
      <c r="V432" s="41" t="s">
        <v>319</v>
      </c>
      <c r="W432" s="41" t="s">
        <v>341</v>
      </c>
      <c r="X432" s="41" t="s">
        <v>342</v>
      </c>
      <c r="Y432" s="40">
        <v>3825</v>
      </c>
      <c r="Z432" s="40">
        <v>3825</v>
      </c>
      <c r="AA432" s="40">
        <v>43125</v>
      </c>
      <c r="AB432" s="41"/>
      <c r="AC432" s="41"/>
      <c r="AD432" s="41"/>
      <c r="AE432" s="41"/>
      <c r="AF432" s="41" t="s">
        <v>4036</v>
      </c>
      <c r="AG432" s="41" t="s">
        <v>356</v>
      </c>
      <c r="AH432" s="41" t="s">
        <v>4135</v>
      </c>
      <c r="AI432" s="41" t="s">
        <v>3377</v>
      </c>
    </row>
    <row r="433" spans="1:35" x14ac:dyDescent="0.2">
      <c r="A433" s="53">
        <v>43225</v>
      </c>
      <c r="B433" s="41" t="s">
        <v>4136</v>
      </c>
      <c r="C433" s="41" t="s">
        <v>4137</v>
      </c>
      <c r="D433" s="41" t="s">
        <v>27</v>
      </c>
      <c r="E433" s="55">
        <v>923245</v>
      </c>
      <c r="F433" s="41" t="s">
        <v>180</v>
      </c>
      <c r="G433" s="41" t="s">
        <v>29</v>
      </c>
      <c r="H433" s="41" t="s">
        <v>30</v>
      </c>
      <c r="I433" s="41" t="s">
        <v>31</v>
      </c>
      <c r="J433" s="41" t="s">
        <v>32</v>
      </c>
      <c r="K433" s="41" t="s">
        <v>33</v>
      </c>
      <c r="L433" s="50">
        <v>44001989</v>
      </c>
      <c r="M433" s="50">
        <v>0</v>
      </c>
      <c r="N433" s="50">
        <v>44001989</v>
      </c>
      <c r="O433" s="50">
        <v>44001989</v>
      </c>
      <c r="P433" s="43" t="s">
        <v>351</v>
      </c>
      <c r="Q433" s="40">
        <v>1070612521</v>
      </c>
      <c r="R433" s="41" t="s">
        <v>4138</v>
      </c>
      <c r="S433" s="41" t="s">
        <v>316</v>
      </c>
      <c r="T433" s="41" t="s">
        <v>317</v>
      </c>
      <c r="U433" s="41" t="s">
        <v>4139</v>
      </c>
      <c r="V433" s="41" t="s">
        <v>319</v>
      </c>
      <c r="W433" s="41" t="s">
        <v>354</v>
      </c>
      <c r="X433" s="41" t="s">
        <v>355</v>
      </c>
      <c r="Y433" s="40">
        <v>3825</v>
      </c>
      <c r="Z433" s="40">
        <v>3825</v>
      </c>
      <c r="AA433" s="40">
        <v>43225</v>
      </c>
      <c r="AB433" s="41"/>
      <c r="AC433" s="41"/>
      <c r="AD433" s="41"/>
      <c r="AE433" s="41"/>
      <c r="AF433" s="41" t="s">
        <v>4136</v>
      </c>
      <c r="AG433" s="41" t="s">
        <v>356</v>
      </c>
      <c r="AH433" s="41" t="s">
        <v>4140</v>
      </c>
      <c r="AI433" s="41" t="s">
        <v>3377</v>
      </c>
    </row>
    <row r="434" spans="1:35" x14ac:dyDescent="0.2">
      <c r="A434" s="53">
        <v>43325</v>
      </c>
      <c r="B434" s="41" t="s">
        <v>4136</v>
      </c>
      <c r="C434" s="41" t="s">
        <v>4141</v>
      </c>
      <c r="D434" s="41" t="s">
        <v>312</v>
      </c>
      <c r="E434" s="55">
        <v>923228</v>
      </c>
      <c r="F434" s="41" t="s">
        <v>158</v>
      </c>
      <c r="G434" s="41" t="s">
        <v>159</v>
      </c>
      <c r="H434" s="41" t="s">
        <v>160</v>
      </c>
      <c r="I434" s="41" t="s">
        <v>31</v>
      </c>
      <c r="J434" s="41" t="s">
        <v>32</v>
      </c>
      <c r="K434" s="41" t="s">
        <v>33</v>
      </c>
      <c r="L434" s="50">
        <v>228260</v>
      </c>
      <c r="M434" s="50">
        <v>0</v>
      </c>
      <c r="N434" s="50">
        <v>228260</v>
      </c>
      <c r="O434" s="50">
        <v>0</v>
      </c>
      <c r="P434" s="43" t="s">
        <v>351</v>
      </c>
      <c r="Q434" s="40">
        <v>3171437</v>
      </c>
      <c r="R434" s="41" t="s">
        <v>2076</v>
      </c>
      <c r="S434" s="41" t="s">
        <v>316</v>
      </c>
      <c r="T434" s="41" t="s">
        <v>317</v>
      </c>
      <c r="U434" s="41" t="s">
        <v>2077</v>
      </c>
      <c r="V434" s="41" t="s">
        <v>319</v>
      </c>
      <c r="W434" s="41" t="s">
        <v>392</v>
      </c>
      <c r="X434" s="41" t="s">
        <v>393</v>
      </c>
      <c r="Y434" s="40">
        <v>3425</v>
      </c>
      <c r="Z434" s="40">
        <v>3425</v>
      </c>
      <c r="AA434" s="40">
        <v>43325</v>
      </c>
      <c r="AB434" s="41"/>
      <c r="AC434" s="41" t="s">
        <v>3641</v>
      </c>
      <c r="AD434" s="41"/>
      <c r="AE434" s="41"/>
      <c r="AF434" s="41" t="s">
        <v>4136</v>
      </c>
      <c r="AG434" s="41" t="s">
        <v>1929</v>
      </c>
      <c r="AH434" s="41" t="s">
        <v>4142</v>
      </c>
      <c r="AI434" s="41" t="s">
        <v>4143</v>
      </c>
    </row>
    <row r="435" spans="1:35" x14ac:dyDescent="0.2">
      <c r="A435" s="53">
        <v>43425</v>
      </c>
      <c r="B435" s="41" t="s">
        <v>4136</v>
      </c>
      <c r="C435" s="41" t="s">
        <v>4144</v>
      </c>
      <c r="D435" s="41" t="s">
        <v>312</v>
      </c>
      <c r="E435" s="55">
        <v>923228</v>
      </c>
      <c r="F435" s="41" t="s">
        <v>158</v>
      </c>
      <c r="G435" s="41" t="s">
        <v>159</v>
      </c>
      <c r="H435" s="41" t="s">
        <v>160</v>
      </c>
      <c r="I435" s="41" t="s">
        <v>31</v>
      </c>
      <c r="J435" s="41" t="s">
        <v>32</v>
      </c>
      <c r="K435" s="41" t="s">
        <v>33</v>
      </c>
      <c r="L435" s="50">
        <v>156195</v>
      </c>
      <c r="M435" s="50">
        <v>0</v>
      </c>
      <c r="N435" s="50">
        <v>156195</v>
      </c>
      <c r="O435" s="50">
        <v>0</v>
      </c>
      <c r="P435" s="43" t="s">
        <v>351</v>
      </c>
      <c r="Q435" s="40">
        <v>1022371659</v>
      </c>
      <c r="R435" s="41" t="s">
        <v>2065</v>
      </c>
      <c r="S435" s="41" t="s">
        <v>316</v>
      </c>
      <c r="T435" s="41" t="s">
        <v>317</v>
      </c>
      <c r="U435" s="41" t="s">
        <v>2066</v>
      </c>
      <c r="V435" s="41" t="s">
        <v>319</v>
      </c>
      <c r="W435" s="41" t="s">
        <v>354</v>
      </c>
      <c r="X435" s="41" t="s">
        <v>355</v>
      </c>
      <c r="Y435" s="40">
        <v>3425</v>
      </c>
      <c r="Z435" s="40">
        <v>3425</v>
      </c>
      <c r="AA435" s="40">
        <v>43425</v>
      </c>
      <c r="AB435" s="41"/>
      <c r="AC435" s="41" t="s">
        <v>4316</v>
      </c>
      <c r="AD435" s="41"/>
      <c r="AE435" s="41"/>
      <c r="AF435" s="41" t="s">
        <v>4136</v>
      </c>
      <c r="AG435" s="41" t="s">
        <v>1929</v>
      </c>
      <c r="AH435" s="41" t="s">
        <v>4145</v>
      </c>
      <c r="AI435" s="41" t="s">
        <v>4146</v>
      </c>
    </row>
    <row r="436" spans="1:35" x14ac:dyDescent="0.2">
      <c r="A436" s="53">
        <v>43525</v>
      </c>
      <c r="B436" s="41" t="s">
        <v>4136</v>
      </c>
      <c r="C436" s="41" t="s">
        <v>4147</v>
      </c>
      <c r="D436" s="41" t="s">
        <v>27</v>
      </c>
      <c r="E436" s="55">
        <v>923284</v>
      </c>
      <c r="F436" s="41" t="s">
        <v>163</v>
      </c>
      <c r="G436" s="41" t="s">
        <v>159</v>
      </c>
      <c r="H436" s="41" t="s">
        <v>160</v>
      </c>
      <c r="I436" s="41" t="s">
        <v>31</v>
      </c>
      <c r="J436" s="41" t="s">
        <v>32</v>
      </c>
      <c r="K436" s="41" t="s">
        <v>33</v>
      </c>
      <c r="L436" s="50">
        <v>46302667</v>
      </c>
      <c r="M436" s="50">
        <v>0</v>
      </c>
      <c r="N436" s="50">
        <v>46302667</v>
      </c>
      <c r="O436" s="50">
        <v>46302667</v>
      </c>
      <c r="P436" s="43" t="s">
        <v>351</v>
      </c>
      <c r="Q436" s="40">
        <v>28551210</v>
      </c>
      <c r="R436" s="41" t="s">
        <v>4148</v>
      </c>
      <c r="S436" s="41" t="s">
        <v>316</v>
      </c>
      <c r="T436" s="41" t="s">
        <v>317</v>
      </c>
      <c r="U436" s="41" t="s">
        <v>4149</v>
      </c>
      <c r="V436" s="41" t="s">
        <v>319</v>
      </c>
      <c r="W436" s="41" t="s">
        <v>373</v>
      </c>
      <c r="X436" s="41" t="s">
        <v>374</v>
      </c>
      <c r="Y436" s="40">
        <v>3325</v>
      </c>
      <c r="Z436" s="40">
        <v>3325</v>
      </c>
      <c r="AA436" s="40">
        <v>43525</v>
      </c>
      <c r="AB436" s="41"/>
      <c r="AC436" s="41"/>
      <c r="AD436" s="41"/>
      <c r="AE436" s="41"/>
      <c r="AF436" s="41" t="s">
        <v>4136</v>
      </c>
      <c r="AG436" s="41" t="s">
        <v>356</v>
      </c>
      <c r="AH436" s="41" t="s">
        <v>4150</v>
      </c>
      <c r="AI436" s="41" t="s">
        <v>4123</v>
      </c>
    </row>
    <row r="437" spans="1:35" x14ac:dyDescent="0.2">
      <c r="A437" s="53">
        <v>43625</v>
      </c>
      <c r="B437" s="41" t="s">
        <v>4136</v>
      </c>
      <c r="C437" s="41" t="s">
        <v>4151</v>
      </c>
      <c r="D437" s="41" t="s">
        <v>27</v>
      </c>
      <c r="E437" s="55">
        <v>923210</v>
      </c>
      <c r="F437" s="41" t="s">
        <v>56</v>
      </c>
      <c r="G437" s="41" t="s">
        <v>29</v>
      </c>
      <c r="H437" s="41" t="s">
        <v>30</v>
      </c>
      <c r="I437" s="41" t="s">
        <v>31</v>
      </c>
      <c r="J437" s="41" t="s">
        <v>32</v>
      </c>
      <c r="K437" s="41" t="s">
        <v>33</v>
      </c>
      <c r="L437" s="50">
        <v>11924928</v>
      </c>
      <c r="M437" s="50">
        <v>0</v>
      </c>
      <c r="N437" s="50">
        <v>11924928</v>
      </c>
      <c r="O437" s="50">
        <v>11924928</v>
      </c>
      <c r="P437" s="43" t="s">
        <v>351</v>
      </c>
      <c r="Q437" s="40">
        <v>53102000</v>
      </c>
      <c r="R437" s="41" t="s">
        <v>4152</v>
      </c>
      <c r="S437" s="41" t="s">
        <v>316</v>
      </c>
      <c r="T437" s="41" t="s">
        <v>317</v>
      </c>
      <c r="U437" s="41" t="s">
        <v>4153</v>
      </c>
      <c r="V437" s="41" t="s">
        <v>319</v>
      </c>
      <c r="W437" s="41" t="s">
        <v>354</v>
      </c>
      <c r="X437" s="41" t="s">
        <v>355</v>
      </c>
      <c r="Y437" s="40">
        <v>1925</v>
      </c>
      <c r="Z437" s="40">
        <v>1925</v>
      </c>
      <c r="AA437" s="40">
        <v>43625</v>
      </c>
      <c r="AB437" s="41"/>
      <c r="AC437" s="41"/>
      <c r="AD437" s="41"/>
      <c r="AE437" s="41"/>
      <c r="AF437" s="41" t="s">
        <v>4136</v>
      </c>
      <c r="AG437" s="41" t="s">
        <v>356</v>
      </c>
      <c r="AH437" s="41" t="s">
        <v>4154</v>
      </c>
      <c r="AI437" s="41" t="s">
        <v>4155</v>
      </c>
    </row>
    <row r="438" spans="1:35" x14ac:dyDescent="0.2">
      <c r="A438" s="53">
        <v>43725</v>
      </c>
      <c r="B438" s="41" t="s">
        <v>4136</v>
      </c>
      <c r="C438" s="41" t="s">
        <v>4156</v>
      </c>
      <c r="D438" s="41" t="s">
        <v>27</v>
      </c>
      <c r="E438" s="55">
        <v>923242</v>
      </c>
      <c r="F438" s="41" t="s">
        <v>175</v>
      </c>
      <c r="G438" s="41" t="s">
        <v>29</v>
      </c>
      <c r="H438" s="41" t="s">
        <v>30</v>
      </c>
      <c r="I438" s="41" t="s">
        <v>31</v>
      </c>
      <c r="J438" s="41" t="s">
        <v>32</v>
      </c>
      <c r="K438" s="41" t="s">
        <v>33</v>
      </c>
      <c r="L438" s="50">
        <v>34023546</v>
      </c>
      <c r="M438" s="50">
        <v>0</v>
      </c>
      <c r="N438" s="50">
        <v>34023546</v>
      </c>
      <c r="O438" s="50">
        <v>34023546</v>
      </c>
      <c r="P438" s="43" t="s">
        <v>351</v>
      </c>
      <c r="Q438" s="40">
        <v>79217571</v>
      </c>
      <c r="R438" s="41" t="s">
        <v>4157</v>
      </c>
      <c r="S438" s="41" t="s">
        <v>316</v>
      </c>
      <c r="T438" s="41" t="s">
        <v>317</v>
      </c>
      <c r="U438" s="41" t="s">
        <v>4158</v>
      </c>
      <c r="V438" s="41" t="s">
        <v>319</v>
      </c>
      <c r="W438" s="41" t="s">
        <v>341</v>
      </c>
      <c r="X438" s="41" t="s">
        <v>342</v>
      </c>
      <c r="Y438" s="40">
        <v>3625</v>
      </c>
      <c r="Z438" s="40">
        <v>3625</v>
      </c>
      <c r="AA438" s="40">
        <v>43725</v>
      </c>
      <c r="AB438" s="41"/>
      <c r="AC438" s="41"/>
      <c r="AD438" s="41"/>
      <c r="AE438" s="41"/>
      <c r="AF438" s="41" t="s">
        <v>4136</v>
      </c>
      <c r="AG438" s="41" t="s">
        <v>356</v>
      </c>
      <c r="AH438" s="41" t="s">
        <v>4159</v>
      </c>
      <c r="AI438" s="41" t="s">
        <v>4160</v>
      </c>
    </row>
    <row r="439" spans="1:35" x14ac:dyDescent="0.2">
      <c r="A439" s="53">
        <v>43825</v>
      </c>
      <c r="B439" s="41" t="s">
        <v>3576</v>
      </c>
      <c r="C439" s="41" t="s">
        <v>4161</v>
      </c>
      <c r="D439" s="41" t="s">
        <v>312</v>
      </c>
      <c r="E439" s="55">
        <v>923284</v>
      </c>
      <c r="F439" s="41" t="s">
        <v>163</v>
      </c>
      <c r="G439" s="41" t="s">
        <v>159</v>
      </c>
      <c r="H439" s="41" t="s">
        <v>160</v>
      </c>
      <c r="I439" s="41" t="s">
        <v>31</v>
      </c>
      <c r="J439" s="41" t="s">
        <v>32</v>
      </c>
      <c r="K439" s="41" t="s">
        <v>33</v>
      </c>
      <c r="L439" s="50">
        <v>312390</v>
      </c>
      <c r="M439" s="50">
        <v>0</v>
      </c>
      <c r="N439" s="50">
        <v>312390</v>
      </c>
      <c r="O439" s="50">
        <v>0</v>
      </c>
      <c r="P439" s="43" t="s">
        <v>351</v>
      </c>
      <c r="Q439" s="40">
        <v>80500306</v>
      </c>
      <c r="R439" s="41" t="s">
        <v>2109</v>
      </c>
      <c r="S439" s="41" t="s">
        <v>316</v>
      </c>
      <c r="T439" s="41" t="s">
        <v>317</v>
      </c>
      <c r="U439" s="41" t="s">
        <v>2110</v>
      </c>
      <c r="V439" s="41" t="s">
        <v>319</v>
      </c>
      <c r="W439" s="41" t="s">
        <v>392</v>
      </c>
      <c r="X439" s="41" t="s">
        <v>393</v>
      </c>
      <c r="Y439" s="40">
        <v>3425</v>
      </c>
      <c r="Z439" s="40">
        <v>3425</v>
      </c>
      <c r="AA439" s="40">
        <v>43825</v>
      </c>
      <c r="AB439" s="41"/>
      <c r="AC439" s="41" t="s">
        <v>4252</v>
      </c>
      <c r="AD439" s="41"/>
      <c r="AE439" s="41"/>
      <c r="AF439" s="41" t="s">
        <v>3576</v>
      </c>
      <c r="AG439" s="41" t="s">
        <v>1929</v>
      </c>
      <c r="AH439" s="41" t="s">
        <v>4162</v>
      </c>
      <c r="AI439" s="41" t="s">
        <v>4163</v>
      </c>
    </row>
    <row r="440" spans="1:35" x14ac:dyDescent="0.2">
      <c r="A440" s="53">
        <v>43925</v>
      </c>
      <c r="B440" s="41" t="s">
        <v>3576</v>
      </c>
      <c r="C440" s="41" t="s">
        <v>4164</v>
      </c>
      <c r="D440" s="41" t="s">
        <v>312</v>
      </c>
      <c r="E440" s="55">
        <v>923238</v>
      </c>
      <c r="F440" s="41" t="s">
        <v>569</v>
      </c>
      <c r="G440" s="41" t="s">
        <v>29</v>
      </c>
      <c r="H440" s="41" t="s">
        <v>30</v>
      </c>
      <c r="I440" s="41" t="s">
        <v>31</v>
      </c>
      <c r="J440" s="41" t="s">
        <v>32</v>
      </c>
      <c r="K440" s="41" t="s">
        <v>33</v>
      </c>
      <c r="L440" s="50">
        <v>519029</v>
      </c>
      <c r="M440" s="50">
        <v>0</v>
      </c>
      <c r="N440" s="50">
        <v>519029</v>
      </c>
      <c r="O440" s="50">
        <v>0</v>
      </c>
      <c r="P440" s="43" t="s">
        <v>351</v>
      </c>
      <c r="Q440" s="40">
        <v>11315001</v>
      </c>
      <c r="R440" s="41" t="s">
        <v>2037</v>
      </c>
      <c r="S440" s="41" t="s">
        <v>316</v>
      </c>
      <c r="T440" s="41" t="s">
        <v>317</v>
      </c>
      <c r="U440" s="41" t="s">
        <v>2038</v>
      </c>
      <c r="V440" s="41" t="s">
        <v>319</v>
      </c>
      <c r="W440" s="41" t="s">
        <v>341</v>
      </c>
      <c r="X440" s="41" t="s">
        <v>342</v>
      </c>
      <c r="Y440" s="40">
        <v>325</v>
      </c>
      <c r="Z440" s="40">
        <v>325</v>
      </c>
      <c r="AA440" s="40">
        <v>43925</v>
      </c>
      <c r="AB440" s="41"/>
      <c r="AC440" s="41" t="s">
        <v>4373</v>
      </c>
      <c r="AD440" s="41"/>
      <c r="AE440" s="41"/>
      <c r="AF440" s="41" t="s">
        <v>3576</v>
      </c>
      <c r="AG440" s="41" t="s">
        <v>1929</v>
      </c>
      <c r="AH440" s="41" t="s">
        <v>4165</v>
      </c>
      <c r="AI440" s="41" t="s">
        <v>4166</v>
      </c>
    </row>
    <row r="441" spans="1:35" x14ac:dyDescent="0.2">
      <c r="A441" s="53">
        <v>44025</v>
      </c>
      <c r="B441" s="41" t="s">
        <v>3576</v>
      </c>
      <c r="C441" s="41" t="s">
        <v>4167</v>
      </c>
      <c r="D441" s="41" t="s">
        <v>312</v>
      </c>
      <c r="E441" s="55">
        <v>923211</v>
      </c>
      <c r="F441" s="41" t="s">
        <v>69</v>
      </c>
      <c r="G441" s="41" t="s">
        <v>29</v>
      </c>
      <c r="H441" s="41" t="s">
        <v>30</v>
      </c>
      <c r="I441" s="41" t="s">
        <v>31</v>
      </c>
      <c r="J441" s="41" t="s">
        <v>32</v>
      </c>
      <c r="K441" s="41" t="s">
        <v>33</v>
      </c>
      <c r="L441" s="50">
        <v>166195</v>
      </c>
      <c r="M441" s="50">
        <v>0</v>
      </c>
      <c r="N441" s="50">
        <v>166195</v>
      </c>
      <c r="O441" s="50">
        <v>0</v>
      </c>
      <c r="P441" s="43" t="s">
        <v>351</v>
      </c>
      <c r="Q441" s="40">
        <v>79536962</v>
      </c>
      <c r="R441" s="41" t="s">
        <v>1287</v>
      </c>
      <c r="S441" s="41" t="s">
        <v>316</v>
      </c>
      <c r="T441" s="41" t="s">
        <v>317</v>
      </c>
      <c r="U441" s="41" t="s">
        <v>1288</v>
      </c>
      <c r="V441" s="41" t="s">
        <v>319</v>
      </c>
      <c r="W441" s="41" t="s">
        <v>354</v>
      </c>
      <c r="X441" s="41" t="s">
        <v>355</v>
      </c>
      <c r="Y441" s="40">
        <v>925</v>
      </c>
      <c r="Z441" s="40">
        <v>925</v>
      </c>
      <c r="AA441" s="40">
        <v>44025</v>
      </c>
      <c r="AB441" s="41"/>
      <c r="AC441" s="41" t="s">
        <v>3741</v>
      </c>
      <c r="AD441" s="41"/>
      <c r="AE441" s="41"/>
      <c r="AF441" s="41" t="s">
        <v>3576</v>
      </c>
      <c r="AG441" s="41" t="s">
        <v>1929</v>
      </c>
      <c r="AH441" s="41" t="s">
        <v>4168</v>
      </c>
      <c r="AI441" s="41" t="s">
        <v>4169</v>
      </c>
    </row>
    <row r="442" spans="1:35" x14ac:dyDescent="0.2">
      <c r="A442" s="53">
        <v>44125</v>
      </c>
      <c r="B442" s="41" t="s">
        <v>3576</v>
      </c>
      <c r="C442" s="41" t="s">
        <v>4170</v>
      </c>
      <c r="D442" s="41" t="s">
        <v>312</v>
      </c>
      <c r="E442" s="55">
        <v>923211</v>
      </c>
      <c r="F442" s="41" t="s">
        <v>69</v>
      </c>
      <c r="G442" s="41" t="s">
        <v>29</v>
      </c>
      <c r="H442" s="41" t="s">
        <v>30</v>
      </c>
      <c r="I442" s="41" t="s">
        <v>31</v>
      </c>
      <c r="J442" s="41" t="s">
        <v>32</v>
      </c>
      <c r="K442" s="41" t="s">
        <v>33</v>
      </c>
      <c r="L442" s="50">
        <v>312390</v>
      </c>
      <c r="M442" s="50">
        <v>0</v>
      </c>
      <c r="N442" s="50">
        <v>312390</v>
      </c>
      <c r="O442" s="50">
        <v>0</v>
      </c>
      <c r="P442" s="43" t="s">
        <v>351</v>
      </c>
      <c r="Q442" s="40">
        <v>53931238</v>
      </c>
      <c r="R442" s="41" t="s">
        <v>1203</v>
      </c>
      <c r="S442" s="41" t="s">
        <v>316</v>
      </c>
      <c r="T442" s="41" t="s">
        <v>317</v>
      </c>
      <c r="U442" s="41" t="s">
        <v>1204</v>
      </c>
      <c r="V442" s="41" t="s">
        <v>319</v>
      </c>
      <c r="W442" s="41" t="s">
        <v>354</v>
      </c>
      <c r="X442" s="41" t="s">
        <v>355</v>
      </c>
      <c r="Y442" s="40">
        <v>925</v>
      </c>
      <c r="Z442" s="40">
        <v>925</v>
      </c>
      <c r="AA442" s="40">
        <v>44125</v>
      </c>
      <c r="AB442" s="41"/>
      <c r="AC442" s="41" t="s">
        <v>3701</v>
      </c>
      <c r="AD442" s="41"/>
      <c r="AE442" s="41"/>
      <c r="AF442" s="41" t="s">
        <v>3576</v>
      </c>
      <c r="AG442" s="41" t="s">
        <v>1929</v>
      </c>
      <c r="AH442" s="41" t="s">
        <v>4171</v>
      </c>
      <c r="AI442" s="41" t="s">
        <v>4172</v>
      </c>
    </row>
    <row r="443" spans="1:35" x14ac:dyDescent="0.2">
      <c r="A443" s="53">
        <v>44225</v>
      </c>
      <c r="B443" s="41" t="s">
        <v>3576</v>
      </c>
      <c r="C443" s="41" t="s">
        <v>4173</v>
      </c>
      <c r="D443" s="41" t="s">
        <v>312</v>
      </c>
      <c r="E443" s="55">
        <v>923210</v>
      </c>
      <c r="F443" s="41" t="s">
        <v>56</v>
      </c>
      <c r="G443" s="41" t="s">
        <v>29</v>
      </c>
      <c r="H443" s="41" t="s">
        <v>30</v>
      </c>
      <c r="I443" s="41" t="s">
        <v>31</v>
      </c>
      <c r="J443" s="41" t="s">
        <v>32</v>
      </c>
      <c r="K443" s="41" t="s">
        <v>33</v>
      </c>
      <c r="L443" s="50">
        <v>70400</v>
      </c>
      <c r="M443" s="50">
        <v>0</v>
      </c>
      <c r="N443" s="50">
        <v>70400</v>
      </c>
      <c r="O443" s="50">
        <v>0</v>
      </c>
      <c r="P443" s="43" t="s">
        <v>351</v>
      </c>
      <c r="Q443" s="40">
        <v>79205725</v>
      </c>
      <c r="R443" s="41" t="s">
        <v>1877</v>
      </c>
      <c r="S443" s="41" t="s">
        <v>316</v>
      </c>
      <c r="T443" s="41" t="s">
        <v>317</v>
      </c>
      <c r="U443" s="41" t="s">
        <v>1878</v>
      </c>
      <c r="V443" s="41" t="s">
        <v>319</v>
      </c>
      <c r="W443" s="41" t="s">
        <v>418</v>
      </c>
      <c r="X443" s="41" t="s">
        <v>419</v>
      </c>
      <c r="Y443" s="40">
        <v>1625</v>
      </c>
      <c r="Z443" s="40">
        <v>1625</v>
      </c>
      <c r="AA443" s="40">
        <v>44225</v>
      </c>
      <c r="AB443" s="41"/>
      <c r="AC443" s="41" t="s">
        <v>3726</v>
      </c>
      <c r="AD443" s="41"/>
      <c r="AE443" s="41"/>
      <c r="AF443" s="41" t="s">
        <v>3576</v>
      </c>
      <c r="AG443" s="41" t="s">
        <v>1929</v>
      </c>
      <c r="AH443" s="41" t="s">
        <v>4174</v>
      </c>
      <c r="AI443" s="41" t="s">
        <v>4175</v>
      </c>
    </row>
    <row r="444" spans="1:35" x14ac:dyDescent="0.2">
      <c r="A444" s="53">
        <v>44325</v>
      </c>
      <c r="B444" s="41" t="s">
        <v>3576</v>
      </c>
      <c r="C444" s="41" t="s">
        <v>4176</v>
      </c>
      <c r="D444" s="41" t="s">
        <v>312</v>
      </c>
      <c r="E444" s="55">
        <v>923210</v>
      </c>
      <c r="F444" s="41" t="s">
        <v>56</v>
      </c>
      <c r="G444" s="41" t="s">
        <v>29</v>
      </c>
      <c r="H444" s="41" t="s">
        <v>30</v>
      </c>
      <c r="I444" s="41" t="s">
        <v>47</v>
      </c>
      <c r="J444" s="41" t="s">
        <v>48</v>
      </c>
      <c r="K444" s="41" t="s">
        <v>33</v>
      </c>
      <c r="L444" s="50">
        <v>3063140</v>
      </c>
      <c r="M444" s="50">
        <v>0</v>
      </c>
      <c r="N444" s="50">
        <v>3063140</v>
      </c>
      <c r="O444" s="50">
        <v>0</v>
      </c>
      <c r="P444" s="43" t="s">
        <v>314</v>
      </c>
      <c r="Q444" s="40">
        <v>860063875</v>
      </c>
      <c r="R444" s="41" t="s">
        <v>315</v>
      </c>
      <c r="S444" s="41" t="s">
        <v>316</v>
      </c>
      <c r="T444" s="41" t="s">
        <v>317</v>
      </c>
      <c r="U444" s="41" t="s">
        <v>318</v>
      </c>
      <c r="V444" s="41" t="s">
        <v>319</v>
      </c>
      <c r="W444" s="41" t="s">
        <v>320</v>
      </c>
      <c r="X444" s="41" t="s">
        <v>321</v>
      </c>
      <c r="Y444" s="40">
        <v>1225</v>
      </c>
      <c r="Z444" s="40">
        <v>1225</v>
      </c>
      <c r="AA444" s="40">
        <v>44325</v>
      </c>
      <c r="AB444" s="41" t="s">
        <v>213</v>
      </c>
      <c r="AC444" s="41" t="s">
        <v>3575</v>
      </c>
      <c r="AD444" s="41" t="s">
        <v>3570</v>
      </c>
      <c r="AE444" s="41"/>
      <c r="AF444" s="41" t="s">
        <v>3576</v>
      </c>
      <c r="AG444" s="41" t="s">
        <v>323</v>
      </c>
      <c r="AH444" s="41" t="s">
        <v>3577</v>
      </c>
      <c r="AI444" s="41" t="s">
        <v>3578</v>
      </c>
    </row>
    <row r="445" spans="1:35" x14ac:dyDescent="0.2">
      <c r="A445" s="53">
        <v>44425</v>
      </c>
      <c r="B445" s="41" t="s">
        <v>3897</v>
      </c>
      <c r="C445" s="41" t="s">
        <v>4177</v>
      </c>
      <c r="D445" s="41" t="s">
        <v>312</v>
      </c>
      <c r="E445" s="55">
        <v>923238</v>
      </c>
      <c r="F445" s="41" t="s">
        <v>569</v>
      </c>
      <c r="G445" s="41" t="s">
        <v>29</v>
      </c>
      <c r="H445" s="41" t="s">
        <v>30</v>
      </c>
      <c r="I445" s="41" t="s">
        <v>31</v>
      </c>
      <c r="J445" s="41" t="s">
        <v>32</v>
      </c>
      <c r="K445" s="41" t="s">
        <v>33</v>
      </c>
      <c r="L445" s="50">
        <v>312390</v>
      </c>
      <c r="M445" s="50">
        <v>0</v>
      </c>
      <c r="N445" s="50">
        <v>312390</v>
      </c>
      <c r="O445" s="50">
        <v>0</v>
      </c>
      <c r="P445" s="43" t="s">
        <v>351</v>
      </c>
      <c r="Q445" s="40">
        <v>1012439964</v>
      </c>
      <c r="R445" s="41" t="s">
        <v>1055</v>
      </c>
      <c r="S445" s="41" t="s">
        <v>316</v>
      </c>
      <c r="T445" s="41" t="s">
        <v>317</v>
      </c>
      <c r="U445" s="41" t="s">
        <v>1056</v>
      </c>
      <c r="V445" s="41" t="s">
        <v>319</v>
      </c>
      <c r="W445" s="41" t="s">
        <v>341</v>
      </c>
      <c r="X445" s="41" t="s">
        <v>342</v>
      </c>
      <c r="Y445" s="40">
        <v>325</v>
      </c>
      <c r="Z445" s="40">
        <v>325</v>
      </c>
      <c r="AA445" s="40">
        <v>44425</v>
      </c>
      <c r="AB445" s="41"/>
      <c r="AC445" s="41" t="s">
        <v>4294</v>
      </c>
      <c r="AD445" s="41"/>
      <c r="AE445" s="41"/>
      <c r="AF445" s="41" t="s">
        <v>3897</v>
      </c>
      <c r="AG445" s="41" t="s">
        <v>1929</v>
      </c>
      <c r="AH445" s="41" t="s">
        <v>4178</v>
      </c>
      <c r="AI445" s="41" t="s">
        <v>4179</v>
      </c>
    </row>
    <row r="446" spans="1:35" x14ac:dyDescent="0.2">
      <c r="A446" s="53">
        <v>44525</v>
      </c>
      <c r="B446" s="41" t="s">
        <v>3897</v>
      </c>
      <c r="C446" s="41" t="s">
        <v>4180</v>
      </c>
      <c r="D446" s="41" t="s">
        <v>312</v>
      </c>
      <c r="E446" s="55">
        <v>923210</v>
      </c>
      <c r="F446" s="41" t="s">
        <v>56</v>
      </c>
      <c r="G446" s="41" t="s">
        <v>57</v>
      </c>
      <c r="H446" s="41" t="s">
        <v>58</v>
      </c>
      <c r="I446" s="41" t="s">
        <v>31</v>
      </c>
      <c r="J446" s="41" t="s">
        <v>32</v>
      </c>
      <c r="K446" s="41" t="s">
        <v>33</v>
      </c>
      <c r="L446" s="50">
        <v>429688</v>
      </c>
      <c r="M446" s="50">
        <v>0</v>
      </c>
      <c r="N446" s="50">
        <v>429688</v>
      </c>
      <c r="O446" s="50">
        <v>0</v>
      </c>
      <c r="P446" s="43" t="s">
        <v>351</v>
      </c>
      <c r="Q446" s="40">
        <v>1070825199</v>
      </c>
      <c r="R446" s="41" t="s">
        <v>2777</v>
      </c>
      <c r="S446" s="41" t="s">
        <v>316</v>
      </c>
      <c r="T446" s="41" t="s">
        <v>317</v>
      </c>
      <c r="U446" s="41" t="s">
        <v>2778</v>
      </c>
      <c r="V446" s="41" t="s">
        <v>319</v>
      </c>
      <c r="W446" s="41" t="s">
        <v>341</v>
      </c>
      <c r="X446" s="41" t="s">
        <v>342</v>
      </c>
      <c r="Y446" s="40">
        <v>625</v>
      </c>
      <c r="Z446" s="40">
        <v>625</v>
      </c>
      <c r="AA446" s="40">
        <v>44525</v>
      </c>
      <c r="AB446" s="41"/>
      <c r="AC446" s="41" t="s">
        <v>4344</v>
      </c>
      <c r="AD446" s="41"/>
      <c r="AE446" s="41"/>
      <c r="AF446" s="41" t="s">
        <v>3897</v>
      </c>
      <c r="AG446" s="41" t="s">
        <v>1929</v>
      </c>
      <c r="AH446" s="41" t="s">
        <v>4181</v>
      </c>
      <c r="AI446" s="41" t="s">
        <v>4182</v>
      </c>
    </row>
    <row r="447" spans="1:35" x14ac:dyDescent="0.2">
      <c r="A447" s="53">
        <v>44625</v>
      </c>
      <c r="B447" s="41" t="s">
        <v>3897</v>
      </c>
      <c r="C447" s="41" t="s">
        <v>4183</v>
      </c>
      <c r="D447" s="41" t="s">
        <v>27</v>
      </c>
      <c r="E447" s="55">
        <v>923218</v>
      </c>
      <c r="F447" s="41" t="s">
        <v>118</v>
      </c>
      <c r="G447" s="41" t="s">
        <v>29</v>
      </c>
      <c r="H447" s="41" t="s">
        <v>30</v>
      </c>
      <c r="I447" s="41" t="s">
        <v>47</v>
      </c>
      <c r="J447" s="41" t="s">
        <v>121</v>
      </c>
      <c r="K447" s="41" t="s">
        <v>33</v>
      </c>
      <c r="L447" s="50">
        <v>44001989</v>
      </c>
      <c r="M447" s="50">
        <v>0</v>
      </c>
      <c r="N447" s="50">
        <v>44001989</v>
      </c>
      <c r="O447" s="50">
        <v>44001989</v>
      </c>
      <c r="P447" s="43" t="s">
        <v>351</v>
      </c>
      <c r="Q447" s="40">
        <v>8002148</v>
      </c>
      <c r="R447" s="41" t="s">
        <v>4184</v>
      </c>
      <c r="S447" s="41" t="s">
        <v>316</v>
      </c>
      <c r="T447" s="41" t="s">
        <v>317</v>
      </c>
      <c r="U447" s="41" t="s">
        <v>4185</v>
      </c>
      <c r="V447" s="41" t="s">
        <v>319</v>
      </c>
      <c r="W447" s="41" t="s">
        <v>659</v>
      </c>
      <c r="X447" s="41" t="s">
        <v>660</v>
      </c>
      <c r="Y447" s="40">
        <v>2825</v>
      </c>
      <c r="Z447" s="40">
        <v>2825</v>
      </c>
      <c r="AA447" s="40">
        <v>44625</v>
      </c>
      <c r="AB447" s="41"/>
      <c r="AC447" s="41"/>
      <c r="AD447" s="41"/>
      <c r="AE447" s="41"/>
      <c r="AF447" s="41" t="s">
        <v>3897</v>
      </c>
      <c r="AG447" s="41" t="s">
        <v>356</v>
      </c>
      <c r="AH447" s="41" t="s">
        <v>4186</v>
      </c>
      <c r="AI447" s="41" t="s">
        <v>724</v>
      </c>
    </row>
    <row r="448" spans="1:35" x14ac:dyDescent="0.2">
      <c r="A448" s="53">
        <v>44725</v>
      </c>
      <c r="B448" s="41" t="s">
        <v>3897</v>
      </c>
      <c r="C448" s="41" t="s">
        <v>4187</v>
      </c>
      <c r="D448" s="41" t="s">
        <v>312</v>
      </c>
      <c r="E448" s="55">
        <v>923211</v>
      </c>
      <c r="F448" s="41" t="s">
        <v>69</v>
      </c>
      <c r="G448" s="41" t="s">
        <v>29</v>
      </c>
      <c r="H448" s="41" t="s">
        <v>30</v>
      </c>
      <c r="I448" s="41" t="s">
        <v>31</v>
      </c>
      <c r="J448" s="41" t="s">
        <v>32</v>
      </c>
      <c r="K448" s="41" t="s">
        <v>33</v>
      </c>
      <c r="L448" s="50">
        <v>478585</v>
      </c>
      <c r="M448" s="50">
        <v>0</v>
      </c>
      <c r="N448" s="50">
        <v>478585</v>
      </c>
      <c r="O448" s="50">
        <v>0</v>
      </c>
      <c r="P448" s="43" t="s">
        <v>351</v>
      </c>
      <c r="Q448" s="40">
        <v>1026307427</v>
      </c>
      <c r="R448" s="41" t="s">
        <v>2147</v>
      </c>
      <c r="S448" s="41" t="s">
        <v>316</v>
      </c>
      <c r="T448" s="41" t="s">
        <v>317</v>
      </c>
      <c r="U448" s="41" t="s">
        <v>3581</v>
      </c>
      <c r="V448" s="41" t="s">
        <v>319</v>
      </c>
      <c r="W448" s="41" t="s">
        <v>418</v>
      </c>
      <c r="X448" s="41" t="s">
        <v>419</v>
      </c>
      <c r="Y448" s="40">
        <v>925</v>
      </c>
      <c r="Z448" s="40">
        <v>925</v>
      </c>
      <c r="AA448" s="40">
        <v>44725</v>
      </c>
      <c r="AB448" s="41"/>
      <c r="AC448" s="41" t="s">
        <v>4320</v>
      </c>
      <c r="AD448" s="41"/>
      <c r="AE448" s="41"/>
      <c r="AF448" s="41" t="s">
        <v>3897</v>
      </c>
      <c r="AG448" s="41" t="s">
        <v>1929</v>
      </c>
      <c r="AH448" s="41" t="s">
        <v>4188</v>
      </c>
      <c r="AI448" s="41" t="s">
        <v>4189</v>
      </c>
    </row>
    <row r="449" spans="1:35" x14ac:dyDescent="0.2">
      <c r="A449" s="53">
        <v>44825</v>
      </c>
      <c r="B449" s="41" t="s">
        <v>3897</v>
      </c>
      <c r="C449" s="41" t="s">
        <v>4190</v>
      </c>
      <c r="D449" s="41" t="s">
        <v>312</v>
      </c>
      <c r="E449" s="55">
        <v>923211</v>
      </c>
      <c r="F449" s="41" t="s">
        <v>69</v>
      </c>
      <c r="G449" s="41" t="s">
        <v>29</v>
      </c>
      <c r="H449" s="41" t="s">
        <v>30</v>
      </c>
      <c r="I449" s="41" t="s">
        <v>31</v>
      </c>
      <c r="J449" s="41" t="s">
        <v>32</v>
      </c>
      <c r="K449" s="41" t="s">
        <v>33</v>
      </c>
      <c r="L449" s="50">
        <v>664780</v>
      </c>
      <c r="M449" s="50">
        <v>0</v>
      </c>
      <c r="N449" s="50">
        <v>664780</v>
      </c>
      <c r="O449" s="50">
        <v>0</v>
      </c>
      <c r="P449" s="43" t="s">
        <v>351</v>
      </c>
      <c r="Q449" s="40">
        <v>1010215433</v>
      </c>
      <c r="R449" s="41" t="s">
        <v>1228</v>
      </c>
      <c r="S449" s="41" t="s">
        <v>316</v>
      </c>
      <c r="T449" s="41" t="s">
        <v>317</v>
      </c>
      <c r="U449" s="41" t="s">
        <v>1229</v>
      </c>
      <c r="V449" s="41" t="s">
        <v>319</v>
      </c>
      <c r="W449" s="41" t="s">
        <v>354</v>
      </c>
      <c r="X449" s="41" t="s">
        <v>355</v>
      </c>
      <c r="Y449" s="40">
        <v>925</v>
      </c>
      <c r="Z449" s="40">
        <v>925</v>
      </c>
      <c r="AA449" s="40">
        <v>44825</v>
      </c>
      <c r="AB449" s="41"/>
      <c r="AC449" s="41" t="s">
        <v>4284</v>
      </c>
      <c r="AD449" s="41"/>
      <c r="AE449" s="41"/>
      <c r="AF449" s="41" t="s">
        <v>3897</v>
      </c>
      <c r="AG449" s="41" t="s">
        <v>1929</v>
      </c>
      <c r="AH449" s="41" t="s">
        <v>4191</v>
      </c>
      <c r="AI449" s="41" t="s">
        <v>4192</v>
      </c>
    </row>
    <row r="450" spans="1:35" x14ac:dyDescent="0.2">
      <c r="A450" s="53">
        <v>44925</v>
      </c>
      <c r="B450" s="41" t="s">
        <v>3897</v>
      </c>
      <c r="C450" s="41" t="s">
        <v>4193</v>
      </c>
      <c r="D450" s="41" t="s">
        <v>312</v>
      </c>
      <c r="E450" s="55">
        <v>923211</v>
      </c>
      <c r="F450" s="41" t="s">
        <v>69</v>
      </c>
      <c r="G450" s="41" t="s">
        <v>29</v>
      </c>
      <c r="H450" s="41" t="s">
        <v>30</v>
      </c>
      <c r="I450" s="41" t="s">
        <v>31</v>
      </c>
      <c r="J450" s="41" t="s">
        <v>32</v>
      </c>
      <c r="K450" s="41" t="s">
        <v>33</v>
      </c>
      <c r="L450" s="50">
        <v>478585</v>
      </c>
      <c r="M450" s="50">
        <v>0</v>
      </c>
      <c r="N450" s="50">
        <v>478585</v>
      </c>
      <c r="O450" s="50">
        <v>0</v>
      </c>
      <c r="P450" s="43" t="s">
        <v>351</v>
      </c>
      <c r="Q450" s="40">
        <v>11313776</v>
      </c>
      <c r="R450" s="41" t="s">
        <v>676</v>
      </c>
      <c r="S450" s="41" t="s">
        <v>316</v>
      </c>
      <c r="T450" s="41" t="s">
        <v>317</v>
      </c>
      <c r="U450" s="41" t="s">
        <v>2123</v>
      </c>
      <c r="V450" s="41" t="s">
        <v>319</v>
      </c>
      <c r="W450" s="41" t="s">
        <v>341</v>
      </c>
      <c r="X450" s="41" t="s">
        <v>342</v>
      </c>
      <c r="Y450" s="40">
        <v>925</v>
      </c>
      <c r="Z450" s="40">
        <v>925</v>
      </c>
      <c r="AA450" s="40">
        <v>44925</v>
      </c>
      <c r="AB450" s="41"/>
      <c r="AC450" s="41" t="s">
        <v>3666</v>
      </c>
      <c r="AD450" s="41"/>
      <c r="AE450" s="41"/>
      <c r="AF450" s="41" t="s">
        <v>3897</v>
      </c>
      <c r="AG450" s="41" t="s">
        <v>1929</v>
      </c>
      <c r="AH450" s="41" t="s">
        <v>4194</v>
      </c>
      <c r="AI450" s="41" t="s">
        <v>4195</v>
      </c>
    </row>
    <row r="451" spans="1:35" x14ac:dyDescent="0.2">
      <c r="A451" s="53">
        <v>45025</v>
      </c>
      <c r="B451" s="41" t="s">
        <v>3897</v>
      </c>
      <c r="C451" s="41" t="s">
        <v>4196</v>
      </c>
      <c r="D451" s="41" t="s">
        <v>312</v>
      </c>
      <c r="E451" s="55">
        <v>923211</v>
      </c>
      <c r="F451" s="41" t="s">
        <v>69</v>
      </c>
      <c r="G451" s="41" t="s">
        <v>29</v>
      </c>
      <c r="H451" s="41" t="s">
        <v>30</v>
      </c>
      <c r="I451" s="41" t="s">
        <v>31</v>
      </c>
      <c r="J451" s="41" t="s">
        <v>32</v>
      </c>
      <c r="K451" s="41" t="s">
        <v>33</v>
      </c>
      <c r="L451" s="50">
        <v>312390</v>
      </c>
      <c r="M451" s="50">
        <v>0</v>
      </c>
      <c r="N451" s="50">
        <v>312390</v>
      </c>
      <c r="O451" s="50">
        <v>0</v>
      </c>
      <c r="P451" s="43" t="s">
        <v>351</v>
      </c>
      <c r="Q451" s="40">
        <v>82395377</v>
      </c>
      <c r="R451" s="41" t="s">
        <v>1647</v>
      </c>
      <c r="S451" s="41" t="s">
        <v>316</v>
      </c>
      <c r="T451" s="41" t="s">
        <v>317</v>
      </c>
      <c r="U451" s="41" t="s">
        <v>1648</v>
      </c>
      <c r="V451" s="41" t="s">
        <v>319</v>
      </c>
      <c r="W451" s="41" t="s">
        <v>354</v>
      </c>
      <c r="X451" s="41" t="s">
        <v>355</v>
      </c>
      <c r="Y451" s="40">
        <v>925</v>
      </c>
      <c r="Z451" s="40">
        <v>925</v>
      </c>
      <c r="AA451" s="40">
        <v>45025</v>
      </c>
      <c r="AB451" s="41"/>
      <c r="AC451" s="41" t="s">
        <v>4260</v>
      </c>
      <c r="AD451" s="41"/>
      <c r="AE451" s="41"/>
      <c r="AF451" s="41" t="s">
        <v>3897</v>
      </c>
      <c r="AG451" s="41" t="s">
        <v>1929</v>
      </c>
      <c r="AH451" s="41" t="s">
        <v>4197</v>
      </c>
      <c r="AI451" s="41" t="s">
        <v>4198</v>
      </c>
    </row>
    <row r="452" spans="1:35" x14ac:dyDescent="0.2">
      <c r="A452" s="53">
        <v>45125</v>
      </c>
      <c r="B452" s="41" t="s">
        <v>3897</v>
      </c>
      <c r="C452" s="41" t="s">
        <v>4199</v>
      </c>
      <c r="D452" s="41" t="s">
        <v>312</v>
      </c>
      <c r="E452" s="55">
        <v>923211</v>
      </c>
      <c r="F452" s="41" t="s">
        <v>69</v>
      </c>
      <c r="G452" s="41" t="s">
        <v>29</v>
      </c>
      <c r="H452" s="41" t="s">
        <v>30</v>
      </c>
      <c r="I452" s="41" t="s">
        <v>31</v>
      </c>
      <c r="J452" s="41" t="s">
        <v>32</v>
      </c>
      <c r="K452" s="41" t="s">
        <v>33</v>
      </c>
      <c r="L452" s="50">
        <v>312390</v>
      </c>
      <c r="M452" s="50">
        <v>0</v>
      </c>
      <c r="N452" s="50">
        <v>312390</v>
      </c>
      <c r="O452" s="50">
        <v>0</v>
      </c>
      <c r="P452" s="43" t="s">
        <v>351</v>
      </c>
      <c r="Q452" s="40">
        <v>19281696</v>
      </c>
      <c r="R452" s="41" t="s">
        <v>1672</v>
      </c>
      <c r="S452" s="41" t="s">
        <v>316</v>
      </c>
      <c r="T452" s="41" t="s">
        <v>317</v>
      </c>
      <c r="U452" s="41" t="s">
        <v>1673</v>
      </c>
      <c r="V452" s="41" t="s">
        <v>319</v>
      </c>
      <c r="W452" s="41" t="s">
        <v>341</v>
      </c>
      <c r="X452" s="41" t="s">
        <v>342</v>
      </c>
      <c r="Y452" s="40">
        <v>925</v>
      </c>
      <c r="Z452" s="40">
        <v>925</v>
      </c>
      <c r="AA452" s="40">
        <v>45125</v>
      </c>
      <c r="AB452" s="41"/>
      <c r="AC452" s="41" t="s">
        <v>3676</v>
      </c>
      <c r="AD452" s="41"/>
      <c r="AE452" s="41"/>
      <c r="AF452" s="41" t="s">
        <v>3897</v>
      </c>
      <c r="AG452" s="41" t="s">
        <v>1929</v>
      </c>
      <c r="AH452" s="41" t="s">
        <v>4200</v>
      </c>
      <c r="AI452" s="41" t="s">
        <v>4201</v>
      </c>
    </row>
    <row r="453" spans="1:35" x14ac:dyDescent="0.2">
      <c r="A453" s="53">
        <v>45225</v>
      </c>
      <c r="B453" s="41" t="s">
        <v>3897</v>
      </c>
      <c r="C453" s="41" t="s">
        <v>4202</v>
      </c>
      <c r="D453" s="41" t="s">
        <v>27</v>
      </c>
      <c r="E453" s="55">
        <v>923227</v>
      </c>
      <c r="F453" s="41" t="s">
        <v>141</v>
      </c>
      <c r="G453" s="41" t="s">
        <v>142</v>
      </c>
      <c r="H453" s="41" t="s">
        <v>143</v>
      </c>
      <c r="I453" s="41" t="s">
        <v>31</v>
      </c>
      <c r="J453" s="41" t="s">
        <v>32</v>
      </c>
      <c r="K453" s="41" t="s">
        <v>33</v>
      </c>
      <c r="L453" s="50">
        <v>28914675</v>
      </c>
      <c r="M453" s="50">
        <v>0</v>
      </c>
      <c r="N453" s="50">
        <v>28914675</v>
      </c>
      <c r="O453" s="50">
        <v>28914675</v>
      </c>
      <c r="P453" s="43" t="s">
        <v>351</v>
      </c>
      <c r="Q453" s="40">
        <v>11206540</v>
      </c>
      <c r="R453" s="41" t="s">
        <v>4203</v>
      </c>
      <c r="S453" s="41" t="s">
        <v>316</v>
      </c>
      <c r="T453" s="41" t="s">
        <v>317</v>
      </c>
      <c r="U453" s="41" t="s">
        <v>4204</v>
      </c>
      <c r="V453" s="41" t="s">
        <v>319</v>
      </c>
      <c r="W453" s="41" t="s">
        <v>418</v>
      </c>
      <c r="X453" s="41" t="s">
        <v>419</v>
      </c>
      <c r="Y453" s="40">
        <v>3225</v>
      </c>
      <c r="Z453" s="40">
        <v>3225</v>
      </c>
      <c r="AA453" s="40">
        <v>45225</v>
      </c>
      <c r="AB453" s="41"/>
      <c r="AC453" s="41"/>
      <c r="AD453" s="41"/>
      <c r="AE453" s="41"/>
      <c r="AF453" s="41" t="s">
        <v>3897</v>
      </c>
      <c r="AG453" s="41" t="s">
        <v>362</v>
      </c>
      <c r="AH453" s="41" t="s">
        <v>4205</v>
      </c>
      <c r="AI453" s="41" t="s">
        <v>410</v>
      </c>
    </row>
    <row r="454" spans="1:35" x14ac:dyDescent="0.2">
      <c r="A454" s="53">
        <v>45325</v>
      </c>
      <c r="B454" s="41" t="s">
        <v>2804</v>
      </c>
      <c r="C454" s="41" t="s">
        <v>4206</v>
      </c>
      <c r="D454" s="41" t="s">
        <v>312</v>
      </c>
      <c r="E454" s="55">
        <v>923218</v>
      </c>
      <c r="F454" s="41" t="s">
        <v>118</v>
      </c>
      <c r="G454" s="41" t="s">
        <v>119</v>
      </c>
      <c r="H454" s="41" t="s">
        <v>120</v>
      </c>
      <c r="I454" s="41" t="s">
        <v>47</v>
      </c>
      <c r="J454" s="41" t="s">
        <v>121</v>
      </c>
      <c r="K454" s="41" t="s">
        <v>33</v>
      </c>
      <c r="L454" s="50">
        <v>854100</v>
      </c>
      <c r="M454" s="50">
        <v>0</v>
      </c>
      <c r="N454" s="50">
        <v>854100</v>
      </c>
      <c r="O454" s="50">
        <v>0</v>
      </c>
      <c r="P454" s="43" t="s">
        <v>3589</v>
      </c>
      <c r="Q454" s="40">
        <v>1074812614</v>
      </c>
      <c r="R454" s="41" t="s">
        <v>3590</v>
      </c>
      <c r="S454" s="41" t="s">
        <v>316</v>
      </c>
      <c r="T454" s="41" t="s">
        <v>317</v>
      </c>
      <c r="U454" s="41" t="s">
        <v>3591</v>
      </c>
      <c r="V454" s="41" t="s">
        <v>319</v>
      </c>
      <c r="W454" s="41" t="s">
        <v>380</v>
      </c>
      <c r="X454" s="41" t="s">
        <v>381</v>
      </c>
      <c r="Y454" s="40">
        <v>2325</v>
      </c>
      <c r="Z454" s="40">
        <v>2325</v>
      </c>
      <c r="AA454" s="40">
        <v>45325</v>
      </c>
      <c r="AB454" s="41"/>
      <c r="AC454" s="41" t="s">
        <v>3604</v>
      </c>
      <c r="AD454" s="41" t="s">
        <v>3602</v>
      </c>
      <c r="AE454" s="41"/>
      <c r="AF454" s="41" t="s">
        <v>2804</v>
      </c>
      <c r="AG454" s="41" t="s">
        <v>3595</v>
      </c>
      <c r="AH454" s="41" t="s">
        <v>3605</v>
      </c>
      <c r="AI454" s="41" t="s">
        <v>3606</v>
      </c>
    </row>
    <row r="455" spans="1:35" x14ac:dyDescent="0.2">
      <c r="A455" s="53">
        <v>45425</v>
      </c>
      <c r="B455" s="41" t="s">
        <v>2804</v>
      </c>
      <c r="C455" s="41" t="s">
        <v>4207</v>
      </c>
      <c r="D455" s="41" t="s">
        <v>312</v>
      </c>
      <c r="E455" s="55">
        <v>923218</v>
      </c>
      <c r="F455" s="41" t="s">
        <v>118</v>
      </c>
      <c r="G455" s="41" t="s">
        <v>119</v>
      </c>
      <c r="H455" s="41" t="s">
        <v>120</v>
      </c>
      <c r="I455" s="41" t="s">
        <v>47</v>
      </c>
      <c r="J455" s="41" t="s">
        <v>121</v>
      </c>
      <c r="K455" s="41" t="s">
        <v>33</v>
      </c>
      <c r="L455" s="50">
        <v>854100</v>
      </c>
      <c r="M455" s="50">
        <v>0</v>
      </c>
      <c r="N455" s="50">
        <v>854100</v>
      </c>
      <c r="O455" s="50">
        <v>0</v>
      </c>
      <c r="P455" s="43" t="s">
        <v>351</v>
      </c>
      <c r="Q455" s="40">
        <v>79859066</v>
      </c>
      <c r="R455" s="41" t="s">
        <v>3599</v>
      </c>
      <c r="S455" s="41" t="s">
        <v>316</v>
      </c>
      <c r="T455" s="41" t="s">
        <v>317</v>
      </c>
      <c r="U455" s="41" t="s">
        <v>3600</v>
      </c>
      <c r="V455" s="41" t="s">
        <v>319</v>
      </c>
      <c r="W455" s="41" t="s">
        <v>380</v>
      </c>
      <c r="X455" s="41" t="s">
        <v>381</v>
      </c>
      <c r="Y455" s="40">
        <v>2325</v>
      </c>
      <c r="Z455" s="40">
        <v>2325</v>
      </c>
      <c r="AA455" s="40">
        <v>45425</v>
      </c>
      <c r="AB455" s="41"/>
      <c r="AC455" s="41" t="s">
        <v>3609</v>
      </c>
      <c r="AD455" s="41" t="s">
        <v>3607</v>
      </c>
      <c r="AE455" s="41"/>
      <c r="AF455" s="41" t="s">
        <v>2804</v>
      </c>
      <c r="AG455" s="41" t="s">
        <v>3595</v>
      </c>
      <c r="AH455" s="41" t="s">
        <v>3605</v>
      </c>
      <c r="AI455" s="41" t="s">
        <v>3606</v>
      </c>
    </row>
    <row r="456" spans="1:35" x14ac:dyDescent="0.2">
      <c r="A456" s="53">
        <v>45525</v>
      </c>
      <c r="B456" s="41" t="s">
        <v>2804</v>
      </c>
      <c r="C456" s="41" t="s">
        <v>4208</v>
      </c>
      <c r="D456" s="41" t="s">
        <v>312</v>
      </c>
      <c r="E456" s="55">
        <v>923218</v>
      </c>
      <c r="F456" s="41" t="s">
        <v>118</v>
      </c>
      <c r="G456" s="41" t="s">
        <v>119</v>
      </c>
      <c r="H456" s="41" t="s">
        <v>120</v>
      </c>
      <c r="I456" s="41" t="s">
        <v>47</v>
      </c>
      <c r="J456" s="41" t="s">
        <v>121</v>
      </c>
      <c r="K456" s="41" t="s">
        <v>33</v>
      </c>
      <c r="L456" s="50">
        <v>854100</v>
      </c>
      <c r="M456" s="50">
        <v>0</v>
      </c>
      <c r="N456" s="50">
        <v>854100</v>
      </c>
      <c r="O456" s="50">
        <v>0</v>
      </c>
      <c r="P456" s="43" t="s">
        <v>351</v>
      </c>
      <c r="Q456" s="40">
        <v>53009124</v>
      </c>
      <c r="R456" s="41" t="s">
        <v>3611</v>
      </c>
      <c r="S456" s="41" t="s">
        <v>316</v>
      </c>
      <c r="T456" s="41" t="s">
        <v>317</v>
      </c>
      <c r="U456" s="41" t="s">
        <v>3612</v>
      </c>
      <c r="V456" s="41" t="s">
        <v>319</v>
      </c>
      <c r="W456" s="41" t="s">
        <v>354</v>
      </c>
      <c r="X456" s="41" t="s">
        <v>355</v>
      </c>
      <c r="Y456" s="40">
        <v>2325</v>
      </c>
      <c r="Z456" s="40">
        <v>2325</v>
      </c>
      <c r="AA456" s="40">
        <v>45525</v>
      </c>
      <c r="AB456" s="41"/>
      <c r="AC456" s="41" t="s">
        <v>3614</v>
      </c>
      <c r="AD456" s="41" t="s">
        <v>3610</v>
      </c>
      <c r="AE456" s="41"/>
      <c r="AF456" s="41" t="s">
        <v>2804</v>
      </c>
      <c r="AG456" s="41" t="s">
        <v>3595</v>
      </c>
      <c r="AH456" s="41" t="s">
        <v>3605</v>
      </c>
      <c r="AI456" s="41" t="s">
        <v>3606</v>
      </c>
    </row>
    <row r="457" spans="1:35" x14ac:dyDescent="0.2">
      <c r="A457" s="53">
        <v>45625</v>
      </c>
      <c r="B457" s="41" t="s">
        <v>2804</v>
      </c>
      <c r="C457" s="41" t="s">
        <v>4209</v>
      </c>
      <c r="D457" s="41" t="s">
        <v>312</v>
      </c>
      <c r="E457" s="55">
        <v>923218</v>
      </c>
      <c r="F457" s="41" t="s">
        <v>118</v>
      </c>
      <c r="G457" s="41" t="s">
        <v>119</v>
      </c>
      <c r="H457" s="41" t="s">
        <v>120</v>
      </c>
      <c r="I457" s="41" t="s">
        <v>47</v>
      </c>
      <c r="J457" s="41" t="s">
        <v>121</v>
      </c>
      <c r="K457" s="41" t="s">
        <v>33</v>
      </c>
      <c r="L457" s="50">
        <v>854100</v>
      </c>
      <c r="M457" s="50">
        <v>0</v>
      </c>
      <c r="N457" s="50">
        <v>854100</v>
      </c>
      <c r="O457" s="50">
        <v>0</v>
      </c>
      <c r="P457" s="43" t="s">
        <v>351</v>
      </c>
      <c r="Q457" s="40">
        <v>52875741</v>
      </c>
      <c r="R457" s="41" t="s">
        <v>3616</v>
      </c>
      <c r="S457" s="41" t="s">
        <v>316</v>
      </c>
      <c r="T457" s="41" t="s">
        <v>317</v>
      </c>
      <c r="U457" s="41" t="s">
        <v>3617</v>
      </c>
      <c r="V457" s="41" t="s">
        <v>319</v>
      </c>
      <c r="W457" s="41" t="s">
        <v>354</v>
      </c>
      <c r="X457" s="41" t="s">
        <v>355</v>
      </c>
      <c r="Y457" s="40">
        <v>2325</v>
      </c>
      <c r="Z457" s="40">
        <v>2325</v>
      </c>
      <c r="AA457" s="40">
        <v>45625</v>
      </c>
      <c r="AB457" s="41"/>
      <c r="AC457" s="41" t="s">
        <v>3619</v>
      </c>
      <c r="AD457" s="41" t="s">
        <v>3615</v>
      </c>
      <c r="AE457" s="41"/>
      <c r="AF457" s="41" t="s">
        <v>2804</v>
      </c>
      <c r="AG457" s="41" t="s">
        <v>3595</v>
      </c>
      <c r="AH457" s="41" t="s">
        <v>3605</v>
      </c>
      <c r="AI457" s="41" t="s">
        <v>3606</v>
      </c>
    </row>
    <row r="458" spans="1:35" x14ac:dyDescent="0.2">
      <c r="A458" s="53">
        <v>45725</v>
      </c>
      <c r="B458" s="41" t="s">
        <v>2804</v>
      </c>
      <c r="C458" s="41" t="s">
        <v>4210</v>
      </c>
      <c r="D458" s="41" t="s">
        <v>312</v>
      </c>
      <c r="E458" s="55">
        <v>923218</v>
      </c>
      <c r="F458" s="41" t="s">
        <v>118</v>
      </c>
      <c r="G458" s="41" t="s">
        <v>119</v>
      </c>
      <c r="H458" s="41" t="s">
        <v>120</v>
      </c>
      <c r="I458" s="41" t="s">
        <v>47</v>
      </c>
      <c r="J458" s="41" t="s">
        <v>121</v>
      </c>
      <c r="K458" s="41" t="s">
        <v>33</v>
      </c>
      <c r="L458" s="50">
        <v>854100</v>
      </c>
      <c r="M458" s="50">
        <v>0</v>
      </c>
      <c r="N458" s="50">
        <v>854100</v>
      </c>
      <c r="O458" s="50">
        <v>0</v>
      </c>
      <c r="P458" s="43" t="s">
        <v>351</v>
      </c>
      <c r="Q458" s="40">
        <v>39671704</v>
      </c>
      <c r="R458" s="41" t="s">
        <v>3621</v>
      </c>
      <c r="S458" s="41" t="s">
        <v>316</v>
      </c>
      <c r="T458" s="41" t="s">
        <v>317</v>
      </c>
      <c r="U458" s="41" t="s">
        <v>3622</v>
      </c>
      <c r="V458" s="41" t="s">
        <v>319</v>
      </c>
      <c r="W458" s="41" t="s">
        <v>354</v>
      </c>
      <c r="X458" s="41" t="s">
        <v>355</v>
      </c>
      <c r="Y458" s="40">
        <v>2325</v>
      </c>
      <c r="Z458" s="40">
        <v>2325</v>
      </c>
      <c r="AA458" s="40">
        <v>45725</v>
      </c>
      <c r="AB458" s="41"/>
      <c r="AC458" s="41" t="s">
        <v>3623</v>
      </c>
      <c r="AD458" s="41" t="s">
        <v>3620</v>
      </c>
      <c r="AE458" s="41"/>
      <c r="AF458" s="41" t="s">
        <v>2804</v>
      </c>
      <c r="AG458" s="41" t="s">
        <v>3595</v>
      </c>
      <c r="AH458" s="41" t="s">
        <v>3605</v>
      </c>
      <c r="AI458" s="41" t="s">
        <v>3606</v>
      </c>
    </row>
    <row r="459" spans="1:35" x14ac:dyDescent="0.2">
      <c r="A459" s="53">
        <v>45825</v>
      </c>
      <c r="B459" s="41" t="s">
        <v>2804</v>
      </c>
      <c r="C459" s="41" t="s">
        <v>4211</v>
      </c>
      <c r="D459" s="41" t="s">
        <v>312</v>
      </c>
      <c r="E459" s="55">
        <v>923218</v>
      </c>
      <c r="F459" s="41" t="s">
        <v>118</v>
      </c>
      <c r="G459" s="41" t="s">
        <v>119</v>
      </c>
      <c r="H459" s="41" t="s">
        <v>120</v>
      </c>
      <c r="I459" s="41" t="s">
        <v>47</v>
      </c>
      <c r="J459" s="41" t="s">
        <v>121</v>
      </c>
      <c r="K459" s="41" t="s">
        <v>33</v>
      </c>
      <c r="L459" s="50">
        <v>854100</v>
      </c>
      <c r="M459" s="50">
        <v>0</v>
      </c>
      <c r="N459" s="50">
        <v>854100</v>
      </c>
      <c r="O459" s="50">
        <v>0</v>
      </c>
      <c r="P459" s="43" t="s">
        <v>351</v>
      </c>
      <c r="Q459" s="40">
        <v>1072194174</v>
      </c>
      <c r="R459" s="41" t="s">
        <v>3625</v>
      </c>
      <c r="S459" s="41" t="s">
        <v>316</v>
      </c>
      <c r="T459" s="41" t="s">
        <v>317</v>
      </c>
      <c r="U459" s="41" t="s">
        <v>3626</v>
      </c>
      <c r="V459" s="41" t="s">
        <v>319</v>
      </c>
      <c r="W459" s="41" t="s">
        <v>354</v>
      </c>
      <c r="X459" s="41" t="s">
        <v>355</v>
      </c>
      <c r="Y459" s="40">
        <v>2325</v>
      </c>
      <c r="Z459" s="40">
        <v>2325</v>
      </c>
      <c r="AA459" s="40">
        <v>45825</v>
      </c>
      <c r="AB459" s="41"/>
      <c r="AC459" s="41" t="s">
        <v>3627</v>
      </c>
      <c r="AD459" s="41" t="s">
        <v>3624</v>
      </c>
      <c r="AE459" s="41"/>
      <c r="AF459" s="41" t="s">
        <v>2804</v>
      </c>
      <c r="AG459" s="41" t="s">
        <v>3595</v>
      </c>
      <c r="AH459" s="41" t="s">
        <v>3605</v>
      </c>
      <c r="AI459" s="41" t="s">
        <v>3606</v>
      </c>
    </row>
    <row r="460" spans="1:35" x14ac:dyDescent="0.2">
      <c r="A460" s="53">
        <v>45925</v>
      </c>
      <c r="B460" s="41" t="s">
        <v>2804</v>
      </c>
      <c r="C460" s="41" t="s">
        <v>4212</v>
      </c>
      <c r="D460" s="41" t="s">
        <v>312</v>
      </c>
      <c r="E460" s="55">
        <v>923218</v>
      </c>
      <c r="F460" s="41" t="s">
        <v>118</v>
      </c>
      <c r="G460" s="41" t="s">
        <v>119</v>
      </c>
      <c r="H460" s="41" t="s">
        <v>120</v>
      </c>
      <c r="I460" s="41" t="s">
        <v>47</v>
      </c>
      <c r="J460" s="41" t="s">
        <v>121</v>
      </c>
      <c r="K460" s="41" t="s">
        <v>33</v>
      </c>
      <c r="L460" s="50">
        <v>854100</v>
      </c>
      <c r="M460" s="50">
        <v>0</v>
      </c>
      <c r="N460" s="50">
        <v>854100</v>
      </c>
      <c r="O460" s="50">
        <v>0</v>
      </c>
      <c r="P460" s="43" t="s">
        <v>351</v>
      </c>
      <c r="Q460" s="40">
        <v>1020798098</v>
      </c>
      <c r="R460" s="41" t="s">
        <v>3629</v>
      </c>
      <c r="S460" s="41" t="s">
        <v>316</v>
      </c>
      <c r="T460" s="41" t="s">
        <v>317</v>
      </c>
      <c r="U460" s="41" t="s">
        <v>3630</v>
      </c>
      <c r="V460" s="41" t="s">
        <v>319</v>
      </c>
      <c r="W460" s="41" t="s">
        <v>341</v>
      </c>
      <c r="X460" s="41" t="s">
        <v>342</v>
      </c>
      <c r="Y460" s="40">
        <v>2325</v>
      </c>
      <c r="Z460" s="40">
        <v>2325</v>
      </c>
      <c r="AA460" s="40">
        <v>45925</v>
      </c>
      <c r="AB460" s="41"/>
      <c r="AC460" s="41" t="s">
        <v>3632</v>
      </c>
      <c r="AD460" s="41" t="s">
        <v>3628</v>
      </c>
      <c r="AE460" s="41"/>
      <c r="AF460" s="41" t="s">
        <v>2804</v>
      </c>
      <c r="AG460" s="41" t="s">
        <v>3595</v>
      </c>
      <c r="AH460" s="41" t="s">
        <v>3605</v>
      </c>
      <c r="AI460" s="41" t="s">
        <v>3606</v>
      </c>
    </row>
    <row r="461" spans="1:35" x14ac:dyDescent="0.2">
      <c r="A461" s="53">
        <v>46025</v>
      </c>
      <c r="B461" s="41" t="s">
        <v>2804</v>
      </c>
      <c r="C461" s="41" t="s">
        <v>4213</v>
      </c>
      <c r="D461" s="41" t="s">
        <v>312</v>
      </c>
      <c r="E461" s="55">
        <v>923218</v>
      </c>
      <c r="F461" s="41" t="s">
        <v>118</v>
      </c>
      <c r="G461" s="41" t="s">
        <v>119</v>
      </c>
      <c r="H461" s="41" t="s">
        <v>120</v>
      </c>
      <c r="I461" s="41" t="s">
        <v>47</v>
      </c>
      <c r="J461" s="41" t="s">
        <v>121</v>
      </c>
      <c r="K461" s="41" t="s">
        <v>33</v>
      </c>
      <c r="L461" s="50">
        <v>854100</v>
      </c>
      <c r="M461" s="50">
        <v>0</v>
      </c>
      <c r="N461" s="50">
        <v>854100</v>
      </c>
      <c r="O461" s="50">
        <v>0</v>
      </c>
      <c r="P461" s="43" t="s">
        <v>351</v>
      </c>
      <c r="Q461" s="40">
        <v>1024521632</v>
      </c>
      <c r="R461" s="41" t="s">
        <v>3634</v>
      </c>
      <c r="S461" s="41" t="s">
        <v>316</v>
      </c>
      <c r="T461" s="41" t="s">
        <v>317</v>
      </c>
      <c r="U461" s="41" t="s">
        <v>3635</v>
      </c>
      <c r="V461" s="41" t="s">
        <v>319</v>
      </c>
      <c r="W461" s="41" t="s">
        <v>354</v>
      </c>
      <c r="X461" s="41" t="s">
        <v>355</v>
      </c>
      <c r="Y461" s="40">
        <v>2325</v>
      </c>
      <c r="Z461" s="40">
        <v>2325</v>
      </c>
      <c r="AA461" s="40">
        <v>46025</v>
      </c>
      <c r="AB461" s="41"/>
      <c r="AC461" s="41" t="s">
        <v>3637</v>
      </c>
      <c r="AD461" s="41" t="s">
        <v>3633</v>
      </c>
      <c r="AE461" s="41"/>
      <c r="AF461" s="41" t="s">
        <v>2804</v>
      </c>
      <c r="AG461" s="41" t="s">
        <v>3595</v>
      </c>
      <c r="AH461" s="41" t="s">
        <v>3605</v>
      </c>
      <c r="AI461" s="41" t="s">
        <v>3606</v>
      </c>
    </row>
    <row r="462" spans="1:35" x14ac:dyDescent="0.2">
      <c r="A462" s="53">
        <v>46125</v>
      </c>
      <c r="B462" s="41" t="s">
        <v>2804</v>
      </c>
      <c r="C462" s="41" t="s">
        <v>4214</v>
      </c>
      <c r="D462" s="41" t="s">
        <v>312</v>
      </c>
      <c r="E462" s="55">
        <v>923218</v>
      </c>
      <c r="F462" s="41" t="s">
        <v>118</v>
      </c>
      <c r="G462" s="41" t="s">
        <v>119</v>
      </c>
      <c r="H462" s="41" t="s">
        <v>120</v>
      </c>
      <c r="I462" s="41" t="s">
        <v>47</v>
      </c>
      <c r="J462" s="41" t="s">
        <v>121</v>
      </c>
      <c r="K462" s="41" t="s">
        <v>33</v>
      </c>
      <c r="L462" s="50">
        <v>854100</v>
      </c>
      <c r="M462" s="50">
        <v>0</v>
      </c>
      <c r="N462" s="50">
        <v>854100</v>
      </c>
      <c r="O462" s="50">
        <v>0</v>
      </c>
      <c r="P462" s="43" t="s">
        <v>351</v>
      </c>
      <c r="Q462" s="40">
        <v>40770881</v>
      </c>
      <c r="R462" s="41" t="s">
        <v>3639</v>
      </c>
      <c r="S462" s="41" t="s">
        <v>316</v>
      </c>
      <c r="T462" s="41" t="s">
        <v>317</v>
      </c>
      <c r="U462" s="41" t="s">
        <v>3640</v>
      </c>
      <c r="V462" s="41" t="s">
        <v>319</v>
      </c>
      <c r="W462" s="41" t="s">
        <v>341</v>
      </c>
      <c r="X462" s="41" t="s">
        <v>342</v>
      </c>
      <c r="Y462" s="40">
        <v>2325</v>
      </c>
      <c r="Z462" s="40">
        <v>2325</v>
      </c>
      <c r="AA462" s="40">
        <v>46125</v>
      </c>
      <c r="AB462" s="41"/>
      <c r="AC462" s="41" t="s">
        <v>3642</v>
      </c>
      <c r="AD462" s="41" t="s">
        <v>3638</v>
      </c>
      <c r="AE462" s="41"/>
      <c r="AF462" s="41" t="s">
        <v>2804</v>
      </c>
      <c r="AG462" s="41" t="s">
        <v>3595</v>
      </c>
      <c r="AH462" s="41" t="s">
        <v>3605</v>
      </c>
      <c r="AI462" s="41" t="s">
        <v>3606</v>
      </c>
    </row>
    <row r="463" spans="1:35" x14ac:dyDescent="0.2">
      <c r="A463" s="53">
        <v>46225</v>
      </c>
      <c r="B463" s="41" t="s">
        <v>2804</v>
      </c>
      <c r="C463" s="41" t="s">
        <v>4215</v>
      </c>
      <c r="D463" s="41" t="s">
        <v>312</v>
      </c>
      <c r="E463" s="55">
        <v>923218</v>
      </c>
      <c r="F463" s="41" t="s">
        <v>118</v>
      </c>
      <c r="G463" s="41" t="s">
        <v>119</v>
      </c>
      <c r="H463" s="41" t="s">
        <v>120</v>
      </c>
      <c r="I463" s="41" t="s">
        <v>47</v>
      </c>
      <c r="J463" s="41" t="s">
        <v>121</v>
      </c>
      <c r="K463" s="41" t="s">
        <v>33</v>
      </c>
      <c r="L463" s="50">
        <v>854100</v>
      </c>
      <c r="M463" s="50">
        <v>0</v>
      </c>
      <c r="N463" s="50">
        <v>854100</v>
      </c>
      <c r="O463" s="50">
        <v>0</v>
      </c>
      <c r="P463" s="43" t="s">
        <v>351</v>
      </c>
      <c r="Q463" s="40">
        <v>51720650</v>
      </c>
      <c r="R463" s="41" t="s">
        <v>3644</v>
      </c>
      <c r="S463" s="41" t="s">
        <v>316</v>
      </c>
      <c r="T463" s="41" t="s">
        <v>317</v>
      </c>
      <c r="U463" s="41" t="s">
        <v>3645</v>
      </c>
      <c r="V463" s="41" t="s">
        <v>319</v>
      </c>
      <c r="W463" s="41" t="s">
        <v>354</v>
      </c>
      <c r="X463" s="41" t="s">
        <v>355</v>
      </c>
      <c r="Y463" s="40">
        <v>2325</v>
      </c>
      <c r="Z463" s="40">
        <v>2325</v>
      </c>
      <c r="AA463" s="40">
        <v>46225</v>
      </c>
      <c r="AB463" s="41"/>
      <c r="AC463" s="41" t="s">
        <v>3647</v>
      </c>
      <c r="AD463" s="41" t="s">
        <v>3643</v>
      </c>
      <c r="AE463" s="41"/>
      <c r="AF463" s="41" t="s">
        <v>2804</v>
      </c>
      <c r="AG463" s="41" t="s">
        <v>3595</v>
      </c>
      <c r="AH463" s="41" t="s">
        <v>3605</v>
      </c>
      <c r="AI463" s="41" t="s">
        <v>3606</v>
      </c>
    </row>
    <row r="464" spans="1:35" x14ac:dyDescent="0.2">
      <c r="A464" s="53">
        <v>46325</v>
      </c>
      <c r="B464" s="41" t="s">
        <v>2804</v>
      </c>
      <c r="C464" s="41" t="s">
        <v>4216</v>
      </c>
      <c r="D464" s="41" t="s">
        <v>312</v>
      </c>
      <c r="E464" s="55">
        <v>923218</v>
      </c>
      <c r="F464" s="41" t="s">
        <v>118</v>
      </c>
      <c r="G464" s="41" t="s">
        <v>119</v>
      </c>
      <c r="H464" s="41" t="s">
        <v>120</v>
      </c>
      <c r="I464" s="41" t="s">
        <v>47</v>
      </c>
      <c r="J464" s="41" t="s">
        <v>121</v>
      </c>
      <c r="K464" s="41" t="s">
        <v>33</v>
      </c>
      <c r="L464" s="50">
        <v>854100</v>
      </c>
      <c r="M464" s="50">
        <v>0</v>
      </c>
      <c r="N464" s="50">
        <v>854100</v>
      </c>
      <c r="O464" s="50">
        <v>0</v>
      </c>
      <c r="P464" s="43" t="s">
        <v>3589</v>
      </c>
      <c r="Q464" s="40">
        <v>1072190235</v>
      </c>
      <c r="R464" s="41" t="s">
        <v>3649</v>
      </c>
      <c r="S464" s="41" t="s">
        <v>316</v>
      </c>
      <c r="T464" s="41" t="s">
        <v>317</v>
      </c>
      <c r="U464" s="41" t="s">
        <v>3650</v>
      </c>
      <c r="V464" s="41" t="s">
        <v>319</v>
      </c>
      <c r="W464" s="41" t="s">
        <v>341</v>
      </c>
      <c r="X464" s="41" t="s">
        <v>342</v>
      </c>
      <c r="Y464" s="40">
        <v>2325</v>
      </c>
      <c r="Z464" s="40">
        <v>2325</v>
      </c>
      <c r="AA464" s="40">
        <v>46325</v>
      </c>
      <c r="AB464" s="41"/>
      <c r="AC464" s="41" t="s">
        <v>3652</v>
      </c>
      <c r="AD464" s="41" t="s">
        <v>3648</v>
      </c>
      <c r="AE464" s="41"/>
      <c r="AF464" s="41" t="s">
        <v>2804</v>
      </c>
      <c r="AG464" s="41" t="s">
        <v>3595</v>
      </c>
      <c r="AH464" s="41" t="s">
        <v>3605</v>
      </c>
      <c r="AI464" s="41" t="s">
        <v>3606</v>
      </c>
    </row>
    <row r="465" spans="1:35" x14ac:dyDescent="0.2">
      <c r="A465" s="53">
        <v>46425</v>
      </c>
      <c r="B465" s="41" t="s">
        <v>2804</v>
      </c>
      <c r="C465" s="41" t="s">
        <v>4217</v>
      </c>
      <c r="D465" s="41" t="s">
        <v>312</v>
      </c>
      <c r="E465" s="55">
        <v>923218</v>
      </c>
      <c r="F465" s="41" t="s">
        <v>118</v>
      </c>
      <c r="G465" s="41" t="s">
        <v>119</v>
      </c>
      <c r="H465" s="41" t="s">
        <v>120</v>
      </c>
      <c r="I465" s="41" t="s">
        <v>47</v>
      </c>
      <c r="J465" s="41" t="s">
        <v>121</v>
      </c>
      <c r="K465" s="41" t="s">
        <v>33</v>
      </c>
      <c r="L465" s="50">
        <v>854100</v>
      </c>
      <c r="M465" s="50">
        <v>0</v>
      </c>
      <c r="N465" s="50">
        <v>854100</v>
      </c>
      <c r="O465" s="50">
        <v>0</v>
      </c>
      <c r="P465" s="43" t="s">
        <v>351</v>
      </c>
      <c r="Q465" s="40">
        <v>53041854</v>
      </c>
      <c r="R465" s="41" t="s">
        <v>3654</v>
      </c>
      <c r="S465" s="41" t="s">
        <v>316</v>
      </c>
      <c r="T465" s="41" t="s">
        <v>317</v>
      </c>
      <c r="U465" s="41" t="s">
        <v>3655</v>
      </c>
      <c r="V465" s="41" t="s">
        <v>319</v>
      </c>
      <c r="W465" s="41" t="s">
        <v>354</v>
      </c>
      <c r="X465" s="41" t="s">
        <v>355</v>
      </c>
      <c r="Y465" s="40">
        <v>2325</v>
      </c>
      <c r="Z465" s="40">
        <v>2325</v>
      </c>
      <c r="AA465" s="40">
        <v>46425</v>
      </c>
      <c r="AB465" s="41"/>
      <c r="AC465" s="41" t="s">
        <v>3657</v>
      </c>
      <c r="AD465" s="41" t="s">
        <v>3653</v>
      </c>
      <c r="AE465" s="41"/>
      <c r="AF465" s="41" t="s">
        <v>2804</v>
      </c>
      <c r="AG465" s="41" t="s">
        <v>3595</v>
      </c>
      <c r="AH465" s="41" t="s">
        <v>3605</v>
      </c>
      <c r="AI465" s="41" t="s">
        <v>3606</v>
      </c>
    </row>
    <row r="466" spans="1:35" x14ac:dyDescent="0.2">
      <c r="A466" s="53">
        <v>46525</v>
      </c>
      <c r="B466" s="41" t="s">
        <v>2804</v>
      </c>
      <c r="C466" s="41" t="s">
        <v>4218</v>
      </c>
      <c r="D466" s="41" t="s">
        <v>312</v>
      </c>
      <c r="E466" s="55">
        <v>923218</v>
      </c>
      <c r="F466" s="41" t="s">
        <v>118</v>
      </c>
      <c r="G466" s="41" t="s">
        <v>119</v>
      </c>
      <c r="H466" s="41" t="s">
        <v>120</v>
      </c>
      <c r="I466" s="41" t="s">
        <v>47</v>
      </c>
      <c r="J466" s="41" t="s">
        <v>121</v>
      </c>
      <c r="K466" s="41" t="s">
        <v>33</v>
      </c>
      <c r="L466" s="50">
        <v>854100</v>
      </c>
      <c r="M466" s="50">
        <v>0</v>
      </c>
      <c r="N466" s="50">
        <v>854100</v>
      </c>
      <c r="O466" s="50">
        <v>0</v>
      </c>
      <c r="P466" s="43" t="s">
        <v>351</v>
      </c>
      <c r="Q466" s="40">
        <v>79757881</v>
      </c>
      <c r="R466" s="41" t="s">
        <v>3659</v>
      </c>
      <c r="S466" s="41" t="s">
        <v>316</v>
      </c>
      <c r="T466" s="41" t="s">
        <v>317</v>
      </c>
      <c r="U466" s="41" t="s">
        <v>3660</v>
      </c>
      <c r="V466" s="41" t="s">
        <v>319</v>
      </c>
      <c r="W466" s="41" t="s">
        <v>354</v>
      </c>
      <c r="X466" s="41" t="s">
        <v>355</v>
      </c>
      <c r="Y466" s="40">
        <v>2325</v>
      </c>
      <c r="Z466" s="40">
        <v>2325</v>
      </c>
      <c r="AA466" s="40">
        <v>46525</v>
      </c>
      <c r="AB466" s="41"/>
      <c r="AC466" s="41" t="s">
        <v>3662</v>
      </c>
      <c r="AD466" s="41" t="s">
        <v>3658</v>
      </c>
      <c r="AE466" s="41"/>
      <c r="AF466" s="41" t="s">
        <v>2804</v>
      </c>
      <c r="AG466" s="41" t="s">
        <v>3595</v>
      </c>
      <c r="AH466" s="41" t="s">
        <v>3605</v>
      </c>
      <c r="AI466" s="41" t="s">
        <v>3606</v>
      </c>
    </row>
    <row r="467" spans="1:35" x14ac:dyDescent="0.2">
      <c r="A467" s="53">
        <v>46625</v>
      </c>
      <c r="B467" s="41" t="s">
        <v>2804</v>
      </c>
      <c r="C467" s="41" t="s">
        <v>4219</v>
      </c>
      <c r="D467" s="41" t="s">
        <v>312</v>
      </c>
      <c r="E467" s="55">
        <v>923218</v>
      </c>
      <c r="F467" s="41" t="s">
        <v>118</v>
      </c>
      <c r="G467" s="41" t="s">
        <v>119</v>
      </c>
      <c r="H467" s="41" t="s">
        <v>120</v>
      </c>
      <c r="I467" s="41" t="s">
        <v>47</v>
      </c>
      <c r="J467" s="41" t="s">
        <v>121</v>
      </c>
      <c r="K467" s="41" t="s">
        <v>33</v>
      </c>
      <c r="L467" s="50">
        <v>854100</v>
      </c>
      <c r="M467" s="50">
        <v>0</v>
      </c>
      <c r="N467" s="50">
        <v>854100</v>
      </c>
      <c r="O467" s="50">
        <v>0</v>
      </c>
      <c r="P467" s="43" t="s">
        <v>351</v>
      </c>
      <c r="Q467" s="40">
        <v>1007664842</v>
      </c>
      <c r="R467" s="41" t="s">
        <v>3664</v>
      </c>
      <c r="S467" s="41" t="s">
        <v>316</v>
      </c>
      <c r="T467" s="41" t="s">
        <v>317</v>
      </c>
      <c r="U467" s="41" t="s">
        <v>3665</v>
      </c>
      <c r="V467" s="41" t="s">
        <v>319</v>
      </c>
      <c r="W467" s="41" t="s">
        <v>354</v>
      </c>
      <c r="X467" s="41" t="s">
        <v>355</v>
      </c>
      <c r="Y467" s="40">
        <v>2325</v>
      </c>
      <c r="Z467" s="40">
        <v>2325</v>
      </c>
      <c r="AA467" s="40">
        <v>46625</v>
      </c>
      <c r="AB467" s="41"/>
      <c r="AC467" s="41" t="s">
        <v>3667</v>
      </c>
      <c r="AD467" s="41" t="s">
        <v>3663</v>
      </c>
      <c r="AE467" s="41"/>
      <c r="AF467" s="41" t="s">
        <v>2804</v>
      </c>
      <c r="AG467" s="41" t="s">
        <v>3595</v>
      </c>
      <c r="AH467" s="41" t="s">
        <v>3605</v>
      </c>
      <c r="AI467" s="41" t="s">
        <v>3606</v>
      </c>
    </row>
    <row r="468" spans="1:35" x14ac:dyDescent="0.2">
      <c r="A468" s="53">
        <v>46725</v>
      </c>
      <c r="B468" s="41" t="s">
        <v>2804</v>
      </c>
      <c r="C468" s="41" t="s">
        <v>4220</v>
      </c>
      <c r="D468" s="41" t="s">
        <v>312</v>
      </c>
      <c r="E468" s="55">
        <v>923218</v>
      </c>
      <c r="F468" s="41" t="s">
        <v>118</v>
      </c>
      <c r="G468" s="41" t="s">
        <v>119</v>
      </c>
      <c r="H468" s="41" t="s">
        <v>120</v>
      </c>
      <c r="I468" s="41" t="s">
        <v>47</v>
      </c>
      <c r="J468" s="41" t="s">
        <v>121</v>
      </c>
      <c r="K468" s="41" t="s">
        <v>33</v>
      </c>
      <c r="L468" s="50">
        <v>854100</v>
      </c>
      <c r="M468" s="50">
        <v>0</v>
      </c>
      <c r="N468" s="50">
        <v>854100</v>
      </c>
      <c r="O468" s="50">
        <v>0</v>
      </c>
      <c r="P468" s="43" t="s">
        <v>351</v>
      </c>
      <c r="Q468" s="40">
        <v>1003642581</v>
      </c>
      <c r="R468" s="41" t="s">
        <v>3669</v>
      </c>
      <c r="S468" s="41" t="s">
        <v>316</v>
      </c>
      <c r="T468" s="41" t="s">
        <v>317</v>
      </c>
      <c r="U468" s="41" t="s">
        <v>3670</v>
      </c>
      <c r="V468" s="41" t="s">
        <v>319</v>
      </c>
      <c r="W468" s="41" t="s">
        <v>354</v>
      </c>
      <c r="X468" s="41" t="s">
        <v>355</v>
      </c>
      <c r="Y468" s="40">
        <v>2325</v>
      </c>
      <c r="Z468" s="40">
        <v>2325</v>
      </c>
      <c r="AA468" s="40">
        <v>46725</v>
      </c>
      <c r="AB468" s="41"/>
      <c r="AC468" s="41" t="s">
        <v>3672</v>
      </c>
      <c r="AD468" s="41" t="s">
        <v>3668</v>
      </c>
      <c r="AE468" s="41"/>
      <c r="AF468" s="41" t="s">
        <v>2804</v>
      </c>
      <c r="AG468" s="41" t="s">
        <v>3595</v>
      </c>
      <c r="AH468" s="41" t="s">
        <v>3605</v>
      </c>
      <c r="AI468" s="41" t="s">
        <v>3606</v>
      </c>
    </row>
    <row r="469" spans="1:35" x14ac:dyDescent="0.2">
      <c r="A469" s="53">
        <v>46825</v>
      </c>
      <c r="B469" s="41" t="s">
        <v>2804</v>
      </c>
      <c r="C469" s="41" t="s">
        <v>4221</v>
      </c>
      <c r="D469" s="41" t="s">
        <v>312</v>
      </c>
      <c r="E469" s="55">
        <v>923218</v>
      </c>
      <c r="F469" s="41" t="s">
        <v>118</v>
      </c>
      <c r="G469" s="41" t="s">
        <v>119</v>
      </c>
      <c r="H469" s="41" t="s">
        <v>120</v>
      </c>
      <c r="I469" s="41" t="s">
        <v>47</v>
      </c>
      <c r="J469" s="41" t="s">
        <v>121</v>
      </c>
      <c r="K469" s="41" t="s">
        <v>33</v>
      </c>
      <c r="L469" s="50">
        <v>854100</v>
      </c>
      <c r="M469" s="50">
        <v>0</v>
      </c>
      <c r="N469" s="50">
        <v>854100</v>
      </c>
      <c r="O469" s="50">
        <v>0</v>
      </c>
      <c r="P469" s="43" t="s">
        <v>351</v>
      </c>
      <c r="Q469" s="40">
        <v>53891808</v>
      </c>
      <c r="R469" s="41" t="s">
        <v>3674</v>
      </c>
      <c r="S469" s="41" t="s">
        <v>316</v>
      </c>
      <c r="T469" s="41" t="s">
        <v>317</v>
      </c>
      <c r="U469" s="41" t="s">
        <v>3675</v>
      </c>
      <c r="V469" s="41" t="s">
        <v>319</v>
      </c>
      <c r="W469" s="41" t="s">
        <v>341</v>
      </c>
      <c r="X469" s="41" t="s">
        <v>342</v>
      </c>
      <c r="Y469" s="40">
        <v>2325</v>
      </c>
      <c r="Z469" s="40">
        <v>2325</v>
      </c>
      <c r="AA469" s="40">
        <v>46825</v>
      </c>
      <c r="AB469" s="41"/>
      <c r="AC469" s="41" t="s">
        <v>3677</v>
      </c>
      <c r="AD469" s="41" t="s">
        <v>3673</v>
      </c>
      <c r="AE469" s="41"/>
      <c r="AF469" s="41" t="s">
        <v>2804</v>
      </c>
      <c r="AG469" s="41" t="s">
        <v>3595</v>
      </c>
      <c r="AH469" s="41" t="s">
        <v>3605</v>
      </c>
      <c r="AI469" s="41" t="s">
        <v>3606</v>
      </c>
    </row>
    <row r="470" spans="1:35" x14ac:dyDescent="0.2">
      <c r="A470" s="53">
        <v>46925</v>
      </c>
      <c r="B470" s="41" t="s">
        <v>2804</v>
      </c>
      <c r="C470" s="41" t="s">
        <v>4222</v>
      </c>
      <c r="D470" s="41" t="s">
        <v>312</v>
      </c>
      <c r="E470" s="55">
        <v>923218</v>
      </c>
      <c r="F470" s="41" t="s">
        <v>118</v>
      </c>
      <c r="G470" s="41" t="s">
        <v>119</v>
      </c>
      <c r="H470" s="41" t="s">
        <v>120</v>
      </c>
      <c r="I470" s="41" t="s">
        <v>47</v>
      </c>
      <c r="J470" s="41" t="s">
        <v>121</v>
      </c>
      <c r="K470" s="41" t="s">
        <v>33</v>
      </c>
      <c r="L470" s="50">
        <v>854100</v>
      </c>
      <c r="M470" s="50">
        <v>0</v>
      </c>
      <c r="N470" s="50">
        <v>854100</v>
      </c>
      <c r="O470" s="50">
        <v>0</v>
      </c>
      <c r="P470" s="43" t="s">
        <v>351</v>
      </c>
      <c r="Q470" s="40">
        <v>1013681696</v>
      </c>
      <c r="R470" s="41" t="s">
        <v>3679</v>
      </c>
      <c r="S470" s="41" t="s">
        <v>316</v>
      </c>
      <c r="T470" s="41" t="s">
        <v>317</v>
      </c>
      <c r="U470" s="41" t="s">
        <v>3680</v>
      </c>
      <c r="V470" s="41" t="s">
        <v>319</v>
      </c>
      <c r="W470" s="41" t="s">
        <v>341</v>
      </c>
      <c r="X470" s="41" t="s">
        <v>342</v>
      </c>
      <c r="Y470" s="40">
        <v>2325</v>
      </c>
      <c r="Z470" s="40">
        <v>2325</v>
      </c>
      <c r="AA470" s="40">
        <v>46925</v>
      </c>
      <c r="AB470" s="41"/>
      <c r="AC470" s="41" t="s">
        <v>3682</v>
      </c>
      <c r="AD470" s="41" t="s">
        <v>3678</v>
      </c>
      <c r="AE470" s="41"/>
      <c r="AF470" s="41" t="s">
        <v>2804</v>
      </c>
      <c r="AG470" s="41" t="s">
        <v>3595</v>
      </c>
      <c r="AH470" s="41" t="s">
        <v>3605</v>
      </c>
      <c r="AI470" s="41" t="s">
        <v>3606</v>
      </c>
    </row>
    <row r="471" spans="1:35" x14ac:dyDescent="0.2">
      <c r="A471" s="53">
        <v>47025</v>
      </c>
      <c r="B471" s="41" t="s">
        <v>2804</v>
      </c>
      <c r="C471" s="41" t="s">
        <v>4223</v>
      </c>
      <c r="D471" s="41" t="s">
        <v>312</v>
      </c>
      <c r="E471" s="55">
        <v>923218</v>
      </c>
      <c r="F471" s="41" t="s">
        <v>118</v>
      </c>
      <c r="G471" s="41" t="s">
        <v>119</v>
      </c>
      <c r="H471" s="41" t="s">
        <v>120</v>
      </c>
      <c r="I471" s="41" t="s">
        <v>47</v>
      </c>
      <c r="J471" s="41" t="s">
        <v>121</v>
      </c>
      <c r="K471" s="41" t="s">
        <v>33</v>
      </c>
      <c r="L471" s="50">
        <v>854100</v>
      </c>
      <c r="M471" s="50">
        <v>0</v>
      </c>
      <c r="N471" s="50">
        <v>854100</v>
      </c>
      <c r="O471" s="50">
        <v>0</v>
      </c>
      <c r="P471" s="43" t="s">
        <v>351</v>
      </c>
      <c r="Q471" s="40">
        <v>39725500</v>
      </c>
      <c r="R471" s="41" t="s">
        <v>3684</v>
      </c>
      <c r="S471" s="41" t="s">
        <v>316</v>
      </c>
      <c r="T471" s="41" t="s">
        <v>317</v>
      </c>
      <c r="U471" s="41" t="s">
        <v>3685</v>
      </c>
      <c r="V471" s="41" t="s">
        <v>319</v>
      </c>
      <c r="W471" s="41" t="s">
        <v>341</v>
      </c>
      <c r="X471" s="41" t="s">
        <v>342</v>
      </c>
      <c r="Y471" s="40">
        <v>2325</v>
      </c>
      <c r="Z471" s="40">
        <v>2325</v>
      </c>
      <c r="AA471" s="40">
        <v>47025</v>
      </c>
      <c r="AB471" s="41"/>
      <c r="AC471" s="41" t="s">
        <v>3687</v>
      </c>
      <c r="AD471" s="41" t="s">
        <v>3683</v>
      </c>
      <c r="AE471" s="41"/>
      <c r="AF471" s="41" t="s">
        <v>2804</v>
      </c>
      <c r="AG471" s="41" t="s">
        <v>3595</v>
      </c>
      <c r="AH471" s="41" t="s">
        <v>3605</v>
      </c>
      <c r="AI471" s="41" t="s">
        <v>3606</v>
      </c>
    </row>
    <row r="472" spans="1:35" x14ac:dyDescent="0.2">
      <c r="A472" s="53">
        <v>47125</v>
      </c>
      <c r="B472" s="41" t="s">
        <v>2804</v>
      </c>
      <c r="C472" s="41" t="s">
        <v>4224</v>
      </c>
      <c r="D472" s="41" t="s">
        <v>312</v>
      </c>
      <c r="E472" s="55">
        <v>923218</v>
      </c>
      <c r="F472" s="41" t="s">
        <v>118</v>
      </c>
      <c r="G472" s="41" t="s">
        <v>119</v>
      </c>
      <c r="H472" s="41" t="s">
        <v>120</v>
      </c>
      <c r="I472" s="41" t="s">
        <v>47</v>
      </c>
      <c r="J472" s="41" t="s">
        <v>121</v>
      </c>
      <c r="K472" s="41" t="s">
        <v>33</v>
      </c>
      <c r="L472" s="50">
        <v>854100</v>
      </c>
      <c r="M472" s="50">
        <v>0</v>
      </c>
      <c r="N472" s="50">
        <v>854100</v>
      </c>
      <c r="O472" s="50">
        <v>0</v>
      </c>
      <c r="P472" s="43" t="s">
        <v>351</v>
      </c>
      <c r="Q472" s="40">
        <v>52527470</v>
      </c>
      <c r="R472" s="41" t="s">
        <v>3689</v>
      </c>
      <c r="S472" s="41" t="s">
        <v>316</v>
      </c>
      <c r="T472" s="41" t="s">
        <v>317</v>
      </c>
      <c r="U472" s="41" t="s">
        <v>3690</v>
      </c>
      <c r="V472" s="41" t="s">
        <v>319</v>
      </c>
      <c r="W472" s="41" t="s">
        <v>341</v>
      </c>
      <c r="X472" s="41" t="s">
        <v>342</v>
      </c>
      <c r="Y472" s="40">
        <v>2325</v>
      </c>
      <c r="Z472" s="40">
        <v>2325</v>
      </c>
      <c r="AA472" s="40">
        <v>47125</v>
      </c>
      <c r="AB472" s="41"/>
      <c r="AC472" s="41" t="s">
        <v>3692</v>
      </c>
      <c r="AD472" s="41" t="s">
        <v>3688</v>
      </c>
      <c r="AE472" s="41"/>
      <c r="AF472" s="41" t="s">
        <v>2804</v>
      </c>
      <c r="AG472" s="41" t="s">
        <v>3595</v>
      </c>
      <c r="AH472" s="41" t="s">
        <v>3605</v>
      </c>
      <c r="AI472" s="41" t="s">
        <v>3606</v>
      </c>
    </row>
    <row r="473" spans="1:35" x14ac:dyDescent="0.2">
      <c r="A473" s="53">
        <v>47225</v>
      </c>
      <c r="B473" s="41" t="s">
        <v>2804</v>
      </c>
      <c r="C473" s="41" t="s">
        <v>4225</v>
      </c>
      <c r="D473" s="41" t="s">
        <v>312</v>
      </c>
      <c r="E473" s="55">
        <v>923218</v>
      </c>
      <c r="F473" s="41" t="s">
        <v>118</v>
      </c>
      <c r="G473" s="41" t="s">
        <v>119</v>
      </c>
      <c r="H473" s="41" t="s">
        <v>120</v>
      </c>
      <c r="I473" s="41" t="s">
        <v>47</v>
      </c>
      <c r="J473" s="41" t="s">
        <v>121</v>
      </c>
      <c r="K473" s="41" t="s">
        <v>33</v>
      </c>
      <c r="L473" s="50">
        <v>854100</v>
      </c>
      <c r="M473" s="50">
        <v>0</v>
      </c>
      <c r="N473" s="50">
        <v>854100</v>
      </c>
      <c r="O473" s="50">
        <v>0</v>
      </c>
      <c r="P473" s="43" t="s">
        <v>351</v>
      </c>
      <c r="Q473" s="40">
        <v>1024514769</v>
      </c>
      <c r="R473" s="41" t="s">
        <v>3694</v>
      </c>
      <c r="S473" s="41" t="s">
        <v>316</v>
      </c>
      <c r="T473" s="41" t="s">
        <v>317</v>
      </c>
      <c r="U473" s="41" t="s">
        <v>3695</v>
      </c>
      <c r="V473" s="41" t="s">
        <v>319</v>
      </c>
      <c r="W473" s="41" t="s">
        <v>354</v>
      </c>
      <c r="X473" s="41" t="s">
        <v>355</v>
      </c>
      <c r="Y473" s="40">
        <v>2325</v>
      </c>
      <c r="Z473" s="40">
        <v>2325</v>
      </c>
      <c r="AA473" s="40">
        <v>47225</v>
      </c>
      <c r="AB473" s="41"/>
      <c r="AC473" s="41" t="s">
        <v>3697</v>
      </c>
      <c r="AD473" s="41" t="s">
        <v>3693</v>
      </c>
      <c r="AE473" s="41"/>
      <c r="AF473" s="41" t="s">
        <v>2804</v>
      </c>
      <c r="AG473" s="41" t="s">
        <v>3595</v>
      </c>
      <c r="AH473" s="41" t="s">
        <v>3605</v>
      </c>
      <c r="AI473" s="41" t="s">
        <v>3606</v>
      </c>
    </row>
    <row r="474" spans="1:35" x14ac:dyDescent="0.2">
      <c r="A474" s="53">
        <v>47325</v>
      </c>
      <c r="B474" s="41" t="s">
        <v>2804</v>
      </c>
      <c r="C474" s="41" t="s">
        <v>4226</v>
      </c>
      <c r="D474" s="41" t="s">
        <v>312</v>
      </c>
      <c r="E474" s="55">
        <v>923218</v>
      </c>
      <c r="F474" s="41" t="s">
        <v>118</v>
      </c>
      <c r="G474" s="41" t="s">
        <v>119</v>
      </c>
      <c r="H474" s="41" t="s">
        <v>120</v>
      </c>
      <c r="I474" s="41" t="s">
        <v>47</v>
      </c>
      <c r="J474" s="41" t="s">
        <v>121</v>
      </c>
      <c r="K474" s="41" t="s">
        <v>33</v>
      </c>
      <c r="L474" s="50">
        <v>854100</v>
      </c>
      <c r="M474" s="50">
        <v>0</v>
      </c>
      <c r="N474" s="50">
        <v>854100</v>
      </c>
      <c r="O474" s="50">
        <v>0</v>
      </c>
      <c r="P474" s="43" t="s">
        <v>351</v>
      </c>
      <c r="Q474" s="40">
        <v>3179291</v>
      </c>
      <c r="R474" s="41" t="s">
        <v>3699</v>
      </c>
      <c r="S474" s="41" t="s">
        <v>316</v>
      </c>
      <c r="T474" s="41" t="s">
        <v>317</v>
      </c>
      <c r="U474" s="41" t="s">
        <v>3700</v>
      </c>
      <c r="V474" s="41" t="s">
        <v>319</v>
      </c>
      <c r="W474" s="41" t="s">
        <v>341</v>
      </c>
      <c r="X474" s="41" t="s">
        <v>342</v>
      </c>
      <c r="Y474" s="40">
        <v>2325</v>
      </c>
      <c r="Z474" s="40">
        <v>2325</v>
      </c>
      <c r="AA474" s="40">
        <v>47325</v>
      </c>
      <c r="AB474" s="41"/>
      <c r="AC474" s="41" t="s">
        <v>3702</v>
      </c>
      <c r="AD474" s="41" t="s">
        <v>3698</v>
      </c>
      <c r="AE474" s="41"/>
      <c r="AF474" s="41" t="s">
        <v>2804</v>
      </c>
      <c r="AG474" s="41" t="s">
        <v>3595</v>
      </c>
      <c r="AH474" s="41" t="s">
        <v>3605</v>
      </c>
      <c r="AI474" s="41" t="s">
        <v>3606</v>
      </c>
    </row>
    <row r="475" spans="1:35" x14ac:dyDescent="0.2">
      <c r="A475" s="53">
        <v>47425</v>
      </c>
      <c r="B475" s="41" t="s">
        <v>2804</v>
      </c>
      <c r="C475" s="41" t="s">
        <v>4227</v>
      </c>
      <c r="D475" s="41" t="s">
        <v>312</v>
      </c>
      <c r="E475" s="55">
        <v>923218</v>
      </c>
      <c r="F475" s="41" t="s">
        <v>118</v>
      </c>
      <c r="G475" s="41" t="s">
        <v>119</v>
      </c>
      <c r="H475" s="41" t="s">
        <v>120</v>
      </c>
      <c r="I475" s="41" t="s">
        <v>47</v>
      </c>
      <c r="J475" s="41" t="s">
        <v>121</v>
      </c>
      <c r="K475" s="41" t="s">
        <v>33</v>
      </c>
      <c r="L475" s="50">
        <v>854100</v>
      </c>
      <c r="M475" s="50">
        <v>0</v>
      </c>
      <c r="N475" s="50">
        <v>854100</v>
      </c>
      <c r="O475" s="50">
        <v>0</v>
      </c>
      <c r="P475" s="43" t="s">
        <v>351</v>
      </c>
      <c r="Q475" s="40">
        <v>1007388734</v>
      </c>
      <c r="R475" s="41" t="s">
        <v>3704</v>
      </c>
      <c r="S475" s="41" t="s">
        <v>316</v>
      </c>
      <c r="T475" s="41" t="s">
        <v>317</v>
      </c>
      <c r="U475" s="41" t="s">
        <v>3705</v>
      </c>
      <c r="V475" s="41" t="s">
        <v>319</v>
      </c>
      <c r="W475" s="41" t="s">
        <v>652</v>
      </c>
      <c r="X475" s="41" t="s">
        <v>653</v>
      </c>
      <c r="Y475" s="40">
        <v>2325</v>
      </c>
      <c r="Z475" s="40">
        <v>2325</v>
      </c>
      <c r="AA475" s="40">
        <v>47425</v>
      </c>
      <c r="AB475" s="41"/>
      <c r="AC475" s="41" t="s">
        <v>3707</v>
      </c>
      <c r="AD475" s="41" t="s">
        <v>3703</v>
      </c>
      <c r="AE475" s="41"/>
      <c r="AF475" s="41" t="s">
        <v>2804</v>
      </c>
      <c r="AG475" s="41" t="s">
        <v>3595</v>
      </c>
      <c r="AH475" s="41" t="s">
        <v>3605</v>
      </c>
      <c r="AI475" s="41" t="s">
        <v>3606</v>
      </c>
    </row>
    <row r="476" spans="1:35" x14ac:dyDescent="0.2">
      <c r="A476" s="53">
        <v>47525</v>
      </c>
      <c r="B476" s="41" t="s">
        <v>2804</v>
      </c>
      <c r="C476" s="41" t="s">
        <v>4228</v>
      </c>
      <c r="D476" s="41" t="s">
        <v>312</v>
      </c>
      <c r="E476" s="55">
        <v>923218</v>
      </c>
      <c r="F476" s="41" t="s">
        <v>118</v>
      </c>
      <c r="G476" s="41" t="s">
        <v>119</v>
      </c>
      <c r="H476" s="41" t="s">
        <v>120</v>
      </c>
      <c r="I476" s="41" t="s">
        <v>47</v>
      </c>
      <c r="J476" s="41" t="s">
        <v>121</v>
      </c>
      <c r="K476" s="41" t="s">
        <v>33</v>
      </c>
      <c r="L476" s="50">
        <v>854100</v>
      </c>
      <c r="M476" s="50">
        <v>0</v>
      </c>
      <c r="N476" s="50">
        <v>854100</v>
      </c>
      <c r="O476" s="50">
        <v>0</v>
      </c>
      <c r="P476" s="43" t="s">
        <v>351</v>
      </c>
      <c r="Q476" s="40">
        <v>1072188338</v>
      </c>
      <c r="R476" s="41" t="s">
        <v>3709</v>
      </c>
      <c r="S476" s="41" t="s">
        <v>316</v>
      </c>
      <c r="T476" s="41" t="s">
        <v>317</v>
      </c>
      <c r="U476" s="41" t="s">
        <v>3710</v>
      </c>
      <c r="V476" s="41" t="s">
        <v>319</v>
      </c>
      <c r="W476" s="41" t="s">
        <v>354</v>
      </c>
      <c r="X476" s="41" t="s">
        <v>355</v>
      </c>
      <c r="Y476" s="40">
        <v>2325</v>
      </c>
      <c r="Z476" s="40">
        <v>2325</v>
      </c>
      <c r="AA476" s="40">
        <v>47525</v>
      </c>
      <c r="AB476" s="41"/>
      <c r="AC476" s="41" t="s">
        <v>3712</v>
      </c>
      <c r="AD476" s="41" t="s">
        <v>3708</v>
      </c>
      <c r="AE476" s="41"/>
      <c r="AF476" s="41" t="s">
        <v>2804</v>
      </c>
      <c r="AG476" s="41" t="s">
        <v>3595</v>
      </c>
      <c r="AH476" s="41" t="s">
        <v>3605</v>
      </c>
      <c r="AI476" s="41" t="s">
        <v>3606</v>
      </c>
    </row>
    <row r="477" spans="1:35" x14ac:dyDescent="0.2">
      <c r="A477" s="53">
        <v>47625</v>
      </c>
      <c r="B477" s="41" t="s">
        <v>2804</v>
      </c>
      <c r="C477" s="41" t="s">
        <v>4229</v>
      </c>
      <c r="D477" s="41" t="s">
        <v>312</v>
      </c>
      <c r="E477" s="55">
        <v>923218</v>
      </c>
      <c r="F477" s="41" t="s">
        <v>118</v>
      </c>
      <c r="G477" s="41" t="s">
        <v>119</v>
      </c>
      <c r="H477" s="41" t="s">
        <v>120</v>
      </c>
      <c r="I477" s="41" t="s">
        <v>47</v>
      </c>
      <c r="J477" s="41" t="s">
        <v>121</v>
      </c>
      <c r="K477" s="41" t="s">
        <v>33</v>
      </c>
      <c r="L477" s="50">
        <v>854100</v>
      </c>
      <c r="M477" s="50">
        <v>0</v>
      </c>
      <c r="N477" s="50">
        <v>854100</v>
      </c>
      <c r="O477" s="50">
        <v>0</v>
      </c>
      <c r="P477" s="43" t="s">
        <v>3714</v>
      </c>
      <c r="Q477" s="40">
        <v>5935943</v>
      </c>
      <c r="R477" s="41" t="s">
        <v>3715</v>
      </c>
      <c r="S477" s="41" t="s">
        <v>316</v>
      </c>
      <c r="T477" s="41" t="s">
        <v>317</v>
      </c>
      <c r="U477" s="41" t="s">
        <v>3716</v>
      </c>
      <c r="V477" s="41" t="s">
        <v>319</v>
      </c>
      <c r="W477" s="41" t="s">
        <v>341</v>
      </c>
      <c r="X477" s="41" t="s">
        <v>342</v>
      </c>
      <c r="Y477" s="40">
        <v>2325</v>
      </c>
      <c r="Z477" s="40">
        <v>2325</v>
      </c>
      <c r="AA477" s="40">
        <v>47625</v>
      </c>
      <c r="AB477" s="41"/>
      <c r="AC477" s="41" t="s">
        <v>3718</v>
      </c>
      <c r="AD477" s="41" t="s">
        <v>3713</v>
      </c>
      <c r="AE477" s="41"/>
      <c r="AF477" s="41" t="s">
        <v>2804</v>
      </c>
      <c r="AG477" s="41" t="s">
        <v>3595</v>
      </c>
      <c r="AH477" s="41" t="s">
        <v>3605</v>
      </c>
      <c r="AI477" s="41" t="s">
        <v>3606</v>
      </c>
    </row>
    <row r="478" spans="1:35" x14ac:dyDescent="0.2">
      <c r="A478" s="53">
        <v>47725</v>
      </c>
      <c r="B478" s="41" t="s">
        <v>2804</v>
      </c>
      <c r="C478" s="41" t="s">
        <v>4230</v>
      </c>
      <c r="D478" s="41" t="s">
        <v>312</v>
      </c>
      <c r="E478" s="55">
        <v>923218</v>
      </c>
      <c r="F478" s="41" t="s">
        <v>118</v>
      </c>
      <c r="G478" s="41" t="s">
        <v>119</v>
      </c>
      <c r="H478" s="41" t="s">
        <v>120</v>
      </c>
      <c r="I478" s="41" t="s">
        <v>47</v>
      </c>
      <c r="J478" s="41" t="s">
        <v>121</v>
      </c>
      <c r="K478" s="41" t="s">
        <v>33</v>
      </c>
      <c r="L478" s="50">
        <v>854100</v>
      </c>
      <c r="M478" s="50">
        <v>0</v>
      </c>
      <c r="N478" s="50">
        <v>854100</v>
      </c>
      <c r="O478" s="50">
        <v>0</v>
      </c>
      <c r="P478" s="43" t="s">
        <v>351</v>
      </c>
      <c r="Q478" s="40">
        <v>1003642059</v>
      </c>
      <c r="R478" s="41" t="s">
        <v>3720</v>
      </c>
      <c r="S478" s="41" t="s">
        <v>316</v>
      </c>
      <c r="T478" s="41" t="s">
        <v>317</v>
      </c>
      <c r="U478" s="41" t="s">
        <v>3721</v>
      </c>
      <c r="V478" s="41" t="s">
        <v>319</v>
      </c>
      <c r="W478" s="41" t="s">
        <v>341</v>
      </c>
      <c r="X478" s="41" t="s">
        <v>342</v>
      </c>
      <c r="Y478" s="40">
        <v>2325</v>
      </c>
      <c r="Z478" s="40">
        <v>2325</v>
      </c>
      <c r="AA478" s="40">
        <v>47725</v>
      </c>
      <c r="AB478" s="41"/>
      <c r="AC478" s="41" t="s">
        <v>3574</v>
      </c>
      <c r="AD478" s="41" t="s">
        <v>3719</v>
      </c>
      <c r="AE478" s="41"/>
      <c r="AF478" s="41" t="s">
        <v>2804</v>
      </c>
      <c r="AG478" s="41" t="s">
        <v>3595</v>
      </c>
      <c r="AH478" s="41" t="s">
        <v>3605</v>
      </c>
      <c r="AI478" s="41" t="s">
        <v>3606</v>
      </c>
    </row>
    <row r="479" spans="1:35" x14ac:dyDescent="0.2">
      <c r="A479" s="53">
        <v>47825</v>
      </c>
      <c r="B479" s="41" t="s">
        <v>2804</v>
      </c>
      <c r="C479" s="41" t="s">
        <v>4231</v>
      </c>
      <c r="D479" s="41" t="s">
        <v>312</v>
      </c>
      <c r="E479" s="55">
        <v>923218</v>
      </c>
      <c r="F479" s="41" t="s">
        <v>118</v>
      </c>
      <c r="G479" s="41" t="s">
        <v>119</v>
      </c>
      <c r="H479" s="41" t="s">
        <v>120</v>
      </c>
      <c r="I479" s="41" t="s">
        <v>47</v>
      </c>
      <c r="J479" s="41" t="s">
        <v>121</v>
      </c>
      <c r="K479" s="41" t="s">
        <v>33</v>
      </c>
      <c r="L479" s="50">
        <v>854100</v>
      </c>
      <c r="M479" s="50">
        <v>0</v>
      </c>
      <c r="N479" s="50">
        <v>854100</v>
      </c>
      <c r="O479" s="50">
        <v>0</v>
      </c>
      <c r="P479" s="43" t="s">
        <v>351</v>
      </c>
      <c r="Q479" s="40">
        <v>1012339622</v>
      </c>
      <c r="R479" s="41" t="s">
        <v>3724</v>
      </c>
      <c r="S479" s="41" t="s">
        <v>316</v>
      </c>
      <c r="T479" s="41" t="s">
        <v>317</v>
      </c>
      <c r="U479" s="41" t="s">
        <v>3725</v>
      </c>
      <c r="V479" s="41" t="s">
        <v>319</v>
      </c>
      <c r="W479" s="41" t="s">
        <v>341</v>
      </c>
      <c r="X479" s="41" t="s">
        <v>342</v>
      </c>
      <c r="Y479" s="40">
        <v>2325</v>
      </c>
      <c r="Z479" s="40">
        <v>2325</v>
      </c>
      <c r="AA479" s="40">
        <v>47825</v>
      </c>
      <c r="AB479" s="41"/>
      <c r="AC479" s="41" t="s">
        <v>3727</v>
      </c>
      <c r="AD479" s="41" t="s">
        <v>3723</v>
      </c>
      <c r="AE479" s="41"/>
      <c r="AF479" s="41" t="s">
        <v>2804</v>
      </c>
      <c r="AG479" s="41" t="s">
        <v>3595</v>
      </c>
      <c r="AH479" s="41" t="s">
        <v>3605</v>
      </c>
      <c r="AI479" s="41" t="s">
        <v>3606</v>
      </c>
    </row>
    <row r="480" spans="1:35" x14ac:dyDescent="0.2">
      <c r="A480" s="53">
        <v>47925</v>
      </c>
      <c r="B480" s="41" t="s">
        <v>2804</v>
      </c>
      <c r="C480" s="41" t="s">
        <v>4232</v>
      </c>
      <c r="D480" s="41" t="s">
        <v>312</v>
      </c>
      <c r="E480" s="55">
        <v>923218</v>
      </c>
      <c r="F480" s="41" t="s">
        <v>118</v>
      </c>
      <c r="G480" s="41" t="s">
        <v>119</v>
      </c>
      <c r="H480" s="41" t="s">
        <v>120</v>
      </c>
      <c r="I480" s="41" t="s">
        <v>47</v>
      </c>
      <c r="J480" s="41" t="s">
        <v>121</v>
      </c>
      <c r="K480" s="41" t="s">
        <v>33</v>
      </c>
      <c r="L480" s="50">
        <v>854100</v>
      </c>
      <c r="M480" s="50">
        <v>0</v>
      </c>
      <c r="N480" s="50">
        <v>854100</v>
      </c>
      <c r="O480" s="50">
        <v>0</v>
      </c>
      <c r="P480" s="43" t="s">
        <v>3589</v>
      </c>
      <c r="Q480" s="40">
        <v>1043139348</v>
      </c>
      <c r="R480" s="41" t="s">
        <v>3729</v>
      </c>
      <c r="S480" s="41" t="s">
        <v>316</v>
      </c>
      <c r="T480" s="41" t="s">
        <v>317</v>
      </c>
      <c r="U480" s="41" t="s">
        <v>3730</v>
      </c>
      <c r="V480" s="41" t="s">
        <v>319</v>
      </c>
      <c r="W480" s="41" t="s">
        <v>341</v>
      </c>
      <c r="X480" s="41" t="s">
        <v>342</v>
      </c>
      <c r="Y480" s="40">
        <v>2325</v>
      </c>
      <c r="Z480" s="40">
        <v>2325</v>
      </c>
      <c r="AA480" s="40">
        <v>47925</v>
      </c>
      <c r="AB480" s="41"/>
      <c r="AC480" s="41" t="s">
        <v>3732</v>
      </c>
      <c r="AD480" s="41" t="s">
        <v>3728</v>
      </c>
      <c r="AE480" s="41"/>
      <c r="AF480" s="41" t="s">
        <v>2804</v>
      </c>
      <c r="AG480" s="41" t="s">
        <v>3595</v>
      </c>
      <c r="AH480" s="41" t="s">
        <v>3605</v>
      </c>
      <c r="AI480" s="41" t="s">
        <v>3606</v>
      </c>
    </row>
    <row r="481" spans="1:35" x14ac:dyDescent="0.2">
      <c r="A481" s="53">
        <v>48025</v>
      </c>
      <c r="B481" s="41" t="s">
        <v>2804</v>
      </c>
      <c r="C481" s="41" t="s">
        <v>4233</v>
      </c>
      <c r="D481" s="41" t="s">
        <v>312</v>
      </c>
      <c r="E481" s="55">
        <v>923218</v>
      </c>
      <c r="F481" s="41" t="s">
        <v>118</v>
      </c>
      <c r="G481" s="41" t="s">
        <v>119</v>
      </c>
      <c r="H481" s="41" t="s">
        <v>120</v>
      </c>
      <c r="I481" s="41" t="s">
        <v>47</v>
      </c>
      <c r="J481" s="41" t="s">
        <v>121</v>
      </c>
      <c r="K481" s="41" t="s">
        <v>33</v>
      </c>
      <c r="L481" s="50">
        <v>854100</v>
      </c>
      <c r="M481" s="50">
        <v>0</v>
      </c>
      <c r="N481" s="50">
        <v>854100</v>
      </c>
      <c r="O481" s="50">
        <v>0</v>
      </c>
      <c r="P481" s="43" t="s">
        <v>3589</v>
      </c>
      <c r="Q481" s="40">
        <v>1049022400</v>
      </c>
      <c r="R481" s="41" t="s">
        <v>3734</v>
      </c>
      <c r="S481" s="41" t="s">
        <v>316</v>
      </c>
      <c r="T481" s="41" t="s">
        <v>317</v>
      </c>
      <c r="U481" s="41" t="s">
        <v>3735</v>
      </c>
      <c r="V481" s="41" t="s">
        <v>319</v>
      </c>
      <c r="W481" s="41" t="s">
        <v>341</v>
      </c>
      <c r="X481" s="41" t="s">
        <v>342</v>
      </c>
      <c r="Y481" s="40">
        <v>2325</v>
      </c>
      <c r="Z481" s="40">
        <v>2325</v>
      </c>
      <c r="AA481" s="40">
        <v>48025</v>
      </c>
      <c r="AB481" s="41"/>
      <c r="AC481" s="41" t="s">
        <v>3737</v>
      </c>
      <c r="AD481" s="41" t="s">
        <v>3733</v>
      </c>
      <c r="AE481" s="41"/>
      <c r="AF481" s="41" t="s">
        <v>2804</v>
      </c>
      <c r="AG481" s="41" t="s">
        <v>3595</v>
      </c>
      <c r="AH481" s="41" t="s">
        <v>3605</v>
      </c>
      <c r="AI481" s="41" t="s">
        <v>3606</v>
      </c>
    </row>
    <row r="482" spans="1:35" x14ac:dyDescent="0.2">
      <c r="A482" s="53">
        <v>48125</v>
      </c>
      <c r="B482" s="41" t="s">
        <v>2804</v>
      </c>
      <c r="C482" s="41" t="s">
        <v>4234</v>
      </c>
      <c r="D482" s="41" t="s">
        <v>312</v>
      </c>
      <c r="E482" s="55">
        <v>923218</v>
      </c>
      <c r="F482" s="41" t="s">
        <v>118</v>
      </c>
      <c r="G482" s="41" t="s">
        <v>119</v>
      </c>
      <c r="H482" s="41" t="s">
        <v>120</v>
      </c>
      <c r="I482" s="41" t="s">
        <v>47</v>
      </c>
      <c r="J482" s="41" t="s">
        <v>121</v>
      </c>
      <c r="K482" s="41" t="s">
        <v>33</v>
      </c>
      <c r="L482" s="50">
        <v>854100</v>
      </c>
      <c r="M482" s="50">
        <v>0</v>
      </c>
      <c r="N482" s="50">
        <v>854100</v>
      </c>
      <c r="O482" s="50">
        <v>0</v>
      </c>
      <c r="P482" s="43" t="s">
        <v>351</v>
      </c>
      <c r="Q482" s="40">
        <v>1030596508</v>
      </c>
      <c r="R482" s="41" t="s">
        <v>3739</v>
      </c>
      <c r="S482" s="41" t="s">
        <v>316</v>
      </c>
      <c r="T482" s="41" t="s">
        <v>317</v>
      </c>
      <c r="U482" s="41" t="s">
        <v>3740</v>
      </c>
      <c r="V482" s="41" t="s">
        <v>319</v>
      </c>
      <c r="W482" s="41" t="s">
        <v>783</v>
      </c>
      <c r="X482" s="41" t="s">
        <v>784</v>
      </c>
      <c r="Y482" s="40">
        <v>2325</v>
      </c>
      <c r="Z482" s="40">
        <v>2325</v>
      </c>
      <c r="AA482" s="40">
        <v>48125</v>
      </c>
      <c r="AB482" s="41"/>
      <c r="AC482" s="41" t="s">
        <v>3742</v>
      </c>
      <c r="AD482" s="41" t="s">
        <v>3738</v>
      </c>
      <c r="AE482" s="41"/>
      <c r="AF482" s="41" t="s">
        <v>2804</v>
      </c>
      <c r="AG482" s="41" t="s">
        <v>3595</v>
      </c>
      <c r="AH482" s="41" t="s">
        <v>3605</v>
      </c>
      <c r="AI482" s="41" t="s">
        <v>3606</v>
      </c>
    </row>
    <row r="483" spans="1:35" x14ac:dyDescent="0.2">
      <c r="A483" s="53">
        <v>48225</v>
      </c>
      <c r="B483" s="41" t="s">
        <v>2804</v>
      </c>
      <c r="C483" s="41" t="s">
        <v>4235</v>
      </c>
      <c r="D483" s="41" t="s">
        <v>312</v>
      </c>
      <c r="E483" s="55">
        <v>923218</v>
      </c>
      <c r="F483" s="41" t="s">
        <v>118</v>
      </c>
      <c r="G483" s="41" t="s">
        <v>119</v>
      </c>
      <c r="H483" s="41" t="s">
        <v>120</v>
      </c>
      <c r="I483" s="41" t="s">
        <v>47</v>
      </c>
      <c r="J483" s="41" t="s">
        <v>121</v>
      </c>
      <c r="K483" s="41" t="s">
        <v>33</v>
      </c>
      <c r="L483" s="50">
        <v>854100</v>
      </c>
      <c r="M483" s="50">
        <v>0</v>
      </c>
      <c r="N483" s="50">
        <v>854100</v>
      </c>
      <c r="O483" s="50">
        <v>0</v>
      </c>
      <c r="P483" s="43" t="s">
        <v>3589</v>
      </c>
      <c r="Q483" s="40">
        <v>1116782386</v>
      </c>
      <c r="R483" s="41" t="s">
        <v>3744</v>
      </c>
      <c r="S483" s="41" t="s">
        <v>316</v>
      </c>
      <c r="T483" s="41" t="s">
        <v>317</v>
      </c>
      <c r="U483" s="41" t="s">
        <v>3745</v>
      </c>
      <c r="V483" s="41" t="s">
        <v>319</v>
      </c>
      <c r="W483" s="41" t="s">
        <v>341</v>
      </c>
      <c r="X483" s="41" t="s">
        <v>342</v>
      </c>
      <c r="Y483" s="40">
        <v>2325</v>
      </c>
      <c r="Z483" s="40">
        <v>2325</v>
      </c>
      <c r="AA483" s="40">
        <v>48225</v>
      </c>
      <c r="AB483" s="41"/>
      <c r="AC483" s="41" t="s">
        <v>3747</v>
      </c>
      <c r="AD483" s="41" t="s">
        <v>3743</v>
      </c>
      <c r="AE483" s="41"/>
      <c r="AF483" s="41" t="s">
        <v>2804</v>
      </c>
      <c r="AG483" s="41" t="s">
        <v>3595</v>
      </c>
      <c r="AH483" s="41" t="s">
        <v>3605</v>
      </c>
      <c r="AI483" s="41" t="s">
        <v>3606</v>
      </c>
    </row>
    <row r="484" spans="1:35" x14ac:dyDescent="0.2">
      <c r="A484" s="53">
        <v>48325</v>
      </c>
      <c r="B484" s="41" t="s">
        <v>2804</v>
      </c>
      <c r="C484" s="41" t="s">
        <v>4236</v>
      </c>
      <c r="D484" s="41" t="s">
        <v>312</v>
      </c>
      <c r="E484" s="55">
        <v>923218</v>
      </c>
      <c r="F484" s="41" t="s">
        <v>118</v>
      </c>
      <c r="G484" s="41" t="s">
        <v>119</v>
      </c>
      <c r="H484" s="41" t="s">
        <v>120</v>
      </c>
      <c r="I484" s="41" t="s">
        <v>47</v>
      </c>
      <c r="J484" s="41" t="s">
        <v>121</v>
      </c>
      <c r="K484" s="41" t="s">
        <v>33</v>
      </c>
      <c r="L484" s="50">
        <v>854100</v>
      </c>
      <c r="M484" s="50">
        <v>0</v>
      </c>
      <c r="N484" s="50">
        <v>854100</v>
      </c>
      <c r="O484" s="50">
        <v>0</v>
      </c>
      <c r="P484" s="43" t="s">
        <v>3589</v>
      </c>
      <c r="Q484" s="40">
        <v>1025534807</v>
      </c>
      <c r="R484" s="41" t="s">
        <v>3749</v>
      </c>
      <c r="S484" s="41" t="s">
        <v>316</v>
      </c>
      <c r="T484" s="41" t="s">
        <v>317</v>
      </c>
      <c r="U484" s="41" t="s">
        <v>3750</v>
      </c>
      <c r="V484" s="41" t="s">
        <v>319</v>
      </c>
      <c r="W484" s="41" t="s">
        <v>341</v>
      </c>
      <c r="X484" s="41" t="s">
        <v>342</v>
      </c>
      <c r="Y484" s="40">
        <v>2325</v>
      </c>
      <c r="Z484" s="40">
        <v>2325</v>
      </c>
      <c r="AA484" s="40">
        <v>48325</v>
      </c>
      <c r="AB484" s="41"/>
      <c r="AC484" s="41" t="s">
        <v>3752</v>
      </c>
      <c r="AD484" s="41" t="s">
        <v>3748</v>
      </c>
      <c r="AE484" s="41"/>
      <c r="AF484" s="41" t="s">
        <v>2804</v>
      </c>
      <c r="AG484" s="41" t="s">
        <v>3595</v>
      </c>
      <c r="AH484" s="41" t="s">
        <v>3605</v>
      </c>
      <c r="AI484" s="41" t="s">
        <v>3606</v>
      </c>
    </row>
    <row r="485" spans="1:35" x14ac:dyDescent="0.2">
      <c r="A485" s="53">
        <v>48425</v>
      </c>
      <c r="B485" s="41" t="s">
        <v>2804</v>
      </c>
      <c r="C485" s="41" t="s">
        <v>4237</v>
      </c>
      <c r="D485" s="41" t="s">
        <v>312</v>
      </c>
      <c r="E485" s="55">
        <v>923218</v>
      </c>
      <c r="F485" s="41" t="s">
        <v>118</v>
      </c>
      <c r="G485" s="41" t="s">
        <v>119</v>
      </c>
      <c r="H485" s="41" t="s">
        <v>120</v>
      </c>
      <c r="I485" s="41" t="s">
        <v>47</v>
      </c>
      <c r="J485" s="41" t="s">
        <v>121</v>
      </c>
      <c r="K485" s="41" t="s">
        <v>33</v>
      </c>
      <c r="L485" s="50">
        <v>854100</v>
      </c>
      <c r="M485" s="50">
        <v>0</v>
      </c>
      <c r="N485" s="50">
        <v>854100</v>
      </c>
      <c r="O485" s="50">
        <v>0</v>
      </c>
      <c r="P485" s="43" t="s">
        <v>351</v>
      </c>
      <c r="Q485" s="40">
        <v>52095819</v>
      </c>
      <c r="R485" s="41" t="s">
        <v>3754</v>
      </c>
      <c r="S485" s="41" t="s">
        <v>316</v>
      </c>
      <c r="T485" s="41" t="s">
        <v>317</v>
      </c>
      <c r="U485" s="41" t="s">
        <v>3755</v>
      </c>
      <c r="V485" s="41" t="s">
        <v>319</v>
      </c>
      <c r="W485" s="41" t="s">
        <v>341</v>
      </c>
      <c r="X485" s="41" t="s">
        <v>342</v>
      </c>
      <c r="Y485" s="40">
        <v>2325</v>
      </c>
      <c r="Z485" s="40">
        <v>2325</v>
      </c>
      <c r="AA485" s="40">
        <v>48425</v>
      </c>
      <c r="AB485" s="41"/>
      <c r="AC485" s="41" t="s">
        <v>3757</v>
      </c>
      <c r="AD485" s="41" t="s">
        <v>3753</v>
      </c>
      <c r="AE485" s="41"/>
      <c r="AF485" s="41" t="s">
        <v>2804</v>
      </c>
      <c r="AG485" s="41" t="s">
        <v>3595</v>
      </c>
      <c r="AH485" s="41" t="s">
        <v>3605</v>
      </c>
      <c r="AI485" s="41" t="s">
        <v>3606</v>
      </c>
    </row>
    <row r="486" spans="1:35" x14ac:dyDescent="0.2">
      <c r="A486" s="53">
        <v>48525</v>
      </c>
      <c r="B486" s="41" t="s">
        <v>2804</v>
      </c>
      <c r="C486" s="41" t="s">
        <v>4238</v>
      </c>
      <c r="D486" s="41" t="s">
        <v>312</v>
      </c>
      <c r="E486" s="55">
        <v>923218</v>
      </c>
      <c r="F486" s="41" t="s">
        <v>118</v>
      </c>
      <c r="G486" s="41" t="s">
        <v>119</v>
      </c>
      <c r="H486" s="41" t="s">
        <v>120</v>
      </c>
      <c r="I486" s="41" t="s">
        <v>47</v>
      </c>
      <c r="J486" s="41" t="s">
        <v>121</v>
      </c>
      <c r="K486" s="41" t="s">
        <v>33</v>
      </c>
      <c r="L486" s="50">
        <v>854100</v>
      </c>
      <c r="M486" s="50">
        <v>0</v>
      </c>
      <c r="N486" s="50">
        <v>854100</v>
      </c>
      <c r="O486" s="50">
        <v>0</v>
      </c>
      <c r="P486" s="43" t="s">
        <v>3589</v>
      </c>
      <c r="Q486" s="40">
        <v>1024494407</v>
      </c>
      <c r="R486" s="41" t="s">
        <v>3759</v>
      </c>
      <c r="S486" s="41" t="s">
        <v>316</v>
      </c>
      <c r="T486" s="41" t="s">
        <v>317</v>
      </c>
      <c r="U486" s="41" t="s">
        <v>3760</v>
      </c>
      <c r="V486" s="41" t="s">
        <v>319</v>
      </c>
      <c r="W486" s="41" t="s">
        <v>354</v>
      </c>
      <c r="X486" s="41" t="s">
        <v>355</v>
      </c>
      <c r="Y486" s="40">
        <v>2325</v>
      </c>
      <c r="Z486" s="40">
        <v>2325</v>
      </c>
      <c r="AA486" s="40">
        <v>48525</v>
      </c>
      <c r="AB486" s="41"/>
      <c r="AC486" s="41" t="s">
        <v>3762</v>
      </c>
      <c r="AD486" s="41" t="s">
        <v>3758</v>
      </c>
      <c r="AE486" s="41"/>
      <c r="AF486" s="41" t="s">
        <v>2804</v>
      </c>
      <c r="AG486" s="41" t="s">
        <v>3595</v>
      </c>
      <c r="AH486" s="41" t="s">
        <v>3605</v>
      </c>
      <c r="AI486" s="41" t="s">
        <v>3606</v>
      </c>
    </row>
    <row r="487" spans="1:35" x14ac:dyDescent="0.2">
      <c r="A487" s="53">
        <v>48625</v>
      </c>
      <c r="B487" s="41" t="s">
        <v>2804</v>
      </c>
      <c r="C487" s="41" t="s">
        <v>4239</v>
      </c>
      <c r="D487" s="41" t="s">
        <v>312</v>
      </c>
      <c r="E487" s="55">
        <v>923218</v>
      </c>
      <c r="F487" s="41" t="s">
        <v>118</v>
      </c>
      <c r="G487" s="41" t="s">
        <v>119</v>
      </c>
      <c r="H487" s="41" t="s">
        <v>120</v>
      </c>
      <c r="I487" s="41" t="s">
        <v>47</v>
      </c>
      <c r="J487" s="41" t="s">
        <v>121</v>
      </c>
      <c r="K487" s="41" t="s">
        <v>33</v>
      </c>
      <c r="L487" s="50">
        <v>854100</v>
      </c>
      <c r="M487" s="50">
        <v>0</v>
      </c>
      <c r="N487" s="50">
        <v>854100</v>
      </c>
      <c r="O487" s="50">
        <v>0</v>
      </c>
      <c r="P487" s="43" t="s">
        <v>351</v>
      </c>
      <c r="Q487" s="40">
        <v>39671337</v>
      </c>
      <c r="R487" s="41" t="s">
        <v>3764</v>
      </c>
      <c r="S487" s="41" t="s">
        <v>316</v>
      </c>
      <c r="T487" s="41" t="s">
        <v>317</v>
      </c>
      <c r="U487" s="41" t="s">
        <v>3765</v>
      </c>
      <c r="V487" s="41" t="s">
        <v>319</v>
      </c>
      <c r="W487" s="41" t="s">
        <v>341</v>
      </c>
      <c r="X487" s="41" t="s">
        <v>342</v>
      </c>
      <c r="Y487" s="40">
        <v>2325</v>
      </c>
      <c r="Z487" s="40">
        <v>2325</v>
      </c>
      <c r="AA487" s="40">
        <v>48625</v>
      </c>
      <c r="AB487" s="41"/>
      <c r="AC487" s="41" t="s">
        <v>3767</v>
      </c>
      <c r="AD487" s="41" t="s">
        <v>3763</v>
      </c>
      <c r="AE487" s="41"/>
      <c r="AF487" s="41" t="s">
        <v>2804</v>
      </c>
      <c r="AG487" s="41" t="s">
        <v>3595</v>
      </c>
      <c r="AH487" s="41" t="s">
        <v>3605</v>
      </c>
      <c r="AI487" s="41" t="s">
        <v>3606</v>
      </c>
    </row>
    <row r="488" spans="1:35" x14ac:dyDescent="0.2">
      <c r="A488" s="53">
        <v>48725</v>
      </c>
      <c r="B488" s="41" t="s">
        <v>2804</v>
      </c>
      <c r="C488" s="41" t="s">
        <v>4240</v>
      </c>
      <c r="D488" s="41" t="s">
        <v>312</v>
      </c>
      <c r="E488" s="55">
        <v>923218</v>
      </c>
      <c r="F488" s="41" t="s">
        <v>118</v>
      </c>
      <c r="G488" s="41" t="s">
        <v>119</v>
      </c>
      <c r="H488" s="41" t="s">
        <v>120</v>
      </c>
      <c r="I488" s="41" t="s">
        <v>47</v>
      </c>
      <c r="J488" s="41" t="s">
        <v>121</v>
      </c>
      <c r="K488" s="41" t="s">
        <v>33</v>
      </c>
      <c r="L488" s="50">
        <v>854100</v>
      </c>
      <c r="M488" s="50">
        <v>0</v>
      </c>
      <c r="N488" s="50">
        <v>854100</v>
      </c>
      <c r="O488" s="50">
        <v>0</v>
      </c>
      <c r="P488" s="43" t="s">
        <v>351</v>
      </c>
      <c r="Q488" s="40">
        <v>1072189988</v>
      </c>
      <c r="R488" s="41" t="s">
        <v>3769</v>
      </c>
      <c r="S488" s="41" t="s">
        <v>316</v>
      </c>
      <c r="T488" s="41" t="s">
        <v>317</v>
      </c>
      <c r="U488" s="41" t="s">
        <v>3770</v>
      </c>
      <c r="V488" s="41" t="s">
        <v>319</v>
      </c>
      <c r="W488" s="41" t="s">
        <v>341</v>
      </c>
      <c r="X488" s="41" t="s">
        <v>342</v>
      </c>
      <c r="Y488" s="40">
        <v>2325</v>
      </c>
      <c r="Z488" s="40">
        <v>2325</v>
      </c>
      <c r="AA488" s="40">
        <v>48725</v>
      </c>
      <c r="AB488" s="41"/>
      <c r="AC488" s="41" t="s">
        <v>3603</v>
      </c>
      <c r="AD488" s="41" t="s">
        <v>3768</v>
      </c>
      <c r="AE488" s="41"/>
      <c r="AF488" s="41" t="s">
        <v>2804</v>
      </c>
      <c r="AG488" s="41" t="s">
        <v>3595</v>
      </c>
      <c r="AH488" s="41" t="s">
        <v>3605</v>
      </c>
      <c r="AI488" s="41" t="s">
        <v>3606</v>
      </c>
    </row>
    <row r="489" spans="1:35" x14ac:dyDescent="0.2">
      <c r="A489" s="53">
        <v>48825</v>
      </c>
      <c r="B489" s="41" t="s">
        <v>2804</v>
      </c>
      <c r="C489" s="41" t="s">
        <v>4241</v>
      </c>
      <c r="D489" s="41" t="s">
        <v>312</v>
      </c>
      <c r="E489" s="55">
        <v>923218</v>
      </c>
      <c r="F489" s="41" t="s">
        <v>118</v>
      </c>
      <c r="G489" s="41" t="s">
        <v>119</v>
      </c>
      <c r="H489" s="41" t="s">
        <v>120</v>
      </c>
      <c r="I489" s="41" t="s">
        <v>47</v>
      </c>
      <c r="J489" s="41" t="s">
        <v>121</v>
      </c>
      <c r="K489" s="41" t="s">
        <v>33</v>
      </c>
      <c r="L489" s="50">
        <v>854100</v>
      </c>
      <c r="M489" s="50">
        <v>0</v>
      </c>
      <c r="N489" s="50">
        <v>854100</v>
      </c>
      <c r="O489" s="50">
        <v>0</v>
      </c>
      <c r="P489" s="43" t="s">
        <v>351</v>
      </c>
      <c r="Q489" s="40">
        <v>79183716</v>
      </c>
      <c r="R489" s="41" t="s">
        <v>3773</v>
      </c>
      <c r="S489" s="41" t="s">
        <v>316</v>
      </c>
      <c r="T489" s="41" t="s">
        <v>317</v>
      </c>
      <c r="U489" s="41" t="s">
        <v>3774</v>
      </c>
      <c r="V489" s="41" t="s">
        <v>319</v>
      </c>
      <c r="W489" s="41" t="s">
        <v>341</v>
      </c>
      <c r="X489" s="41" t="s">
        <v>342</v>
      </c>
      <c r="Y489" s="40">
        <v>2325</v>
      </c>
      <c r="Z489" s="40">
        <v>2325</v>
      </c>
      <c r="AA489" s="40">
        <v>48825</v>
      </c>
      <c r="AB489" s="41"/>
      <c r="AC489" s="41" t="s">
        <v>3608</v>
      </c>
      <c r="AD489" s="41" t="s">
        <v>3772</v>
      </c>
      <c r="AE489" s="41"/>
      <c r="AF489" s="41" t="s">
        <v>2804</v>
      </c>
      <c r="AG489" s="41" t="s">
        <v>3595</v>
      </c>
      <c r="AH489" s="41" t="s">
        <v>3605</v>
      </c>
      <c r="AI489" s="41" t="s">
        <v>3606</v>
      </c>
    </row>
    <row r="490" spans="1:35" x14ac:dyDescent="0.2">
      <c r="A490" s="53">
        <v>48925</v>
      </c>
      <c r="B490" s="41" t="s">
        <v>2804</v>
      </c>
      <c r="C490" s="41" t="s">
        <v>4242</v>
      </c>
      <c r="D490" s="41" t="s">
        <v>312</v>
      </c>
      <c r="E490" s="55">
        <v>923210</v>
      </c>
      <c r="F490" s="41" t="s">
        <v>56</v>
      </c>
      <c r="G490" s="41" t="s">
        <v>29</v>
      </c>
      <c r="H490" s="41" t="s">
        <v>30</v>
      </c>
      <c r="I490" s="41" t="s">
        <v>47</v>
      </c>
      <c r="J490" s="41" t="s">
        <v>48</v>
      </c>
      <c r="K490" s="41" t="s">
        <v>33</v>
      </c>
      <c r="L490" s="50">
        <v>122500</v>
      </c>
      <c r="M490" s="50">
        <v>0</v>
      </c>
      <c r="N490" s="50">
        <v>122500</v>
      </c>
      <c r="O490" s="50">
        <v>0</v>
      </c>
      <c r="P490" s="43" t="s">
        <v>314</v>
      </c>
      <c r="Q490" s="40">
        <v>900171710</v>
      </c>
      <c r="R490" s="41" t="s">
        <v>634</v>
      </c>
      <c r="S490" s="41" t="s">
        <v>635</v>
      </c>
      <c r="T490" s="54"/>
      <c r="U490" s="54"/>
      <c r="V490" s="54"/>
      <c r="W490" s="54"/>
      <c r="X490" s="54"/>
      <c r="Y490" s="40">
        <v>1225</v>
      </c>
      <c r="Z490" s="40">
        <v>1225</v>
      </c>
      <c r="AA490" s="40">
        <v>48925</v>
      </c>
      <c r="AB490" s="41" t="s">
        <v>4649</v>
      </c>
      <c r="AC490" s="41" t="s">
        <v>4650</v>
      </c>
      <c r="AD490" s="41" t="s">
        <v>4651</v>
      </c>
      <c r="AE490" s="41"/>
      <c r="AF490" s="41" t="s">
        <v>2804</v>
      </c>
      <c r="AG490" s="41" t="s">
        <v>323</v>
      </c>
      <c r="AH490" s="41" t="s">
        <v>4244</v>
      </c>
      <c r="AI490" s="41" t="s">
        <v>4245</v>
      </c>
    </row>
    <row r="491" spans="1:35" x14ac:dyDescent="0.2">
      <c r="A491" s="53">
        <v>49025</v>
      </c>
      <c r="B491" s="41" t="s">
        <v>2804</v>
      </c>
      <c r="C491" s="41" t="s">
        <v>4246</v>
      </c>
      <c r="D491" s="41" t="s">
        <v>312</v>
      </c>
      <c r="E491" s="55">
        <v>923210</v>
      </c>
      <c r="F491" s="41" t="s">
        <v>56</v>
      </c>
      <c r="G491" s="41" t="s">
        <v>29</v>
      </c>
      <c r="H491" s="41" t="s">
        <v>30</v>
      </c>
      <c r="I491" s="41" t="s">
        <v>47</v>
      </c>
      <c r="J491" s="41" t="s">
        <v>48</v>
      </c>
      <c r="K491" s="41" t="s">
        <v>33</v>
      </c>
      <c r="L491" s="50">
        <v>1330860</v>
      </c>
      <c r="M491" s="50">
        <v>0</v>
      </c>
      <c r="N491" s="50">
        <v>1330860</v>
      </c>
      <c r="O491" s="50">
        <v>0</v>
      </c>
      <c r="P491" s="43" t="s">
        <v>314</v>
      </c>
      <c r="Q491" s="40">
        <v>860063875</v>
      </c>
      <c r="R491" s="41" t="s">
        <v>315</v>
      </c>
      <c r="S491" s="41" t="s">
        <v>316</v>
      </c>
      <c r="T491" s="41" t="s">
        <v>317</v>
      </c>
      <c r="U491" s="41" t="s">
        <v>318</v>
      </c>
      <c r="V491" s="41" t="s">
        <v>319</v>
      </c>
      <c r="W491" s="41" t="s">
        <v>320</v>
      </c>
      <c r="X491" s="41" t="s">
        <v>321</v>
      </c>
      <c r="Y491" s="40">
        <v>1225</v>
      </c>
      <c r="Z491" s="40">
        <v>1225</v>
      </c>
      <c r="AA491" s="40">
        <v>49025</v>
      </c>
      <c r="AB491" s="41" t="s">
        <v>216</v>
      </c>
      <c r="AC491" s="41" t="s">
        <v>3613</v>
      </c>
      <c r="AD491" s="41" t="s">
        <v>3776</v>
      </c>
      <c r="AE491" s="41"/>
      <c r="AF491" s="41" t="s">
        <v>2804</v>
      </c>
      <c r="AG491" s="41" t="s">
        <v>323</v>
      </c>
      <c r="AH491" s="41" t="s">
        <v>347</v>
      </c>
      <c r="AI491" s="41" t="s">
        <v>3780</v>
      </c>
    </row>
    <row r="492" spans="1:35" x14ac:dyDescent="0.2">
      <c r="A492" s="53">
        <v>49125</v>
      </c>
      <c r="B492" s="41" t="s">
        <v>2804</v>
      </c>
      <c r="C492" s="41" t="s">
        <v>4247</v>
      </c>
      <c r="D492" s="41" t="s">
        <v>312</v>
      </c>
      <c r="E492" s="55">
        <v>923211</v>
      </c>
      <c r="F492" s="41" t="s">
        <v>69</v>
      </c>
      <c r="G492" s="41" t="s">
        <v>29</v>
      </c>
      <c r="H492" s="41" t="s">
        <v>30</v>
      </c>
      <c r="I492" s="41" t="s">
        <v>31</v>
      </c>
      <c r="J492" s="41" t="s">
        <v>32</v>
      </c>
      <c r="K492" s="41" t="s">
        <v>33</v>
      </c>
      <c r="L492" s="50">
        <v>312390</v>
      </c>
      <c r="M492" s="50">
        <v>0</v>
      </c>
      <c r="N492" s="50">
        <v>312390</v>
      </c>
      <c r="O492" s="50">
        <v>0</v>
      </c>
      <c r="P492" s="43" t="s">
        <v>351</v>
      </c>
      <c r="Q492" s="40">
        <v>79051081</v>
      </c>
      <c r="R492" s="41" t="s">
        <v>1677</v>
      </c>
      <c r="S492" s="41" t="s">
        <v>316</v>
      </c>
      <c r="T492" s="41" t="s">
        <v>317</v>
      </c>
      <c r="U492" s="41" t="s">
        <v>1678</v>
      </c>
      <c r="V492" s="41" t="s">
        <v>319</v>
      </c>
      <c r="W492" s="41" t="s">
        <v>341</v>
      </c>
      <c r="X492" s="41" t="s">
        <v>342</v>
      </c>
      <c r="Y492" s="40">
        <v>925</v>
      </c>
      <c r="Z492" s="40">
        <v>925</v>
      </c>
      <c r="AA492" s="40">
        <v>49125</v>
      </c>
      <c r="AB492" s="41"/>
      <c r="AC492" s="41" t="s">
        <v>3711</v>
      </c>
      <c r="AD492" s="41"/>
      <c r="AE492" s="41"/>
      <c r="AF492" s="41" t="s">
        <v>2804</v>
      </c>
      <c r="AG492" s="41" t="s">
        <v>1929</v>
      </c>
      <c r="AH492" s="41" t="s">
        <v>4249</v>
      </c>
      <c r="AI492" s="41" t="s">
        <v>4250</v>
      </c>
    </row>
    <row r="493" spans="1:35" x14ac:dyDescent="0.2">
      <c r="A493" s="53">
        <v>49225</v>
      </c>
      <c r="B493" s="41" t="s">
        <v>2804</v>
      </c>
      <c r="C493" s="41" t="s">
        <v>4251</v>
      </c>
      <c r="D493" s="41" t="s">
        <v>312</v>
      </c>
      <c r="E493" s="55">
        <v>923211</v>
      </c>
      <c r="F493" s="41" t="s">
        <v>69</v>
      </c>
      <c r="G493" s="41" t="s">
        <v>29</v>
      </c>
      <c r="H493" s="41" t="s">
        <v>30</v>
      </c>
      <c r="I493" s="41" t="s">
        <v>31</v>
      </c>
      <c r="J493" s="41" t="s">
        <v>32</v>
      </c>
      <c r="K493" s="41" t="s">
        <v>33</v>
      </c>
      <c r="L493" s="50">
        <v>312390</v>
      </c>
      <c r="M493" s="50">
        <v>0</v>
      </c>
      <c r="N493" s="50">
        <v>312390</v>
      </c>
      <c r="O493" s="50">
        <v>0</v>
      </c>
      <c r="P493" s="43" t="s">
        <v>351</v>
      </c>
      <c r="Q493" s="40">
        <v>1013659725</v>
      </c>
      <c r="R493" s="41" t="s">
        <v>1555</v>
      </c>
      <c r="S493" s="41" t="s">
        <v>316</v>
      </c>
      <c r="T493" s="41" t="s">
        <v>317</v>
      </c>
      <c r="U493" s="41" t="s">
        <v>1556</v>
      </c>
      <c r="V493" s="41" t="s">
        <v>319</v>
      </c>
      <c r="W493" s="41" t="s">
        <v>380</v>
      </c>
      <c r="X493" s="41" t="s">
        <v>381</v>
      </c>
      <c r="Y493" s="40">
        <v>925</v>
      </c>
      <c r="Z493" s="40">
        <v>925</v>
      </c>
      <c r="AA493" s="40">
        <v>49225</v>
      </c>
      <c r="AB493" s="41"/>
      <c r="AC493" s="41" t="s">
        <v>4308</v>
      </c>
      <c r="AD493" s="41"/>
      <c r="AE493" s="41"/>
      <c r="AF493" s="41" t="s">
        <v>2804</v>
      </c>
      <c r="AG493" s="41" t="s">
        <v>1929</v>
      </c>
      <c r="AH493" s="41" t="s">
        <v>4253</v>
      </c>
      <c r="AI493" s="41" t="s">
        <v>4254</v>
      </c>
    </row>
    <row r="494" spans="1:35" x14ac:dyDescent="0.2">
      <c r="A494" s="53">
        <v>49325</v>
      </c>
      <c r="B494" s="41" t="s">
        <v>2804</v>
      </c>
      <c r="C494" s="41" t="s">
        <v>4255</v>
      </c>
      <c r="D494" s="41" t="s">
        <v>312</v>
      </c>
      <c r="E494" s="55">
        <v>923211</v>
      </c>
      <c r="F494" s="41" t="s">
        <v>69</v>
      </c>
      <c r="G494" s="41" t="s">
        <v>29</v>
      </c>
      <c r="H494" s="41" t="s">
        <v>30</v>
      </c>
      <c r="I494" s="41" t="s">
        <v>31</v>
      </c>
      <c r="J494" s="41" t="s">
        <v>32</v>
      </c>
      <c r="K494" s="41" t="s">
        <v>33</v>
      </c>
      <c r="L494" s="50">
        <v>312390</v>
      </c>
      <c r="M494" s="50">
        <v>0</v>
      </c>
      <c r="N494" s="50">
        <v>312390</v>
      </c>
      <c r="O494" s="50">
        <v>0</v>
      </c>
      <c r="P494" s="43" t="s">
        <v>351</v>
      </c>
      <c r="Q494" s="40">
        <v>93127405</v>
      </c>
      <c r="R494" s="41" t="s">
        <v>657</v>
      </c>
      <c r="S494" s="41" t="s">
        <v>316</v>
      </c>
      <c r="T494" s="41" t="s">
        <v>317</v>
      </c>
      <c r="U494" s="41" t="s">
        <v>658</v>
      </c>
      <c r="V494" s="41" t="s">
        <v>319</v>
      </c>
      <c r="W494" s="41" t="s">
        <v>659</v>
      </c>
      <c r="X494" s="41" t="s">
        <v>660</v>
      </c>
      <c r="Y494" s="40">
        <v>925</v>
      </c>
      <c r="Z494" s="40">
        <v>925</v>
      </c>
      <c r="AA494" s="40">
        <v>49325</v>
      </c>
      <c r="AB494" s="41"/>
      <c r="AC494" s="41" t="s">
        <v>4274</v>
      </c>
      <c r="AD494" s="41"/>
      <c r="AE494" s="41"/>
      <c r="AF494" s="41" t="s">
        <v>2804</v>
      </c>
      <c r="AG494" s="41" t="s">
        <v>1929</v>
      </c>
      <c r="AH494" s="41" t="s">
        <v>4257</v>
      </c>
      <c r="AI494" s="41" t="s">
        <v>4258</v>
      </c>
    </row>
    <row r="495" spans="1:35" x14ac:dyDescent="0.2">
      <c r="A495" s="53">
        <v>49425</v>
      </c>
      <c r="B495" s="41" t="s">
        <v>2804</v>
      </c>
      <c r="C495" s="41" t="s">
        <v>4259</v>
      </c>
      <c r="D495" s="41" t="s">
        <v>312</v>
      </c>
      <c r="E495" s="55">
        <v>923211</v>
      </c>
      <c r="F495" s="41" t="s">
        <v>69</v>
      </c>
      <c r="G495" s="41" t="s">
        <v>29</v>
      </c>
      <c r="H495" s="41" t="s">
        <v>30</v>
      </c>
      <c r="I495" s="41" t="s">
        <v>31</v>
      </c>
      <c r="J495" s="41" t="s">
        <v>32</v>
      </c>
      <c r="K495" s="41" t="s">
        <v>33</v>
      </c>
      <c r="L495" s="50">
        <v>468585</v>
      </c>
      <c r="M495" s="50">
        <v>0</v>
      </c>
      <c r="N495" s="50">
        <v>468585</v>
      </c>
      <c r="O495" s="50">
        <v>0</v>
      </c>
      <c r="P495" s="43" t="s">
        <v>351</v>
      </c>
      <c r="Q495" s="40">
        <v>79137299</v>
      </c>
      <c r="R495" s="41" t="s">
        <v>1283</v>
      </c>
      <c r="S495" s="41" t="s">
        <v>316</v>
      </c>
      <c r="T495" s="41" t="s">
        <v>317</v>
      </c>
      <c r="U495" s="41" t="s">
        <v>3069</v>
      </c>
      <c r="V495" s="41" t="s">
        <v>319</v>
      </c>
      <c r="W495" s="41" t="s">
        <v>380</v>
      </c>
      <c r="X495" s="41" t="s">
        <v>381</v>
      </c>
      <c r="Y495" s="40">
        <v>925</v>
      </c>
      <c r="Z495" s="40">
        <v>925</v>
      </c>
      <c r="AA495" s="40">
        <v>49425</v>
      </c>
      <c r="AB495" s="41"/>
      <c r="AC495" s="41" t="s">
        <v>3717</v>
      </c>
      <c r="AD495" s="41"/>
      <c r="AE495" s="41"/>
      <c r="AF495" s="41" t="s">
        <v>2804</v>
      </c>
      <c r="AG495" s="41" t="s">
        <v>1929</v>
      </c>
      <c r="AH495" s="41" t="s">
        <v>4261</v>
      </c>
      <c r="AI495" s="41" t="s">
        <v>4262</v>
      </c>
    </row>
    <row r="496" spans="1:35" x14ac:dyDescent="0.2">
      <c r="A496" s="53">
        <v>49525</v>
      </c>
      <c r="B496" s="41" t="s">
        <v>3533</v>
      </c>
      <c r="C496" s="41" t="s">
        <v>4263</v>
      </c>
      <c r="D496" s="41" t="s">
        <v>312</v>
      </c>
      <c r="E496" s="55">
        <v>923210</v>
      </c>
      <c r="F496" s="41" t="s">
        <v>56</v>
      </c>
      <c r="G496" s="41" t="s">
        <v>29</v>
      </c>
      <c r="H496" s="41" t="s">
        <v>30</v>
      </c>
      <c r="I496" s="41" t="s">
        <v>47</v>
      </c>
      <c r="J496" s="41" t="s">
        <v>48</v>
      </c>
      <c r="K496" s="41" t="s">
        <v>33</v>
      </c>
      <c r="L496" s="50">
        <v>611970</v>
      </c>
      <c r="M496" s="50">
        <v>0</v>
      </c>
      <c r="N496" s="50">
        <v>611970</v>
      </c>
      <c r="O496" s="50">
        <v>0</v>
      </c>
      <c r="P496" s="43" t="s">
        <v>314</v>
      </c>
      <c r="Q496" s="40">
        <v>860063875</v>
      </c>
      <c r="R496" s="41" t="s">
        <v>315</v>
      </c>
      <c r="S496" s="41" t="s">
        <v>316</v>
      </c>
      <c r="T496" s="41" t="s">
        <v>317</v>
      </c>
      <c r="U496" s="41" t="s">
        <v>318</v>
      </c>
      <c r="V496" s="41" t="s">
        <v>319</v>
      </c>
      <c r="W496" s="41" t="s">
        <v>320</v>
      </c>
      <c r="X496" s="41" t="s">
        <v>321</v>
      </c>
      <c r="Y496" s="40">
        <v>1225</v>
      </c>
      <c r="Z496" s="40">
        <v>1225</v>
      </c>
      <c r="AA496" s="40">
        <v>49525</v>
      </c>
      <c r="AB496" s="41" t="s">
        <v>219</v>
      </c>
      <c r="AC496" s="41" t="s">
        <v>3618</v>
      </c>
      <c r="AD496" s="41" t="s">
        <v>3781</v>
      </c>
      <c r="AE496" s="41"/>
      <c r="AF496" s="41" t="s">
        <v>3533</v>
      </c>
      <c r="AG496" s="41" t="s">
        <v>323</v>
      </c>
      <c r="AH496" s="41" t="s">
        <v>3785</v>
      </c>
      <c r="AI496" s="41" t="s">
        <v>3786</v>
      </c>
    </row>
    <row r="497" spans="1:35" x14ac:dyDescent="0.2">
      <c r="A497" s="53">
        <v>49625</v>
      </c>
      <c r="B497" s="41" t="s">
        <v>3533</v>
      </c>
      <c r="C497" s="41" t="s">
        <v>4264</v>
      </c>
      <c r="D497" s="41" t="s">
        <v>27</v>
      </c>
      <c r="E497" s="55">
        <v>923210</v>
      </c>
      <c r="F497" s="41" t="s">
        <v>56</v>
      </c>
      <c r="G497" s="41" t="s">
        <v>84</v>
      </c>
      <c r="H497" s="41" t="s">
        <v>85</v>
      </c>
      <c r="I497" s="41" t="s">
        <v>47</v>
      </c>
      <c r="J497" s="41" t="s">
        <v>48</v>
      </c>
      <c r="K497" s="41" t="s">
        <v>33</v>
      </c>
      <c r="L497" s="50">
        <v>3306600</v>
      </c>
      <c r="M497" s="50">
        <v>0</v>
      </c>
      <c r="N497" s="50">
        <v>3306600</v>
      </c>
      <c r="O497" s="50">
        <v>3306600</v>
      </c>
      <c r="P497" s="43" t="s">
        <v>314</v>
      </c>
      <c r="Q497" s="40">
        <v>800094755</v>
      </c>
      <c r="R497" s="41" t="s">
        <v>4265</v>
      </c>
      <c r="S497" s="41" t="s">
        <v>635</v>
      </c>
      <c r="T497" s="54"/>
      <c r="U497" s="54"/>
      <c r="V497" s="54"/>
      <c r="W497" s="54"/>
      <c r="X497" s="54"/>
      <c r="Y497" s="40">
        <v>1325</v>
      </c>
      <c r="Z497" s="40">
        <v>1325</v>
      </c>
      <c r="AA497" s="40">
        <v>49625</v>
      </c>
      <c r="AB497" s="41"/>
      <c r="AC497" s="41"/>
      <c r="AD497" s="41"/>
      <c r="AE497" s="41"/>
      <c r="AF497" s="41" t="s">
        <v>3533</v>
      </c>
      <c r="AG497" s="41" t="s">
        <v>323</v>
      </c>
      <c r="AH497" s="41" t="s">
        <v>4267</v>
      </c>
      <c r="AI497" s="41" t="s">
        <v>4268</v>
      </c>
    </row>
    <row r="498" spans="1:35" x14ac:dyDescent="0.2">
      <c r="A498" s="53">
        <v>49725</v>
      </c>
      <c r="B498" s="41" t="s">
        <v>3533</v>
      </c>
      <c r="C498" s="41" t="s">
        <v>4269</v>
      </c>
      <c r="D498" s="41" t="s">
        <v>27</v>
      </c>
      <c r="E498" s="55">
        <v>923210</v>
      </c>
      <c r="F498" s="41" t="s">
        <v>56</v>
      </c>
      <c r="G498" s="41" t="s">
        <v>84</v>
      </c>
      <c r="H498" s="41" t="s">
        <v>85</v>
      </c>
      <c r="I498" s="41" t="s">
        <v>47</v>
      </c>
      <c r="J498" s="41" t="s">
        <v>48</v>
      </c>
      <c r="K498" s="41" t="s">
        <v>33</v>
      </c>
      <c r="L498" s="50">
        <v>22551100</v>
      </c>
      <c r="M498" s="50">
        <v>0</v>
      </c>
      <c r="N498" s="50">
        <v>22551100</v>
      </c>
      <c r="O498" s="50">
        <v>22551100</v>
      </c>
      <c r="P498" s="43" t="s">
        <v>314</v>
      </c>
      <c r="Q498" s="40">
        <v>800094755</v>
      </c>
      <c r="R498" s="41" t="s">
        <v>4265</v>
      </c>
      <c r="S498" s="41" t="s">
        <v>635</v>
      </c>
      <c r="T498" s="54"/>
      <c r="U498" s="54"/>
      <c r="V498" s="54"/>
      <c r="W498" s="54"/>
      <c r="X498" s="54"/>
      <c r="Y498" s="40">
        <v>1325</v>
      </c>
      <c r="Z498" s="40">
        <v>1325</v>
      </c>
      <c r="AA498" s="40">
        <v>49725</v>
      </c>
      <c r="AB498" s="41"/>
      <c r="AC498" s="41"/>
      <c r="AD498" s="41"/>
      <c r="AE498" s="41"/>
      <c r="AF498" s="41" t="s">
        <v>3533</v>
      </c>
      <c r="AG498" s="41" t="s">
        <v>323</v>
      </c>
      <c r="AH498" s="41" t="s">
        <v>4271</v>
      </c>
      <c r="AI498" s="41" t="s">
        <v>4272</v>
      </c>
    </row>
    <row r="499" spans="1:35" x14ac:dyDescent="0.2">
      <c r="A499" s="53">
        <v>49825</v>
      </c>
      <c r="B499" s="41" t="s">
        <v>3533</v>
      </c>
      <c r="C499" s="41" t="s">
        <v>4273</v>
      </c>
      <c r="D499" s="41" t="s">
        <v>312</v>
      </c>
      <c r="E499" s="55">
        <v>923238</v>
      </c>
      <c r="F499" s="41" t="s">
        <v>569</v>
      </c>
      <c r="G499" s="41" t="s">
        <v>29</v>
      </c>
      <c r="H499" s="41" t="s">
        <v>30</v>
      </c>
      <c r="I499" s="41" t="s">
        <v>31</v>
      </c>
      <c r="J499" s="41" t="s">
        <v>32</v>
      </c>
      <c r="K499" s="41" t="s">
        <v>33</v>
      </c>
      <c r="L499" s="50">
        <v>332390</v>
      </c>
      <c r="M499" s="50">
        <v>0</v>
      </c>
      <c r="N499" s="50">
        <v>332390</v>
      </c>
      <c r="O499" s="50">
        <v>0</v>
      </c>
      <c r="P499" s="43" t="s">
        <v>351</v>
      </c>
      <c r="Q499" s="40">
        <v>3170948</v>
      </c>
      <c r="R499" s="41" t="s">
        <v>1764</v>
      </c>
      <c r="S499" s="41" t="s">
        <v>316</v>
      </c>
      <c r="T499" s="41" t="s">
        <v>317</v>
      </c>
      <c r="U499" s="41" t="s">
        <v>1765</v>
      </c>
      <c r="V499" s="41" t="s">
        <v>319</v>
      </c>
      <c r="W499" s="41" t="s">
        <v>354</v>
      </c>
      <c r="X499" s="41" t="s">
        <v>355</v>
      </c>
      <c r="Y499" s="40">
        <v>325</v>
      </c>
      <c r="Z499" s="40">
        <v>325</v>
      </c>
      <c r="AA499" s="40">
        <v>49825</v>
      </c>
      <c r="AB499" s="41"/>
      <c r="AC499" s="41" t="s">
        <v>3636</v>
      </c>
      <c r="AD499" s="41"/>
      <c r="AE499" s="41"/>
      <c r="AF499" s="41" t="s">
        <v>3533</v>
      </c>
      <c r="AG499" s="41" t="s">
        <v>1929</v>
      </c>
      <c r="AH499" s="41" t="s">
        <v>4275</v>
      </c>
      <c r="AI499" s="41" t="s">
        <v>4276</v>
      </c>
    </row>
    <row r="500" spans="1:35" x14ac:dyDescent="0.2">
      <c r="A500" s="53">
        <v>49925</v>
      </c>
      <c r="B500" s="41" t="s">
        <v>3533</v>
      </c>
      <c r="C500" s="41" t="s">
        <v>4277</v>
      </c>
      <c r="D500" s="41" t="s">
        <v>312</v>
      </c>
      <c r="E500" s="55">
        <v>923238</v>
      </c>
      <c r="F500" s="41" t="s">
        <v>569</v>
      </c>
      <c r="G500" s="41" t="s">
        <v>29</v>
      </c>
      <c r="H500" s="41" t="s">
        <v>30</v>
      </c>
      <c r="I500" s="41" t="s">
        <v>31</v>
      </c>
      <c r="J500" s="41" t="s">
        <v>32</v>
      </c>
      <c r="K500" s="41" t="s">
        <v>33</v>
      </c>
      <c r="L500" s="50">
        <v>332390</v>
      </c>
      <c r="M500" s="50">
        <v>0</v>
      </c>
      <c r="N500" s="50">
        <v>332390</v>
      </c>
      <c r="O500" s="50">
        <v>0</v>
      </c>
      <c r="P500" s="43" t="s">
        <v>351</v>
      </c>
      <c r="Q500" s="40">
        <v>1030530318</v>
      </c>
      <c r="R500" s="41" t="s">
        <v>1774</v>
      </c>
      <c r="S500" s="41" t="s">
        <v>316</v>
      </c>
      <c r="T500" s="41" t="s">
        <v>317</v>
      </c>
      <c r="U500" s="41" t="s">
        <v>1775</v>
      </c>
      <c r="V500" s="41" t="s">
        <v>319</v>
      </c>
      <c r="W500" s="41" t="s">
        <v>380</v>
      </c>
      <c r="X500" s="41" t="s">
        <v>381</v>
      </c>
      <c r="Y500" s="40">
        <v>325</v>
      </c>
      <c r="Z500" s="40">
        <v>325</v>
      </c>
      <c r="AA500" s="40">
        <v>49925</v>
      </c>
      <c r="AB500" s="41"/>
      <c r="AC500" s="41" t="s">
        <v>4326</v>
      </c>
      <c r="AD500" s="41"/>
      <c r="AE500" s="41"/>
      <c r="AF500" s="41" t="s">
        <v>3533</v>
      </c>
      <c r="AG500" s="41" t="s">
        <v>1929</v>
      </c>
      <c r="AH500" s="41" t="s">
        <v>4279</v>
      </c>
      <c r="AI500" s="41" t="s">
        <v>4280</v>
      </c>
    </row>
    <row r="501" spans="1:35" x14ac:dyDescent="0.2">
      <c r="A501" s="53">
        <v>50025</v>
      </c>
      <c r="B501" s="41" t="s">
        <v>3533</v>
      </c>
      <c r="C501" s="41" t="s">
        <v>4281</v>
      </c>
      <c r="D501" s="41" t="s">
        <v>312</v>
      </c>
      <c r="E501" s="55">
        <v>923210</v>
      </c>
      <c r="F501" s="41" t="s">
        <v>56</v>
      </c>
      <c r="G501" s="41" t="s">
        <v>29</v>
      </c>
      <c r="H501" s="41" t="s">
        <v>30</v>
      </c>
      <c r="I501" s="41" t="s">
        <v>31</v>
      </c>
      <c r="J501" s="41" t="s">
        <v>32</v>
      </c>
      <c r="K501" s="41" t="s">
        <v>33</v>
      </c>
      <c r="L501" s="50">
        <v>319414</v>
      </c>
      <c r="M501" s="50">
        <v>0</v>
      </c>
      <c r="N501" s="50">
        <v>319414</v>
      </c>
      <c r="O501" s="50">
        <v>0</v>
      </c>
      <c r="P501" s="43" t="s">
        <v>351</v>
      </c>
      <c r="Q501" s="40">
        <v>52729006</v>
      </c>
      <c r="R501" s="41" t="s">
        <v>4282</v>
      </c>
      <c r="S501" s="41" t="s">
        <v>316</v>
      </c>
      <c r="T501" s="41" t="s">
        <v>317</v>
      </c>
      <c r="U501" s="41" t="s">
        <v>4283</v>
      </c>
      <c r="V501" s="41" t="s">
        <v>319</v>
      </c>
      <c r="W501" s="41" t="s">
        <v>341</v>
      </c>
      <c r="X501" s="41" t="s">
        <v>342</v>
      </c>
      <c r="Y501" s="40">
        <v>1625</v>
      </c>
      <c r="Z501" s="40">
        <v>1625</v>
      </c>
      <c r="AA501" s="40">
        <v>50025</v>
      </c>
      <c r="AB501" s="41"/>
      <c r="AC501" s="41" t="s">
        <v>4399</v>
      </c>
      <c r="AD501" s="41"/>
      <c r="AE501" s="41"/>
      <c r="AF501" s="41" t="s">
        <v>3533</v>
      </c>
      <c r="AG501" s="41" t="s">
        <v>1929</v>
      </c>
      <c r="AH501" s="41" t="s">
        <v>4285</v>
      </c>
      <c r="AI501" s="41" t="s">
        <v>4286</v>
      </c>
    </row>
    <row r="502" spans="1:35" x14ac:dyDescent="0.2">
      <c r="A502" s="53">
        <v>50125</v>
      </c>
      <c r="B502" s="41" t="s">
        <v>3533</v>
      </c>
      <c r="C502" s="41" t="s">
        <v>4287</v>
      </c>
      <c r="D502" s="41" t="s">
        <v>312</v>
      </c>
      <c r="E502" s="55">
        <v>923211</v>
      </c>
      <c r="F502" s="41" t="s">
        <v>69</v>
      </c>
      <c r="G502" s="41" t="s">
        <v>29</v>
      </c>
      <c r="H502" s="41" t="s">
        <v>30</v>
      </c>
      <c r="I502" s="41" t="s">
        <v>31</v>
      </c>
      <c r="J502" s="41" t="s">
        <v>32</v>
      </c>
      <c r="K502" s="41" t="s">
        <v>33</v>
      </c>
      <c r="L502" s="50">
        <v>312390</v>
      </c>
      <c r="M502" s="50">
        <v>0</v>
      </c>
      <c r="N502" s="50">
        <v>312390</v>
      </c>
      <c r="O502" s="50">
        <v>0</v>
      </c>
      <c r="P502" s="43" t="s">
        <v>351</v>
      </c>
      <c r="Q502" s="40">
        <v>79207422</v>
      </c>
      <c r="R502" s="41" t="s">
        <v>1254</v>
      </c>
      <c r="S502" s="41" t="s">
        <v>316</v>
      </c>
      <c r="T502" s="41" t="s">
        <v>317</v>
      </c>
      <c r="U502" s="41" t="s">
        <v>1255</v>
      </c>
      <c r="V502" s="41" t="s">
        <v>319</v>
      </c>
      <c r="W502" s="41" t="s">
        <v>354</v>
      </c>
      <c r="X502" s="41" t="s">
        <v>355</v>
      </c>
      <c r="Y502" s="40">
        <v>925</v>
      </c>
      <c r="Z502" s="40">
        <v>925</v>
      </c>
      <c r="AA502" s="40">
        <v>50125</v>
      </c>
      <c r="AB502" s="41"/>
      <c r="AC502" s="41" t="s">
        <v>3731</v>
      </c>
      <c r="AD502" s="41"/>
      <c r="AE502" s="41"/>
      <c r="AF502" s="41" t="s">
        <v>3533</v>
      </c>
      <c r="AG502" s="41" t="s">
        <v>1929</v>
      </c>
      <c r="AH502" s="41" t="s">
        <v>4289</v>
      </c>
      <c r="AI502" s="41" t="s">
        <v>4290</v>
      </c>
    </row>
    <row r="503" spans="1:35" x14ac:dyDescent="0.2">
      <c r="A503" s="53">
        <v>50225</v>
      </c>
      <c r="B503" s="41" t="s">
        <v>3533</v>
      </c>
      <c r="C503" s="41" t="s">
        <v>4291</v>
      </c>
      <c r="D503" s="41" t="s">
        <v>312</v>
      </c>
      <c r="E503" s="55">
        <v>923210</v>
      </c>
      <c r="F503" s="41" t="s">
        <v>56</v>
      </c>
      <c r="G503" s="41" t="s">
        <v>29</v>
      </c>
      <c r="H503" s="41" t="s">
        <v>30</v>
      </c>
      <c r="I503" s="41" t="s">
        <v>31</v>
      </c>
      <c r="J503" s="41" t="s">
        <v>32</v>
      </c>
      <c r="K503" s="41" t="s">
        <v>33</v>
      </c>
      <c r="L503" s="50">
        <v>384493</v>
      </c>
      <c r="M503" s="50">
        <v>0</v>
      </c>
      <c r="N503" s="50">
        <v>384493</v>
      </c>
      <c r="O503" s="50">
        <v>0</v>
      </c>
      <c r="P503" s="43" t="s">
        <v>351</v>
      </c>
      <c r="Q503" s="40">
        <v>79646140</v>
      </c>
      <c r="R503" s="41" t="s">
        <v>4292</v>
      </c>
      <c r="S503" s="41" t="s">
        <v>316</v>
      </c>
      <c r="T503" s="41" t="s">
        <v>317</v>
      </c>
      <c r="U503" s="41" t="s">
        <v>4293</v>
      </c>
      <c r="V503" s="41" t="s">
        <v>319</v>
      </c>
      <c r="W503" s="41" t="s">
        <v>354</v>
      </c>
      <c r="X503" s="41" t="s">
        <v>355</v>
      </c>
      <c r="Y503" s="40">
        <v>1625</v>
      </c>
      <c r="Z503" s="40">
        <v>1625</v>
      </c>
      <c r="AA503" s="40">
        <v>50225</v>
      </c>
      <c r="AB503" s="41"/>
      <c r="AC503" s="41" t="s">
        <v>4409</v>
      </c>
      <c r="AD503" s="41"/>
      <c r="AE503" s="41"/>
      <c r="AF503" s="41" t="s">
        <v>3533</v>
      </c>
      <c r="AG503" s="41" t="s">
        <v>1929</v>
      </c>
      <c r="AH503" s="41" t="s">
        <v>4295</v>
      </c>
      <c r="AI503" s="41" t="s">
        <v>4296</v>
      </c>
    </row>
    <row r="504" spans="1:35" x14ac:dyDescent="0.2">
      <c r="A504" s="53">
        <v>50325</v>
      </c>
      <c r="B504" s="41" t="s">
        <v>3533</v>
      </c>
      <c r="C504" s="41" t="s">
        <v>4297</v>
      </c>
      <c r="D504" s="41" t="s">
        <v>312</v>
      </c>
      <c r="E504" s="55">
        <v>923285</v>
      </c>
      <c r="F504" s="41" t="s">
        <v>572</v>
      </c>
      <c r="G504" s="41" t="s">
        <v>29</v>
      </c>
      <c r="H504" s="41" t="s">
        <v>30</v>
      </c>
      <c r="I504" s="41" t="s">
        <v>31</v>
      </c>
      <c r="J504" s="41" t="s">
        <v>32</v>
      </c>
      <c r="K504" s="41" t="s">
        <v>33</v>
      </c>
      <c r="L504" s="50">
        <v>1289560</v>
      </c>
      <c r="M504" s="50">
        <v>0</v>
      </c>
      <c r="N504" s="50">
        <v>1289560</v>
      </c>
      <c r="O504" s="50">
        <v>0</v>
      </c>
      <c r="P504" s="43" t="s">
        <v>351</v>
      </c>
      <c r="Q504" s="40">
        <v>51628565</v>
      </c>
      <c r="R504" s="41" t="s">
        <v>1373</v>
      </c>
      <c r="S504" s="41" t="s">
        <v>316</v>
      </c>
      <c r="T504" s="41" t="s">
        <v>317</v>
      </c>
      <c r="U504" s="41" t="s">
        <v>1374</v>
      </c>
      <c r="V504" s="41" t="s">
        <v>319</v>
      </c>
      <c r="W504" s="41" t="s">
        <v>392</v>
      </c>
      <c r="X504" s="41" t="s">
        <v>393</v>
      </c>
      <c r="Y504" s="40">
        <v>4425</v>
      </c>
      <c r="Z504" s="40">
        <v>4425</v>
      </c>
      <c r="AA504" s="40">
        <v>50325</v>
      </c>
      <c r="AB504" s="41"/>
      <c r="AC504" s="41" t="s">
        <v>3686</v>
      </c>
      <c r="AD504" s="41"/>
      <c r="AE504" s="41"/>
      <c r="AF504" s="41" t="s">
        <v>3533</v>
      </c>
      <c r="AG504" s="41" t="s">
        <v>1929</v>
      </c>
      <c r="AH504" s="41" t="s">
        <v>4299</v>
      </c>
      <c r="AI504" s="41" t="s">
        <v>4300</v>
      </c>
    </row>
    <row r="505" spans="1:35" x14ac:dyDescent="0.2">
      <c r="A505" s="53">
        <v>50425</v>
      </c>
      <c r="B505" s="41" t="s">
        <v>3533</v>
      </c>
      <c r="C505" s="41" t="s">
        <v>4301</v>
      </c>
      <c r="D505" s="41" t="s">
        <v>27</v>
      </c>
      <c r="E505" s="55">
        <v>923210</v>
      </c>
      <c r="F505" s="41" t="s">
        <v>56</v>
      </c>
      <c r="G505" s="41" t="s">
        <v>29</v>
      </c>
      <c r="H505" s="41" t="s">
        <v>30</v>
      </c>
      <c r="I505" s="41" t="s">
        <v>31</v>
      </c>
      <c r="J505" s="41" t="s">
        <v>32</v>
      </c>
      <c r="K505" s="41" t="s">
        <v>33</v>
      </c>
      <c r="L505" s="50">
        <v>19708303</v>
      </c>
      <c r="M505" s="50">
        <v>0</v>
      </c>
      <c r="N505" s="50">
        <v>19708303</v>
      </c>
      <c r="O505" s="50">
        <v>19708303</v>
      </c>
      <c r="P505" s="43" t="s">
        <v>351</v>
      </c>
      <c r="Q505" s="40">
        <v>1000470652</v>
      </c>
      <c r="R505" s="41" t="s">
        <v>4302</v>
      </c>
      <c r="S505" s="41" t="s">
        <v>316</v>
      </c>
      <c r="T505" s="41" t="s">
        <v>317</v>
      </c>
      <c r="U505" s="41" t="s">
        <v>4303</v>
      </c>
      <c r="V505" s="41" t="s">
        <v>319</v>
      </c>
      <c r="W505" s="41" t="s">
        <v>418</v>
      </c>
      <c r="X505" s="41" t="s">
        <v>419</v>
      </c>
      <c r="Y505" s="40">
        <v>1925</v>
      </c>
      <c r="Z505" s="40">
        <v>1925</v>
      </c>
      <c r="AA505" s="40">
        <v>50425</v>
      </c>
      <c r="AB505" s="41"/>
      <c r="AC505" s="41"/>
      <c r="AD505" s="41"/>
      <c r="AE505" s="41"/>
      <c r="AF505" s="41" t="s">
        <v>3533</v>
      </c>
      <c r="AG505" s="41" t="s">
        <v>362</v>
      </c>
      <c r="AH505" s="41" t="s">
        <v>4305</v>
      </c>
      <c r="AI505" s="41" t="s">
        <v>4306</v>
      </c>
    </row>
    <row r="506" spans="1:35" x14ac:dyDescent="0.2">
      <c r="A506" s="53">
        <v>50525</v>
      </c>
      <c r="B506" s="41" t="s">
        <v>3533</v>
      </c>
      <c r="C506" s="41" t="s">
        <v>4307</v>
      </c>
      <c r="D506" s="41" t="s">
        <v>312</v>
      </c>
      <c r="E506" s="55">
        <v>923211</v>
      </c>
      <c r="F506" s="41" t="s">
        <v>69</v>
      </c>
      <c r="G506" s="41" t="s">
        <v>29</v>
      </c>
      <c r="H506" s="41" t="s">
        <v>30</v>
      </c>
      <c r="I506" s="41" t="s">
        <v>31</v>
      </c>
      <c r="J506" s="41" t="s">
        <v>32</v>
      </c>
      <c r="K506" s="41" t="s">
        <v>33</v>
      </c>
      <c r="L506" s="50">
        <v>498585</v>
      </c>
      <c r="M506" s="50">
        <v>0</v>
      </c>
      <c r="N506" s="50">
        <v>498585</v>
      </c>
      <c r="O506" s="50">
        <v>0</v>
      </c>
      <c r="P506" s="43" t="s">
        <v>351</v>
      </c>
      <c r="Q506" s="40">
        <v>10261633</v>
      </c>
      <c r="R506" s="41" t="s">
        <v>641</v>
      </c>
      <c r="S506" s="41" t="s">
        <v>316</v>
      </c>
      <c r="T506" s="41" t="s">
        <v>317</v>
      </c>
      <c r="U506" s="41" t="s">
        <v>642</v>
      </c>
      <c r="V506" s="41" t="s">
        <v>319</v>
      </c>
      <c r="W506" s="41" t="s">
        <v>380</v>
      </c>
      <c r="X506" s="41" t="s">
        <v>381</v>
      </c>
      <c r="Y506" s="40">
        <v>925</v>
      </c>
      <c r="Z506" s="40">
        <v>925</v>
      </c>
      <c r="AA506" s="40">
        <v>50525</v>
      </c>
      <c r="AB506" s="41"/>
      <c r="AC506" s="41" t="s">
        <v>3646</v>
      </c>
      <c r="AD506" s="41"/>
      <c r="AE506" s="41"/>
      <c r="AF506" s="41" t="s">
        <v>3533</v>
      </c>
      <c r="AG506" s="41" t="s">
        <v>1929</v>
      </c>
      <c r="AH506" s="41" t="s">
        <v>4309</v>
      </c>
      <c r="AI506" s="41" t="s">
        <v>4310</v>
      </c>
    </row>
    <row r="507" spans="1:35" x14ac:dyDescent="0.2">
      <c r="A507" s="53">
        <v>50625</v>
      </c>
      <c r="B507" s="41" t="s">
        <v>3584</v>
      </c>
      <c r="C507" s="41" t="s">
        <v>4311</v>
      </c>
      <c r="D507" s="41" t="s">
        <v>312</v>
      </c>
      <c r="E507" s="55">
        <v>923284</v>
      </c>
      <c r="F507" s="41" t="s">
        <v>163</v>
      </c>
      <c r="G507" s="41" t="s">
        <v>159</v>
      </c>
      <c r="H507" s="41" t="s">
        <v>160</v>
      </c>
      <c r="I507" s="41" t="s">
        <v>31</v>
      </c>
      <c r="J507" s="41" t="s">
        <v>32</v>
      </c>
      <c r="K507" s="41" t="s">
        <v>33</v>
      </c>
      <c r="L507" s="50">
        <v>404493</v>
      </c>
      <c r="M507" s="50">
        <v>0</v>
      </c>
      <c r="N507" s="50">
        <v>404493</v>
      </c>
      <c r="O507" s="50">
        <v>0</v>
      </c>
      <c r="P507" s="43" t="s">
        <v>351</v>
      </c>
      <c r="Q507" s="40">
        <v>40783907</v>
      </c>
      <c r="R507" s="41" t="s">
        <v>2044</v>
      </c>
      <c r="S507" s="41" t="s">
        <v>316</v>
      </c>
      <c r="T507" s="41" t="s">
        <v>317</v>
      </c>
      <c r="U507" s="41" t="s">
        <v>2045</v>
      </c>
      <c r="V507" s="41" t="s">
        <v>319</v>
      </c>
      <c r="W507" s="41" t="s">
        <v>392</v>
      </c>
      <c r="X507" s="41" t="s">
        <v>393</v>
      </c>
      <c r="Y507" s="40">
        <v>3425</v>
      </c>
      <c r="Z507" s="40">
        <v>3425</v>
      </c>
      <c r="AA507" s="40">
        <v>50625</v>
      </c>
      <c r="AB507" s="41"/>
      <c r="AC507" s="41" t="s">
        <v>4383</v>
      </c>
      <c r="AD507" s="41"/>
      <c r="AE507" s="41"/>
      <c r="AF507" s="41" t="s">
        <v>3584</v>
      </c>
      <c r="AG507" s="41" t="s">
        <v>1929</v>
      </c>
      <c r="AH507" s="41" t="s">
        <v>4313</v>
      </c>
      <c r="AI507" s="41" t="s">
        <v>4314</v>
      </c>
    </row>
    <row r="508" spans="1:35" x14ac:dyDescent="0.2">
      <c r="A508" s="53">
        <v>50725</v>
      </c>
      <c r="B508" s="41" t="s">
        <v>3584</v>
      </c>
      <c r="C508" s="41" t="s">
        <v>4315</v>
      </c>
      <c r="D508" s="41" t="s">
        <v>27</v>
      </c>
      <c r="E508" s="55">
        <v>923242</v>
      </c>
      <c r="F508" s="41" t="s">
        <v>175</v>
      </c>
      <c r="G508" s="41" t="s">
        <v>29</v>
      </c>
      <c r="H508" s="41" t="s">
        <v>30</v>
      </c>
      <c r="I508" s="41" t="s">
        <v>47</v>
      </c>
      <c r="J508" s="41" t="s">
        <v>48</v>
      </c>
      <c r="K508" s="41" t="s">
        <v>33</v>
      </c>
      <c r="L508" s="50">
        <v>31125244</v>
      </c>
      <c r="M508" s="50">
        <v>0</v>
      </c>
      <c r="N508" s="50">
        <v>31125244</v>
      </c>
      <c r="O508" s="50">
        <v>31125244</v>
      </c>
      <c r="P508" s="43" t="s">
        <v>351</v>
      </c>
      <c r="Q508" s="40">
        <v>1070623987</v>
      </c>
      <c r="R508" s="41" t="s">
        <v>2054</v>
      </c>
      <c r="S508" s="41" t="s">
        <v>316</v>
      </c>
      <c r="T508" s="41" t="s">
        <v>317</v>
      </c>
      <c r="U508" s="41" t="s">
        <v>2055</v>
      </c>
      <c r="V508" s="41" t="s">
        <v>319</v>
      </c>
      <c r="W508" s="41" t="s">
        <v>380</v>
      </c>
      <c r="X508" s="41" t="s">
        <v>381</v>
      </c>
      <c r="Y508" s="40">
        <v>3625</v>
      </c>
      <c r="Z508" s="40">
        <v>3625</v>
      </c>
      <c r="AA508" s="40">
        <v>50725</v>
      </c>
      <c r="AB508" s="41"/>
      <c r="AC508" s="41"/>
      <c r="AD508" s="41"/>
      <c r="AE508" s="41"/>
      <c r="AF508" s="41" t="s">
        <v>3584</v>
      </c>
      <c r="AG508" s="41" t="s">
        <v>362</v>
      </c>
      <c r="AH508" s="41" t="s">
        <v>4317</v>
      </c>
      <c r="AI508" s="41" t="s">
        <v>4318</v>
      </c>
    </row>
    <row r="509" spans="1:35" x14ac:dyDescent="0.2">
      <c r="A509" s="53">
        <v>50825</v>
      </c>
      <c r="B509" s="41" t="s">
        <v>3584</v>
      </c>
      <c r="C509" s="41" t="s">
        <v>4319</v>
      </c>
      <c r="D509" s="41" t="s">
        <v>312</v>
      </c>
      <c r="E509" s="55">
        <v>923285</v>
      </c>
      <c r="F509" s="41" t="s">
        <v>572</v>
      </c>
      <c r="G509" s="41" t="s">
        <v>29</v>
      </c>
      <c r="H509" s="41" t="s">
        <v>30</v>
      </c>
      <c r="I509" s="41" t="s">
        <v>31</v>
      </c>
      <c r="J509" s="41" t="s">
        <v>32</v>
      </c>
      <c r="K509" s="41" t="s">
        <v>33</v>
      </c>
      <c r="L509" s="50">
        <v>957170</v>
      </c>
      <c r="M509" s="50">
        <v>0</v>
      </c>
      <c r="N509" s="50">
        <v>957170</v>
      </c>
      <c r="O509" s="50">
        <v>0</v>
      </c>
      <c r="P509" s="43" t="s">
        <v>351</v>
      </c>
      <c r="Q509" s="40">
        <v>1018436224</v>
      </c>
      <c r="R509" s="41" t="s">
        <v>739</v>
      </c>
      <c r="S509" s="41" t="s">
        <v>316</v>
      </c>
      <c r="T509" s="41" t="s">
        <v>317</v>
      </c>
      <c r="U509" s="41" t="s">
        <v>740</v>
      </c>
      <c r="V509" s="41" t="s">
        <v>319</v>
      </c>
      <c r="W509" s="41" t="s">
        <v>341</v>
      </c>
      <c r="X509" s="41" t="s">
        <v>342</v>
      </c>
      <c r="Y509" s="40">
        <v>4425</v>
      </c>
      <c r="Z509" s="40">
        <v>4425</v>
      </c>
      <c r="AA509" s="40">
        <v>50825</v>
      </c>
      <c r="AB509" s="41"/>
      <c r="AC509" s="41" t="s">
        <v>4312</v>
      </c>
      <c r="AD509" s="41"/>
      <c r="AE509" s="41"/>
      <c r="AF509" s="41" t="s">
        <v>3584</v>
      </c>
      <c r="AG509" s="41" t="s">
        <v>1929</v>
      </c>
      <c r="AH509" s="41" t="s">
        <v>4321</v>
      </c>
      <c r="AI509" s="41" t="s">
        <v>4322</v>
      </c>
    </row>
    <row r="510" spans="1:35" x14ac:dyDescent="0.2">
      <c r="A510" s="53">
        <v>50925</v>
      </c>
      <c r="B510" s="41" t="s">
        <v>3584</v>
      </c>
      <c r="C510" s="41" t="s">
        <v>4323</v>
      </c>
      <c r="D510" s="41" t="s">
        <v>27</v>
      </c>
      <c r="E510" s="55">
        <v>923211</v>
      </c>
      <c r="F510" s="41" t="s">
        <v>69</v>
      </c>
      <c r="G510" s="41" t="s">
        <v>29</v>
      </c>
      <c r="H510" s="41" t="s">
        <v>30</v>
      </c>
      <c r="I510" s="41" t="s">
        <v>31</v>
      </c>
      <c r="J510" s="41" t="s">
        <v>32</v>
      </c>
      <c r="K510" s="41" t="s">
        <v>33</v>
      </c>
      <c r="L510" s="50">
        <v>42622135</v>
      </c>
      <c r="M510" s="50">
        <v>0</v>
      </c>
      <c r="N510" s="50">
        <v>42622135</v>
      </c>
      <c r="O510" s="50">
        <v>42622135</v>
      </c>
      <c r="P510" s="43" t="s">
        <v>351</v>
      </c>
      <c r="Q510" s="40">
        <v>1105785890</v>
      </c>
      <c r="R510" s="41" t="s">
        <v>4324</v>
      </c>
      <c r="S510" s="41" t="s">
        <v>316</v>
      </c>
      <c r="T510" s="41" t="s">
        <v>317</v>
      </c>
      <c r="U510" s="41" t="s">
        <v>4325</v>
      </c>
      <c r="V510" s="41" t="s">
        <v>4652</v>
      </c>
      <c r="W510" s="41" t="s">
        <v>380</v>
      </c>
      <c r="X510" s="41" t="s">
        <v>381</v>
      </c>
      <c r="Y510" s="40">
        <v>2125</v>
      </c>
      <c r="Z510" s="40">
        <v>2125</v>
      </c>
      <c r="AA510" s="40">
        <v>50925</v>
      </c>
      <c r="AB510" s="41"/>
      <c r="AC510" s="41"/>
      <c r="AD510" s="41"/>
      <c r="AE510" s="41"/>
      <c r="AF510" s="41" t="s">
        <v>3584</v>
      </c>
      <c r="AG510" s="41" t="s">
        <v>356</v>
      </c>
      <c r="AH510" s="41" t="s">
        <v>4327</v>
      </c>
      <c r="AI510" s="41" t="s">
        <v>4328</v>
      </c>
    </row>
    <row r="511" spans="1:35" x14ac:dyDescent="0.2">
      <c r="A511" s="53">
        <v>51025</v>
      </c>
      <c r="B511" s="41" t="s">
        <v>3584</v>
      </c>
      <c r="C511" s="41" t="s">
        <v>4329</v>
      </c>
      <c r="D511" s="41" t="s">
        <v>27</v>
      </c>
      <c r="E511" s="55">
        <v>923210</v>
      </c>
      <c r="F511" s="41" t="s">
        <v>56</v>
      </c>
      <c r="G511" s="41" t="s">
        <v>57</v>
      </c>
      <c r="H511" s="41" t="s">
        <v>58</v>
      </c>
      <c r="I511" s="41" t="s">
        <v>31</v>
      </c>
      <c r="J511" s="41" t="s">
        <v>32</v>
      </c>
      <c r="K511" s="41" t="s">
        <v>33</v>
      </c>
      <c r="L511" s="50">
        <v>32951081</v>
      </c>
      <c r="M511" s="50">
        <v>0</v>
      </c>
      <c r="N511" s="50">
        <v>32951081</v>
      </c>
      <c r="O511" s="50">
        <v>32951081</v>
      </c>
      <c r="P511" s="43" t="s">
        <v>351</v>
      </c>
      <c r="Q511" s="40">
        <v>3020028</v>
      </c>
      <c r="R511" s="41" t="s">
        <v>4330</v>
      </c>
      <c r="S511" s="41" t="s">
        <v>316</v>
      </c>
      <c r="T511" s="41" t="s">
        <v>317</v>
      </c>
      <c r="U511" s="41" t="s">
        <v>4331</v>
      </c>
      <c r="V511" s="41" t="s">
        <v>319</v>
      </c>
      <c r="W511" s="41" t="s">
        <v>380</v>
      </c>
      <c r="X511" s="41" t="s">
        <v>381</v>
      </c>
      <c r="Y511" s="40">
        <v>825</v>
      </c>
      <c r="Z511" s="40">
        <v>825</v>
      </c>
      <c r="AA511" s="40">
        <v>51025</v>
      </c>
      <c r="AB511" s="41"/>
      <c r="AC511" s="41"/>
      <c r="AD511" s="41"/>
      <c r="AE511" s="41"/>
      <c r="AF511" s="41" t="s">
        <v>3584</v>
      </c>
      <c r="AG511" s="41" t="s">
        <v>356</v>
      </c>
      <c r="AH511" s="41" t="s">
        <v>4333</v>
      </c>
      <c r="AI511" s="41" t="s">
        <v>4334</v>
      </c>
    </row>
    <row r="512" spans="1:35" x14ac:dyDescent="0.2">
      <c r="A512" s="53">
        <v>51125</v>
      </c>
      <c r="B512" s="41" t="s">
        <v>3584</v>
      </c>
      <c r="C512" s="41" t="s">
        <v>4335</v>
      </c>
      <c r="D512" s="41" t="s">
        <v>27</v>
      </c>
      <c r="E512" s="55">
        <v>923245</v>
      </c>
      <c r="F512" s="41" t="s">
        <v>180</v>
      </c>
      <c r="G512" s="41" t="s">
        <v>29</v>
      </c>
      <c r="H512" s="41" t="s">
        <v>30</v>
      </c>
      <c r="I512" s="41" t="s">
        <v>31</v>
      </c>
      <c r="J512" s="41" t="s">
        <v>32</v>
      </c>
      <c r="K512" s="41" t="s">
        <v>33</v>
      </c>
      <c r="L512" s="50">
        <v>42622135</v>
      </c>
      <c r="M512" s="50">
        <v>0</v>
      </c>
      <c r="N512" s="50">
        <v>42622135</v>
      </c>
      <c r="O512" s="50">
        <v>42622135</v>
      </c>
      <c r="P512" s="43" t="s">
        <v>351</v>
      </c>
      <c r="Q512" s="40">
        <v>1010226206</v>
      </c>
      <c r="R512" s="41" t="s">
        <v>4336</v>
      </c>
      <c r="S512" s="41" t="s">
        <v>316</v>
      </c>
      <c r="T512" s="41" t="s">
        <v>317</v>
      </c>
      <c r="U512" s="41" t="s">
        <v>4337</v>
      </c>
      <c r="V512" s="41" t="s">
        <v>319</v>
      </c>
      <c r="W512" s="41" t="s">
        <v>354</v>
      </c>
      <c r="X512" s="41" t="s">
        <v>355</v>
      </c>
      <c r="Y512" s="40">
        <v>3825</v>
      </c>
      <c r="Z512" s="40">
        <v>3825</v>
      </c>
      <c r="AA512" s="40">
        <v>51125</v>
      </c>
      <c r="AB512" s="41"/>
      <c r="AC512" s="41"/>
      <c r="AD512" s="41"/>
      <c r="AE512" s="41"/>
      <c r="AF512" s="41" t="s">
        <v>3584</v>
      </c>
      <c r="AG512" s="41" t="s">
        <v>356</v>
      </c>
      <c r="AH512" s="41" t="s">
        <v>4339</v>
      </c>
      <c r="AI512" s="41" t="s">
        <v>4340</v>
      </c>
    </row>
    <row r="513" spans="1:35" x14ac:dyDescent="0.2">
      <c r="A513" s="53">
        <v>51225</v>
      </c>
      <c r="B513" s="41" t="s">
        <v>3584</v>
      </c>
      <c r="C513" s="41" t="s">
        <v>4341</v>
      </c>
      <c r="D513" s="41" t="s">
        <v>27</v>
      </c>
      <c r="E513" s="55">
        <v>923245</v>
      </c>
      <c r="F513" s="41" t="s">
        <v>180</v>
      </c>
      <c r="G513" s="41" t="s">
        <v>29</v>
      </c>
      <c r="H513" s="41" t="s">
        <v>30</v>
      </c>
      <c r="I513" s="41" t="s">
        <v>31</v>
      </c>
      <c r="J513" s="41" t="s">
        <v>32</v>
      </c>
      <c r="K513" s="41" t="s">
        <v>33</v>
      </c>
      <c r="L513" s="50">
        <v>32951081</v>
      </c>
      <c r="M513" s="50">
        <v>0</v>
      </c>
      <c r="N513" s="50">
        <v>32951081</v>
      </c>
      <c r="O513" s="50">
        <v>32951081</v>
      </c>
      <c r="P513" s="43" t="s">
        <v>351</v>
      </c>
      <c r="Q513" s="40">
        <v>1012405211</v>
      </c>
      <c r="R513" s="41" t="s">
        <v>4342</v>
      </c>
      <c r="S513" s="41" t="s">
        <v>316</v>
      </c>
      <c r="T513" s="41" t="s">
        <v>317</v>
      </c>
      <c r="U513" s="41" t="s">
        <v>4343</v>
      </c>
      <c r="V513" s="41" t="s">
        <v>319</v>
      </c>
      <c r="W513" s="41" t="s">
        <v>380</v>
      </c>
      <c r="X513" s="41" t="s">
        <v>381</v>
      </c>
      <c r="Y513" s="40">
        <v>3825</v>
      </c>
      <c r="Z513" s="40">
        <v>3825</v>
      </c>
      <c r="AA513" s="40">
        <v>51225</v>
      </c>
      <c r="AB513" s="41"/>
      <c r="AC513" s="41"/>
      <c r="AD513" s="41"/>
      <c r="AE513" s="41"/>
      <c r="AF513" s="41" t="s">
        <v>3584</v>
      </c>
      <c r="AG513" s="41" t="s">
        <v>356</v>
      </c>
      <c r="AH513" s="41" t="s">
        <v>4345</v>
      </c>
      <c r="AI513" s="41" t="s">
        <v>4334</v>
      </c>
    </row>
    <row r="514" spans="1:35" x14ac:dyDescent="0.2">
      <c r="A514" s="53">
        <v>51325</v>
      </c>
      <c r="B514" s="41" t="s">
        <v>3584</v>
      </c>
      <c r="C514" s="41" t="s">
        <v>4346</v>
      </c>
      <c r="D514" s="41" t="s">
        <v>27</v>
      </c>
      <c r="E514" s="55">
        <v>923245</v>
      </c>
      <c r="F514" s="41" t="s">
        <v>180</v>
      </c>
      <c r="G514" s="41" t="s">
        <v>29</v>
      </c>
      <c r="H514" s="41" t="s">
        <v>30</v>
      </c>
      <c r="I514" s="41" t="s">
        <v>31</v>
      </c>
      <c r="J514" s="41" t="s">
        <v>32</v>
      </c>
      <c r="K514" s="41" t="s">
        <v>33</v>
      </c>
      <c r="L514" s="50">
        <v>42622135</v>
      </c>
      <c r="M514" s="50">
        <v>0</v>
      </c>
      <c r="N514" s="50">
        <v>42622135</v>
      </c>
      <c r="O514" s="50">
        <v>42622135</v>
      </c>
      <c r="P514" s="43" t="s">
        <v>351</v>
      </c>
      <c r="Q514" s="40">
        <v>79864725</v>
      </c>
      <c r="R514" s="41" t="s">
        <v>4347</v>
      </c>
      <c r="S514" s="41" t="s">
        <v>316</v>
      </c>
      <c r="T514" s="41" t="s">
        <v>317</v>
      </c>
      <c r="U514" s="41" t="s">
        <v>4348</v>
      </c>
      <c r="V514" s="41" t="s">
        <v>319</v>
      </c>
      <c r="W514" s="41" t="s">
        <v>380</v>
      </c>
      <c r="X514" s="41" t="s">
        <v>381</v>
      </c>
      <c r="Y514" s="40">
        <v>3825</v>
      </c>
      <c r="Z514" s="40">
        <v>3825</v>
      </c>
      <c r="AA514" s="40">
        <v>51325</v>
      </c>
      <c r="AB514" s="41"/>
      <c r="AC514" s="41"/>
      <c r="AD514" s="41"/>
      <c r="AE514" s="41"/>
      <c r="AF514" s="41" t="s">
        <v>3584</v>
      </c>
      <c r="AG514" s="41" t="s">
        <v>356</v>
      </c>
      <c r="AH514" s="41" t="s">
        <v>4350</v>
      </c>
      <c r="AI514" s="41" t="s">
        <v>4351</v>
      </c>
    </row>
    <row r="515" spans="1:35" x14ac:dyDescent="0.2">
      <c r="A515" s="53">
        <v>51425</v>
      </c>
      <c r="B515" s="41" t="s">
        <v>3584</v>
      </c>
      <c r="C515" s="41" t="s">
        <v>4352</v>
      </c>
      <c r="D515" s="41" t="s">
        <v>27</v>
      </c>
      <c r="E515" s="55">
        <v>923245</v>
      </c>
      <c r="F515" s="41" t="s">
        <v>180</v>
      </c>
      <c r="G515" s="41" t="s">
        <v>29</v>
      </c>
      <c r="H515" s="41" t="s">
        <v>30</v>
      </c>
      <c r="I515" s="41" t="s">
        <v>31</v>
      </c>
      <c r="J515" s="41" t="s">
        <v>32</v>
      </c>
      <c r="K515" s="41" t="s">
        <v>33</v>
      </c>
      <c r="L515" s="50">
        <v>42622135</v>
      </c>
      <c r="M515" s="50">
        <v>0</v>
      </c>
      <c r="N515" s="50">
        <v>42622135</v>
      </c>
      <c r="O515" s="50">
        <v>42622135</v>
      </c>
      <c r="P515" s="43" t="s">
        <v>351</v>
      </c>
      <c r="Q515" s="40">
        <v>53122604</v>
      </c>
      <c r="R515" s="41" t="s">
        <v>4353</v>
      </c>
      <c r="S515" s="41" t="s">
        <v>316</v>
      </c>
      <c r="T515" s="41" t="s">
        <v>317</v>
      </c>
      <c r="U515" s="41" t="s">
        <v>4354</v>
      </c>
      <c r="V515" s="41" t="s">
        <v>319</v>
      </c>
      <c r="W515" s="41" t="s">
        <v>354</v>
      </c>
      <c r="X515" s="41" t="s">
        <v>355</v>
      </c>
      <c r="Y515" s="40">
        <v>3825</v>
      </c>
      <c r="Z515" s="40">
        <v>3825</v>
      </c>
      <c r="AA515" s="40">
        <v>51425</v>
      </c>
      <c r="AB515" s="41"/>
      <c r="AC515" s="41"/>
      <c r="AD515" s="41"/>
      <c r="AE515" s="41"/>
      <c r="AF515" s="41" t="s">
        <v>3584</v>
      </c>
      <c r="AG515" s="41" t="s">
        <v>356</v>
      </c>
      <c r="AH515" s="41" t="s">
        <v>4356</v>
      </c>
      <c r="AI515" s="41" t="s">
        <v>724</v>
      </c>
    </row>
    <row r="516" spans="1:35" x14ac:dyDescent="0.2">
      <c r="A516" s="53">
        <v>51525</v>
      </c>
      <c r="B516" s="41" t="s">
        <v>3584</v>
      </c>
      <c r="C516" s="41" t="s">
        <v>4357</v>
      </c>
      <c r="D516" s="41" t="s">
        <v>27</v>
      </c>
      <c r="E516" s="55">
        <v>923211</v>
      </c>
      <c r="F516" s="41" t="s">
        <v>69</v>
      </c>
      <c r="G516" s="41" t="s">
        <v>29</v>
      </c>
      <c r="H516" s="41" t="s">
        <v>30</v>
      </c>
      <c r="I516" s="41" t="s">
        <v>31</v>
      </c>
      <c r="J516" s="41" t="s">
        <v>32</v>
      </c>
      <c r="K516" s="41" t="s">
        <v>33</v>
      </c>
      <c r="L516" s="50">
        <v>42622135</v>
      </c>
      <c r="M516" s="50">
        <v>0</v>
      </c>
      <c r="N516" s="50">
        <v>42622135</v>
      </c>
      <c r="O516" s="50">
        <v>42622135</v>
      </c>
      <c r="P516" s="43" t="s">
        <v>351</v>
      </c>
      <c r="Q516" s="40">
        <v>1057872129</v>
      </c>
      <c r="R516" s="41" t="s">
        <v>4358</v>
      </c>
      <c r="S516" s="41" t="s">
        <v>316</v>
      </c>
      <c r="T516" s="41" t="s">
        <v>317</v>
      </c>
      <c r="U516" s="41" t="s">
        <v>4359</v>
      </c>
      <c r="V516" s="41" t="s">
        <v>319</v>
      </c>
      <c r="W516" s="41" t="s">
        <v>341</v>
      </c>
      <c r="X516" s="41" t="s">
        <v>342</v>
      </c>
      <c r="Y516" s="40">
        <v>2125</v>
      </c>
      <c r="Z516" s="40">
        <v>2125</v>
      </c>
      <c r="AA516" s="40">
        <v>51525</v>
      </c>
      <c r="AB516" s="41"/>
      <c r="AC516" s="41"/>
      <c r="AD516" s="41"/>
      <c r="AE516" s="41"/>
      <c r="AF516" s="41" t="s">
        <v>3584</v>
      </c>
      <c r="AG516" s="41" t="s">
        <v>356</v>
      </c>
      <c r="AH516" s="41" t="s">
        <v>4361</v>
      </c>
      <c r="AI516" s="41" t="s">
        <v>4362</v>
      </c>
    </row>
    <row r="517" spans="1:35" x14ac:dyDescent="0.2">
      <c r="A517" s="53">
        <v>51625</v>
      </c>
      <c r="B517" s="41" t="s">
        <v>3584</v>
      </c>
      <c r="C517" s="41" t="s">
        <v>4363</v>
      </c>
      <c r="D517" s="41" t="s">
        <v>27</v>
      </c>
      <c r="E517" s="55">
        <v>923211</v>
      </c>
      <c r="F517" s="41" t="s">
        <v>69</v>
      </c>
      <c r="G517" s="41" t="s">
        <v>29</v>
      </c>
      <c r="H517" s="41" t="s">
        <v>30</v>
      </c>
      <c r="I517" s="41" t="s">
        <v>31</v>
      </c>
      <c r="J517" s="41" t="s">
        <v>32</v>
      </c>
      <c r="K517" s="41" t="s">
        <v>33</v>
      </c>
      <c r="L517" s="50">
        <v>42622135</v>
      </c>
      <c r="M517" s="50">
        <v>0</v>
      </c>
      <c r="N517" s="50">
        <v>42622135</v>
      </c>
      <c r="O517" s="50">
        <v>42622135</v>
      </c>
      <c r="P517" s="43" t="s">
        <v>351</v>
      </c>
      <c r="Q517" s="40">
        <v>1069722597</v>
      </c>
      <c r="R517" s="41" t="s">
        <v>4364</v>
      </c>
      <c r="S517" s="41" t="s">
        <v>316</v>
      </c>
      <c r="T517" s="41" t="s">
        <v>317</v>
      </c>
      <c r="U517" s="41" t="s">
        <v>4365</v>
      </c>
      <c r="V517" s="41" t="s">
        <v>319</v>
      </c>
      <c r="W517" s="41" t="s">
        <v>354</v>
      </c>
      <c r="X517" s="41" t="s">
        <v>355</v>
      </c>
      <c r="Y517" s="40">
        <v>2125</v>
      </c>
      <c r="Z517" s="40">
        <v>2125</v>
      </c>
      <c r="AA517" s="40">
        <v>51625</v>
      </c>
      <c r="AB517" s="41"/>
      <c r="AC517" s="41"/>
      <c r="AD517" s="41"/>
      <c r="AE517" s="41"/>
      <c r="AF517" s="41" t="s">
        <v>3584</v>
      </c>
      <c r="AG517" s="41" t="s">
        <v>356</v>
      </c>
      <c r="AH517" s="41" t="s">
        <v>4367</v>
      </c>
      <c r="AI517" s="41" t="s">
        <v>4328</v>
      </c>
    </row>
    <row r="518" spans="1:35" x14ac:dyDescent="0.2">
      <c r="A518" s="53">
        <v>51725</v>
      </c>
      <c r="B518" s="41" t="s">
        <v>3584</v>
      </c>
      <c r="C518" s="41" t="s">
        <v>4368</v>
      </c>
      <c r="D518" s="41" t="s">
        <v>27</v>
      </c>
      <c r="E518" s="55">
        <v>923211</v>
      </c>
      <c r="F518" s="41" t="s">
        <v>69</v>
      </c>
      <c r="G518" s="41" t="s">
        <v>29</v>
      </c>
      <c r="H518" s="41" t="s">
        <v>30</v>
      </c>
      <c r="I518" s="41" t="s">
        <v>31</v>
      </c>
      <c r="J518" s="41" t="s">
        <v>32</v>
      </c>
      <c r="K518" s="41" t="s">
        <v>33</v>
      </c>
      <c r="L518" s="50">
        <v>42622135</v>
      </c>
      <c r="M518" s="50">
        <v>0</v>
      </c>
      <c r="N518" s="50">
        <v>42622135</v>
      </c>
      <c r="O518" s="50">
        <v>42622135</v>
      </c>
      <c r="P518" s="43" t="s">
        <v>351</v>
      </c>
      <c r="Q518" s="40">
        <v>1001344581</v>
      </c>
      <c r="R518" s="41" t="s">
        <v>4369</v>
      </c>
      <c r="S518" s="41" t="s">
        <v>316</v>
      </c>
      <c r="T518" s="41" t="s">
        <v>317</v>
      </c>
      <c r="U518" s="41" t="s">
        <v>4370</v>
      </c>
      <c r="V518" s="41" t="s">
        <v>319</v>
      </c>
      <c r="W518" s="41" t="s">
        <v>4371</v>
      </c>
      <c r="X518" s="41" t="s">
        <v>4372</v>
      </c>
      <c r="Y518" s="40">
        <v>2125</v>
      </c>
      <c r="Z518" s="40">
        <v>2125</v>
      </c>
      <c r="AA518" s="40">
        <v>51725</v>
      </c>
      <c r="AB518" s="41"/>
      <c r="AC518" s="41"/>
      <c r="AD518" s="41"/>
      <c r="AE518" s="41"/>
      <c r="AF518" s="41" t="s">
        <v>3584</v>
      </c>
      <c r="AG518" s="41" t="s">
        <v>356</v>
      </c>
      <c r="AH518" s="41" t="s">
        <v>4374</v>
      </c>
      <c r="AI518" s="41" t="s">
        <v>644</v>
      </c>
    </row>
    <row r="519" spans="1:35" x14ac:dyDescent="0.2">
      <c r="A519" s="53">
        <v>51825</v>
      </c>
      <c r="B519" s="41" t="s">
        <v>3584</v>
      </c>
      <c r="C519" s="41" t="s">
        <v>4375</v>
      </c>
      <c r="D519" s="41" t="s">
        <v>27</v>
      </c>
      <c r="E519" s="55">
        <v>923211</v>
      </c>
      <c r="F519" s="41" t="s">
        <v>69</v>
      </c>
      <c r="G519" s="41" t="s">
        <v>29</v>
      </c>
      <c r="H519" s="41" t="s">
        <v>30</v>
      </c>
      <c r="I519" s="41" t="s">
        <v>31</v>
      </c>
      <c r="J519" s="41" t="s">
        <v>32</v>
      </c>
      <c r="K519" s="41" t="s">
        <v>33</v>
      </c>
      <c r="L519" s="50">
        <v>42622135</v>
      </c>
      <c r="M519" s="50">
        <v>0</v>
      </c>
      <c r="N519" s="50">
        <v>42622135</v>
      </c>
      <c r="O519" s="50">
        <v>42622135</v>
      </c>
      <c r="P519" s="43" t="s">
        <v>351</v>
      </c>
      <c r="Q519" s="40">
        <v>79211118</v>
      </c>
      <c r="R519" s="41" t="s">
        <v>4376</v>
      </c>
      <c r="S519" s="41" t="s">
        <v>316</v>
      </c>
      <c r="T519" s="41" t="s">
        <v>317</v>
      </c>
      <c r="U519" s="41" t="s">
        <v>4377</v>
      </c>
      <c r="V519" s="41" t="s">
        <v>319</v>
      </c>
      <c r="W519" s="41" t="s">
        <v>341</v>
      </c>
      <c r="X519" s="41" t="s">
        <v>342</v>
      </c>
      <c r="Y519" s="40">
        <v>2125</v>
      </c>
      <c r="Z519" s="40">
        <v>2125</v>
      </c>
      <c r="AA519" s="40">
        <v>51825</v>
      </c>
      <c r="AB519" s="41"/>
      <c r="AC519" s="41"/>
      <c r="AD519" s="41"/>
      <c r="AE519" s="41"/>
      <c r="AF519" s="41" t="s">
        <v>3584</v>
      </c>
      <c r="AG519" s="41" t="s">
        <v>356</v>
      </c>
      <c r="AH519" s="41" t="s">
        <v>4379</v>
      </c>
      <c r="AI519" s="41" t="s">
        <v>644</v>
      </c>
    </row>
    <row r="520" spans="1:35" x14ac:dyDescent="0.2">
      <c r="A520" s="53">
        <v>51925</v>
      </c>
      <c r="B520" s="41" t="s">
        <v>3584</v>
      </c>
      <c r="C520" s="41" t="s">
        <v>4380</v>
      </c>
      <c r="D520" s="41" t="s">
        <v>27</v>
      </c>
      <c r="E520" s="55">
        <v>923211</v>
      </c>
      <c r="F520" s="41" t="s">
        <v>69</v>
      </c>
      <c r="G520" s="41" t="s">
        <v>29</v>
      </c>
      <c r="H520" s="41" t="s">
        <v>30</v>
      </c>
      <c r="I520" s="41" t="s">
        <v>31</v>
      </c>
      <c r="J520" s="41" t="s">
        <v>32</v>
      </c>
      <c r="K520" s="41" t="s">
        <v>33</v>
      </c>
      <c r="L520" s="50">
        <v>42622135</v>
      </c>
      <c r="M520" s="50">
        <v>0</v>
      </c>
      <c r="N520" s="50">
        <v>42622135</v>
      </c>
      <c r="O520" s="50">
        <v>42622135</v>
      </c>
      <c r="P520" s="43" t="s">
        <v>351</v>
      </c>
      <c r="Q520" s="40">
        <v>80134583</v>
      </c>
      <c r="R520" s="41" t="s">
        <v>4381</v>
      </c>
      <c r="S520" s="41" t="s">
        <v>316</v>
      </c>
      <c r="T520" s="41" t="s">
        <v>317</v>
      </c>
      <c r="U520" s="41" t="s">
        <v>4382</v>
      </c>
      <c r="V520" s="41" t="s">
        <v>319</v>
      </c>
      <c r="W520" s="41" t="s">
        <v>354</v>
      </c>
      <c r="X520" s="41" t="s">
        <v>355</v>
      </c>
      <c r="Y520" s="40">
        <v>2125</v>
      </c>
      <c r="Z520" s="40">
        <v>2125</v>
      </c>
      <c r="AA520" s="40">
        <v>51925</v>
      </c>
      <c r="AB520" s="41"/>
      <c r="AC520" s="41"/>
      <c r="AD520" s="41"/>
      <c r="AE520" s="41"/>
      <c r="AF520" s="41" t="s">
        <v>3584</v>
      </c>
      <c r="AG520" s="41" t="s">
        <v>356</v>
      </c>
      <c r="AH520" s="41" t="s">
        <v>4384</v>
      </c>
      <c r="AI520" s="41" t="s">
        <v>655</v>
      </c>
    </row>
    <row r="521" spans="1:35" x14ac:dyDescent="0.2">
      <c r="A521" s="53">
        <v>52025</v>
      </c>
      <c r="B521" s="41" t="s">
        <v>3584</v>
      </c>
      <c r="C521" s="41" t="s">
        <v>4385</v>
      </c>
      <c r="D521" s="41" t="s">
        <v>27</v>
      </c>
      <c r="E521" s="55">
        <v>923211</v>
      </c>
      <c r="F521" s="41" t="s">
        <v>69</v>
      </c>
      <c r="G521" s="41" t="s">
        <v>29</v>
      </c>
      <c r="H521" s="41" t="s">
        <v>30</v>
      </c>
      <c r="I521" s="41" t="s">
        <v>31</v>
      </c>
      <c r="J521" s="41" t="s">
        <v>32</v>
      </c>
      <c r="K521" s="41" t="s">
        <v>33</v>
      </c>
      <c r="L521" s="50">
        <v>42622135</v>
      </c>
      <c r="M521" s="50">
        <v>0</v>
      </c>
      <c r="N521" s="50">
        <v>42622135</v>
      </c>
      <c r="O521" s="50">
        <v>42622135</v>
      </c>
      <c r="P521" s="43" t="s">
        <v>351</v>
      </c>
      <c r="Q521" s="40">
        <v>1072190319</v>
      </c>
      <c r="R521" s="41" t="s">
        <v>4386</v>
      </c>
      <c r="S521" s="41" t="s">
        <v>316</v>
      </c>
      <c r="T521" s="41" t="s">
        <v>317</v>
      </c>
      <c r="U521" s="41" t="s">
        <v>4387</v>
      </c>
      <c r="V521" s="41" t="s">
        <v>319</v>
      </c>
      <c r="W521" s="41" t="s">
        <v>418</v>
      </c>
      <c r="X521" s="41" t="s">
        <v>419</v>
      </c>
      <c r="Y521" s="40">
        <v>2125</v>
      </c>
      <c r="Z521" s="40">
        <v>2125</v>
      </c>
      <c r="AA521" s="40">
        <v>52025</v>
      </c>
      <c r="AB521" s="41"/>
      <c r="AC521" s="41"/>
      <c r="AD521" s="41"/>
      <c r="AE521" s="41"/>
      <c r="AF521" s="41" t="s">
        <v>3584</v>
      </c>
      <c r="AG521" s="41" t="s">
        <v>356</v>
      </c>
      <c r="AH521" s="41" t="s">
        <v>4389</v>
      </c>
      <c r="AI521" s="41" t="s">
        <v>4390</v>
      </c>
    </row>
    <row r="522" spans="1:35" x14ac:dyDescent="0.2">
      <c r="A522" s="53">
        <v>52125</v>
      </c>
      <c r="B522" s="41" t="s">
        <v>3584</v>
      </c>
      <c r="C522" s="41" t="s">
        <v>4391</v>
      </c>
      <c r="D522" s="41" t="s">
        <v>27</v>
      </c>
      <c r="E522" s="55">
        <v>923211</v>
      </c>
      <c r="F522" s="41" t="s">
        <v>69</v>
      </c>
      <c r="G522" s="41" t="s">
        <v>29</v>
      </c>
      <c r="H522" s="41" t="s">
        <v>30</v>
      </c>
      <c r="I522" s="41" t="s">
        <v>31</v>
      </c>
      <c r="J522" s="41" t="s">
        <v>32</v>
      </c>
      <c r="K522" s="41" t="s">
        <v>33</v>
      </c>
      <c r="L522" s="50">
        <v>42622135</v>
      </c>
      <c r="M522" s="50">
        <v>0</v>
      </c>
      <c r="N522" s="50">
        <v>42622135</v>
      </c>
      <c r="O522" s="50">
        <v>42622135</v>
      </c>
      <c r="P522" s="43" t="s">
        <v>351</v>
      </c>
      <c r="Q522" s="40">
        <v>1069734271</v>
      </c>
      <c r="R522" s="41" t="s">
        <v>4392</v>
      </c>
      <c r="S522" s="41" t="s">
        <v>316</v>
      </c>
      <c r="T522" s="41" t="s">
        <v>317</v>
      </c>
      <c r="U522" s="41" t="s">
        <v>4393</v>
      </c>
      <c r="V522" s="41" t="s">
        <v>319</v>
      </c>
      <c r="W522" s="41" t="s">
        <v>341</v>
      </c>
      <c r="X522" s="41" t="s">
        <v>342</v>
      </c>
      <c r="Y522" s="40">
        <v>2125</v>
      </c>
      <c r="Z522" s="40">
        <v>2125</v>
      </c>
      <c r="AA522" s="40">
        <v>52125</v>
      </c>
      <c r="AB522" s="41"/>
      <c r="AC522" s="41"/>
      <c r="AD522" s="41"/>
      <c r="AE522" s="41"/>
      <c r="AF522" s="41" t="s">
        <v>3584</v>
      </c>
      <c r="AG522" s="41" t="s">
        <v>356</v>
      </c>
      <c r="AH522" s="41" t="s">
        <v>4395</v>
      </c>
      <c r="AI522" s="41" t="s">
        <v>644</v>
      </c>
    </row>
    <row r="523" spans="1:35" x14ac:dyDescent="0.2">
      <c r="A523" s="53">
        <v>52225</v>
      </c>
      <c r="B523" s="41" t="s">
        <v>3584</v>
      </c>
      <c r="C523" s="41" t="s">
        <v>4396</v>
      </c>
      <c r="D523" s="41" t="s">
        <v>27</v>
      </c>
      <c r="E523" s="55">
        <v>923211</v>
      </c>
      <c r="F523" s="41" t="s">
        <v>69</v>
      </c>
      <c r="G523" s="41" t="s">
        <v>29</v>
      </c>
      <c r="H523" s="41" t="s">
        <v>30</v>
      </c>
      <c r="I523" s="41" t="s">
        <v>31</v>
      </c>
      <c r="J523" s="41" t="s">
        <v>32</v>
      </c>
      <c r="K523" s="41" t="s">
        <v>33</v>
      </c>
      <c r="L523" s="50">
        <v>42622135</v>
      </c>
      <c r="M523" s="50">
        <v>0</v>
      </c>
      <c r="N523" s="50">
        <v>42622135</v>
      </c>
      <c r="O523" s="50">
        <v>42622135</v>
      </c>
      <c r="P523" s="43" t="s">
        <v>351</v>
      </c>
      <c r="Q523" s="40">
        <v>13994183</v>
      </c>
      <c r="R523" s="41" t="s">
        <v>4397</v>
      </c>
      <c r="S523" s="41" t="s">
        <v>316</v>
      </c>
      <c r="T523" s="41" t="s">
        <v>317</v>
      </c>
      <c r="U523" s="41" t="s">
        <v>4398</v>
      </c>
      <c r="V523" s="41" t="s">
        <v>319</v>
      </c>
      <c r="W523" s="41" t="s">
        <v>380</v>
      </c>
      <c r="X523" s="41" t="s">
        <v>381</v>
      </c>
      <c r="Y523" s="40">
        <v>2125</v>
      </c>
      <c r="Z523" s="40">
        <v>2125</v>
      </c>
      <c r="AA523" s="40">
        <v>52225</v>
      </c>
      <c r="AB523" s="41"/>
      <c r="AC523" s="41"/>
      <c r="AD523" s="41"/>
      <c r="AE523" s="41"/>
      <c r="AF523" s="41" t="s">
        <v>3584</v>
      </c>
      <c r="AG523" s="41" t="s">
        <v>356</v>
      </c>
      <c r="AH523" s="41" t="s">
        <v>4400</v>
      </c>
      <c r="AI523" s="41" t="s">
        <v>644</v>
      </c>
    </row>
    <row r="524" spans="1:35" x14ac:dyDescent="0.2">
      <c r="A524" s="53">
        <v>52325</v>
      </c>
      <c r="B524" s="41" t="s">
        <v>3584</v>
      </c>
      <c r="C524" s="41" t="s">
        <v>4401</v>
      </c>
      <c r="D524" s="41" t="s">
        <v>27</v>
      </c>
      <c r="E524" s="55">
        <v>923211</v>
      </c>
      <c r="F524" s="41" t="s">
        <v>69</v>
      </c>
      <c r="G524" s="41" t="s">
        <v>29</v>
      </c>
      <c r="H524" s="41" t="s">
        <v>30</v>
      </c>
      <c r="I524" s="41" t="s">
        <v>31</v>
      </c>
      <c r="J524" s="41" t="s">
        <v>32</v>
      </c>
      <c r="K524" s="41" t="s">
        <v>33</v>
      </c>
      <c r="L524" s="50">
        <v>42622135</v>
      </c>
      <c r="M524" s="50">
        <v>0</v>
      </c>
      <c r="N524" s="50">
        <v>42622135</v>
      </c>
      <c r="O524" s="50">
        <v>42622135</v>
      </c>
      <c r="P524" s="43" t="s">
        <v>351</v>
      </c>
      <c r="Q524" s="40">
        <v>1026592555</v>
      </c>
      <c r="R524" s="41" t="s">
        <v>4402</v>
      </c>
      <c r="S524" s="41" t="s">
        <v>316</v>
      </c>
      <c r="T524" s="41" t="s">
        <v>317</v>
      </c>
      <c r="U524" s="41" t="s">
        <v>4403</v>
      </c>
      <c r="V524" s="41" t="s">
        <v>319</v>
      </c>
      <c r="W524" s="41" t="s">
        <v>341</v>
      </c>
      <c r="X524" s="41" t="s">
        <v>342</v>
      </c>
      <c r="Y524" s="40">
        <v>2125</v>
      </c>
      <c r="Z524" s="40">
        <v>2125</v>
      </c>
      <c r="AA524" s="40">
        <v>52325</v>
      </c>
      <c r="AB524" s="41"/>
      <c r="AC524" s="41"/>
      <c r="AD524" s="41"/>
      <c r="AE524" s="41"/>
      <c r="AF524" s="41" t="s">
        <v>3584</v>
      </c>
      <c r="AG524" s="41" t="s">
        <v>356</v>
      </c>
      <c r="AH524" s="41" t="s">
        <v>4405</v>
      </c>
      <c r="AI524" s="41" t="s">
        <v>644</v>
      </c>
    </row>
    <row r="525" spans="1:35" x14ac:dyDescent="0.2">
      <c r="A525" s="53">
        <v>52425</v>
      </c>
      <c r="B525" s="41" t="s">
        <v>3584</v>
      </c>
      <c r="C525" s="41" t="s">
        <v>4406</v>
      </c>
      <c r="D525" s="41" t="s">
        <v>27</v>
      </c>
      <c r="E525" s="55">
        <v>923211</v>
      </c>
      <c r="F525" s="41" t="s">
        <v>69</v>
      </c>
      <c r="G525" s="41" t="s">
        <v>29</v>
      </c>
      <c r="H525" s="41" t="s">
        <v>30</v>
      </c>
      <c r="I525" s="41" t="s">
        <v>31</v>
      </c>
      <c r="J525" s="41" t="s">
        <v>32</v>
      </c>
      <c r="K525" s="41" t="s">
        <v>33</v>
      </c>
      <c r="L525" s="50">
        <v>42622135</v>
      </c>
      <c r="M525" s="50">
        <v>0</v>
      </c>
      <c r="N525" s="50">
        <v>42622135</v>
      </c>
      <c r="O525" s="50">
        <v>42622135</v>
      </c>
      <c r="P525" s="43" t="s">
        <v>351</v>
      </c>
      <c r="Q525" s="40">
        <v>1105690117</v>
      </c>
      <c r="R525" s="41" t="s">
        <v>4407</v>
      </c>
      <c r="S525" s="41" t="s">
        <v>316</v>
      </c>
      <c r="T525" s="41" t="s">
        <v>317</v>
      </c>
      <c r="U525" s="41" t="s">
        <v>4408</v>
      </c>
      <c r="V525" s="41" t="s">
        <v>319</v>
      </c>
      <c r="W525" s="41" t="s">
        <v>354</v>
      </c>
      <c r="X525" s="41" t="s">
        <v>355</v>
      </c>
      <c r="Y525" s="40">
        <v>2125</v>
      </c>
      <c r="Z525" s="40">
        <v>2125</v>
      </c>
      <c r="AA525" s="40">
        <v>52425</v>
      </c>
      <c r="AB525" s="41"/>
      <c r="AC525" s="41"/>
      <c r="AD525" s="41"/>
      <c r="AE525" s="41"/>
      <c r="AF525" s="41" t="s">
        <v>3584</v>
      </c>
      <c r="AG525" s="41" t="s">
        <v>356</v>
      </c>
      <c r="AH525" s="41" t="s">
        <v>4410</v>
      </c>
      <c r="AI525" s="41" t="s">
        <v>644</v>
      </c>
    </row>
    <row r="526" spans="1:35" x14ac:dyDescent="0.2">
      <c r="A526" s="53">
        <v>52525</v>
      </c>
      <c r="B526" s="41" t="s">
        <v>4653</v>
      </c>
      <c r="C526" s="41" t="s">
        <v>4654</v>
      </c>
      <c r="D526" s="41" t="s">
        <v>312</v>
      </c>
      <c r="E526" s="55">
        <v>923228</v>
      </c>
      <c r="F526" s="41" t="s">
        <v>158</v>
      </c>
      <c r="G526" s="41" t="s">
        <v>159</v>
      </c>
      <c r="H526" s="41" t="s">
        <v>160</v>
      </c>
      <c r="I526" s="41" t="s">
        <v>31</v>
      </c>
      <c r="J526" s="41" t="s">
        <v>32</v>
      </c>
      <c r="K526" s="41" t="s">
        <v>33</v>
      </c>
      <c r="L526" s="50">
        <v>299536</v>
      </c>
      <c r="M526" s="50">
        <v>0</v>
      </c>
      <c r="N526" s="50">
        <v>299536</v>
      </c>
      <c r="O526" s="50">
        <v>0</v>
      </c>
      <c r="P526" s="43" t="s">
        <v>351</v>
      </c>
      <c r="Q526" s="40">
        <v>40783907</v>
      </c>
      <c r="R526" s="41" t="s">
        <v>2044</v>
      </c>
      <c r="S526" s="41" t="s">
        <v>316</v>
      </c>
      <c r="T526" s="41" t="s">
        <v>317</v>
      </c>
      <c r="U526" s="41" t="s">
        <v>2045</v>
      </c>
      <c r="V526" s="41" t="s">
        <v>319</v>
      </c>
      <c r="W526" s="41" t="s">
        <v>392</v>
      </c>
      <c r="X526" s="41" t="s">
        <v>393</v>
      </c>
      <c r="Y526" s="40">
        <v>3425</v>
      </c>
      <c r="Z526" s="40">
        <v>3425</v>
      </c>
      <c r="AA526" s="40">
        <v>52525</v>
      </c>
      <c r="AB526" s="41"/>
      <c r="AC526" s="41" t="s">
        <v>4388</v>
      </c>
      <c r="AD526" s="41"/>
      <c r="AE526" s="41"/>
      <c r="AF526" s="41" t="s">
        <v>4653</v>
      </c>
      <c r="AG526" s="41" t="s">
        <v>1929</v>
      </c>
      <c r="AH526" s="41" t="s">
        <v>4655</v>
      </c>
      <c r="AI526" s="41" t="s">
        <v>4656</v>
      </c>
    </row>
    <row r="527" spans="1:35" x14ac:dyDescent="0.2">
      <c r="A527" s="53">
        <v>52625</v>
      </c>
      <c r="B527" s="41" t="s">
        <v>4653</v>
      </c>
      <c r="C527" s="41" t="s">
        <v>4657</v>
      </c>
      <c r="D527" s="41" t="s">
        <v>312</v>
      </c>
      <c r="E527" s="55">
        <v>923290</v>
      </c>
      <c r="F527" s="41" t="s">
        <v>208</v>
      </c>
      <c r="G527" s="41" t="s">
        <v>29</v>
      </c>
      <c r="H527" s="41" t="s">
        <v>30</v>
      </c>
      <c r="I527" s="41" t="s">
        <v>31</v>
      </c>
      <c r="J527" s="41" t="s">
        <v>32</v>
      </c>
      <c r="K527" s="41" t="s">
        <v>33</v>
      </c>
      <c r="L527" s="50">
        <v>634780</v>
      </c>
      <c r="M527" s="50">
        <v>0</v>
      </c>
      <c r="N527" s="50">
        <v>634780</v>
      </c>
      <c r="O527" s="50">
        <v>0</v>
      </c>
      <c r="P527" s="43" t="s">
        <v>351</v>
      </c>
      <c r="Q527" s="40">
        <v>1012449137</v>
      </c>
      <c r="R527" s="41" t="s">
        <v>390</v>
      </c>
      <c r="S527" s="41" t="s">
        <v>316</v>
      </c>
      <c r="T527" s="41" t="s">
        <v>317</v>
      </c>
      <c r="U527" s="41" t="s">
        <v>391</v>
      </c>
      <c r="V527" s="41" t="s">
        <v>319</v>
      </c>
      <c r="W527" s="41" t="s">
        <v>392</v>
      </c>
      <c r="X527" s="41" t="s">
        <v>393</v>
      </c>
      <c r="Y527" s="40">
        <v>4925</v>
      </c>
      <c r="Z527" s="40">
        <v>4925</v>
      </c>
      <c r="AA527" s="40">
        <v>52625</v>
      </c>
      <c r="AB527" s="41"/>
      <c r="AC527" s="41" t="s">
        <v>4304</v>
      </c>
      <c r="AD527" s="41"/>
      <c r="AE527" s="41"/>
      <c r="AF527" s="41" t="s">
        <v>4653</v>
      </c>
      <c r="AG527" s="41" t="s">
        <v>1929</v>
      </c>
      <c r="AH527" s="41" t="s">
        <v>4659</v>
      </c>
      <c r="AI527" s="41" t="s">
        <v>4660</v>
      </c>
    </row>
    <row r="528" spans="1:35" x14ac:dyDescent="0.2">
      <c r="A528" s="53">
        <v>52725</v>
      </c>
      <c r="B528" s="41" t="s">
        <v>4653</v>
      </c>
      <c r="C528" s="41" t="s">
        <v>4661</v>
      </c>
      <c r="D528" s="41" t="s">
        <v>312</v>
      </c>
      <c r="E528" s="55">
        <v>923238</v>
      </c>
      <c r="F528" s="41" t="s">
        <v>569</v>
      </c>
      <c r="G528" s="41" t="s">
        <v>29</v>
      </c>
      <c r="H528" s="41" t="s">
        <v>30</v>
      </c>
      <c r="I528" s="41" t="s">
        <v>31</v>
      </c>
      <c r="J528" s="41" t="s">
        <v>32</v>
      </c>
      <c r="K528" s="41" t="s">
        <v>33</v>
      </c>
      <c r="L528" s="50">
        <v>749364</v>
      </c>
      <c r="M528" s="50">
        <v>0</v>
      </c>
      <c r="N528" s="50">
        <v>749364</v>
      </c>
      <c r="O528" s="50">
        <v>0</v>
      </c>
      <c r="P528" s="43" t="s">
        <v>351</v>
      </c>
      <c r="Q528" s="40">
        <v>80724086</v>
      </c>
      <c r="R528" s="41" t="s">
        <v>1926</v>
      </c>
      <c r="S528" s="41" t="s">
        <v>316</v>
      </c>
      <c r="T528" s="41" t="s">
        <v>317</v>
      </c>
      <c r="U528" s="41" t="s">
        <v>1927</v>
      </c>
      <c r="V528" s="41" t="s">
        <v>319</v>
      </c>
      <c r="W528" s="41" t="s">
        <v>341</v>
      </c>
      <c r="X528" s="41" t="s">
        <v>342</v>
      </c>
      <c r="Y528" s="40">
        <v>325</v>
      </c>
      <c r="Z528" s="40">
        <v>325</v>
      </c>
      <c r="AA528" s="40">
        <v>52725</v>
      </c>
      <c r="AB528" s="41"/>
      <c r="AC528" s="41" t="s">
        <v>4658</v>
      </c>
      <c r="AD528" s="41"/>
      <c r="AE528" s="41"/>
      <c r="AF528" s="41" t="s">
        <v>4653</v>
      </c>
      <c r="AG528" s="41" t="s">
        <v>1929</v>
      </c>
      <c r="AH528" s="41" t="s">
        <v>4662</v>
      </c>
      <c r="AI528" s="41" t="s">
        <v>4663</v>
      </c>
    </row>
    <row r="529" spans="1:35" x14ac:dyDescent="0.2">
      <c r="A529" s="53">
        <v>52825</v>
      </c>
      <c r="B529" s="41" t="s">
        <v>4653</v>
      </c>
      <c r="C529" s="41" t="s">
        <v>4664</v>
      </c>
      <c r="D529" s="41" t="s">
        <v>312</v>
      </c>
      <c r="E529" s="55">
        <v>923210</v>
      </c>
      <c r="F529" s="41" t="s">
        <v>56</v>
      </c>
      <c r="G529" s="41" t="s">
        <v>29</v>
      </c>
      <c r="H529" s="41" t="s">
        <v>30</v>
      </c>
      <c r="I529" s="41" t="s">
        <v>31</v>
      </c>
      <c r="J529" s="41" t="s">
        <v>32</v>
      </c>
      <c r="K529" s="41" t="s">
        <v>33</v>
      </c>
      <c r="L529" s="50">
        <v>114445</v>
      </c>
      <c r="M529" s="50">
        <v>0</v>
      </c>
      <c r="N529" s="50">
        <v>114445</v>
      </c>
      <c r="O529" s="50">
        <v>0</v>
      </c>
      <c r="P529" s="43" t="s">
        <v>351</v>
      </c>
      <c r="Q529" s="40">
        <v>88162602</v>
      </c>
      <c r="R529" s="41" t="s">
        <v>4665</v>
      </c>
      <c r="S529" s="41" t="s">
        <v>316</v>
      </c>
      <c r="T529" s="41" t="s">
        <v>317</v>
      </c>
      <c r="U529" s="41" t="s">
        <v>4666</v>
      </c>
      <c r="V529" s="41" t="s">
        <v>319</v>
      </c>
      <c r="W529" s="41" t="s">
        <v>341</v>
      </c>
      <c r="X529" s="41" t="s">
        <v>342</v>
      </c>
      <c r="Y529" s="40">
        <v>1625</v>
      </c>
      <c r="Z529" s="40">
        <v>1625</v>
      </c>
      <c r="AA529" s="40">
        <v>52825</v>
      </c>
      <c r="AB529" s="41"/>
      <c r="AC529" s="41" t="s">
        <v>3784</v>
      </c>
      <c r="AD529" s="41"/>
      <c r="AE529" s="41"/>
      <c r="AF529" s="41" t="s">
        <v>4653</v>
      </c>
      <c r="AG529" s="41" t="s">
        <v>1929</v>
      </c>
      <c r="AH529" s="41" t="s">
        <v>4667</v>
      </c>
      <c r="AI529" s="41" t="s">
        <v>4668</v>
      </c>
    </row>
    <row r="530" spans="1:35" x14ac:dyDescent="0.2">
      <c r="A530" s="53">
        <v>52925</v>
      </c>
      <c r="B530" s="41" t="s">
        <v>4653</v>
      </c>
      <c r="C530" s="41" t="s">
        <v>4669</v>
      </c>
      <c r="D530" s="41" t="s">
        <v>27</v>
      </c>
      <c r="E530" s="55">
        <v>923211</v>
      </c>
      <c r="F530" s="41" t="s">
        <v>69</v>
      </c>
      <c r="G530" s="41" t="s">
        <v>29</v>
      </c>
      <c r="H530" s="41" t="s">
        <v>30</v>
      </c>
      <c r="I530" s="41" t="s">
        <v>31</v>
      </c>
      <c r="J530" s="41" t="s">
        <v>32</v>
      </c>
      <c r="K530" s="41" t="s">
        <v>33</v>
      </c>
      <c r="L530" s="50">
        <v>42468819</v>
      </c>
      <c r="M530" s="50">
        <v>0</v>
      </c>
      <c r="N530" s="50">
        <v>42468819</v>
      </c>
      <c r="O530" s="50">
        <v>42468819</v>
      </c>
      <c r="P530" s="43" t="s">
        <v>351</v>
      </c>
      <c r="Q530" s="40">
        <v>71317886</v>
      </c>
      <c r="R530" s="41" t="s">
        <v>4670</v>
      </c>
      <c r="S530" s="41" t="s">
        <v>316</v>
      </c>
      <c r="T530" s="41" t="s">
        <v>317</v>
      </c>
      <c r="U530" s="41" t="s">
        <v>4671</v>
      </c>
      <c r="V530" s="41" t="s">
        <v>319</v>
      </c>
      <c r="W530" s="41" t="s">
        <v>418</v>
      </c>
      <c r="X530" s="41" t="s">
        <v>419</v>
      </c>
      <c r="Y530" s="40">
        <v>2125</v>
      </c>
      <c r="Z530" s="40">
        <v>2125</v>
      </c>
      <c r="AA530" s="40">
        <v>52925</v>
      </c>
      <c r="AB530" s="41"/>
      <c r="AC530" s="41"/>
      <c r="AD530" s="41"/>
      <c r="AE530" s="41"/>
      <c r="AF530" s="41" t="s">
        <v>4653</v>
      </c>
      <c r="AG530" s="41" t="s">
        <v>356</v>
      </c>
      <c r="AH530" s="41" t="s">
        <v>4672</v>
      </c>
      <c r="AI530" s="41" t="s">
        <v>644</v>
      </c>
    </row>
    <row r="531" spans="1:35" x14ac:dyDescent="0.2">
      <c r="A531" s="53">
        <v>53025</v>
      </c>
      <c r="B531" s="41" t="s">
        <v>4653</v>
      </c>
      <c r="C531" s="41" t="s">
        <v>4673</v>
      </c>
      <c r="D531" s="41" t="s">
        <v>27</v>
      </c>
      <c r="E531" s="55">
        <v>923211</v>
      </c>
      <c r="F531" s="41" t="s">
        <v>69</v>
      </c>
      <c r="G531" s="41" t="s">
        <v>29</v>
      </c>
      <c r="H531" s="41" t="s">
        <v>30</v>
      </c>
      <c r="I531" s="41" t="s">
        <v>31</v>
      </c>
      <c r="J531" s="41" t="s">
        <v>32</v>
      </c>
      <c r="K531" s="41" t="s">
        <v>33</v>
      </c>
      <c r="L531" s="50">
        <v>42468819</v>
      </c>
      <c r="M531" s="50">
        <v>0</v>
      </c>
      <c r="N531" s="50">
        <v>42468819</v>
      </c>
      <c r="O531" s="50">
        <v>42468819</v>
      </c>
      <c r="P531" s="43" t="s">
        <v>351</v>
      </c>
      <c r="Q531" s="40">
        <v>11324277</v>
      </c>
      <c r="R531" s="41" t="s">
        <v>4674</v>
      </c>
      <c r="S531" s="41" t="s">
        <v>316</v>
      </c>
      <c r="T531" s="41" t="s">
        <v>317</v>
      </c>
      <c r="U531" s="41" t="s">
        <v>4675</v>
      </c>
      <c r="V531" s="41" t="s">
        <v>319</v>
      </c>
      <c r="W531" s="41" t="s">
        <v>341</v>
      </c>
      <c r="X531" s="41" t="s">
        <v>342</v>
      </c>
      <c r="Y531" s="40">
        <v>2125</v>
      </c>
      <c r="Z531" s="40">
        <v>2125</v>
      </c>
      <c r="AA531" s="40">
        <v>53025</v>
      </c>
      <c r="AB531" s="41"/>
      <c r="AC531" s="41"/>
      <c r="AD531" s="41"/>
      <c r="AE531" s="41"/>
      <c r="AF531" s="41" t="s">
        <v>4653</v>
      </c>
      <c r="AG531" s="41" t="s">
        <v>356</v>
      </c>
      <c r="AH531" s="41" t="s">
        <v>4676</v>
      </c>
      <c r="AI531" s="41" t="s">
        <v>644</v>
      </c>
    </row>
    <row r="532" spans="1:35" x14ac:dyDescent="0.2">
      <c r="A532" s="53">
        <v>53125</v>
      </c>
      <c r="B532" s="41" t="s">
        <v>3585</v>
      </c>
      <c r="C532" s="41" t="s">
        <v>4677</v>
      </c>
      <c r="D532" s="41" t="s">
        <v>312</v>
      </c>
      <c r="E532" s="55">
        <v>923238</v>
      </c>
      <c r="F532" s="41" t="s">
        <v>569</v>
      </c>
      <c r="G532" s="41" t="s">
        <v>29</v>
      </c>
      <c r="H532" s="41" t="s">
        <v>30</v>
      </c>
      <c r="I532" s="41" t="s">
        <v>31</v>
      </c>
      <c r="J532" s="41" t="s">
        <v>32</v>
      </c>
      <c r="K532" s="41" t="s">
        <v>33</v>
      </c>
      <c r="L532" s="50">
        <v>664780</v>
      </c>
      <c r="M532" s="50">
        <v>0</v>
      </c>
      <c r="N532" s="50">
        <v>664780</v>
      </c>
      <c r="O532" s="50">
        <v>0</v>
      </c>
      <c r="P532" s="43" t="s">
        <v>351</v>
      </c>
      <c r="Q532" s="40">
        <v>79703448</v>
      </c>
      <c r="R532" s="41" t="s">
        <v>1697</v>
      </c>
      <c r="S532" s="41" t="s">
        <v>316</v>
      </c>
      <c r="T532" s="41" t="s">
        <v>317</v>
      </c>
      <c r="U532" s="41" t="s">
        <v>1698</v>
      </c>
      <c r="V532" s="41" t="s">
        <v>319</v>
      </c>
      <c r="W532" s="41" t="s">
        <v>380</v>
      </c>
      <c r="X532" s="41" t="s">
        <v>381</v>
      </c>
      <c r="Y532" s="40">
        <v>325</v>
      </c>
      <c r="Z532" s="40">
        <v>325</v>
      </c>
      <c r="AA532" s="40">
        <v>53125</v>
      </c>
      <c r="AB532" s="41"/>
      <c r="AC532" s="41" t="s">
        <v>3756</v>
      </c>
      <c r="AD532" s="41"/>
      <c r="AE532" s="41"/>
      <c r="AF532" s="41" t="s">
        <v>3585</v>
      </c>
      <c r="AG532" s="41" t="s">
        <v>1929</v>
      </c>
      <c r="AH532" s="41" t="s">
        <v>4678</v>
      </c>
      <c r="AI532" s="41" t="s">
        <v>4679</v>
      </c>
    </row>
    <row r="533" spans="1:35" x14ac:dyDescent="0.2">
      <c r="A533" s="53">
        <v>53225</v>
      </c>
      <c r="B533" s="41" t="s">
        <v>3585</v>
      </c>
      <c r="C533" s="41" t="s">
        <v>4680</v>
      </c>
      <c r="D533" s="41" t="s">
        <v>312</v>
      </c>
      <c r="E533" s="55">
        <v>923238</v>
      </c>
      <c r="F533" s="41" t="s">
        <v>569</v>
      </c>
      <c r="G533" s="41" t="s">
        <v>29</v>
      </c>
      <c r="H533" s="41" t="s">
        <v>30</v>
      </c>
      <c r="I533" s="41" t="s">
        <v>31</v>
      </c>
      <c r="J533" s="41" t="s">
        <v>32</v>
      </c>
      <c r="K533" s="41" t="s">
        <v>33</v>
      </c>
      <c r="L533" s="50">
        <v>664780</v>
      </c>
      <c r="M533" s="50">
        <v>0</v>
      </c>
      <c r="N533" s="50">
        <v>664780</v>
      </c>
      <c r="O533" s="50">
        <v>0</v>
      </c>
      <c r="P533" s="43" t="s">
        <v>351</v>
      </c>
      <c r="Q533" s="40">
        <v>52556422</v>
      </c>
      <c r="R533" s="41" t="s">
        <v>1720</v>
      </c>
      <c r="S533" s="41" t="s">
        <v>316</v>
      </c>
      <c r="T533" s="41" t="s">
        <v>317</v>
      </c>
      <c r="U533" s="41" t="s">
        <v>1721</v>
      </c>
      <c r="V533" s="41" t="s">
        <v>319</v>
      </c>
      <c r="W533" s="41" t="s">
        <v>354</v>
      </c>
      <c r="X533" s="41" t="s">
        <v>355</v>
      </c>
      <c r="Y533" s="40">
        <v>325</v>
      </c>
      <c r="Z533" s="40">
        <v>325</v>
      </c>
      <c r="AA533" s="40">
        <v>53225</v>
      </c>
      <c r="AB533" s="41"/>
      <c r="AC533" s="41" t="s">
        <v>3696</v>
      </c>
      <c r="AD533" s="41"/>
      <c r="AE533" s="41"/>
      <c r="AF533" s="41" t="s">
        <v>3585</v>
      </c>
      <c r="AG533" s="41" t="s">
        <v>1929</v>
      </c>
      <c r="AH533" s="41" t="s">
        <v>4681</v>
      </c>
      <c r="AI533" s="41" t="s">
        <v>4682</v>
      </c>
    </row>
    <row r="534" spans="1:35" x14ac:dyDescent="0.2">
      <c r="A534" s="53">
        <v>53325</v>
      </c>
      <c r="B534" s="41" t="s">
        <v>3585</v>
      </c>
      <c r="C534" s="41" t="s">
        <v>4683</v>
      </c>
      <c r="D534" s="41" t="s">
        <v>312</v>
      </c>
      <c r="E534" s="55">
        <v>923238</v>
      </c>
      <c r="F534" s="41" t="s">
        <v>569</v>
      </c>
      <c r="G534" s="41" t="s">
        <v>29</v>
      </c>
      <c r="H534" s="41" t="s">
        <v>30</v>
      </c>
      <c r="I534" s="41" t="s">
        <v>31</v>
      </c>
      <c r="J534" s="41" t="s">
        <v>32</v>
      </c>
      <c r="K534" s="41" t="s">
        <v>33</v>
      </c>
      <c r="L534" s="50">
        <v>624780</v>
      </c>
      <c r="M534" s="50">
        <v>0</v>
      </c>
      <c r="N534" s="50">
        <v>624780</v>
      </c>
      <c r="O534" s="50">
        <v>0</v>
      </c>
      <c r="P534" s="43" t="s">
        <v>351</v>
      </c>
      <c r="Q534" s="40">
        <v>79592386</v>
      </c>
      <c r="R534" s="41" t="s">
        <v>1710</v>
      </c>
      <c r="S534" s="41" t="s">
        <v>316</v>
      </c>
      <c r="T534" s="41" t="s">
        <v>317</v>
      </c>
      <c r="U534" s="41" t="s">
        <v>1711</v>
      </c>
      <c r="V534" s="41" t="s">
        <v>319</v>
      </c>
      <c r="W534" s="41" t="s">
        <v>354</v>
      </c>
      <c r="X534" s="41" t="s">
        <v>355</v>
      </c>
      <c r="Y534" s="40">
        <v>325</v>
      </c>
      <c r="Z534" s="40">
        <v>325</v>
      </c>
      <c r="AA534" s="40">
        <v>53325</v>
      </c>
      <c r="AB534" s="41"/>
      <c r="AC534" s="41" t="s">
        <v>3746</v>
      </c>
      <c r="AD534" s="41"/>
      <c r="AE534" s="41"/>
      <c r="AF534" s="41" t="s">
        <v>3585</v>
      </c>
      <c r="AG534" s="41" t="s">
        <v>1929</v>
      </c>
      <c r="AH534" s="41" t="s">
        <v>4684</v>
      </c>
      <c r="AI534" s="41" t="s">
        <v>4685</v>
      </c>
    </row>
    <row r="535" spans="1:35" x14ac:dyDescent="0.2">
      <c r="A535" s="53">
        <v>53425</v>
      </c>
      <c r="B535" s="41" t="s">
        <v>3585</v>
      </c>
      <c r="C535" s="41" t="s">
        <v>4686</v>
      </c>
      <c r="D535" s="41" t="s">
        <v>312</v>
      </c>
      <c r="E535" s="55">
        <v>923238</v>
      </c>
      <c r="F535" s="41" t="s">
        <v>569</v>
      </c>
      <c r="G535" s="41" t="s">
        <v>29</v>
      </c>
      <c r="H535" s="41" t="s">
        <v>30</v>
      </c>
      <c r="I535" s="41" t="s">
        <v>31</v>
      </c>
      <c r="J535" s="41" t="s">
        <v>32</v>
      </c>
      <c r="K535" s="41" t="s">
        <v>33</v>
      </c>
      <c r="L535" s="50">
        <v>312390</v>
      </c>
      <c r="M535" s="50">
        <v>0</v>
      </c>
      <c r="N535" s="50">
        <v>312390</v>
      </c>
      <c r="O535" s="50">
        <v>0</v>
      </c>
      <c r="P535" s="43" t="s">
        <v>351</v>
      </c>
      <c r="Q535" s="40">
        <v>1032370727</v>
      </c>
      <c r="R535" s="41" t="s">
        <v>1744</v>
      </c>
      <c r="S535" s="41" t="s">
        <v>316</v>
      </c>
      <c r="T535" s="41" t="s">
        <v>317</v>
      </c>
      <c r="U535" s="41" t="s">
        <v>1745</v>
      </c>
      <c r="V535" s="41" t="s">
        <v>319</v>
      </c>
      <c r="W535" s="41" t="s">
        <v>380</v>
      </c>
      <c r="X535" s="41" t="s">
        <v>381</v>
      </c>
      <c r="Y535" s="40">
        <v>325</v>
      </c>
      <c r="Z535" s="40">
        <v>325</v>
      </c>
      <c r="AA535" s="40">
        <v>53425</v>
      </c>
      <c r="AB535" s="41"/>
      <c r="AC535" s="41" t="s">
        <v>4332</v>
      </c>
      <c r="AD535" s="41"/>
      <c r="AE535" s="41"/>
      <c r="AF535" s="41" t="s">
        <v>3585</v>
      </c>
      <c r="AG535" s="41" t="s">
        <v>1929</v>
      </c>
      <c r="AH535" s="41" t="s">
        <v>4687</v>
      </c>
      <c r="AI535" s="41" t="s">
        <v>4688</v>
      </c>
    </row>
    <row r="536" spans="1:35" x14ac:dyDescent="0.2">
      <c r="A536" s="53">
        <v>53525</v>
      </c>
      <c r="B536" s="41" t="s">
        <v>3585</v>
      </c>
      <c r="C536" s="41" t="s">
        <v>4689</v>
      </c>
      <c r="D536" s="41" t="s">
        <v>312</v>
      </c>
      <c r="E536" s="55">
        <v>923238</v>
      </c>
      <c r="F536" s="41" t="s">
        <v>569</v>
      </c>
      <c r="G536" s="41" t="s">
        <v>29</v>
      </c>
      <c r="H536" s="41" t="s">
        <v>30</v>
      </c>
      <c r="I536" s="41" t="s">
        <v>31</v>
      </c>
      <c r="J536" s="41" t="s">
        <v>32</v>
      </c>
      <c r="K536" s="41" t="s">
        <v>33</v>
      </c>
      <c r="L536" s="50">
        <v>312390</v>
      </c>
      <c r="M536" s="50">
        <v>0</v>
      </c>
      <c r="N536" s="50">
        <v>312390</v>
      </c>
      <c r="O536" s="50">
        <v>0</v>
      </c>
      <c r="P536" s="43" t="s">
        <v>351</v>
      </c>
      <c r="Q536" s="40">
        <v>79977580</v>
      </c>
      <c r="R536" s="41" t="s">
        <v>1740</v>
      </c>
      <c r="S536" s="41" t="s">
        <v>316</v>
      </c>
      <c r="T536" s="41" t="s">
        <v>317</v>
      </c>
      <c r="U536" s="41" t="s">
        <v>1741</v>
      </c>
      <c r="V536" s="41" t="s">
        <v>319</v>
      </c>
      <c r="W536" s="41" t="s">
        <v>380</v>
      </c>
      <c r="X536" s="41" t="s">
        <v>381</v>
      </c>
      <c r="Y536" s="40">
        <v>325</v>
      </c>
      <c r="Z536" s="40">
        <v>325</v>
      </c>
      <c r="AA536" s="40">
        <v>53525</v>
      </c>
      <c r="AB536" s="41"/>
      <c r="AC536" s="41" t="s">
        <v>4243</v>
      </c>
      <c r="AD536" s="41"/>
      <c r="AE536" s="41"/>
      <c r="AF536" s="41" t="s">
        <v>3585</v>
      </c>
      <c r="AG536" s="41" t="s">
        <v>1929</v>
      </c>
      <c r="AH536" s="41" t="s">
        <v>4690</v>
      </c>
      <c r="AI536" s="41" t="s">
        <v>4691</v>
      </c>
    </row>
    <row r="537" spans="1:35" x14ac:dyDescent="0.2">
      <c r="A537" s="53">
        <v>53625</v>
      </c>
      <c r="B537" s="41" t="s">
        <v>3585</v>
      </c>
      <c r="C537" s="41" t="s">
        <v>4692</v>
      </c>
      <c r="D537" s="41" t="s">
        <v>312</v>
      </c>
      <c r="E537" s="55">
        <v>923238</v>
      </c>
      <c r="F537" s="41" t="s">
        <v>569</v>
      </c>
      <c r="G537" s="41" t="s">
        <v>29</v>
      </c>
      <c r="H537" s="41" t="s">
        <v>30</v>
      </c>
      <c r="I537" s="41" t="s">
        <v>31</v>
      </c>
      <c r="J537" s="41" t="s">
        <v>32</v>
      </c>
      <c r="K537" s="41" t="s">
        <v>33</v>
      </c>
      <c r="L537" s="50">
        <v>312390</v>
      </c>
      <c r="M537" s="50">
        <v>0</v>
      </c>
      <c r="N537" s="50">
        <v>312390</v>
      </c>
      <c r="O537" s="50">
        <v>0</v>
      </c>
      <c r="P537" s="43" t="s">
        <v>351</v>
      </c>
      <c r="Q537" s="40">
        <v>80232876</v>
      </c>
      <c r="R537" s="41" t="s">
        <v>1730</v>
      </c>
      <c r="S537" s="41" t="s">
        <v>316</v>
      </c>
      <c r="T537" s="41" t="s">
        <v>317</v>
      </c>
      <c r="U537" s="41" t="s">
        <v>1731</v>
      </c>
      <c r="V537" s="41" t="s">
        <v>319</v>
      </c>
      <c r="W537" s="41" t="s">
        <v>341</v>
      </c>
      <c r="X537" s="41" t="s">
        <v>342</v>
      </c>
      <c r="Y537" s="40">
        <v>325</v>
      </c>
      <c r="Z537" s="40">
        <v>325</v>
      </c>
      <c r="AA537" s="40">
        <v>53625</v>
      </c>
      <c r="AB537" s="41"/>
      <c r="AC537" s="41" t="s">
        <v>4248</v>
      </c>
      <c r="AD537" s="41"/>
      <c r="AE537" s="41"/>
      <c r="AF537" s="41" t="s">
        <v>3585</v>
      </c>
      <c r="AG537" s="41" t="s">
        <v>1929</v>
      </c>
      <c r="AH537" s="41" t="s">
        <v>4693</v>
      </c>
      <c r="AI537" s="41" t="s">
        <v>4694</v>
      </c>
    </row>
    <row r="538" spans="1:35" x14ac:dyDescent="0.2">
      <c r="A538" s="53">
        <v>53725</v>
      </c>
      <c r="B538" s="41" t="s">
        <v>3585</v>
      </c>
      <c r="C538" s="41" t="s">
        <v>4695</v>
      </c>
      <c r="D538" s="41" t="s">
        <v>312</v>
      </c>
      <c r="E538" s="55">
        <v>923238</v>
      </c>
      <c r="F538" s="41" t="s">
        <v>569</v>
      </c>
      <c r="G538" s="41" t="s">
        <v>29</v>
      </c>
      <c r="H538" s="41" t="s">
        <v>30</v>
      </c>
      <c r="I538" s="41" t="s">
        <v>31</v>
      </c>
      <c r="J538" s="41" t="s">
        <v>32</v>
      </c>
      <c r="K538" s="41" t="s">
        <v>33</v>
      </c>
      <c r="L538" s="50">
        <v>322390</v>
      </c>
      <c r="M538" s="50">
        <v>0</v>
      </c>
      <c r="N538" s="50">
        <v>322390</v>
      </c>
      <c r="O538" s="50">
        <v>0</v>
      </c>
      <c r="P538" s="43" t="s">
        <v>351</v>
      </c>
      <c r="Q538" s="40">
        <v>88260450</v>
      </c>
      <c r="R538" s="41" t="s">
        <v>1759</v>
      </c>
      <c r="S538" s="41" t="s">
        <v>316</v>
      </c>
      <c r="T538" s="41" t="s">
        <v>317</v>
      </c>
      <c r="U538" s="41" t="s">
        <v>1760</v>
      </c>
      <c r="V538" s="41" t="s">
        <v>319</v>
      </c>
      <c r="W538" s="41" t="s">
        <v>380</v>
      </c>
      <c r="X538" s="41" t="s">
        <v>381</v>
      </c>
      <c r="Y538" s="40">
        <v>325</v>
      </c>
      <c r="Z538" s="40">
        <v>325</v>
      </c>
      <c r="AA538" s="40">
        <v>53725</v>
      </c>
      <c r="AB538" s="41"/>
      <c r="AC538" s="41" t="s">
        <v>4270</v>
      </c>
      <c r="AD538" s="41"/>
      <c r="AE538" s="41"/>
      <c r="AF538" s="41" t="s">
        <v>3585</v>
      </c>
      <c r="AG538" s="41" t="s">
        <v>1929</v>
      </c>
      <c r="AH538" s="41" t="s">
        <v>4696</v>
      </c>
      <c r="AI538" s="41" t="s">
        <v>4697</v>
      </c>
    </row>
    <row r="539" spans="1:35" x14ac:dyDescent="0.2">
      <c r="A539" s="53">
        <v>53825</v>
      </c>
      <c r="B539" s="41" t="s">
        <v>3585</v>
      </c>
      <c r="C539" s="41" t="s">
        <v>4698</v>
      </c>
      <c r="D539" s="41" t="s">
        <v>312</v>
      </c>
      <c r="E539" s="55">
        <v>923238</v>
      </c>
      <c r="F539" s="41" t="s">
        <v>569</v>
      </c>
      <c r="G539" s="41" t="s">
        <v>29</v>
      </c>
      <c r="H539" s="41" t="s">
        <v>30</v>
      </c>
      <c r="I539" s="41" t="s">
        <v>31</v>
      </c>
      <c r="J539" s="41" t="s">
        <v>32</v>
      </c>
      <c r="K539" s="41" t="s">
        <v>33</v>
      </c>
      <c r="L539" s="50">
        <v>312390</v>
      </c>
      <c r="M539" s="50">
        <v>0</v>
      </c>
      <c r="N539" s="50">
        <v>312390</v>
      </c>
      <c r="O539" s="50">
        <v>0</v>
      </c>
      <c r="P539" s="43" t="s">
        <v>351</v>
      </c>
      <c r="Q539" s="40">
        <v>79863951</v>
      </c>
      <c r="R539" s="41" t="s">
        <v>1715</v>
      </c>
      <c r="S539" s="41" t="s">
        <v>316</v>
      </c>
      <c r="T539" s="41" t="s">
        <v>317</v>
      </c>
      <c r="U539" s="41" t="s">
        <v>1716</v>
      </c>
      <c r="V539" s="41" t="s">
        <v>319</v>
      </c>
      <c r="W539" s="41" t="s">
        <v>341</v>
      </c>
      <c r="X539" s="41" t="s">
        <v>342</v>
      </c>
      <c r="Y539" s="40">
        <v>325</v>
      </c>
      <c r="Z539" s="40">
        <v>325</v>
      </c>
      <c r="AA539" s="40">
        <v>53825</v>
      </c>
      <c r="AB539" s="41"/>
      <c r="AC539" s="41" t="s">
        <v>3766</v>
      </c>
      <c r="AD539" s="41"/>
      <c r="AE539" s="41"/>
      <c r="AF539" s="41" t="s">
        <v>3585</v>
      </c>
      <c r="AG539" s="41" t="s">
        <v>1929</v>
      </c>
      <c r="AH539" s="41" t="s">
        <v>4699</v>
      </c>
      <c r="AI539" s="41" t="s">
        <v>4700</v>
      </c>
    </row>
    <row r="540" spans="1:35" x14ac:dyDescent="0.2">
      <c r="A540" s="53">
        <v>53925</v>
      </c>
      <c r="B540" s="41" t="s">
        <v>3585</v>
      </c>
      <c r="C540" s="41" t="s">
        <v>4701</v>
      </c>
      <c r="D540" s="41" t="s">
        <v>312</v>
      </c>
      <c r="E540" s="55">
        <v>923238</v>
      </c>
      <c r="F540" s="41" t="s">
        <v>569</v>
      </c>
      <c r="G540" s="41" t="s">
        <v>29</v>
      </c>
      <c r="H540" s="41" t="s">
        <v>30</v>
      </c>
      <c r="I540" s="41" t="s">
        <v>31</v>
      </c>
      <c r="J540" s="41" t="s">
        <v>32</v>
      </c>
      <c r="K540" s="41" t="s">
        <v>33</v>
      </c>
      <c r="L540" s="50">
        <v>322390</v>
      </c>
      <c r="M540" s="50">
        <v>0</v>
      </c>
      <c r="N540" s="50">
        <v>322390</v>
      </c>
      <c r="O540" s="50">
        <v>0</v>
      </c>
      <c r="P540" s="43" t="s">
        <v>351</v>
      </c>
      <c r="Q540" s="40">
        <v>1012333352</v>
      </c>
      <c r="R540" s="41" t="s">
        <v>726</v>
      </c>
      <c r="S540" s="41" t="s">
        <v>316</v>
      </c>
      <c r="T540" s="41" t="s">
        <v>317</v>
      </c>
      <c r="U540" s="41" t="s">
        <v>727</v>
      </c>
      <c r="V540" s="41" t="s">
        <v>319</v>
      </c>
      <c r="W540" s="41" t="s">
        <v>418</v>
      </c>
      <c r="X540" s="41" t="s">
        <v>419</v>
      </c>
      <c r="Y540" s="40">
        <v>325</v>
      </c>
      <c r="Z540" s="40">
        <v>325</v>
      </c>
      <c r="AA540" s="40">
        <v>53925</v>
      </c>
      <c r="AB540" s="41"/>
      <c r="AC540" s="41" t="s">
        <v>4288</v>
      </c>
      <c r="AD540" s="41"/>
      <c r="AE540" s="41"/>
      <c r="AF540" s="41" t="s">
        <v>3585</v>
      </c>
      <c r="AG540" s="41" t="s">
        <v>1929</v>
      </c>
      <c r="AH540" s="41" t="s">
        <v>4702</v>
      </c>
      <c r="AI540" s="41" t="s">
        <v>4703</v>
      </c>
    </row>
    <row r="541" spans="1:35" x14ac:dyDescent="0.2">
      <c r="A541" s="53">
        <v>54025</v>
      </c>
      <c r="B541" s="41" t="s">
        <v>3585</v>
      </c>
      <c r="C541" s="41" t="s">
        <v>4704</v>
      </c>
      <c r="D541" s="41" t="s">
        <v>312</v>
      </c>
      <c r="E541" s="55">
        <v>923210</v>
      </c>
      <c r="F541" s="41" t="s">
        <v>56</v>
      </c>
      <c r="G541" s="41" t="s">
        <v>29</v>
      </c>
      <c r="H541" s="41" t="s">
        <v>30</v>
      </c>
      <c r="I541" s="41" t="s">
        <v>47</v>
      </c>
      <c r="J541" s="41" t="s">
        <v>48</v>
      </c>
      <c r="K541" s="41" t="s">
        <v>33</v>
      </c>
      <c r="L541" s="50">
        <v>1434750</v>
      </c>
      <c r="M541" s="50">
        <v>0</v>
      </c>
      <c r="N541" s="50">
        <v>1434750</v>
      </c>
      <c r="O541" s="50">
        <v>0</v>
      </c>
      <c r="P541" s="43" t="s">
        <v>314</v>
      </c>
      <c r="Q541" s="40">
        <v>899999115</v>
      </c>
      <c r="R541" s="41" t="s">
        <v>327</v>
      </c>
      <c r="S541" s="41" t="s">
        <v>316</v>
      </c>
      <c r="T541" s="41" t="s">
        <v>328</v>
      </c>
      <c r="U541" s="41" t="s">
        <v>329</v>
      </c>
      <c r="V541" s="41" t="s">
        <v>319</v>
      </c>
      <c r="W541" s="41" t="s">
        <v>330</v>
      </c>
      <c r="X541" s="41" t="s">
        <v>331</v>
      </c>
      <c r="Y541" s="40">
        <v>1225</v>
      </c>
      <c r="Z541" s="40">
        <v>1225</v>
      </c>
      <c r="AA541" s="40">
        <v>54025</v>
      </c>
      <c r="AB541" s="41" t="s">
        <v>4705</v>
      </c>
      <c r="AC541" s="41" t="s">
        <v>4706</v>
      </c>
      <c r="AD541" s="41"/>
      <c r="AE541" s="41"/>
      <c r="AF541" s="41" t="s">
        <v>3585</v>
      </c>
      <c r="AG541" s="41" t="s">
        <v>323</v>
      </c>
      <c r="AH541" s="41" t="s">
        <v>4707</v>
      </c>
      <c r="AI541" s="41" t="s">
        <v>4708</v>
      </c>
    </row>
    <row r="542" spans="1:35" x14ac:dyDescent="0.2">
      <c r="A542" s="53">
        <v>54125</v>
      </c>
      <c r="B542" s="41" t="s">
        <v>3585</v>
      </c>
      <c r="C542" s="41" t="s">
        <v>4709</v>
      </c>
      <c r="D542" s="41" t="s">
        <v>312</v>
      </c>
      <c r="E542" s="55">
        <v>923210</v>
      </c>
      <c r="F542" s="41" t="s">
        <v>56</v>
      </c>
      <c r="G542" s="41" t="s">
        <v>29</v>
      </c>
      <c r="H542" s="41" t="s">
        <v>30</v>
      </c>
      <c r="I542" s="41" t="s">
        <v>47</v>
      </c>
      <c r="J542" s="41" t="s">
        <v>48</v>
      </c>
      <c r="K542" s="41" t="s">
        <v>33</v>
      </c>
      <c r="L542" s="50">
        <v>44920</v>
      </c>
      <c r="M542" s="50">
        <v>0</v>
      </c>
      <c r="N542" s="50">
        <v>44920</v>
      </c>
      <c r="O542" s="50">
        <v>0</v>
      </c>
      <c r="P542" s="43" t="s">
        <v>314</v>
      </c>
      <c r="Q542" s="40">
        <v>899999115</v>
      </c>
      <c r="R542" s="41" t="s">
        <v>327</v>
      </c>
      <c r="S542" s="41" t="s">
        <v>316</v>
      </c>
      <c r="T542" s="41" t="s">
        <v>328</v>
      </c>
      <c r="U542" s="41" t="s">
        <v>329</v>
      </c>
      <c r="V542" s="41" t="s">
        <v>319</v>
      </c>
      <c r="W542" s="41" t="s">
        <v>330</v>
      </c>
      <c r="X542" s="41" t="s">
        <v>331</v>
      </c>
      <c r="Y542" s="40">
        <v>1225</v>
      </c>
      <c r="Z542" s="40">
        <v>1225</v>
      </c>
      <c r="AA542" s="40">
        <v>54125</v>
      </c>
      <c r="AB542" s="41" t="s">
        <v>4710</v>
      </c>
      <c r="AC542" s="41" t="s">
        <v>4711</v>
      </c>
      <c r="AD542" s="41"/>
      <c r="AE542" s="41"/>
      <c r="AF542" s="41" t="s">
        <v>3585</v>
      </c>
      <c r="AG542" s="41" t="s">
        <v>323</v>
      </c>
      <c r="AH542" s="41" t="s">
        <v>4712</v>
      </c>
      <c r="AI542" s="41" t="s">
        <v>4713</v>
      </c>
    </row>
    <row r="543" spans="1:35" x14ac:dyDescent="0.2">
      <c r="A543" s="53">
        <v>54225</v>
      </c>
      <c r="B543" s="41" t="s">
        <v>3585</v>
      </c>
      <c r="C543" s="41" t="s">
        <v>4714</v>
      </c>
      <c r="D543" s="41" t="s">
        <v>312</v>
      </c>
      <c r="E543" s="55">
        <v>923210</v>
      </c>
      <c r="F543" s="41" t="s">
        <v>56</v>
      </c>
      <c r="G543" s="41" t="s">
        <v>29</v>
      </c>
      <c r="H543" s="41" t="s">
        <v>30</v>
      </c>
      <c r="I543" s="41" t="s">
        <v>31</v>
      </c>
      <c r="J543" s="41" t="s">
        <v>32</v>
      </c>
      <c r="K543" s="41" t="s">
        <v>33</v>
      </c>
      <c r="L543" s="50">
        <v>148239</v>
      </c>
      <c r="M543" s="50">
        <v>0</v>
      </c>
      <c r="N543" s="50">
        <v>148239</v>
      </c>
      <c r="O543" s="50">
        <v>0</v>
      </c>
      <c r="P543" s="43" t="s">
        <v>351</v>
      </c>
      <c r="Q543" s="40">
        <v>79661139</v>
      </c>
      <c r="R543" s="41" t="s">
        <v>1871</v>
      </c>
      <c r="S543" s="41" t="s">
        <v>316</v>
      </c>
      <c r="T543" s="41" t="s">
        <v>317</v>
      </c>
      <c r="U543" s="41" t="s">
        <v>1872</v>
      </c>
      <c r="V543" s="41" t="s">
        <v>319</v>
      </c>
      <c r="W543" s="41" t="s">
        <v>354</v>
      </c>
      <c r="X543" s="41" t="s">
        <v>355</v>
      </c>
      <c r="Y543" s="40">
        <v>1625</v>
      </c>
      <c r="Z543" s="40">
        <v>1625</v>
      </c>
      <c r="AA543" s="40">
        <v>54225</v>
      </c>
      <c r="AB543" s="41"/>
      <c r="AC543" s="41" t="s">
        <v>3751</v>
      </c>
      <c r="AD543" s="41"/>
      <c r="AE543" s="41"/>
      <c r="AF543" s="41" t="s">
        <v>3585</v>
      </c>
      <c r="AG543" s="41" t="s">
        <v>1929</v>
      </c>
      <c r="AH543" s="41" t="s">
        <v>4715</v>
      </c>
      <c r="AI543" s="41" t="s">
        <v>4716</v>
      </c>
    </row>
    <row r="544" spans="1:35" x14ac:dyDescent="0.2">
      <c r="A544" s="53">
        <v>54325</v>
      </c>
      <c r="B544" s="41" t="s">
        <v>3585</v>
      </c>
      <c r="C544" s="41" t="s">
        <v>4717</v>
      </c>
      <c r="D544" s="41" t="s">
        <v>312</v>
      </c>
      <c r="E544" s="55">
        <v>923210</v>
      </c>
      <c r="F544" s="41" t="s">
        <v>56</v>
      </c>
      <c r="G544" s="41" t="s">
        <v>29</v>
      </c>
      <c r="H544" s="41" t="s">
        <v>30</v>
      </c>
      <c r="I544" s="41" t="s">
        <v>31</v>
      </c>
      <c r="J544" s="41" t="s">
        <v>32</v>
      </c>
      <c r="K544" s="41" t="s">
        <v>33</v>
      </c>
      <c r="L544" s="50">
        <v>173010</v>
      </c>
      <c r="M544" s="50">
        <v>0</v>
      </c>
      <c r="N544" s="50">
        <v>173010</v>
      </c>
      <c r="O544" s="50">
        <v>0</v>
      </c>
      <c r="P544" s="43" t="s">
        <v>351</v>
      </c>
      <c r="Q544" s="40">
        <v>11315001</v>
      </c>
      <c r="R544" s="41" t="s">
        <v>2037</v>
      </c>
      <c r="S544" s="41" t="s">
        <v>316</v>
      </c>
      <c r="T544" s="41" t="s">
        <v>317</v>
      </c>
      <c r="U544" s="41" t="s">
        <v>2038</v>
      </c>
      <c r="V544" s="41" t="s">
        <v>319</v>
      </c>
      <c r="W544" s="41" t="s">
        <v>341</v>
      </c>
      <c r="X544" s="41" t="s">
        <v>342</v>
      </c>
      <c r="Y544" s="40">
        <v>1625</v>
      </c>
      <c r="Z544" s="40">
        <v>1625</v>
      </c>
      <c r="AA544" s="40">
        <v>54325</v>
      </c>
      <c r="AB544" s="41"/>
      <c r="AC544" s="41" t="s">
        <v>4378</v>
      </c>
      <c r="AD544" s="41"/>
      <c r="AE544" s="41"/>
      <c r="AF544" s="41" t="s">
        <v>3585</v>
      </c>
      <c r="AG544" s="41" t="s">
        <v>1929</v>
      </c>
      <c r="AH544" s="41" t="s">
        <v>4718</v>
      </c>
      <c r="AI544" s="41" t="s">
        <v>4719</v>
      </c>
    </row>
    <row r="545" spans="1:35" x14ac:dyDescent="0.2">
      <c r="A545" s="53">
        <v>54425</v>
      </c>
      <c r="B545" s="41" t="s">
        <v>4630</v>
      </c>
      <c r="C545" s="41" t="s">
        <v>4720</v>
      </c>
      <c r="D545" s="41" t="s">
        <v>27</v>
      </c>
      <c r="E545" s="55">
        <v>923228</v>
      </c>
      <c r="F545" s="41" t="s">
        <v>158</v>
      </c>
      <c r="G545" s="41" t="s">
        <v>159</v>
      </c>
      <c r="H545" s="41" t="s">
        <v>160</v>
      </c>
      <c r="I545" s="41" t="s">
        <v>31</v>
      </c>
      <c r="J545" s="41" t="s">
        <v>32</v>
      </c>
      <c r="K545" s="41" t="s">
        <v>33</v>
      </c>
      <c r="L545" s="50">
        <v>6453333</v>
      </c>
      <c r="M545" s="50">
        <v>0</v>
      </c>
      <c r="N545" s="50">
        <v>6453333</v>
      </c>
      <c r="O545" s="50">
        <v>6453333</v>
      </c>
      <c r="P545" s="43" t="s">
        <v>351</v>
      </c>
      <c r="Q545" s="40">
        <v>82393879</v>
      </c>
      <c r="R545" s="41" t="s">
        <v>4721</v>
      </c>
      <c r="S545" s="41" t="s">
        <v>316</v>
      </c>
      <c r="T545" s="41" t="s">
        <v>317</v>
      </c>
      <c r="U545" s="41" t="s">
        <v>4722</v>
      </c>
      <c r="V545" s="41" t="s">
        <v>319</v>
      </c>
      <c r="W545" s="41" t="s">
        <v>354</v>
      </c>
      <c r="X545" s="41" t="s">
        <v>355</v>
      </c>
      <c r="Y545" s="40">
        <v>3325</v>
      </c>
      <c r="Z545" s="40">
        <v>3325</v>
      </c>
      <c r="AA545" s="40">
        <v>54425</v>
      </c>
      <c r="AB545" s="41"/>
      <c r="AC545" s="41"/>
      <c r="AD545" s="41"/>
      <c r="AE545" s="41"/>
      <c r="AF545" s="41" t="s">
        <v>4630</v>
      </c>
      <c r="AG545" s="41" t="s">
        <v>356</v>
      </c>
      <c r="AH545" s="41" t="s">
        <v>4723</v>
      </c>
      <c r="AI545" s="41" t="s">
        <v>4724</v>
      </c>
    </row>
    <row r="546" spans="1:35" x14ac:dyDescent="0.2">
      <c r="A546" s="53">
        <v>54425</v>
      </c>
      <c r="B546" s="41" t="s">
        <v>4630</v>
      </c>
      <c r="C546" s="41" t="s">
        <v>4720</v>
      </c>
      <c r="D546" s="41" t="s">
        <v>27</v>
      </c>
      <c r="E546" s="55">
        <v>923284</v>
      </c>
      <c r="F546" s="41" t="s">
        <v>163</v>
      </c>
      <c r="G546" s="41" t="s">
        <v>159</v>
      </c>
      <c r="H546" s="41" t="s">
        <v>160</v>
      </c>
      <c r="I546" s="41" t="s">
        <v>31</v>
      </c>
      <c r="J546" s="41" t="s">
        <v>32</v>
      </c>
      <c r="K546" s="41" t="s">
        <v>33</v>
      </c>
      <c r="L546" s="50">
        <v>33880000</v>
      </c>
      <c r="M546" s="50">
        <v>0</v>
      </c>
      <c r="N546" s="50">
        <v>33880000</v>
      </c>
      <c r="O546" s="50">
        <v>33880000</v>
      </c>
      <c r="P546" s="43" t="s">
        <v>351</v>
      </c>
      <c r="Q546" s="40">
        <v>82393879</v>
      </c>
      <c r="R546" s="41" t="s">
        <v>4721</v>
      </c>
      <c r="S546" s="41" t="s">
        <v>316</v>
      </c>
      <c r="T546" s="41" t="s">
        <v>317</v>
      </c>
      <c r="U546" s="41" t="s">
        <v>4722</v>
      </c>
      <c r="V546" s="41" t="s">
        <v>319</v>
      </c>
      <c r="W546" s="41" t="s">
        <v>354</v>
      </c>
      <c r="X546" s="41" t="s">
        <v>355</v>
      </c>
      <c r="Y546" s="40">
        <v>3325</v>
      </c>
      <c r="Z546" s="40">
        <v>3325</v>
      </c>
      <c r="AA546" s="40">
        <v>54425</v>
      </c>
      <c r="AB546" s="41"/>
      <c r="AC546" s="41"/>
      <c r="AD546" s="41"/>
      <c r="AE546" s="41"/>
      <c r="AF546" s="41" t="s">
        <v>4630</v>
      </c>
      <c r="AG546" s="41" t="s">
        <v>356</v>
      </c>
      <c r="AH546" s="41" t="s">
        <v>4723</v>
      </c>
      <c r="AI546" s="41" t="s">
        <v>4724</v>
      </c>
    </row>
    <row r="547" spans="1:35" x14ac:dyDescent="0.2">
      <c r="A547" s="53">
        <v>54525</v>
      </c>
      <c r="B547" s="41" t="s">
        <v>4630</v>
      </c>
      <c r="C547" s="41" t="s">
        <v>4725</v>
      </c>
      <c r="D547" s="41" t="s">
        <v>27</v>
      </c>
      <c r="E547" s="55">
        <v>923245</v>
      </c>
      <c r="F547" s="41" t="s">
        <v>180</v>
      </c>
      <c r="G547" s="41" t="s">
        <v>29</v>
      </c>
      <c r="H547" s="41" t="s">
        <v>30</v>
      </c>
      <c r="I547" s="41" t="s">
        <v>31</v>
      </c>
      <c r="J547" s="41" t="s">
        <v>32</v>
      </c>
      <c r="K547" s="41" t="s">
        <v>33</v>
      </c>
      <c r="L547" s="50">
        <v>222058</v>
      </c>
      <c r="M547" s="50">
        <v>0</v>
      </c>
      <c r="N547" s="50">
        <v>222058</v>
      </c>
      <c r="O547" s="50">
        <v>222058</v>
      </c>
      <c r="P547" s="43" t="s">
        <v>351</v>
      </c>
      <c r="Q547" s="40">
        <v>82389727</v>
      </c>
      <c r="R547" s="41" t="s">
        <v>4726</v>
      </c>
      <c r="S547" s="41" t="s">
        <v>316</v>
      </c>
      <c r="T547" s="41" t="s">
        <v>317</v>
      </c>
      <c r="U547" s="41" t="s">
        <v>4727</v>
      </c>
      <c r="V547" s="41" t="s">
        <v>319</v>
      </c>
      <c r="W547" s="41" t="s">
        <v>380</v>
      </c>
      <c r="X547" s="41" t="s">
        <v>381</v>
      </c>
      <c r="Y547" s="40">
        <v>4125</v>
      </c>
      <c r="Z547" s="40">
        <v>4125</v>
      </c>
      <c r="AA547" s="40">
        <v>54525</v>
      </c>
      <c r="AB547" s="41"/>
      <c r="AC547" s="41"/>
      <c r="AD547" s="41"/>
      <c r="AE547" s="41"/>
      <c r="AF547" s="41" t="s">
        <v>4630</v>
      </c>
      <c r="AG547" s="41" t="s">
        <v>1929</v>
      </c>
      <c r="AH547" s="41" t="s">
        <v>4728</v>
      </c>
      <c r="AI547" s="41" t="s">
        <v>4729</v>
      </c>
    </row>
    <row r="548" spans="1:35" x14ac:dyDescent="0.2">
      <c r="A548" s="53">
        <v>54625</v>
      </c>
      <c r="B548" s="41" t="s">
        <v>4630</v>
      </c>
      <c r="C548" s="41" t="s">
        <v>4730</v>
      </c>
      <c r="D548" s="41" t="s">
        <v>27</v>
      </c>
      <c r="E548" s="55">
        <v>923228</v>
      </c>
      <c r="F548" s="41" t="s">
        <v>158</v>
      </c>
      <c r="G548" s="41" t="s">
        <v>159</v>
      </c>
      <c r="H548" s="41" t="s">
        <v>160</v>
      </c>
      <c r="I548" s="41" t="s">
        <v>31</v>
      </c>
      <c r="J548" s="41" t="s">
        <v>32</v>
      </c>
      <c r="K548" s="41" t="s">
        <v>33</v>
      </c>
      <c r="L548" s="50">
        <v>156195</v>
      </c>
      <c r="M548" s="50">
        <v>0</v>
      </c>
      <c r="N548" s="50">
        <v>156195</v>
      </c>
      <c r="O548" s="50">
        <v>156195</v>
      </c>
      <c r="P548" s="43" t="s">
        <v>351</v>
      </c>
      <c r="Q548" s="40">
        <v>79822903</v>
      </c>
      <c r="R548" s="41" t="s">
        <v>2071</v>
      </c>
      <c r="S548" s="41" t="s">
        <v>316</v>
      </c>
      <c r="T548" s="41" t="s">
        <v>317</v>
      </c>
      <c r="U548" s="41" t="s">
        <v>2072</v>
      </c>
      <c r="V548" s="41" t="s">
        <v>319</v>
      </c>
      <c r="W548" s="41" t="s">
        <v>354</v>
      </c>
      <c r="X548" s="41" t="s">
        <v>355</v>
      </c>
      <c r="Y548" s="40">
        <v>3425</v>
      </c>
      <c r="Z548" s="40">
        <v>3425</v>
      </c>
      <c r="AA548" s="40">
        <v>54625</v>
      </c>
      <c r="AB548" s="41"/>
      <c r="AC548" s="41"/>
      <c r="AD548" s="41"/>
      <c r="AE548" s="41"/>
      <c r="AF548" s="41" t="s">
        <v>4630</v>
      </c>
      <c r="AG548" s="41" t="s">
        <v>1929</v>
      </c>
      <c r="AH548" s="41" t="s">
        <v>4731</v>
      </c>
      <c r="AI548" s="41" t="s">
        <v>4732</v>
      </c>
    </row>
    <row r="549" spans="1:35" x14ac:dyDescent="0.2">
      <c r="A549" s="53">
        <v>54725</v>
      </c>
      <c r="B549" s="41" t="s">
        <v>4630</v>
      </c>
      <c r="C549" s="41" t="s">
        <v>4733</v>
      </c>
      <c r="D549" s="41" t="s">
        <v>27</v>
      </c>
      <c r="E549" s="55">
        <v>923228</v>
      </c>
      <c r="F549" s="41" t="s">
        <v>158</v>
      </c>
      <c r="G549" s="41" t="s">
        <v>159</v>
      </c>
      <c r="H549" s="41" t="s">
        <v>160</v>
      </c>
      <c r="I549" s="41" t="s">
        <v>31</v>
      </c>
      <c r="J549" s="41" t="s">
        <v>32</v>
      </c>
      <c r="K549" s="41" t="s">
        <v>33</v>
      </c>
      <c r="L549" s="50">
        <v>222058</v>
      </c>
      <c r="M549" s="50">
        <v>0</v>
      </c>
      <c r="N549" s="50">
        <v>222058</v>
      </c>
      <c r="O549" s="50">
        <v>222058</v>
      </c>
      <c r="P549" s="43" t="s">
        <v>351</v>
      </c>
      <c r="Q549" s="40">
        <v>40783907</v>
      </c>
      <c r="R549" s="41" t="s">
        <v>2044</v>
      </c>
      <c r="S549" s="41" t="s">
        <v>316</v>
      </c>
      <c r="T549" s="41" t="s">
        <v>317</v>
      </c>
      <c r="U549" s="41" t="s">
        <v>2045</v>
      </c>
      <c r="V549" s="41" t="s">
        <v>319</v>
      </c>
      <c r="W549" s="41" t="s">
        <v>392</v>
      </c>
      <c r="X549" s="41" t="s">
        <v>393</v>
      </c>
      <c r="Y549" s="40">
        <v>3425</v>
      </c>
      <c r="Z549" s="40">
        <v>3425</v>
      </c>
      <c r="AA549" s="40">
        <v>54725</v>
      </c>
      <c r="AB549" s="41"/>
      <c r="AC549" s="41"/>
      <c r="AD549" s="41"/>
      <c r="AE549" s="41"/>
      <c r="AF549" s="41" t="s">
        <v>4630</v>
      </c>
      <c r="AG549" s="41" t="s">
        <v>1929</v>
      </c>
      <c r="AH549" s="41" t="s">
        <v>4734</v>
      </c>
      <c r="AI549" s="41" t="s">
        <v>4735</v>
      </c>
    </row>
    <row r="550" spans="1:35" x14ac:dyDescent="0.2">
      <c r="A550" s="53">
        <v>54825</v>
      </c>
      <c r="B550" s="41" t="s">
        <v>4630</v>
      </c>
      <c r="C550" s="41" t="s">
        <v>4736</v>
      </c>
      <c r="D550" s="41" t="s">
        <v>27</v>
      </c>
      <c r="E550" s="55">
        <v>923238</v>
      </c>
      <c r="F550" s="41" t="s">
        <v>569</v>
      </c>
      <c r="G550" s="41" t="s">
        <v>29</v>
      </c>
      <c r="H550" s="41" t="s">
        <v>30</v>
      </c>
      <c r="I550" s="41" t="s">
        <v>31</v>
      </c>
      <c r="J550" s="41" t="s">
        <v>32</v>
      </c>
      <c r="K550" s="41" t="s">
        <v>33</v>
      </c>
      <c r="L550" s="50">
        <v>312390</v>
      </c>
      <c r="M550" s="50">
        <v>0</v>
      </c>
      <c r="N550" s="50">
        <v>312390</v>
      </c>
      <c r="O550" s="50">
        <v>312390</v>
      </c>
      <c r="P550" s="43" t="s">
        <v>351</v>
      </c>
      <c r="Q550" s="40">
        <v>80792215</v>
      </c>
      <c r="R550" s="41" t="s">
        <v>4133</v>
      </c>
      <c r="S550" s="41" t="s">
        <v>316</v>
      </c>
      <c r="T550" s="41" t="s">
        <v>317</v>
      </c>
      <c r="U550" s="41" t="s">
        <v>4737</v>
      </c>
      <c r="V550" s="41" t="s">
        <v>319</v>
      </c>
      <c r="W550" s="41" t="s">
        <v>418</v>
      </c>
      <c r="X550" s="41" t="s">
        <v>419</v>
      </c>
      <c r="Y550" s="40">
        <v>325</v>
      </c>
      <c r="Z550" s="40">
        <v>325</v>
      </c>
      <c r="AA550" s="40">
        <v>54825</v>
      </c>
      <c r="AB550" s="41"/>
      <c r="AC550" s="41"/>
      <c r="AD550" s="41"/>
      <c r="AE550" s="41"/>
      <c r="AF550" s="41" t="s">
        <v>4630</v>
      </c>
      <c r="AG550" s="41" t="s">
        <v>1929</v>
      </c>
      <c r="AH550" s="41" t="s">
        <v>4738</v>
      </c>
      <c r="AI550" s="41" t="s">
        <v>4739</v>
      </c>
    </row>
    <row r="551" spans="1:35" x14ac:dyDescent="0.2">
      <c r="A551" s="53">
        <v>54925</v>
      </c>
      <c r="B551" s="41" t="s">
        <v>4630</v>
      </c>
      <c r="C551" s="41" t="s">
        <v>4740</v>
      </c>
      <c r="D551" s="41" t="s">
        <v>27</v>
      </c>
      <c r="E551" s="55">
        <v>923238</v>
      </c>
      <c r="F551" s="41" t="s">
        <v>569</v>
      </c>
      <c r="G551" s="41" t="s">
        <v>29</v>
      </c>
      <c r="H551" s="41" t="s">
        <v>30</v>
      </c>
      <c r="I551" s="41" t="s">
        <v>31</v>
      </c>
      <c r="J551" s="41" t="s">
        <v>32</v>
      </c>
      <c r="K551" s="41" t="s">
        <v>33</v>
      </c>
      <c r="L551" s="50">
        <v>166195</v>
      </c>
      <c r="M551" s="50">
        <v>0</v>
      </c>
      <c r="N551" s="50">
        <v>166195</v>
      </c>
      <c r="O551" s="50">
        <v>166195</v>
      </c>
      <c r="P551" s="43" t="s">
        <v>351</v>
      </c>
      <c r="Q551" s="40">
        <v>13478907</v>
      </c>
      <c r="R551" s="41" t="s">
        <v>948</v>
      </c>
      <c r="S551" s="41" t="s">
        <v>316</v>
      </c>
      <c r="T551" s="41" t="s">
        <v>317</v>
      </c>
      <c r="U551" s="41" t="s">
        <v>949</v>
      </c>
      <c r="V551" s="41" t="s">
        <v>319</v>
      </c>
      <c r="W551" s="41" t="s">
        <v>341</v>
      </c>
      <c r="X551" s="41" t="s">
        <v>342</v>
      </c>
      <c r="Y551" s="40">
        <v>325</v>
      </c>
      <c r="Z551" s="40">
        <v>325</v>
      </c>
      <c r="AA551" s="40">
        <v>54925</v>
      </c>
      <c r="AB551" s="41"/>
      <c r="AC551" s="41"/>
      <c r="AD551" s="41"/>
      <c r="AE551" s="41"/>
      <c r="AF551" s="41" t="s">
        <v>4630</v>
      </c>
      <c r="AG551" s="41" t="s">
        <v>1929</v>
      </c>
      <c r="AH551" s="41" t="s">
        <v>4741</v>
      </c>
      <c r="AI551" s="41" t="s">
        <v>4742</v>
      </c>
    </row>
    <row r="561" spans="3:8" x14ac:dyDescent="0.2">
      <c r="C561" s="59"/>
    </row>
    <row r="562" spans="3:8" x14ac:dyDescent="0.2">
      <c r="C562" s="59"/>
    </row>
    <row r="569" spans="3:8" x14ac:dyDescent="0.2">
      <c r="H569" s="59"/>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7822-3230-4330-B0BD-F1271B70EA69}">
  <sheetPr codeName="Hoja11">
    <tabColor rgb="FFFFC000"/>
  </sheetPr>
  <dimension ref="A1:AX454"/>
  <sheetViews>
    <sheetView topLeftCell="AG1" workbookViewId="0">
      <selection activeCell="AF15" sqref="AF15"/>
    </sheetView>
  </sheetViews>
  <sheetFormatPr baseColWidth="10" defaultColWidth="11.5" defaultRowHeight="15" x14ac:dyDescent="0.2"/>
  <cols>
    <col min="2" max="2" width="30.6640625" customWidth="1"/>
    <col min="3" max="3" width="38" customWidth="1"/>
    <col min="5" max="5" width="15" customWidth="1"/>
    <col min="6" max="6" width="18.33203125" customWidth="1"/>
    <col min="7" max="7" width="15.5" customWidth="1"/>
    <col min="8" max="8" width="11.5" customWidth="1"/>
    <col min="14" max="14" width="19.33203125" customWidth="1"/>
    <col min="42" max="42" width="15.1640625" customWidth="1"/>
    <col min="46" max="46" width="18.33203125" customWidth="1"/>
    <col min="47" max="47" width="17" customWidth="1"/>
  </cols>
  <sheetData>
    <row r="1" spans="1:50" x14ac:dyDescent="0.2">
      <c r="A1" s="40" t="s">
        <v>0</v>
      </c>
      <c r="B1" s="40" t="s">
        <v>1</v>
      </c>
      <c r="C1" s="40" t="s">
        <v>440</v>
      </c>
      <c r="D1" s="40" t="s">
        <v>4</v>
      </c>
      <c r="E1" s="40" t="s">
        <v>441</v>
      </c>
      <c r="F1" s="40" t="s">
        <v>442</v>
      </c>
      <c r="G1" s="40" t="s">
        <v>443</v>
      </c>
      <c r="H1" s="40" t="s">
        <v>2612</v>
      </c>
      <c r="I1" s="40" t="s">
        <v>444</v>
      </c>
      <c r="J1" s="40" t="s">
        <v>296</v>
      </c>
      <c r="K1" s="40" t="s">
        <v>297</v>
      </c>
      <c r="L1" s="40" t="s">
        <v>298</v>
      </c>
      <c r="M1" s="40" t="s">
        <v>299</v>
      </c>
      <c r="N1" s="40" t="s">
        <v>300</v>
      </c>
      <c r="O1" s="40" t="s">
        <v>301</v>
      </c>
      <c r="P1" s="40" t="s">
        <v>302</v>
      </c>
      <c r="Q1" s="40" t="s">
        <v>303</v>
      </c>
      <c r="R1" s="40" t="s">
        <v>304</v>
      </c>
      <c r="S1" s="40" t="s">
        <v>5</v>
      </c>
      <c r="T1" s="40" t="s">
        <v>6</v>
      </c>
      <c r="U1" s="40" t="s">
        <v>7</v>
      </c>
      <c r="V1" s="40" t="s">
        <v>8</v>
      </c>
      <c r="W1" s="40" t="s">
        <v>9</v>
      </c>
      <c r="X1" s="40" t="s">
        <v>10</v>
      </c>
      <c r="Y1" s="40" t="s">
        <v>11</v>
      </c>
      <c r="Z1" s="40" t="s">
        <v>445</v>
      </c>
      <c r="AA1" s="40" t="s">
        <v>446</v>
      </c>
      <c r="AB1" s="40" t="s">
        <v>447</v>
      </c>
      <c r="AC1" s="40" t="s">
        <v>448</v>
      </c>
      <c r="AD1" s="40" t="s">
        <v>449</v>
      </c>
      <c r="AE1" s="40" t="s">
        <v>450</v>
      </c>
      <c r="AF1" s="40" t="s">
        <v>451</v>
      </c>
      <c r="AG1" s="40" t="s">
        <v>452</v>
      </c>
      <c r="AH1" s="40" t="s">
        <v>296</v>
      </c>
      <c r="AI1" s="40" t="s">
        <v>297</v>
      </c>
      <c r="AJ1" s="40" t="s">
        <v>453</v>
      </c>
      <c r="AK1" s="40" t="s">
        <v>301</v>
      </c>
      <c r="AL1" s="40" t="s">
        <v>454</v>
      </c>
      <c r="AM1" s="40" t="s">
        <v>17</v>
      </c>
      <c r="AN1" s="40" t="s">
        <v>305</v>
      </c>
      <c r="AO1" s="40" t="s">
        <v>18</v>
      </c>
      <c r="AP1" s="40" t="s">
        <v>19</v>
      </c>
      <c r="AQ1" s="40" t="s">
        <v>455</v>
      </c>
      <c r="AR1" s="40" t="s">
        <v>20</v>
      </c>
      <c r="AS1" s="40" t="s">
        <v>21</v>
      </c>
      <c r="AT1" s="40" t="s">
        <v>22</v>
      </c>
      <c r="AU1" s="40" t="s">
        <v>456</v>
      </c>
      <c r="AV1" s="40" t="s">
        <v>457</v>
      </c>
      <c r="AW1" s="40" t="s">
        <v>458</v>
      </c>
      <c r="AX1" s="40" t="s">
        <v>459</v>
      </c>
    </row>
    <row r="2" spans="1:50" x14ac:dyDescent="0.2">
      <c r="A2" s="40">
        <v>10192925</v>
      </c>
      <c r="B2" s="41" t="s">
        <v>2613</v>
      </c>
      <c r="C2" s="41" t="s">
        <v>2614</v>
      </c>
      <c r="D2" s="41" t="s">
        <v>460</v>
      </c>
      <c r="E2" s="49">
        <v>695250</v>
      </c>
      <c r="F2" s="49">
        <v>0</v>
      </c>
      <c r="G2" s="50">
        <v>695250</v>
      </c>
      <c r="H2" s="42" t="s">
        <v>2615</v>
      </c>
      <c r="I2" s="42" t="s">
        <v>461</v>
      </c>
      <c r="J2" s="43" t="s">
        <v>314</v>
      </c>
      <c r="K2" s="40">
        <v>860063875</v>
      </c>
      <c r="L2" s="41" t="s">
        <v>315</v>
      </c>
      <c r="M2" s="41" t="s">
        <v>316</v>
      </c>
      <c r="N2" s="41" t="s">
        <v>317</v>
      </c>
      <c r="O2" s="41" t="s">
        <v>318</v>
      </c>
      <c r="P2" s="41" t="s">
        <v>319</v>
      </c>
      <c r="Q2" s="40">
        <v>860050750</v>
      </c>
      <c r="R2" s="41" t="s">
        <v>321</v>
      </c>
      <c r="S2" s="40">
        <v>923210</v>
      </c>
      <c r="T2" s="41" t="s">
        <v>56</v>
      </c>
      <c r="U2" s="41" t="s">
        <v>29</v>
      </c>
      <c r="V2" s="41" t="s">
        <v>30</v>
      </c>
      <c r="W2" s="42" t="s">
        <v>47</v>
      </c>
      <c r="X2" s="42" t="s">
        <v>48</v>
      </c>
      <c r="Y2" s="42" t="s">
        <v>33</v>
      </c>
      <c r="Z2" s="42" t="s">
        <v>313</v>
      </c>
      <c r="AA2" s="42" t="s">
        <v>34</v>
      </c>
      <c r="AB2" s="42" t="s">
        <v>34</v>
      </c>
      <c r="AC2" s="42" t="s">
        <v>34</v>
      </c>
      <c r="AD2" s="42" t="s">
        <v>462</v>
      </c>
      <c r="AE2" s="42"/>
      <c r="AF2" s="42"/>
      <c r="AG2" s="42" t="s">
        <v>463</v>
      </c>
      <c r="AH2" s="42"/>
      <c r="AI2" s="44"/>
      <c r="AJ2" s="42"/>
      <c r="AK2" s="44"/>
      <c r="AL2" s="42" t="s">
        <v>464</v>
      </c>
      <c r="AM2" s="52">
        <v>1225</v>
      </c>
      <c r="AN2" s="52">
        <v>1225</v>
      </c>
      <c r="AO2" s="52">
        <v>125</v>
      </c>
      <c r="AP2" s="52">
        <v>125</v>
      </c>
      <c r="AQ2" s="42" t="s">
        <v>421</v>
      </c>
      <c r="AR2" s="52">
        <v>125</v>
      </c>
      <c r="AS2" s="52">
        <v>10192925</v>
      </c>
      <c r="AT2" s="52">
        <v>0</v>
      </c>
      <c r="AU2" s="41" t="s">
        <v>310</v>
      </c>
      <c r="AV2" s="41" t="s">
        <v>323</v>
      </c>
      <c r="AW2" s="41" t="s">
        <v>324</v>
      </c>
      <c r="AX2" s="41" t="s">
        <v>325</v>
      </c>
    </row>
    <row r="3" spans="1:50" x14ac:dyDescent="0.2">
      <c r="A3" s="40">
        <v>10196125</v>
      </c>
      <c r="B3" s="41" t="s">
        <v>2613</v>
      </c>
      <c r="C3" s="41" t="s">
        <v>2190</v>
      </c>
      <c r="D3" s="41" t="s">
        <v>465</v>
      </c>
      <c r="E3" s="49">
        <v>2262280</v>
      </c>
      <c r="F3" s="49">
        <v>0</v>
      </c>
      <c r="G3" s="50">
        <v>2262280</v>
      </c>
      <c r="H3" s="42" t="s">
        <v>2615</v>
      </c>
      <c r="I3" s="42" t="s">
        <v>461</v>
      </c>
      <c r="J3" s="43" t="s">
        <v>314</v>
      </c>
      <c r="K3" s="40">
        <v>860063875</v>
      </c>
      <c r="L3" s="41" t="s">
        <v>315</v>
      </c>
      <c r="M3" s="41" t="s">
        <v>316</v>
      </c>
      <c r="N3" s="41" t="s">
        <v>317</v>
      </c>
      <c r="O3" s="41" t="s">
        <v>318</v>
      </c>
      <c r="P3" s="41" t="s">
        <v>319</v>
      </c>
      <c r="Q3" s="40">
        <v>860050750</v>
      </c>
      <c r="R3" s="41" t="s">
        <v>321</v>
      </c>
      <c r="S3" s="40">
        <v>923210</v>
      </c>
      <c r="T3" s="41" t="s">
        <v>56</v>
      </c>
      <c r="U3" s="41" t="s">
        <v>29</v>
      </c>
      <c r="V3" s="41" t="s">
        <v>30</v>
      </c>
      <c r="W3" s="42" t="s">
        <v>47</v>
      </c>
      <c r="X3" s="42" t="s">
        <v>48</v>
      </c>
      <c r="Y3" s="42" t="s">
        <v>33</v>
      </c>
      <c r="Z3" s="42" t="s">
        <v>346</v>
      </c>
      <c r="AA3" s="42" t="s">
        <v>34</v>
      </c>
      <c r="AB3" s="42" t="s">
        <v>34</v>
      </c>
      <c r="AC3" s="42" t="s">
        <v>34</v>
      </c>
      <c r="AD3" s="42" t="s">
        <v>462</v>
      </c>
      <c r="AE3" s="42"/>
      <c r="AF3" s="42"/>
      <c r="AG3" s="42" t="s">
        <v>463</v>
      </c>
      <c r="AH3" s="42"/>
      <c r="AI3" s="44"/>
      <c r="AJ3" s="42"/>
      <c r="AK3" s="44"/>
      <c r="AL3" s="42" t="s">
        <v>466</v>
      </c>
      <c r="AM3" s="52">
        <v>1225</v>
      </c>
      <c r="AN3" s="52">
        <v>1225</v>
      </c>
      <c r="AO3" s="52">
        <v>525</v>
      </c>
      <c r="AP3" s="52">
        <v>225</v>
      </c>
      <c r="AQ3" s="42" t="s">
        <v>421</v>
      </c>
      <c r="AR3" s="52">
        <v>225</v>
      </c>
      <c r="AS3" s="52">
        <v>10196125</v>
      </c>
      <c r="AT3" s="52">
        <v>0</v>
      </c>
      <c r="AU3" s="41" t="s">
        <v>310</v>
      </c>
      <c r="AV3" s="41" t="s">
        <v>323</v>
      </c>
      <c r="AW3" s="41" t="s">
        <v>347</v>
      </c>
      <c r="AX3" s="41" t="s">
        <v>348</v>
      </c>
    </row>
    <row r="4" spans="1:50" x14ac:dyDescent="0.2">
      <c r="A4" s="40">
        <v>12073225</v>
      </c>
      <c r="B4" s="41" t="s">
        <v>291</v>
      </c>
      <c r="C4" s="41" t="s">
        <v>2191</v>
      </c>
      <c r="D4" s="41" t="s">
        <v>465</v>
      </c>
      <c r="E4" s="49">
        <v>2262280</v>
      </c>
      <c r="F4" s="49">
        <v>0</v>
      </c>
      <c r="G4" s="50">
        <v>2262280</v>
      </c>
      <c r="H4" s="42" t="s">
        <v>2615</v>
      </c>
      <c r="I4" s="42" t="s">
        <v>461</v>
      </c>
      <c r="J4" s="43" t="s">
        <v>314</v>
      </c>
      <c r="K4" s="40">
        <v>860063875</v>
      </c>
      <c r="L4" s="41" t="s">
        <v>315</v>
      </c>
      <c r="M4" s="41" t="s">
        <v>316</v>
      </c>
      <c r="N4" s="41" t="s">
        <v>317</v>
      </c>
      <c r="O4" s="41" t="s">
        <v>318</v>
      </c>
      <c r="P4" s="41" t="s">
        <v>319</v>
      </c>
      <c r="Q4" s="40">
        <v>860050750</v>
      </c>
      <c r="R4" s="41" t="s">
        <v>321</v>
      </c>
      <c r="S4" s="40">
        <v>923210</v>
      </c>
      <c r="T4" s="41" t="s">
        <v>56</v>
      </c>
      <c r="U4" s="41" t="s">
        <v>29</v>
      </c>
      <c r="V4" s="41" t="s">
        <v>30</v>
      </c>
      <c r="W4" s="42" t="s">
        <v>47</v>
      </c>
      <c r="X4" s="42" t="s">
        <v>48</v>
      </c>
      <c r="Y4" s="42" t="s">
        <v>33</v>
      </c>
      <c r="Z4" s="42" t="s">
        <v>346</v>
      </c>
      <c r="AA4" s="42" t="s">
        <v>34</v>
      </c>
      <c r="AB4" s="42" t="s">
        <v>34</v>
      </c>
      <c r="AC4" s="42" t="s">
        <v>34</v>
      </c>
      <c r="AD4" s="42" t="s">
        <v>462</v>
      </c>
      <c r="AE4" s="42"/>
      <c r="AF4" s="42"/>
      <c r="AG4" s="42" t="s">
        <v>463</v>
      </c>
      <c r="AH4" s="42"/>
      <c r="AI4" s="44"/>
      <c r="AJ4" s="42"/>
      <c r="AK4" s="44"/>
      <c r="AL4" s="42" t="s">
        <v>467</v>
      </c>
      <c r="AM4" s="52">
        <v>1225</v>
      </c>
      <c r="AN4" s="52">
        <v>1225</v>
      </c>
      <c r="AO4" s="52">
        <v>525</v>
      </c>
      <c r="AP4" s="52">
        <v>225</v>
      </c>
      <c r="AQ4" s="42" t="s">
        <v>421</v>
      </c>
      <c r="AR4" s="52">
        <v>225</v>
      </c>
      <c r="AS4" s="52">
        <v>12073225</v>
      </c>
      <c r="AT4" s="52">
        <v>0</v>
      </c>
      <c r="AU4" s="41" t="s">
        <v>310</v>
      </c>
      <c r="AV4" s="41" t="s">
        <v>323</v>
      </c>
      <c r="AW4" s="41" t="s">
        <v>347</v>
      </c>
      <c r="AX4" s="41" t="s">
        <v>348</v>
      </c>
    </row>
    <row r="5" spans="1:50" x14ac:dyDescent="0.2">
      <c r="A5" s="40">
        <v>19229625</v>
      </c>
      <c r="B5" s="41" t="s">
        <v>2191</v>
      </c>
      <c r="C5" s="41" t="s">
        <v>2616</v>
      </c>
      <c r="D5" s="41" t="s">
        <v>460</v>
      </c>
      <c r="E5" s="49">
        <v>2262280</v>
      </c>
      <c r="F5" s="49">
        <v>0</v>
      </c>
      <c r="G5" s="50">
        <v>2262280</v>
      </c>
      <c r="H5" s="42" t="s">
        <v>2615</v>
      </c>
      <c r="I5" s="42" t="s">
        <v>461</v>
      </c>
      <c r="J5" s="43" t="s">
        <v>314</v>
      </c>
      <c r="K5" s="40">
        <v>860063875</v>
      </c>
      <c r="L5" s="41" t="s">
        <v>315</v>
      </c>
      <c r="M5" s="41" t="s">
        <v>316</v>
      </c>
      <c r="N5" s="41" t="s">
        <v>317</v>
      </c>
      <c r="O5" s="41" t="s">
        <v>318</v>
      </c>
      <c r="P5" s="41" t="s">
        <v>319</v>
      </c>
      <c r="Q5" s="40">
        <v>860050750</v>
      </c>
      <c r="R5" s="41" t="s">
        <v>321</v>
      </c>
      <c r="S5" s="40">
        <v>923210</v>
      </c>
      <c r="T5" s="41" t="s">
        <v>56</v>
      </c>
      <c r="U5" s="41" t="s">
        <v>29</v>
      </c>
      <c r="V5" s="41" t="s">
        <v>30</v>
      </c>
      <c r="W5" s="42" t="s">
        <v>47</v>
      </c>
      <c r="X5" s="42" t="s">
        <v>48</v>
      </c>
      <c r="Y5" s="42" t="s">
        <v>33</v>
      </c>
      <c r="Z5" s="42" t="s">
        <v>346</v>
      </c>
      <c r="AA5" s="42" t="s">
        <v>34</v>
      </c>
      <c r="AB5" s="42" t="s">
        <v>34</v>
      </c>
      <c r="AC5" s="42" t="s">
        <v>34</v>
      </c>
      <c r="AD5" s="42" t="s">
        <v>462</v>
      </c>
      <c r="AE5" s="42"/>
      <c r="AF5" s="42"/>
      <c r="AG5" s="42" t="s">
        <v>463</v>
      </c>
      <c r="AH5" s="42"/>
      <c r="AI5" s="44"/>
      <c r="AJ5" s="42"/>
      <c r="AK5" s="44"/>
      <c r="AL5" s="42" t="s">
        <v>2192</v>
      </c>
      <c r="AM5" s="52">
        <v>1225</v>
      </c>
      <c r="AN5" s="52">
        <v>1225</v>
      </c>
      <c r="AO5" s="52">
        <v>525</v>
      </c>
      <c r="AP5" s="52">
        <v>225</v>
      </c>
      <c r="AQ5" s="42" t="s">
        <v>421</v>
      </c>
      <c r="AR5" s="52">
        <v>225</v>
      </c>
      <c r="AS5" s="52">
        <v>19229625</v>
      </c>
      <c r="AT5" s="52">
        <v>0</v>
      </c>
      <c r="AU5" s="41" t="s">
        <v>310</v>
      </c>
      <c r="AV5" s="41" t="s">
        <v>323</v>
      </c>
      <c r="AW5" s="41" t="s">
        <v>347</v>
      </c>
      <c r="AX5" s="41" t="s">
        <v>348</v>
      </c>
    </row>
    <row r="6" spans="1:50" x14ac:dyDescent="0.2">
      <c r="A6" s="40">
        <v>19247825</v>
      </c>
      <c r="B6" s="41" t="s">
        <v>2191</v>
      </c>
      <c r="C6" s="41" t="s">
        <v>2617</v>
      </c>
      <c r="D6" s="41" t="s">
        <v>460</v>
      </c>
      <c r="E6" s="49">
        <v>4390</v>
      </c>
      <c r="F6" s="49">
        <v>0</v>
      </c>
      <c r="G6" s="50">
        <v>4390</v>
      </c>
      <c r="H6" s="42" t="s">
        <v>2615</v>
      </c>
      <c r="I6" s="42" t="s">
        <v>461</v>
      </c>
      <c r="J6" s="43" t="s">
        <v>314</v>
      </c>
      <c r="K6" s="40">
        <v>800007813</v>
      </c>
      <c r="L6" s="41" t="s">
        <v>339</v>
      </c>
      <c r="M6" s="41" t="s">
        <v>316</v>
      </c>
      <c r="N6" s="41" t="s">
        <v>317</v>
      </c>
      <c r="O6" s="41" t="s">
        <v>340</v>
      </c>
      <c r="P6" s="41" t="s">
        <v>319</v>
      </c>
      <c r="Q6" s="40">
        <v>890903938</v>
      </c>
      <c r="R6" s="41" t="s">
        <v>342</v>
      </c>
      <c r="S6" s="40">
        <v>923210</v>
      </c>
      <c r="T6" s="41" t="s">
        <v>56</v>
      </c>
      <c r="U6" s="41" t="s">
        <v>29</v>
      </c>
      <c r="V6" s="41" t="s">
        <v>30</v>
      </c>
      <c r="W6" s="42" t="s">
        <v>47</v>
      </c>
      <c r="X6" s="42" t="s">
        <v>48</v>
      </c>
      <c r="Y6" s="42" t="s">
        <v>33</v>
      </c>
      <c r="Z6" s="42" t="s">
        <v>338</v>
      </c>
      <c r="AA6" s="42" t="s">
        <v>34</v>
      </c>
      <c r="AB6" s="42" t="s">
        <v>34</v>
      </c>
      <c r="AC6" s="42" t="s">
        <v>34</v>
      </c>
      <c r="AD6" s="42" t="s">
        <v>462</v>
      </c>
      <c r="AE6" s="42"/>
      <c r="AF6" s="42"/>
      <c r="AG6" s="42" t="s">
        <v>463</v>
      </c>
      <c r="AH6" s="42"/>
      <c r="AI6" s="44"/>
      <c r="AJ6" s="42"/>
      <c r="AK6" s="44"/>
      <c r="AL6" s="42" t="s">
        <v>2193</v>
      </c>
      <c r="AM6" s="52">
        <v>1225</v>
      </c>
      <c r="AN6" s="52">
        <v>1225</v>
      </c>
      <c r="AO6" s="52">
        <v>425</v>
      </c>
      <c r="AP6" s="52">
        <v>325</v>
      </c>
      <c r="AQ6" s="42" t="s">
        <v>291</v>
      </c>
      <c r="AR6" s="52">
        <v>325</v>
      </c>
      <c r="AS6" s="52">
        <v>19247825</v>
      </c>
      <c r="AT6" s="52">
        <v>0</v>
      </c>
      <c r="AU6" s="41" t="s">
        <v>310</v>
      </c>
      <c r="AV6" s="41" t="s">
        <v>323</v>
      </c>
      <c r="AW6" s="41" t="s">
        <v>343</v>
      </c>
      <c r="AX6" s="41" t="s">
        <v>344</v>
      </c>
    </row>
    <row r="7" spans="1:50" x14ac:dyDescent="0.2">
      <c r="A7" s="40">
        <v>19256425</v>
      </c>
      <c r="B7" s="41" t="s">
        <v>2191</v>
      </c>
      <c r="C7" s="41" t="s">
        <v>2617</v>
      </c>
      <c r="D7" s="41" t="s">
        <v>460</v>
      </c>
      <c r="E7" s="49">
        <v>4390</v>
      </c>
      <c r="F7" s="49">
        <v>0</v>
      </c>
      <c r="G7" s="50">
        <v>4390</v>
      </c>
      <c r="H7" s="42" t="s">
        <v>2615</v>
      </c>
      <c r="I7" s="42" t="s">
        <v>461</v>
      </c>
      <c r="J7" s="43" t="s">
        <v>314</v>
      </c>
      <c r="K7" s="40">
        <v>800007813</v>
      </c>
      <c r="L7" s="41" t="s">
        <v>339</v>
      </c>
      <c r="M7" s="41" t="s">
        <v>316</v>
      </c>
      <c r="N7" s="41" t="s">
        <v>317</v>
      </c>
      <c r="O7" s="41" t="s">
        <v>340</v>
      </c>
      <c r="P7" s="41" t="s">
        <v>319</v>
      </c>
      <c r="Q7" s="40">
        <v>890903938</v>
      </c>
      <c r="R7" s="41" t="s">
        <v>342</v>
      </c>
      <c r="S7" s="40">
        <v>923210</v>
      </c>
      <c r="T7" s="41" t="s">
        <v>56</v>
      </c>
      <c r="U7" s="41" t="s">
        <v>29</v>
      </c>
      <c r="V7" s="41" t="s">
        <v>30</v>
      </c>
      <c r="W7" s="42" t="s">
        <v>47</v>
      </c>
      <c r="X7" s="42" t="s">
        <v>48</v>
      </c>
      <c r="Y7" s="42" t="s">
        <v>33</v>
      </c>
      <c r="Z7" s="42" t="s">
        <v>338</v>
      </c>
      <c r="AA7" s="42" t="s">
        <v>34</v>
      </c>
      <c r="AB7" s="42" t="s">
        <v>34</v>
      </c>
      <c r="AC7" s="42" t="s">
        <v>34</v>
      </c>
      <c r="AD7" s="42" t="s">
        <v>462</v>
      </c>
      <c r="AE7" s="42"/>
      <c r="AF7" s="42"/>
      <c r="AG7" s="42" t="s">
        <v>463</v>
      </c>
      <c r="AH7" s="42"/>
      <c r="AI7" s="44"/>
      <c r="AJ7" s="42"/>
      <c r="AK7" s="44"/>
      <c r="AL7" s="42" t="s">
        <v>2194</v>
      </c>
      <c r="AM7" s="52">
        <v>1225</v>
      </c>
      <c r="AN7" s="52">
        <v>1225</v>
      </c>
      <c r="AO7" s="52">
        <v>1925</v>
      </c>
      <c r="AP7" s="52">
        <v>925</v>
      </c>
      <c r="AQ7" s="42" t="s">
        <v>2190</v>
      </c>
      <c r="AR7" s="52">
        <v>825</v>
      </c>
      <c r="AS7" s="52">
        <v>19256425</v>
      </c>
      <c r="AT7" s="52">
        <v>0</v>
      </c>
      <c r="AU7" s="41" t="s">
        <v>291</v>
      </c>
      <c r="AV7" s="41" t="s">
        <v>323</v>
      </c>
      <c r="AW7" s="41" t="s">
        <v>428</v>
      </c>
      <c r="AX7" s="41" t="s">
        <v>429</v>
      </c>
    </row>
    <row r="8" spans="1:50" x14ac:dyDescent="0.2">
      <c r="A8" s="40">
        <v>19268525</v>
      </c>
      <c r="B8" s="41" t="s">
        <v>2191</v>
      </c>
      <c r="C8" s="41" t="s">
        <v>2618</v>
      </c>
      <c r="D8" s="41" t="s">
        <v>460</v>
      </c>
      <c r="E8" s="49">
        <v>26070</v>
      </c>
      <c r="F8" s="49">
        <v>0</v>
      </c>
      <c r="G8" s="50">
        <v>26070</v>
      </c>
      <c r="H8" s="42" t="s">
        <v>2615</v>
      </c>
      <c r="I8" s="42" t="s">
        <v>461</v>
      </c>
      <c r="J8" s="43" t="s">
        <v>314</v>
      </c>
      <c r="K8" s="40">
        <v>899999094</v>
      </c>
      <c r="L8" s="41" t="s">
        <v>432</v>
      </c>
      <c r="M8" s="41" t="s">
        <v>316</v>
      </c>
      <c r="N8" s="41" t="s">
        <v>317</v>
      </c>
      <c r="O8" s="41" t="s">
        <v>433</v>
      </c>
      <c r="P8" s="41" t="s">
        <v>319</v>
      </c>
      <c r="Q8" s="40">
        <v>860034313</v>
      </c>
      <c r="R8" s="41" t="s">
        <v>355</v>
      </c>
      <c r="S8" s="40">
        <v>923210</v>
      </c>
      <c r="T8" s="41" t="s">
        <v>56</v>
      </c>
      <c r="U8" s="41" t="s">
        <v>29</v>
      </c>
      <c r="V8" s="41" t="s">
        <v>30</v>
      </c>
      <c r="W8" s="42" t="s">
        <v>47</v>
      </c>
      <c r="X8" s="42" t="s">
        <v>48</v>
      </c>
      <c r="Y8" s="42" t="s">
        <v>33</v>
      </c>
      <c r="Z8" s="42" t="s">
        <v>431</v>
      </c>
      <c r="AA8" s="42" t="s">
        <v>34</v>
      </c>
      <c r="AB8" s="42" t="s">
        <v>34</v>
      </c>
      <c r="AC8" s="42" t="s">
        <v>34</v>
      </c>
      <c r="AD8" s="42" t="s">
        <v>462</v>
      </c>
      <c r="AE8" s="42"/>
      <c r="AF8" s="42"/>
      <c r="AG8" s="42" t="s">
        <v>463</v>
      </c>
      <c r="AH8" s="42"/>
      <c r="AI8" s="44"/>
      <c r="AJ8" s="42"/>
      <c r="AK8" s="44"/>
      <c r="AL8" s="42" t="s">
        <v>2195</v>
      </c>
      <c r="AM8" s="52">
        <v>1225</v>
      </c>
      <c r="AN8" s="52">
        <v>1225</v>
      </c>
      <c r="AO8" s="52">
        <v>2025</v>
      </c>
      <c r="AP8" s="52">
        <v>825</v>
      </c>
      <c r="AQ8" s="42" t="s">
        <v>2190</v>
      </c>
      <c r="AR8" s="52">
        <v>725</v>
      </c>
      <c r="AS8" s="52">
        <v>19268525</v>
      </c>
      <c r="AT8" s="52">
        <v>0</v>
      </c>
      <c r="AU8" s="41" t="s">
        <v>291</v>
      </c>
      <c r="AV8" s="41" t="s">
        <v>323</v>
      </c>
      <c r="AW8" s="41" t="s">
        <v>434</v>
      </c>
      <c r="AX8" s="41" t="s">
        <v>435</v>
      </c>
    </row>
    <row r="9" spans="1:50" x14ac:dyDescent="0.2">
      <c r="A9" s="40">
        <v>19274025</v>
      </c>
      <c r="B9" s="41" t="s">
        <v>2191</v>
      </c>
      <c r="C9" s="41" t="s">
        <v>2619</v>
      </c>
      <c r="D9" s="41" t="s">
        <v>460</v>
      </c>
      <c r="E9" s="49">
        <v>1327160</v>
      </c>
      <c r="F9" s="49">
        <v>0</v>
      </c>
      <c r="G9" s="50">
        <v>1327160</v>
      </c>
      <c r="H9" s="42" t="s">
        <v>2615</v>
      </c>
      <c r="I9" s="42" t="s">
        <v>461</v>
      </c>
      <c r="J9" s="43" t="s">
        <v>314</v>
      </c>
      <c r="K9" s="40">
        <v>899999094</v>
      </c>
      <c r="L9" s="41" t="s">
        <v>432</v>
      </c>
      <c r="M9" s="41" t="s">
        <v>316</v>
      </c>
      <c r="N9" s="41" t="s">
        <v>317</v>
      </c>
      <c r="O9" s="41" t="s">
        <v>433</v>
      </c>
      <c r="P9" s="41" t="s">
        <v>319</v>
      </c>
      <c r="Q9" s="40">
        <v>860034313</v>
      </c>
      <c r="R9" s="41" t="s">
        <v>355</v>
      </c>
      <c r="S9" s="40">
        <v>923210</v>
      </c>
      <c r="T9" s="41" t="s">
        <v>56</v>
      </c>
      <c r="U9" s="41" t="s">
        <v>29</v>
      </c>
      <c r="V9" s="41" t="s">
        <v>30</v>
      </c>
      <c r="W9" s="42" t="s">
        <v>47</v>
      </c>
      <c r="X9" s="42" t="s">
        <v>48</v>
      </c>
      <c r="Y9" s="42" t="s">
        <v>33</v>
      </c>
      <c r="Z9" s="42" t="s">
        <v>437</v>
      </c>
      <c r="AA9" s="42" t="s">
        <v>34</v>
      </c>
      <c r="AB9" s="42" t="s">
        <v>34</v>
      </c>
      <c r="AC9" s="42" t="s">
        <v>34</v>
      </c>
      <c r="AD9" s="42" t="s">
        <v>462</v>
      </c>
      <c r="AE9" s="42"/>
      <c r="AF9" s="42"/>
      <c r="AG9" s="42" t="s">
        <v>463</v>
      </c>
      <c r="AH9" s="42"/>
      <c r="AI9" s="44"/>
      <c r="AJ9" s="42"/>
      <c r="AK9" s="44"/>
      <c r="AL9" s="42" t="s">
        <v>2196</v>
      </c>
      <c r="AM9" s="52">
        <v>1225</v>
      </c>
      <c r="AN9" s="52">
        <v>1225</v>
      </c>
      <c r="AO9" s="52">
        <v>2125</v>
      </c>
      <c r="AP9" s="52">
        <v>725</v>
      </c>
      <c r="AQ9" s="42" t="s">
        <v>2190</v>
      </c>
      <c r="AR9" s="52">
        <v>625</v>
      </c>
      <c r="AS9" s="52">
        <v>19274025</v>
      </c>
      <c r="AT9" s="52">
        <v>0</v>
      </c>
      <c r="AU9" s="41" t="s">
        <v>291</v>
      </c>
      <c r="AV9" s="41" t="s">
        <v>323</v>
      </c>
      <c r="AW9" s="41" t="s">
        <v>438</v>
      </c>
      <c r="AX9" s="41" t="s">
        <v>439</v>
      </c>
    </row>
    <row r="10" spans="1:50" x14ac:dyDescent="0.2">
      <c r="A10" s="40">
        <v>19278925</v>
      </c>
      <c r="B10" s="41" t="s">
        <v>2191</v>
      </c>
      <c r="C10" s="41" t="s">
        <v>2620</v>
      </c>
      <c r="D10" s="41" t="s">
        <v>460</v>
      </c>
      <c r="E10" s="49">
        <v>146035.22</v>
      </c>
      <c r="F10" s="49">
        <v>0</v>
      </c>
      <c r="G10" s="50">
        <v>146035.22</v>
      </c>
      <c r="H10" s="42" t="s">
        <v>2615</v>
      </c>
      <c r="I10" s="42" t="s">
        <v>461</v>
      </c>
      <c r="J10" s="43" t="s">
        <v>314</v>
      </c>
      <c r="K10" s="40">
        <v>899999115</v>
      </c>
      <c r="L10" s="41" t="s">
        <v>327</v>
      </c>
      <c r="M10" s="41" t="s">
        <v>316</v>
      </c>
      <c r="N10" s="41" t="s">
        <v>328</v>
      </c>
      <c r="O10" s="41" t="s">
        <v>329</v>
      </c>
      <c r="P10" s="41" t="s">
        <v>319</v>
      </c>
      <c r="Q10" s="40">
        <v>860051135</v>
      </c>
      <c r="R10" s="41" t="s">
        <v>331</v>
      </c>
      <c r="S10" s="40">
        <v>923210</v>
      </c>
      <c r="T10" s="41" t="s">
        <v>56</v>
      </c>
      <c r="U10" s="41" t="s">
        <v>29</v>
      </c>
      <c r="V10" s="41" t="s">
        <v>30</v>
      </c>
      <c r="W10" s="42" t="s">
        <v>47</v>
      </c>
      <c r="X10" s="42" t="s">
        <v>48</v>
      </c>
      <c r="Y10" s="42" t="s">
        <v>33</v>
      </c>
      <c r="Z10" s="42" t="s">
        <v>2197</v>
      </c>
      <c r="AA10" s="42" t="s">
        <v>34</v>
      </c>
      <c r="AB10" s="42" t="s">
        <v>34</v>
      </c>
      <c r="AC10" s="42" t="s">
        <v>34</v>
      </c>
      <c r="AD10" s="42" t="s">
        <v>462</v>
      </c>
      <c r="AE10" s="42"/>
      <c r="AF10" s="42"/>
      <c r="AG10" s="42" t="s">
        <v>463</v>
      </c>
      <c r="AH10" s="42"/>
      <c r="AI10" s="44"/>
      <c r="AJ10" s="42"/>
      <c r="AK10" s="44"/>
      <c r="AL10" s="42" t="s">
        <v>2198</v>
      </c>
      <c r="AM10" s="52">
        <v>1225</v>
      </c>
      <c r="AN10" s="52">
        <v>1225</v>
      </c>
      <c r="AO10" s="52">
        <v>225</v>
      </c>
      <c r="AP10" s="52">
        <v>625</v>
      </c>
      <c r="AQ10" s="42" t="s">
        <v>2190</v>
      </c>
      <c r="AR10" s="52">
        <v>425</v>
      </c>
      <c r="AS10" s="52">
        <v>19278925</v>
      </c>
      <c r="AT10" s="52">
        <v>0</v>
      </c>
      <c r="AU10" s="41" t="s">
        <v>310</v>
      </c>
      <c r="AV10" s="41" t="s">
        <v>323</v>
      </c>
      <c r="AW10" s="41" t="s">
        <v>332</v>
      </c>
      <c r="AX10" s="41" t="s">
        <v>333</v>
      </c>
    </row>
    <row r="11" spans="1:50" x14ac:dyDescent="0.2">
      <c r="A11" s="40">
        <v>19282825</v>
      </c>
      <c r="B11" s="41" t="s">
        <v>2191</v>
      </c>
      <c r="C11" s="41" t="s">
        <v>2621</v>
      </c>
      <c r="D11" s="41" t="s">
        <v>460</v>
      </c>
      <c r="E11" s="49">
        <v>27557.13</v>
      </c>
      <c r="F11" s="49">
        <v>0</v>
      </c>
      <c r="G11" s="50">
        <v>27557.13</v>
      </c>
      <c r="H11" s="42" t="s">
        <v>2615</v>
      </c>
      <c r="I11" s="42" t="s">
        <v>461</v>
      </c>
      <c r="J11" s="43" t="s">
        <v>314</v>
      </c>
      <c r="K11" s="40">
        <v>899999115</v>
      </c>
      <c r="L11" s="41" t="s">
        <v>327</v>
      </c>
      <c r="M11" s="41" t="s">
        <v>316</v>
      </c>
      <c r="N11" s="41" t="s">
        <v>328</v>
      </c>
      <c r="O11" s="41" t="s">
        <v>329</v>
      </c>
      <c r="P11" s="41" t="s">
        <v>319</v>
      </c>
      <c r="Q11" s="40">
        <v>860051135</v>
      </c>
      <c r="R11" s="41" t="s">
        <v>331</v>
      </c>
      <c r="S11" s="40">
        <v>923210</v>
      </c>
      <c r="T11" s="41" t="s">
        <v>56</v>
      </c>
      <c r="U11" s="41" t="s">
        <v>29</v>
      </c>
      <c r="V11" s="41" t="s">
        <v>30</v>
      </c>
      <c r="W11" s="42" t="s">
        <v>47</v>
      </c>
      <c r="X11" s="42" t="s">
        <v>48</v>
      </c>
      <c r="Y11" s="42" t="s">
        <v>33</v>
      </c>
      <c r="Z11" s="42" t="s">
        <v>2199</v>
      </c>
      <c r="AA11" s="42" t="s">
        <v>34</v>
      </c>
      <c r="AB11" s="42" t="s">
        <v>34</v>
      </c>
      <c r="AC11" s="42" t="s">
        <v>34</v>
      </c>
      <c r="AD11" s="42" t="s">
        <v>462</v>
      </c>
      <c r="AE11" s="42"/>
      <c r="AF11" s="42"/>
      <c r="AG11" s="42" t="s">
        <v>463</v>
      </c>
      <c r="AH11" s="42"/>
      <c r="AI11" s="44"/>
      <c r="AJ11" s="42"/>
      <c r="AK11" s="44"/>
      <c r="AL11" s="42" t="s">
        <v>2200</v>
      </c>
      <c r="AM11" s="52">
        <v>1225</v>
      </c>
      <c r="AN11" s="52">
        <v>1225</v>
      </c>
      <c r="AO11" s="52">
        <v>225</v>
      </c>
      <c r="AP11" s="52">
        <v>525</v>
      </c>
      <c r="AQ11" s="42" t="s">
        <v>2190</v>
      </c>
      <c r="AR11" s="52">
        <v>525</v>
      </c>
      <c r="AS11" s="52">
        <v>19282825</v>
      </c>
      <c r="AT11" s="52">
        <v>0</v>
      </c>
      <c r="AU11" s="41" t="s">
        <v>310</v>
      </c>
      <c r="AV11" s="41" t="s">
        <v>323</v>
      </c>
      <c r="AW11" s="41" t="s">
        <v>332</v>
      </c>
      <c r="AX11" s="41" t="s">
        <v>333</v>
      </c>
    </row>
    <row r="12" spans="1:50" x14ac:dyDescent="0.2">
      <c r="A12" s="40">
        <v>19869525</v>
      </c>
      <c r="B12" s="41" t="s">
        <v>2191</v>
      </c>
      <c r="C12" s="41" t="s">
        <v>2622</v>
      </c>
      <c r="D12" s="41" t="s">
        <v>460</v>
      </c>
      <c r="E12" s="49">
        <v>2506950.4300000002</v>
      </c>
      <c r="F12" s="49">
        <v>0</v>
      </c>
      <c r="G12" s="50">
        <v>2506950.4300000002</v>
      </c>
      <c r="H12" s="42" t="s">
        <v>2615</v>
      </c>
      <c r="I12" s="42" t="s">
        <v>461</v>
      </c>
      <c r="J12" s="43" t="s">
        <v>314</v>
      </c>
      <c r="K12" s="40">
        <v>899999115</v>
      </c>
      <c r="L12" s="41" t="s">
        <v>327</v>
      </c>
      <c r="M12" s="41" t="s">
        <v>316</v>
      </c>
      <c r="N12" s="41" t="s">
        <v>328</v>
      </c>
      <c r="O12" s="41" t="s">
        <v>329</v>
      </c>
      <c r="P12" s="41" t="s">
        <v>319</v>
      </c>
      <c r="Q12" s="40">
        <v>860051135</v>
      </c>
      <c r="R12" s="41" t="s">
        <v>331</v>
      </c>
      <c r="S12" s="40">
        <v>923210</v>
      </c>
      <c r="T12" s="41" t="s">
        <v>56</v>
      </c>
      <c r="U12" s="41" t="s">
        <v>29</v>
      </c>
      <c r="V12" s="41" t="s">
        <v>30</v>
      </c>
      <c r="W12" s="42" t="s">
        <v>47</v>
      </c>
      <c r="X12" s="42" t="s">
        <v>48</v>
      </c>
      <c r="Y12" s="42" t="s">
        <v>33</v>
      </c>
      <c r="Z12" s="42" t="s">
        <v>2201</v>
      </c>
      <c r="AA12" s="42" t="s">
        <v>34</v>
      </c>
      <c r="AB12" s="42" t="s">
        <v>34</v>
      </c>
      <c r="AC12" s="42" t="s">
        <v>34</v>
      </c>
      <c r="AD12" s="42" t="s">
        <v>462</v>
      </c>
      <c r="AE12" s="42"/>
      <c r="AF12" s="42"/>
      <c r="AG12" s="42" t="s">
        <v>463</v>
      </c>
      <c r="AH12" s="42"/>
      <c r="AI12" s="44"/>
      <c r="AJ12" s="42"/>
      <c r="AK12" s="44"/>
      <c r="AL12" s="42" t="s">
        <v>2202</v>
      </c>
      <c r="AM12" s="52">
        <v>1225</v>
      </c>
      <c r="AN12" s="52">
        <v>1225</v>
      </c>
      <c r="AO12" s="52">
        <v>325</v>
      </c>
      <c r="AP12" s="52">
        <v>1025</v>
      </c>
      <c r="AQ12" s="42" t="s">
        <v>2191</v>
      </c>
      <c r="AR12" s="52">
        <v>925</v>
      </c>
      <c r="AS12" s="52">
        <v>19869525</v>
      </c>
      <c r="AT12" s="52">
        <v>0</v>
      </c>
      <c r="AU12" s="41" t="s">
        <v>310</v>
      </c>
      <c r="AV12" s="41" t="s">
        <v>323</v>
      </c>
      <c r="AW12" s="41" t="s">
        <v>335</v>
      </c>
      <c r="AX12" s="41" t="s">
        <v>336</v>
      </c>
    </row>
    <row r="13" spans="1:50" x14ac:dyDescent="0.2">
      <c r="A13" s="40">
        <v>19879525</v>
      </c>
      <c r="B13" s="41" t="s">
        <v>2191</v>
      </c>
      <c r="C13" s="41" t="s">
        <v>2621</v>
      </c>
      <c r="D13" s="41" t="s">
        <v>460</v>
      </c>
      <c r="E13" s="49">
        <v>215499.57</v>
      </c>
      <c r="F13" s="49">
        <v>0</v>
      </c>
      <c r="G13" s="50">
        <v>215499.57</v>
      </c>
      <c r="H13" s="42" t="s">
        <v>2615</v>
      </c>
      <c r="I13" s="42" t="s">
        <v>461</v>
      </c>
      <c r="J13" s="43" t="s">
        <v>314</v>
      </c>
      <c r="K13" s="40">
        <v>899999115</v>
      </c>
      <c r="L13" s="41" t="s">
        <v>327</v>
      </c>
      <c r="M13" s="41" t="s">
        <v>316</v>
      </c>
      <c r="N13" s="41" t="s">
        <v>328</v>
      </c>
      <c r="O13" s="41" t="s">
        <v>329</v>
      </c>
      <c r="P13" s="41" t="s">
        <v>319</v>
      </c>
      <c r="Q13" s="40">
        <v>860051135</v>
      </c>
      <c r="R13" s="41" t="s">
        <v>331</v>
      </c>
      <c r="S13" s="40">
        <v>923210</v>
      </c>
      <c r="T13" s="41" t="s">
        <v>56</v>
      </c>
      <c r="U13" s="41" t="s">
        <v>29</v>
      </c>
      <c r="V13" s="41" t="s">
        <v>30</v>
      </c>
      <c r="W13" s="42" t="s">
        <v>47</v>
      </c>
      <c r="X13" s="42" t="s">
        <v>48</v>
      </c>
      <c r="Y13" s="42" t="s">
        <v>33</v>
      </c>
      <c r="Z13" s="42" t="s">
        <v>2203</v>
      </c>
      <c r="AA13" s="42" t="s">
        <v>34</v>
      </c>
      <c r="AB13" s="42" t="s">
        <v>34</v>
      </c>
      <c r="AC13" s="42" t="s">
        <v>34</v>
      </c>
      <c r="AD13" s="42" t="s">
        <v>462</v>
      </c>
      <c r="AE13" s="42"/>
      <c r="AF13" s="42"/>
      <c r="AG13" s="42" t="s">
        <v>463</v>
      </c>
      <c r="AH13" s="42"/>
      <c r="AI13" s="44"/>
      <c r="AJ13" s="42"/>
      <c r="AK13" s="44"/>
      <c r="AL13" s="42" t="s">
        <v>2204</v>
      </c>
      <c r="AM13" s="52">
        <v>1225</v>
      </c>
      <c r="AN13" s="52">
        <v>1225</v>
      </c>
      <c r="AO13" s="52">
        <v>325</v>
      </c>
      <c r="AP13" s="52">
        <v>1125</v>
      </c>
      <c r="AQ13" s="42" t="s">
        <v>2191</v>
      </c>
      <c r="AR13" s="52">
        <v>1025</v>
      </c>
      <c r="AS13" s="52">
        <v>19879525</v>
      </c>
      <c r="AT13" s="52">
        <v>0</v>
      </c>
      <c r="AU13" s="41" t="s">
        <v>310</v>
      </c>
      <c r="AV13" s="41" t="s">
        <v>323</v>
      </c>
      <c r="AW13" s="41" t="s">
        <v>335</v>
      </c>
      <c r="AX13" s="41" t="s">
        <v>336</v>
      </c>
    </row>
    <row r="14" spans="1:50" x14ac:dyDescent="0.2">
      <c r="A14" s="40">
        <v>26953325</v>
      </c>
      <c r="B14" s="41" t="s">
        <v>786</v>
      </c>
      <c r="C14" s="41" t="s">
        <v>2623</v>
      </c>
      <c r="D14" s="41" t="s">
        <v>460</v>
      </c>
      <c r="E14" s="49">
        <v>3096240</v>
      </c>
      <c r="F14" s="49">
        <v>0</v>
      </c>
      <c r="G14" s="50">
        <v>3096240</v>
      </c>
      <c r="H14" s="42" t="s">
        <v>2615</v>
      </c>
      <c r="I14" s="42" t="s">
        <v>461</v>
      </c>
      <c r="J14" s="43" t="s">
        <v>314</v>
      </c>
      <c r="K14" s="40">
        <v>860063875</v>
      </c>
      <c r="L14" s="41" t="s">
        <v>315</v>
      </c>
      <c r="M14" s="41" t="s">
        <v>316</v>
      </c>
      <c r="N14" s="41" t="s">
        <v>317</v>
      </c>
      <c r="O14" s="41" t="s">
        <v>318</v>
      </c>
      <c r="P14" s="41" t="s">
        <v>319</v>
      </c>
      <c r="Q14" s="40">
        <v>860050750</v>
      </c>
      <c r="R14" s="41" t="s">
        <v>321</v>
      </c>
      <c r="S14" s="40">
        <v>923210</v>
      </c>
      <c r="T14" s="41" t="s">
        <v>56</v>
      </c>
      <c r="U14" s="41" t="s">
        <v>29</v>
      </c>
      <c r="V14" s="41" t="s">
        <v>30</v>
      </c>
      <c r="W14" s="42" t="s">
        <v>47</v>
      </c>
      <c r="X14" s="42" t="s">
        <v>48</v>
      </c>
      <c r="Y14" s="42" t="s">
        <v>33</v>
      </c>
      <c r="Z14" s="42" t="s">
        <v>800</v>
      </c>
      <c r="AA14" s="42" t="s">
        <v>34</v>
      </c>
      <c r="AB14" s="42" t="s">
        <v>34</v>
      </c>
      <c r="AC14" s="42" t="s">
        <v>34</v>
      </c>
      <c r="AD14" s="42" t="s">
        <v>462</v>
      </c>
      <c r="AE14" s="42"/>
      <c r="AF14" s="42"/>
      <c r="AG14" s="42" t="s">
        <v>463</v>
      </c>
      <c r="AH14" s="42"/>
      <c r="AI14" s="44"/>
      <c r="AJ14" s="42"/>
      <c r="AK14" s="44"/>
      <c r="AL14" s="42" t="s">
        <v>2205</v>
      </c>
      <c r="AM14" s="52">
        <v>1225</v>
      </c>
      <c r="AN14" s="52">
        <v>1225</v>
      </c>
      <c r="AO14" s="52">
        <v>6225</v>
      </c>
      <c r="AP14" s="52">
        <v>1225</v>
      </c>
      <c r="AQ14" s="42" t="s">
        <v>786</v>
      </c>
      <c r="AR14" s="52">
        <v>1125</v>
      </c>
      <c r="AS14" s="52">
        <v>26953325</v>
      </c>
      <c r="AT14" s="52">
        <v>0</v>
      </c>
      <c r="AU14" s="41" t="s">
        <v>786</v>
      </c>
      <c r="AV14" s="41" t="s">
        <v>323</v>
      </c>
      <c r="AW14" s="41" t="s">
        <v>802</v>
      </c>
      <c r="AX14" s="41" t="s">
        <v>803</v>
      </c>
    </row>
    <row r="15" spans="1:50" x14ac:dyDescent="0.2">
      <c r="A15" s="40">
        <v>30154525</v>
      </c>
      <c r="B15" s="41" t="s">
        <v>578</v>
      </c>
      <c r="C15" s="41" t="s">
        <v>2624</v>
      </c>
      <c r="D15" s="41" t="s">
        <v>460</v>
      </c>
      <c r="E15" s="49">
        <v>158900</v>
      </c>
      <c r="F15" s="49">
        <v>0</v>
      </c>
      <c r="G15" s="50">
        <v>158900</v>
      </c>
      <c r="H15" s="42" t="s">
        <v>2625</v>
      </c>
      <c r="I15" s="42" t="s">
        <v>461</v>
      </c>
      <c r="J15" s="43" t="s">
        <v>314</v>
      </c>
      <c r="K15" s="40">
        <v>900171710</v>
      </c>
      <c r="L15" s="41" t="s">
        <v>634</v>
      </c>
      <c r="M15" s="41" t="s">
        <v>316</v>
      </c>
      <c r="N15" s="41" t="s">
        <v>328</v>
      </c>
      <c r="O15" s="41" t="s">
        <v>2206</v>
      </c>
      <c r="P15" s="41" t="s">
        <v>319</v>
      </c>
      <c r="Q15" s="40">
        <v>890903938</v>
      </c>
      <c r="R15" s="41" t="s">
        <v>342</v>
      </c>
      <c r="S15" s="40">
        <v>923210</v>
      </c>
      <c r="T15" s="41" t="s">
        <v>56</v>
      </c>
      <c r="U15" s="41" t="s">
        <v>29</v>
      </c>
      <c r="V15" s="41" t="s">
        <v>30</v>
      </c>
      <c r="W15" s="42" t="s">
        <v>47</v>
      </c>
      <c r="X15" s="42" t="s">
        <v>48</v>
      </c>
      <c r="Y15" s="42" t="s">
        <v>33</v>
      </c>
      <c r="Z15" s="42" t="s">
        <v>633</v>
      </c>
      <c r="AA15" s="42" t="s">
        <v>34</v>
      </c>
      <c r="AB15" s="42" t="s">
        <v>34</v>
      </c>
      <c r="AC15" s="42" t="s">
        <v>34</v>
      </c>
      <c r="AD15" s="42" t="s">
        <v>462</v>
      </c>
      <c r="AE15" s="42" t="s">
        <v>2207</v>
      </c>
      <c r="AF15" s="42" t="s">
        <v>2206</v>
      </c>
      <c r="AG15" s="42" t="s">
        <v>463</v>
      </c>
      <c r="AH15" s="42"/>
      <c r="AI15" s="44"/>
      <c r="AJ15" s="42"/>
      <c r="AK15" s="44"/>
      <c r="AL15" s="42" t="s">
        <v>2208</v>
      </c>
      <c r="AM15" s="52">
        <v>1225</v>
      </c>
      <c r="AN15" s="52">
        <v>1225</v>
      </c>
      <c r="AO15" s="52">
        <v>2725</v>
      </c>
      <c r="AP15" s="52">
        <v>2525</v>
      </c>
      <c r="AQ15" s="42" t="s">
        <v>578</v>
      </c>
      <c r="AR15" s="52">
        <v>1625</v>
      </c>
      <c r="AS15" s="52">
        <v>30154525</v>
      </c>
      <c r="AT15" s="52">
        <v>0</v>
      </c>
      <c r="AU15" s="41" t="s">
        <v>606</v>
      </c>
      <c r="AV15" s="41" t="s">
        <v>323</v>
      </c>
      <c r="AW15" s="41" t="s">
        <v>637</v>
      </c>
      <c r="AX15" s="41" t="s">
        <v>638</v>
      </c>
    </row>
    <row r="16" spans="1:50" x14ac:dyDescent="0.2">
      <c r="A16" s="40">
        <v>30175325</v>
      </c>
      <c r="B16" s="41" t="s">
        <v>578</v>
      </c>
      <c r="C16" s="41" t="s">
        <v>2626</v>
      </c>
      <c r="D16" s="41" t="s">
        <v>460</v>
      </c>
      <c r="E16" s="49">
        <v>4390</v>
      </c>
      <c r="F16" s="49">
        <v>0</v>
      </c>
      <c r="G16" s="50">
        <v>4390</v>
      </c>
      <c r="H16" s="42" t="s">
        <v>2615</v>
      </c>
      <c r="I16" s="42" t="s">
        <v>461</v>
      </c>
      <c r="J16" s="43" t="s">
        <v>314</v>
      </c>
      <c r="K16" s="40">
        <v>800007813</v>
      </c>
      <c r="L16" s="41" t="s">
        <v>339</v>
      </c>
      <c r="M16" s="41" t="s">
        <v>316</v>
      </c>
      <c r="N16" s="41" t="s">
        <v>317</v>
      </c>
      <c r="O16" s="41" t="s">
        <v>340</v>
      </c>
      <c r="P16" s="41" t="s">
        <v>319</v>
      </c>
      <c r="Q16" s="40">
        <v>890903938</v>
      </c>
      <c r="R16" s="41" t="s">
        <v>342</v>
      </c>
      <c r="S16" s="40">
        <v>923210</v>
      </c>
      <c r="T16" s="41" t="s">
        <v>56</v>
      </c>
      <c r="U16" s="41" t="s">
        <v>29</v>
      </c>
      <c r="V16" s="41" t="s">
        <v>30</v>
      </c>
      <c r="W16" s="42" t="s">
        <v>47</v>
      </c>
      <c r="X16" s="42" t="s">
        <v>48</v>
      </c>
      <c r="Y16" s="42" t="s">
        <v>33</v>
      </c>
      <c r="Z16" s="42" t="s">
        <v>338</v>
      </c>
      <c r="AA16" s="42" t="s">
        <v>34</v>
      </c>
      <c r="AB16" s="42" t="s">
        <v>34</v>
      </c>
      <c r="AC16" s="42" t="s">
        <v>34</v>
      </c>
      <c r="AD16" s="42" t="s">
        <v>462</v>
      </c>
      <c r="AE16" s="42"/>
      <c r="AF16" s="42"/>
      <c r="AG16" s="42" t="s">
        <v>463</v>
      </c>
      <c r="AH16" s="42"/>
      <c r="AI16" s="44"/>
      <c r="AJ16" s="42"/>
      <c r="AK16" s="44"/>
      <c r="AL16" s="42" t="s">
        <v>2209</v>
      </c>
      <c r="AM16" s="52">
        <v>1225</v>
      </c>
      <c r="AN16" s="52">
        <v>1225</v>
      </c>
      <c r="AO16" s="52">
        <v>13325</v>
      </c>
      <c r="AP16" s="52">
        <v>2625</v>
      </c>
      <c r="AQ16" s="42" t="s">
        <v>578</v>
      </c>
      <c r="AR16" s="52">
        <v>1725</v>
      </c>
      <c r="AS16" s="52">
        <v>30175325</v>
      </c>
      <c r="AT16" s="52">
        <v>0</v>
      </c>
      <c r="AU16" s="41" t="s">
        <v>578</v>
      </c>
      <c r="AV16" s="41" t="s">
        <v>323</v>
      </c>
      <c r="AW16" s="41" t="s">
        <v>1146</v>
      </c>
      <c r="AX16" s="41" t="s">
        <v>1147</v>
      </c>
    </row>
    <row r="17" spans="1:50" x14ac:dyDescent="0.2">
      <c r="A17" s="40">
        <v>30588325</v>
      </c>
      <c r="B17" s="41" t="s">
        <v>1828</v>
      </c>
      <c r="C17" s="41" t="s">
        <v>2627</v>
      </c>
      <c r="D17" s="41" t="s">
        <v>460</v>
      </c>
      <c r="E17" s="49">
        <v>491540</v>
      </c>
      <c r="F17" s="49">
        <v>0</v>
      </c>
      <c r="G17" s="50">
        <v>491540</v>
      </c>
      <c r="H17" s="42" t="s">
        <v>2615</v>
      </c>
      <c r="I17" s="42" t="s">
        <v>461</v>
      </c>
      <c r="J17" s="43" t="s">
        <v>314</v>
      </c>
      <c r="K17" s="40">
        <v>860063875</v>
      </c>
      <c r="L17" s="41" t="s">
        <v>315</v>
      </c>
      <c r="M17" s="41" t="s">
        <v>316</v>
      </c>
      <c r="N17" s="41" t="s">
        <v>317</v>
      </c>
      <c r="O17" s="41" t="s">
        <v>318</v>
      </c>
      <c r="P17" s="41" t="s">
        <v>319</v>
      </c>
      <c r="Q17" s="40">
        <v>860050750</v>
      </c>
      <c r="R17" s="41" t="s">
        <v>321</v>
      </c>
      <c r="S17" s="40">
        <v>923210</v>
      </c>
      <c r="T17" s="41" t="s">
        <v>56</v>
      </c>
      <c r="U17" s="41" t="s">
        <v>29</v>
      </c>
      <c r="V17" s="41" t="s">
        <v>30</v>
      </c>
      <c r="W17" s="42" t="s">
        <v>47</v>
      </c>
      <c r="X17" s="42" t="s">
        <v>48</v>
      </c>
      <c r="Y17" s="42" t="s">
        <v>33</v>
      </c>
      <c r="Z17" s="42" t="s">
        <v>1149</v>
      </c>
      <c r="AA17" s="42" t="s">
        <v>34</v>
      </c>
      <c r="AB17" s="42" t="s">
        <v>34</v>
      </c>
      <c r="AC17" s="42" t="s">
        <v>34</v>
      </c>
      <c r="AD17" s="42" t="s">
        <v>462</v>
      </c>
      <c r="AE17" s="42"/>
      <c r="AF17" s="42"/>
      <c r="AG17" s="42" t="s">
        <v>463</v>
      </c>
      <c r="AH17" s="42"/>
      <c r="AI17" s="44"/>
      <c r="AJ17" s="42"/>
      <c r="AK17" s="44"/>
      <c r="AL17" s="42" t="s">
        <v>2210</v>
      </c>
      <c r="AM17" s="52">
        <v>1225</v>
      </c>
      <c r="AN17" s="52">
        <v>1225</v>
      </c>
      <c r="AO17" s="52">
        <v>13425</v>
      </c>
      <c r="AP17" s="52">
        <v>2825</v>
      </c>
      <c r="AQ17" s="42" t="s">
        <v>1828</v>
      </c>
      <c r="AR17" s="52">
        <v>1825</v>
      </c>
      <c r="AS17" s="52">
        <v>30588325</v>
      </c>
      <c r="AT17" s="52">
        <v>0</v>
      </c>
      <c r="AU17" s="41" t="s">
        <v>578</v>
      </c>
      <c r="AV17" s="41" t="s">
        <v>323</v>
      </c>
      <c r="AW17" s="41" t="s">
        <v>1152</v>
      </c>
      <c r="AX17" s="41" t="s">
        <v>1153</v>
      </c>
    </row>
    <row r="18" spans="1:50" x14ac:dyDescent="0.2">
      <c r="A18" s="40">
        <v>32039125</v>
      </c>
      <c r="B18" s="41" t="s">
        <v>1911</v>
      </c>
      <c r="C18" s="41" t="s">
        <v>2628</v>
      </c>
      <c r="D18" s="41" t="s">
        <v>460</v>
      </c>
      <c r="E18" s="49">
        <v>4390</v>
      </c>
      <c r="F18" s="49">
        <v>0</v>
      </c>
      <c r="G18" s="50">
        <v>4390</v>
      </c>
      <c r="H18" s="42" t="s">
        <v>2615</v>
      </c>
      <c r="I18" s="42" t="s">
        <v>461</v>
      </c>
      <c r="J18" s="43" t="s">
        <v>314</v>
      </c>
      <c r="K18" s="40">
        <v>800007813</v>
      </c>
      <c r="L18" s="41" t="s">
        <v>339</v>
      </c>
      <c r="M18" s="41" t="s">
        <v>316</v>
      </c>
      <c r="N18" s="41" t="s">
        <v>317</v>
      </c>
      <c r="O18" s="41" t="s">
        <v>340</v>
      </c>
      <c r="P18" s="41" t="s">
        <v>319</v>
      </c>
      <c r="Q18" s="40">
        <v>890903938</v>
      </c>
      <c r="R18" s="41" t="s">
        <v>342</v>
      </c>
      <c r="S18" s="40">
        <v>923210</v>
      </c>
      <c r="T18" s="41" t="s">
        <v>56</v>
      </c>
      <c r="U18" s="41" t="s">
        <v>29</v>
      </c>
      <c r="V18" s="41" t="s">
        <v>30</v>
      </c>
      <c r="W18" s="42" t="s">
        <v>47</v>
      </c>
      <c r="X18" s="42" t="s">
        <v>48</v>
      </c>
      <c r="Y18" s="42" t="s">
        <v>33</v>
      </c>
      <c r="Z18" s="42" t="s">
        <v>338</v>
      </c>
      <c r="AA18" s="42" t="s">
        <v>34</v>
      </c>
      <c r="AB18" s="42" t="s">
        <v>34</v>
      </c>
      <c r="AC18" s="42" t="s">
        <v>34</v>
      </c>
      <c r="AD18" s="42" t="s">
        <v>462</v>
      </c>
      <c r="AE18" s="42"/>
      <c r="AF18" s="42"/>
      <c r="AG18" s="42" t="s">
        <v>463</v>
      </c>
      <c r="AH18" s="42"/>
      <c r="AI18" s="44"/>
      <c r="AJ18" s="42"/>
      <c r="AK18" s="44"/>
      <c r="AL18" s="42" t="s">
        <v>2211</v>
      </c>
      <c r="AM18" s="52">
        <v>1225</v>
      </c>
      <c r="AN18" s="52">
        <v>1225</v>
      </c>
      <c r="AO18" s="52">
        <v>28725</v>
      </c>
      <c r="AP18" s="52">
        <v>2925</v>
      </c>
      <c r="AQ18" s="42" t="s">
        <v>1911</v>
      </c>
      <c r="AR18" s="52">
        <v>1925</v>
      </c>
      <c r="AS18" s="52">
        <v>32039125</v>
      </c>
      <c r="AT18" s="52">
        <v>0</v>
      </c>
      <c r="AU18" s="41" t="s">
        <v>1911</v>
      </c>
      <c r="AV18" s="41" t="s">
        <v>323</v>
      </c>
      <c r="AW18" s="41" t="s">
        <v>1921</v>
      </c>
      <c r="AX18" s="41" t="s">
        <v>1922</v>
      </c>
    </row>
    <row r="19" spans="1:50" x14ac:dyDescent="0.2">
      <c r="A19" s="40">
        <v>32050725</v>
      </c>
      <c r="B19" s="41" t="s">
        <v>1911</v>
      </c>
      <c r="C19" s="41" t="s">
        <v>2629</v>
      </c>
      <c r="D19" s="41" t="s">
        <v>460</v>
      </c>
      <c r="E19" s="49">
        <v>1797160</v>
      </c>
      <c r="F19" s="49">
        <v>0</v>
      </c>
      <c r="G19" s="50">
        <v>1797160</v>
      </c>
      <c r="H19" s="42" t="s">
        <v>2615</v>
      </c>
      <c r="I19" s="42" t="s">
        <v>461</v>
      </c>
      <c r="J19" s="43" t="s">
        <v>314</v>
      </c>
      <c r="K19" s="40">
        <v>860063875</v>
      </c>
      <c r="L19" s="41" t="s">
        <v>315</v>
      </c>
      <c r="M19" s="41" t="s">
        <v>316</v>
      </c>
      <c r="N19" s="41" t="s">
        <v>317</v>
      </c>
      <c r="O19" s="41" t="s">
        <v>318</v>
      </c>
      <c r="P19" s="41" t="s">
        <v>319</v>
      </c>
      <c r="Q19" s="40">
        <v>860050750</v>
      </c>
      <c r="R19" s="41" t="s">
        <v>321</v>
      </c>
      <c r="S19" s="40">
        <v>923210</v>
      </c>
      <c r="T19" s="41" t="s">
        <v>56</v>
      </c>
      <c r="U19" s="41" t="s">
        <v>29</v>
      </c>
      <c r="V19" s="41" t="s">
        <v>30</v>
      </c>
      <c r="W19" s="42" t="s">
        <v>47</v>
      </c>
      <c r="X19" s="42" t="s">
        <v>48</v>
      </c>
      <c r="Y19" s="42" t="s">
        <v>33</v>
      </c>
      <c r="Z19" s="42" t="s">
        <v>1913</v>
      </c>
      <c r="AA19" s="42" t="s">
        <v>34</v>
      </c>
      <c r="AB19" s="42" t="s">
        <v>34</v>
      </c>
      <c r="AC19" s="42" t="s">
        <v>34</v>
      </c>
      <c r="AD19" s="42" t="s">
        <v>462</v>
      </c>
      <c r="AE19" s="42"/>
      <c r="AF19" s="42"/>
      <c r="AG19" s="42" t="s">
        <v>463</v>
      </c>
      <c r="AH19" s="42"/>
      <c r="AI19" s="44"/>
      <c r="AJ19" s="42"/>
      <c r="AK19" s="44"/>
      <c r="AL19" s="42" t="s">
        <v>2212</v>
      </c>
      <c r="AM19" s="52">
        <v>1225</v>
      </c>
      <c r="AN19" s="52">
        <v>1225</v>
      </c>
      <c r="AO19" s="52">
        <v>28625</v>
      </c>
      <c r="AP19" s="52">
        <v>3025</v>
      </c>
      <c r="AQ19" s="42" t="s">
        <v>1911</v>
      </c>
      <c r="AR19" s="52">
        <v>2025</v>
      </c>
      <c r="AS19" s="52">
        <v>32050725</v>
      </c>
      <c r="AT19" s="52">
        <v>0</v>
      </c>
      <c r="AU19" s="41" t="s">
        <v>1911</v>
      </c>
      <c r="AV19" s="41" t="s">
        <v>323</v>
      </c>
      <c r="AW19" s="41" t="s">
        <v>1916</v>
      </c>
      <c r="AX19" s="41" t="s">
        <v>1917</v>
      </c>
    </row>
    <row r="20" spans="1:50" x14ac:dyDescent="0.2">
      <c r="A20" s="40">
        <v>38172925</v>
      </c>
      <c r="B20" s="41" t="s">
        <v>2034</v>
      </c>
      <c r="C20" s="41" t="s">
        <v>2121</v>
      </c>
      <c r="D20" s="41" t="s">
        <v>465</v>
      </c>
      <c r="E20" s="49">
        <v>2112083</v>
      </c>
      <c r="F20" s="49">
        <v>0</v>
      </c>
      <c r="G20" s="50">
        <v>2112083</v>
      </c>
      <c r="H20" s="42" t="s">
        <v>2615</v>
      </c>
      <c r="I20" s="42" t="s">
        <v>461</v>
      </c>
      <c r="J20" s="43" t="s">
        <v>314</v>
      </c>
      <c r="K20" s="40">
        <v>860063875</v>
      </c>
      <c r="L20" s="41" t="s">
        <v>315</v>
      </c>
      <c r="M20" s="41" t="s">
        <v>316</v>
      </c>
      <c r="N20" s="41" t="s">
        <v>317</v>
      </c>
      <c r="O20" s="41" t="s">
        <v>318</v>
      </c>
      <c r="P20" s="41" t="s">
        <v>319</v>
      </c>
      <c r="Q20" s="40">
        <v>860050750</v>
      </c>
      <c r="R20" s="41" t="s">
        <v>321</v>
      </c>
      <c r="S20" s="40">
        <v>923210</v>
      </c>
      <c r="T20" s="41" t="s">
        <v>56</v>
      </c>
      <c r="U20" s="41" t="s">
        <v>29</v>
      </c>
      <c r="V20" s="41" t="s">
        <v>30</v>
      </c>
      <c r="W20" s="42" t="s">
        <v>47</v>
      </c>
      <c r="X20" s="42" t="s">
        <v>48</v>
      </c>
      <c r="Y20" s="42" t="s">
        <v>33</v>
      </c>
      <c r="Z20" s="42" t="s">
        <v>2023</v>
      </c>
      <c r="AA20" s="42" t="s">
        <v>34</v>
      </c>
      <c r="AB20" s="42" t="s">
        <v>34</v>
      </c>
      <c r="AC20" s="42" t="s">
        <v>34</v>
      </c>
      <c r="AD20" s="42" t="s">
        <v>462</v>
      </c>
      <c r="AE20" s="42"/>
      <c r="AF20" s="42"/>
      <c r="AG20" s="42" t="s">
        <v>463</v>
      </c>
      <c r="AH20" s="42"/>
      <c r="AI20" s="44"/>
      <c r="AJ20" s="42"/>
      <c r="AK20" s="44"/>
      <c r="AL20" s="42" t="s">
        <v>2213</v>
      </c>
      <c r="AM20" s="52">
        <v>1225</v>
      </c>
      <c r="AN20" s="52">
        <v>1225</v>
      </c>
      <c r="AO20" s="52">
        <v>30525</v>
      </c>
      <c r="AP20" s="52">
        <v>3525</v>
      </c>
      <c r="AQ20" s="42" t="s">
        <v>2016</v>
      </c>
      <c r="AR20" s="52">
        <v>2325</v>
      </c>
      <c r="AS20" s="52">
        <v>38172925</v>
      </c>
      <c r="AT20" s="52">
        <v>0</v>
      </c>
      <c r="AU20" s="41" t="s">
        <v>2016</v>
      </c>
      <c r="AV20" s="41" t="s">
        <v>323</v>
      </c>
      <c r="AW20" s="41" t="s">
        <v>2025</v>
      </c>
      <c r="AX20" s="41" t="s">
        <v>2026</v>
      </c>
    </row>
    <row r="21" spans="1:50" x14ac:dyDescent="0.2">
      <c r="A21" s="40">
        <v>38246325</v>
      </c>
      <c r="B21" s="41" t="s">
        <v>2034</v>
      </c>
      <c r="C21" s="41" t="s">
        <v>2630</v>
      </c>
      <c r="D21" s="41" t="s">
        <v>460</v>
      </c>
      <c r="E21" s="49">
        <v>1221615</v>
      </c>
      <c r="F21" s="49">
        <v>0</v>
      </c>
      <c r="G21" s="50">
        <v>1221615</v>
      </c>
      <c r="H21" s="42" t="s">
        <v>2615</v>
      </c>
      <c r="I21" s="42" t="s">
        <v>461</v>
      </c>
      <c r="J21" s="43" t="s">
        <v>314</v>
      </c>
      <c r="K21" s="40">
        <v>899999115</v>
      </c>
      <c r="L21" s="41" t="s">
        <v>327</v>
      </c>
      <c r="M21" s="41" t="s">
        <v>316</v>
      </c>
      <c r="N21" s="41" t="s">
        <v>328</v>
      </c>
      <c r="O21" s="41" t="s">
        <v>329</v>
      </c>
      <c r="P21" s="41" t="s">
        <v>319</v>
      </c>
      <c r="Q21" s="40">
        <v>860051135</v>
      </c>
      <c r="R21" s="41" t="s">
        <v>331</v>
      </c>
      <c r="S21" s="40">
        <v>923210</v>
      </c>
      <c r="T21" s="41" t="s">
        <v>56</v>
      </c>
      <c r="U21" s="41" t="s">
        <v>29</v>
      </c>
      <c r="V21" s="41" t="s">
        <v>30</v>
      </c>
      <c r="W21" s="42" t="s">
        <v>47</v>
      </c>
      <c r="X21" s="42" t="s">
        <v>48</v>
      </c>
      <c r="Y21" s="42" t="s">
        <v>33</v>
      </c>
      <c r="Z21" s="42" t="s">
        <v>2214</v>
      </c>
      <c r="AA21" s="42" t="s">
        <v>34</v>
      </c>
      <c r="AB21" s="42" t="s">
        <v>34</v>
      </c>
      <c r="AC21" s="42" t="s">
        <v>34</v>
      </c>
      <c r="AD21" s="42" t="s">
        <v>462</v>
      </c>
      <c r="AE21" s="42"/>
      <c r="AF21" s="42"/>
      <c r="AG21" s="42" t="s">
        <v>463</v>
      </c>
      <c r="AH21" s="42"/>
      <c r="AI21" s="44"/>
      <c r="AJ21" s="42"/>
      <c r="AK21" s="44"/>
      <c r="AL21" s="42" t="s">
        <v>2215</v>
      </c>
      <c r="AM21" s="52">
        <v>1225</v>
      </c>
      <c r="AN21" s="52">
        <v>1225</v>
      </c>
      <c r="AO21" s="52">
        <v>30625</v>
      </c>
      <c r="AP21" s="52">
        <v>3625</v>
      </c>
      <c r="AQ21" s="42" t="s">
        <v>2034</v>
      </c>
      <c r="AR21" s="52">
        <v>2425</v>
      </c>
      <c r="AS21" s="52">
        <v>38246325</v>
      </c>
      <c r="AT21" s="52">
        <v>0</v>
      </c>
      <c r="AU21" s="41" t="s">
        <v>2016</v>
      </c>
      <c r="AV21" s="41" t="s">
        <v>323</v>
      </c>
      <c r="AW21" s="41" t="s">
        <v>2032</v>
      </c>
      <c r="AX21" s="41" t="s">
        <v>2033</v>
      </c>
    </row>
    <row r="22" spans="1:50" x14ac:dyDescent="0.2">
      <c r="A22" s="40">
        <v>38265525</v>
      </c>
      <c r="B22" s="41" t="s">
        <v>2034</v>
      </c>
      <c r="C22" s="41" t="s">
        <v>2630</v>
      </c>
      <c r="D22" s="41" t="s">
        <v>460</v>
      </c>
      <c r="E22" s="49">
        <v>230605</v>
      </c>
      <c r="F22" s="49">
        <v>0</v>
      </c>
      <c r="G22" s="50">
        <v>230605</v>
      </c>
      <c r="H22" s="42" t="s">
        <v>2615</v>
      </c>
      <c r="I22" s="42" t="s">
        <v>461</v>
      </c>
      <c r="J22" s="43" t="s">
        <v>314</v>
      </c>
      <c r="K22" s="40">
        <v>899999115</v>
      </c>
      <c r="L22" s="41" t="s">
        <v>327</v>
      </c>
      <c r="M22" s="41" t="s">
        <v>316</v>
      </c>
      <c r="N22" s="41" t="s">
        <v>328</v>
      </c>
      <c r="O22" s="41" t="s">
        <v>329</v>
      </c>
      <c r="P22" s="41" t="s">
        <v>319</v>
      </c>
      <c r="Q22" s="40">
        <v>860051135</v>
      </c>
      <c r="R22" s="41" t="s">
        <v>331</v>
      </c>
      <c r="S22" s="40">
        <v>923210</v>
      </c>
      <c r="T22" s="41" t="s">
        <v>56</v>
      </c>
      <c r="U22" s="41" t="s">
        <v>29</v>
      </c>
      <c r="V22" s="41" t="s">
        <v>30</v>
      </c>
      <c r="W22" s="42" t="s">
        <v>47</v>
      </c>
      <c r="X22" s="42" t="s">
        <v>48</v>
      </c>
      <c r="Y22" s="42" t="s">
        <v>33</v>
      </c>
      <c r="Z22" s="42" t="s">
        <v>2216</v>
      </c>
      <c r="AA22" s="42" t="s">
        <v>34</v>
      </c>
      <c r="AB22" s="42" t="s">
        <v>34</v>
      </c>
      <c r="AC22" s="42" t="s">
        <v>34</v>
      </c>
      <c r="AD22" s="42" t="s">
        <v>462</v>
      </c>
      <c r="AE22" s="42"/>
      <c r="AF22" s="42"/>
      <c r="AG22" s="42" t="s">
        <v>463</v>
      </c>
      <c r="AH22" s="42"/>
      <c r="AI22" s="44"/>
      <c r="AJ22" s="42"/>
      <c r="AK22" s="44"/>
      <c r="AL22" s="42" t="s">
        <v>2217</v>
      </c>
      <c r="AM22" s="52">
        <v>1225</v>
      </c>
      <c r="AN22" s="52">
        <v>1225</v>
      </c>
      <c r="AO22" s="52">
        <v>30625</v>
      </c>
      <c r="AP22" s="52">
        <v>3725</v>
      </c>
      <c r="AQ22" s="42" t="s">
        <v>2034</v>
      </c>
      <c r="AR22" s="52">
        <v>2525</v>
      </c>
      <c r="AS22" s="52">
        <v>38265525</v>
      </c>
      <c r="AT22" s="52">
        <v>0</v>
      </c>
      <c r="AU22" s="41" t="s">
        <v>2016</v>
      </c>
      <c r="AV22" s="41" t="s">
        <v>323</v>
      </c>
      <c r="AW22" s="41" t="s">
        <v>2032</v>
      </c>
      <c r="AX22" s="41" t="s">
        <v>2033</v>
      </c>
    </row>
    <row r="23" spans="1:50" x14ac:dyDescent="0.2">
      <c r="A23" s="40">
        <v>39172525</v>
      </c>
      <c r="B23" s="41" t="s">
        <v>2113</v>
      </c>
      <c r="C23" s="41" t="s">
        <v>2631</v>
      </c>
      <c r="D23" s="41" t="s">
        <v>465</v>
      </c>
      <c r="E23" s="49">
        <v>2112083</v>
      </c>
      <c r="F23" s="49">
        <v>0</v>
      </c>
      <c r="G23" s="50">
        <v>2112083</v>
      </c>
      <c r="H23" s="42" t="s">
        <v>2615</v>
      </c>
      <c r="I23" s="42" t="s">
        <v>461</v>
      </c>
      <c r="J23" s="43" t="s">
        <v>314</v>
      </c>
      <c r="K23" s="40">
        <v>860063875</v>
      </c>
      <c r="L23" s="41" t="s">
        <v>315</v>
      </c>
      <c r="M23" s="41" t="s">
        <v>316</v>
      </c>
      <c r="N23" s="41" t="s">
        <v>317</v>
      </c>
      <c r="O23" s="41" t="s">
        <v>318</v>
      </c>
      <c r="P23" s="41" t="s">
        <v>319</v>
      </c>
      <c r="Q23" s="40">
        <v>860050750</v>
      </c>
      <c r="R23" s="41" t="s">
        <v>321</v>
      </c>
      <c r="S23" s="40">
        <v>923210</v>
      </c>
      <c r="T23" s="41" t="s">
        <v>56</v>
      </c>
      <c r="U23" s="41" t="s">
        <v>29</v>
      </c>
      <c r="V23" s="41" t="s">
        <v>30</v>
      </c>
      <c r="W23" s="42" t="s">
        <v>47</v>
      </c>
      <c r="X23" s="42" t="s">
        <v>48</v>
      </c>
      <c r="Y23" s="42" t="s">
        <v>33</v>
      </c>
      <c r="Z23" s="42" t="s">
        <v>2023</v>
      </c>
      <c r="AA23" s="42" t="s">
        <v>34</v>
      </c>
      <c r="AB23" s="42" t="s">
        <v>34</v>
      </c>
      <c r="AC23" s="42" t="s">
        <v>34</v>
      </c>
      <c r="AD23" s="42" t="s">
        <v>462</v>
      </c>
      <c r="AE23" s="42"/>
      <c r="AF23" s="42"/>
      <c r="AG23" s="42" t="s">
        <v>463</v>
      </c>
      <c r="AH23" s="42"/>
      <c r="AI23" s="44"/>
      <c r="AJ23" s="42"/>
      <c r="AK23" s="44"/>
      <c r="AL23" s="42" t="s">
        <v>2218</v>
      </c>
      <c r="AM23" s="52">
        <v>1225</v>
      </c>
      <c r="AN23" s="52">
        <v>1225</v>
      </c>
      <c r="AO23" s="52">
        <v>30525</v>
      </c>
      <c r="AP23" s="52">
        <v>3525</v>
      </c>
      <c r="AQ23" s="42" t="s">
        <v>2016</v>
      </c>
      <c r="AR23" s="52">
        <v>2325</v>
      </c>
      <c r="AS23" s="52">
        <v>39172525</v>
      </c>
      <c r="AT23" s="52">
        <v>0</v>
      </c>
      <c r="AU23" s="41" t="s">
        <v>2016</v>
      </c>
      <c r="AV23" s="41" t="s">
        <v>323</v>
      </c>
      <c r="AW23" s="41" t="s">
        <v>2025</v>
      </c>
      <c r="AX23" s="41" t="s">
        <v>2026</v>
      </c>
    </row>
    <row r="24" spans="1:50" x14ac:dyDescent="0.2">
      <c r="A24" s="40">
        <v>40449025</v>
      </c>
      <c r="B24" s="41" t="s">
        <v>2121</v>
      </c>
      <c r="C24" s="41" t="s">
        <v>2633</v>
      </c>
      <c r="D24" s="41" t="s">
        <v>460</v>
      </c>
      <c r="E24" s="49">
        <v>154319</v>
      </c>
      <c r="F24" s="49">
        <v>0</v>
      </c>
      <c r="G24" s="50">
        <v>154319</v>
      </c>
      <c r="H24" s="42" t="s">
        <v>2615</v>
      </c>
      <c r="I24" s="42" t="s">
        <v>461</v>
      </c>
      <c r="J24" s="43" t="s">
        <v>314</v>
      </c>
      <c r="K24" s="40">
        <v>899999115</v>
      </c>
      <c r="L24" s="41" t="s">
        <v>327</v>
      </c>
      <c r="M24" s="41" t="s">
        <v>316</v>
      </c>
      <c r="N24" s="41" t="s">
        <v>328</v>
      </c>
      <c r="O24" s="41" t="s">
        <v>329</v>
      </c>
      <c r="P24" s="41" t="s">
        <v>319</v>
      </c>
      <c r="Q24" s="40">
        <v>860051135</v>
      </c>
      <c r="R24" s="41" t="s">
        <v>331</v>
      </c>
      <c r="S24" s="40">
        <v>923210</v>
      </c>
      <c r="T24" s="41" t="s">
        <v>56</v>
      </c>
      <c r="U24" s="41" t="s">
        <v>29</v>
      </c>
      <c r="V24" s="41" t="s">
        <v>30</v>
      </c>
      <c r="W24" s="42" t="s">
        <v>47</v>
      </c>
      <c r="X24" s="42" t="s">
        <v>48</v>
      </c>
      <c r="Y24" s="42" t="s">
        <v>33</v>
      </c>
      <c r="Z24" s="42" t="s">
        <v>2219</v>
      </c>
      <c r="AA24" s="42" t="s">
        <v>34</v>
      </c>
      <c r="AB24" s="42" t="s">
        <v>34</v>
      </c>
      <c r="AC24" s="42" t="s">
        <v>34</v>
      </c>
      <c r="AD24" s="42" t="s">
        <v>462</v>
      </c>
      <c r="AE24" s="42"/>
      <c r="AF24" s="42"/>
      <c r="AG24" s="42" t="s">
        <v>463</v>
      </c>
      <c r="AH24" s="42"/>
      <c r="AI24" s="44"/>
      <c r="AJ24" s="42"/>
      <c r="AK24" s="44"/>
      <c r="AL24" s="42" t="s">
        <v>2220</v>
      </c>
      <c r="AM24" s="52">
        <v>1225</v>
      </c>
      <c r="AN24" s="52">
        <v>1225</v>
      </c>
      <c r="AO24" s="52">
        <v>32125</v>
      </c>
      <c r="AP24" s="52">
        <v>3825</v>
      </c>
      <c r="AQ24" s="42" t="s">
        <v>2121</v>
      </c>
      <c r="AR24" s="52">
        <v>2625</v>
      </c>
      <c r="AS24" s="52">
        <v>40449025</v>
      </c>
      <c r="AT24" s="52">
        <v>0</v>
      </c>
      <c r="AU24" s="41" t="s">
        <v>2113</v>
      </c>
      <c r="AV24" s="41" t="s">
        <v>323</v>
      </c>
      <c r="AW24" s="41" t="s">
        <v>2119</v>
      </c>
      <c r="AX24" s="41" t="s">
        <v>2120</v>
      </c>
    </row>
    <row r="25" spans="1:50" x14ac:dyDescent="0.2">
      <c r="A25" s="40">
        <v>40453425</v>
      </c>
      <c r="B25" s="41" t="s">
        <v>2121</v>
      </c>
      <c r="C25" s="41" t="s">
        <v>2634</v>
      </c>
      <c r="D25" s="41" t="s">
        <v>460</v>
      </c>
      <c r="E25" s="49">
        <v>29131</v>
      </c>
      <c r="F25" s="49">
        <v>0</v>
      </c>
      <c r="G25" s="50">
        <v>29131</v>
      </c>
      <c r="H25" s="42" t="s">
        <v>2615</v>
      </c>
      <c r="I25" s="42" t="s">
        <v>461</v>
      </c>
      <c r="J25" s="43" t="s">
        <v>314</v>
      </c>
      <c r="K25" s="40">
        <v>899999115</v>
      </c>
      <c r="L25" s="41" t="s">
        <v>327</v>
      </c>
      <c r="M25" s="41" t="s">
        <v>316</v>
      </c>
      <c r="N25" s="41" t="s">
        <v>328</v>
      </c>
      <c r="O25" s="41" t="s">
        <v>329</v>
      </c>
      <c r="P25" s="41" t="s">
        <v>319</v>
      </c>
      <c r="Q25" s="40">
        <v>860051135</v>
      </c>
      <c r="R25" s="41" t="s">
        <v>331</v>
      </c>
      <c r="S25" s="40">
        <v>923210</v>
      </c>
      <c r="T25" s="41" t="s">
        <v>56</v>
      </c>
      <c r="U25" s="41" t="s">
        <v>29</v>
      </c>
      <c r="V25" s="41" t="s">
        <v>30</v>
      </c>
      <c r="W25" s="42" t="s">
        <v>47</v>
      </c>
      <c r="X25" s="42" t="s">
        <v>48</v>
      </c>
      <c r="Y25" s="42" t="s">
        <v>33</v>
      </c>
      <c r="Z25" s="42" t="s">
        <v>2221</v>
      </c>
      <c r="AA25" s="42" t="s">
        <v>34</v>
      </c>
      <c r="AB25" s="42" t="s">
        <v>34</v>
      </c>
      <c r="AC25" s="42" t="s">
        <v>34</v>
      </c>
      <c r="AD25" s="42" t="s">
        <v>462</v>
      </c>
      <c r="AE25" s="42"/>
      <c r="AF25" s="42"/>
      <c r="AG25" s="42" t="s">
        <v>463</v>
      </c>
      <c r="AH25" s="42"/>
      <c r="AI25" s="44"/>
      <c r="AJ25" s="42"/>
      <c r="AK25" s="44"/>
      <c r="AL25" s="42" t="s">
        <v>2222</v>
      </c>
      <c r="AM25" s="52">
        <v>1225</v>
      </c>
      <c r="AN25" s="52">
        <v>1225</v>
      </c>
      <c r="AO25" s="52">
        <v>32125</v>
      </c>
      <c r="AP25" s="52">
        <v>3925</v>
      </c>
      <c r="AQ25" s="42" t="s">
        <v>2121</v>
      </c>
      <c r="AR25" s="52">
        <v>2725</v>
      </c>
      <c r="AS25" s="52">
        <v>40453425</v>
      </c>
      <c r="AT25" s="52">
        <v>0</v>
      </c>
      <c r="AU25" s="41" t="s">
        <v>2113</v>
      </c>
      <c r="AV25" s="41" t="s">
        <v>323</v>
      </c>
      <c r="AW25" s="41" t="s">
        <v>2119</v>
      </c>
      <c r="AX25" s="41" t="s">
        <v>2120</v>
      </c>
    </row>
    <row r="26" spans="1:50" x14ac:dyDescent="0.2">
      <c r="A26" s="40">
        <v>40470425</v>
      </c>
      <c r="B26" s="41" t="s">
        <v>2121</v>
      </c>
      <c r="C26" s="41" t="s">
        <v>2632</v>
      </c>
      <c r="D26" s="41" t="s">
        <v>465</v>
      </c>
      <c r="E26" s="49">
        <v>2112083</v>
      </c>
      <c r="F26" s="49">
        <v>0</v>
      </c>
      <c r="G26" s="50">
        <v>2112083</v>
      </c>
      <c r="H26" s="42" t="s">
        <v>2615</v>
      </c>
      <c r="I26" s="42" t="s">
        <v>461</v>
      </c>
      <c r="J26" s="43" t="s">
        <v>314</v>
      </c>
      <c r="K26" s="40">
        <v>860063875</v>
      </c>
      <c r="L26" s="41" t="s">
        <v>315</v>
      </c>
      <c r="M26" s="41" t="s">
        <v>316</v>
      </c>
      <c r="N26" s="41" t="s">
        <v>317</v>
      </c>
      <c r="O26" s="41" t="s">
        <v>318</v>
      </c>
      <c r="P26" s="41" t="s">
        <v>319</v>
      </c>
      <c r="Q26" s="40">
        <v>860050750</v>
      </c>
      <c r="R26" s="41" t="s">
        <v>321</v>
      </c>
      <c r="S26" s="40">
        <v>923210</v>
      </c>
      <c r="T26" s="41" t="s">
        <v>56</v>
      </c>
      <c r="U26" s="41" t="s">
        <v>29</v>
      </c>
      <c r="V26" s="41" t="s">
        <v>30</v>
      </c>
      <c r="W26" s="42" t="s">
        <v>47</v>
      </c>
      <c r="X26" s="42" t="s">
        <v>48</v>
      </c>
      <c r="Y26" s="42" t="s">
        <v>33</v>
      </c>
      <c r="Z26" s="42" t="s">
        <v>2023</v>
      </c>
      <c r="AA26" s="42" t="s">
        <v>34</v>
      </c>
      <c r="AB26" s="42" t="s">
        <v>34</v>
      </c>
      <c r="AC26" s="42" t="s">
        <v>34</v>
      </c>
      <c r="AD26" s="42" t="s">
        <v>462</v>
      </c>
      <c r="AE26" s="42"/>
      <c r="AF26" s="42"/>
      <c r="AG26" s="42" t="s">
        <v>463</v>
      </c>
      <c r="AH26" s="42"/>
      <c r="AI26" s="44"/>
      <c r="AJ26" s="42"/>
      <c r="AK26" s="44"/>
      <c r="AL26" s="42" t="s">
        <v>2213</v>
      </c>
      <c r="AM26" s="52">
        <v>1225</v>
      </c>
      <c r="AN26" s="52">
        <v>1225</v>
      </c>
      <c r="AO26" s="52">
        <v>30525</v>
      </c>
      <c r="AP26" s="52">
        <v>3525</v>
      </c>
      <c r="AQ26" s="42" t="s">
        <v>2016</v>
      </c>
      <c r="AR26" s="52">
        <v>2325</v>
      </c>
      <c r="AS26" s="52">
        <v>40470425</v>
      </c>
      <c r="AT26" s="52">
        <v>0</v>
      </c>
      <c r="AU26" s="41" t="s">
        <v>2016</v>
      </c>
      <c r="AV26" s="41" t="s">
        <v>323</v>
      </c>
      <c r="AW26" s="41" t="s">
        <v>2025</v>
      </c>
      <c r="AX26" s="41" t="s">
        <v>2026</v>
      </c>
    </row>
    <row r="27" spans="1:50" x14ac:dyDescent="0.2">
      <c r="A27" s="40">
        <v>42359925</v>
      </c>
      <c r="B27" s="41" t="s">
        <v>2631</v>
      </c>
      <c r="C27" s="41" t="s">
        <v>2635</v>
      </c>
      <c r="D27" s="41" t="s">
        <v>460</v>
      </c>
      <c r="E27" s="49">
        <v>3090000</v>
      </c>
      <c r="F27" s="49">
        <v>17323</v>
      </c>
      <c r="G27" s="50">
        <v>3072677</v>
      </c>
      <c r="H27" s="42" t="s">
        <v>2615</v>
      </c>
      <c r="I27" s="42" t="s">
        <v>461</v>
      </c>
      <c r="J27" s="43" t="s">
        <v>351</v>
      </c>
      <c r="K27" s="40">
        <v>1072428066</v>
      </c>
      <c r="L27" s="41" t="s">
        <v>352</v>
      </c>
      <c r="M27" s="41" t="s">
        <v>316</v>
      </c>
      <c r="N27" s="41" t="s">
        <v>317</v>
      </c>
      <c r="O27" s="41" t="s">
        <v>353</v>
      </c>
      <c r="P27" s="41" t="s">
        <v>319</v>
      </c>
      <c r="Q27" s="40">
        <v>860034313</v>
      </c>
      <c r="R27" s="41" t="s">
        <v>355</v>
      </c>
      <c r="S27" s="40">
        <v>923210</v>
      </c>
      <c r="T27" s="41" t="s">
        <v>56</v>
      </c>
      <c r="U27" s="41" t="s">
        <v>29</v>
      </c>
      <c r="V27" s="41" t="s">
        <v>30</v>
      </c>
      <c r="W27" s="42" t="s">
        <v>31</v>
      </c>
      <c r="X27" s="42" t="s">
        <v>32</v>
      </c>
      <c r="Y27" s="42" t="s">
        <v>33</v>
      </c>
      <c r="Z27" s="42" t="s">
        <v>2636</v>
      </c>
      <c r="AA27" s="42" t="s">
        <v>34</v>
      </c>
      <c r="AB27" s="42" t="s">
        <v>34</v>
      </c>
      <c r="AC27" s="42" t="s">
        <v>34</v>
      </c>
      <c r="AD27" s="42" t="s">
        <v>462</v>
      </c>
      <c r="AE27" s="42"/>
      <c r="AF27" s="42"/>
      <c r="AG27" s="42" t="s">
        <v>463</v>
      </c>
      <c r="AH27" s="42"/>
      <c r="AI27" s="44"/>
      <c r="AJ27" s="42"/>
      <c r="AK27" s="44"/>
      <c r="AL27" s="42"/>
      <c r="AM27" s="52">
        <v>1925</v>
      </c>
      <c r="AN27" s="52">
        <v>1925</v>
      </c>
      <c r="AO27" s="52">
        <v>625</v>
      </c>
      <c r="AP27" s="52">
        <v>0</v>
      </c>
      <c r="AQ27" s="42"/>
      <c r="AR27" s="52">
        <v>2825</v>
      </c>
      <c r="AS27" s="52">
        <v>42359925</v>
      </c>
      <c r="AT27" s="52">
        <v>0</v>
      </c>
      <c r="AU27" s="41" t="s">
        <v>349</v>
      </c>
      <c r="AV27" s="41" t="s">
        <v>356</v>
      </c>
      <c r="AW27" s="41" t="s">
        <v>357</v>
      </c>
      <c r="AX27" s="41" t="s">
        <v>358</v>
      </c>
    </row>
    <row r="28" spans="1:50" x14ac:dyDescent="0.2">
      <c r="A28" s="40">
        <v>42360025</v>
      </c>
      <c r="B28" s="41" t="s">
        <v>2631</v>
      </c>
      <c r="C28" s="41" t="s">
        <v>2637</v>
      </c>
      <c r="D28" s="41" t="s">
        <v>460</v>
      </c>
      <c r="E28" s="49">
        <v>1184500</v>
      </c>
      <c r="F28" s="49">
        <v>5890</v>
      </c>
      <c r="G28" s="50">
        <v>1178610</v>
      </c>
      <c r="H28" s="42" t="s">
        <v>2615</v>
      </c>
      <c r="I28" s="42" t="s">
        <v>461</v>
      </c>
      <c r="J28" s="43" t="s">
        <v>351</v>
      </c>
      <c r="K28" s="40">
        <v>1023367986</v>
      </c>
      <c r="L28" s="41" t="s">
        <v>360</v>
      </c>
      <c r="M28" s="41" t="s">
        <v>316</v>
      </c>
      <c r="N28" s="41" t="s">
        <v>317</v>
      </c>
      <c r="O28" s="41" t="s">
        <v>361</v>
      </c>
      <c r="P28" s="41" t="s">
        <v>319</v>
      </c>
      <c r="Q28" s="40">
        <v>860034313</v>
      </c>
      <c r="R28" s="41" t="s">
        <v>355</v>
      </c>
      <c r="S28" s="40">
        <v>923210</v>
      </c>
      <c r="T28" s="41" t="s">
        <v>56</v>
      </c>
      <c r="U28" s="41" t="s">
        <v>29</v>
      </c>
      <c r="V28" s="41" t="s">
        <v>30</v>
      </c>
      <c r="W28" s="42" t="s">
        <v>31</v>
      </c>
      <c r="X28" s="42" t="s">
        <v>32</v>
      </c>
      <c r="Y28" s="42" t="s">
        <v>33</v>
      </c>
      <c r="Z28" s="42" t="s">
        <v>2638</v>
      </c>
      <c r="AA28" s="42" t="s">
        <v>34</v>
      </c>
      <c r="AB28" s="42" t="s">
        <v>34</v>
      </c>
      <c r="AC28" s="42" t="s">
        <v>34</v>
      </c>
      <c r="AD28" s="42" t="s">
        <v>462</v>
      </c>
      <c r="AE28" s="42"/>
      <c r="AF28" s="42"/>
      <c r="AG28" s="42" t="s">
        <v>463</v>
      </c>
      <c r="AH28" s="42"/>
      <c r="AI28" s="44"/>
      <c r="AJ28" s="42"/>
      <c r="AK28" s="44"/>
      <c r="AL28" s="42"/>
      <c r="AM28" s="52">
        <v>1925</v>
      </c>
      <c r="AN28" s="52">
        <v>1925</v>
      </c>
      <c r="AO28" s="52">
        <v>725</v>
      </c>
      <c r="AP28" s="52">
        <v>0</v>
      </c>
      <c r="AQ28" s="42"/>
      <c r="AR28" s="52">
        <v>2925</v>
      </c>
      <c r="AS28" s="52">
        <v>42360025</v>
      </c>
      <c r="AT28" s="52">
        <v>0</v>
      </c>
      <c r="AU28" s="41" t="s">
        <v>349</v>
      </c>
      <c r="AV28" s="41" t="s">
        <v>362</v>
      </c>
      <c r="AW28" s="41" t="s">
        <v>363</v>
      </c>
      <c r="AX28" s="41" t="s">
        <v>364</v>
      </c>
    </row>
    <row r="29" spans="1:50" x14ac:dyDescent="0.2">
      <c r="A29" s="40">
        <v>42360225</v>
      </c>
      <c r="B29" s="41" t="s">
        <v>2631</v>
      </c>
      <c r="C29" s="41" t="s">
        <v>2639</v>
      </c>
      <c r="D29" s="41" t="s">
        <v>460</v>
      </c>
      <c r="E29" s="49">
        <v>2516800</v>
      </c>
      <c r="F29" s="49">
        <v>13802</v>
      </c>
      <c r="G29" s="50">
        <v>2502998</v>
      </c>
      <c r="H29" s="42" t="s">
        <v>2615</v>
      </c>
      <c r="I29" s="42" t="s">
        <v>461</v>
      </c>
      <c r="J29" s="43" t="s">
        <v>351</v>
      </c>
      <c r="K29" s="40">
        <v>1070592669</v>
      </c>
      <c r="L29" s="41" t="s">
        <v>366</v>
      </c>
      <c r="M29" s="41" t="s">
        <v>316</v>
      </c>
      <c r="N29" s="41" t="s">
        <v>317</v>
      </c>
      <c r="O29" s="41" t="s">
        <v>367</v>
      </c>
      <c r="P29" s="41" t="s">
        <v>319</v>
      </c>
      <c r="Q29" s="40">
        <v>890903938</v>
      </c>
      <c r="R29" s="41" t="s">
        <v>342</v>
      </c>
      <c r="S29" s="40">
        <v>923224</v>
      </c>
      <c r="T29" s="41" t="s">
        <v>239</v>
      </c>
      <c r="U29" s="41" t="s">
        <v>240</v>
      </c>
      <c r="V29" s="41" t="s">
        <v>241</v>
      </c>
      <c r="W29" s="42" t="s">
        <v>47</v>
      </c>
      <c r="X29" s="42" t="s">
        <v>76</v>
      </c>
      <c r="Y29" s="42" t="s">
        <v>33</v>
      </c>
      <c r="Z29" s="42" t="s">
        <v>2640</v>
      </c>
      <c r="AA29" s="42" t="s">
        <v>34</v>
      </c>
      <c r="AB29" s="42" t="s">
        <v>34</v>
      </c>
      <c r="AC29" s="42" t="s">
        <v>34</v>
      </c>
      <c r="AD29" s="42" t="s">
        <v>462</v>
      </c>
      <c r="AE29" s="42"/>
      <c r="AF29" s="42"/>
      <c r="AG29" s="42" t="s">
        <v>463</v>
      </c>
      <c r="AH29" s="42"/>
      <c r="AI29" s="44"/>
      <c r="AJ29" s="42"/>
      <c r="AK29" s="44"/>
      <c r="AL29" s="42"/>
      <c r="AM29" s="52">
        <v>5425</v>
      </c>
      <c r="AN29" s="52">
        <v>5425</v>
      </c>
      <c r="AO29" s="52">
        <v>825</v>
      </c>
      <c r="AP29" s="52">
        <v>0</v>
      </c>
      <c r="AQ29" s="42"/>
      <c r="AR29" s="52">
        <v>3025</v>
      </c>
      <c r="AS29" s="52">
        <v>42360225</v>
      </c>
      <c r="AT29" s="52">
        <v>0</v>
      </c>
      <c r="AU29" s="41" t="s">
        <v>349</v>
      </c>
      <c r="AV29" s="41" t="s">
        <v>356</v>
      </c>
      <c r="AW29" s="41" t="s">
        <v>368</v>
      </c>
      <c r="AX29" s="41" t="s">
        <v>369</v>
      </c>
    </row>
    <row r="30" spans="1:50" x14ac:dyDescent="0.2">
      <c r="A30" s="40">
        <v>42360325</v>
      </c>
      <c r="B30" s="41" t="s">
        <v>2631</v>
      </c>
      <c r="C30" s="41" t="s">
        <v>2641</v>
      </c>
      <c r="D30" s="41" t="s">
        <v>460</v>
      </c>
      <c r="E30" s="49">
        <v>2317500</v>
      </c>
      <c r="F30" s="49">
        <v>11470</v>
      </c>
      <c r="G30" s="50">
        <v>2306030</v>
      </c>
      <c r="H30" s="42" t="s">
        <v>2615</v>
      </c>
      <c r="I30" s="42" t="s">
        <v>461</v>
      </c>
      <c r="J30" s="43" t="s">
        <v>351</v>
      </c>
      <c r="K30" s="40">
        <v>1010244141</v>
      </c>
      <c r="L30" s="41" t="s">
        <v>371</v>
      </c>
      <c r="M30" s="41" t="s">
        <v>316</v>
      </c>
      <c r="N30" s="41" t="s">
        <v>317</v>
      </c>
      <c r="O30" s="41" t="s">
        <v>372</v>
      </c>
      <c r="P30" s="41" t="s">
        <v>319</v>
      </c>
      <c r="Q30" s="40">
        <v>860034594</v>
      </c>
      <c r="R30" s="41" t="s">
        <v>374</v>
      </c>
      <c r="S30" s="40">
        <v>923210</v>
      </c>
      <c r="T30" s="41" t="s">
        <v>56</v>
      </c>
      <c r="U30" s="41" t="s">
        <v>29</v>
      </c>
      <c r="V30" s="41" t="s">
        <v>30</v>
      </c>
      <c r="W30" s="42" t="s">
        <v>31</v>
      </c>
      <c r="X30" s="42" t="s">
        <v>32</v>
      </c>
      <c r="Y30" s="42" t="s">
        <v>33</v>
      </c>
      <c r="Z30" s="42" t="s">
        <v>2642</v>
      </c>
      <c r="AA30" s="42" t="s">
        <v>34</v>
      </c>
      <c r="AB30" s="42" t="s">
        <v>34</v>
      </c>
      <c r="AC30" s="42" t="s">
        <v>34</v>
      </c>
      <c r="AD30" s="42" t="s">
        <v>462</v>
      </c>
      <c r="AE30" s="42"/>
      <c r="AF30" s="42"/>
      <c r="AG30" s="42" t="s">
        <v>463</v>
      </c>
      <c r="AH30" s="42"/>
      <c r="AI30" s="44"/>
      <c r="AJ30" s="42"/>
      <c r="AK30" s="44"/>
      <c r="AL30" s="42"/>
      <c r="AM30" s="52">
        <v>1925</v>
      </c>
      <c r="AN30" s="52">
        <v>1925</v>
      </c>
      <c r="AO30" s="52">
        <v>925</v>
      </c>
      <c r="AP30" s="52">
        <v>0</v>
      </c>
      <c r="AQ30" s="42"/>
      <c r="AR30" s="52">
        <v>3125</v>
      </c>
      <c r="AS30" s="52">
        <v>42360325</v>
      </c>
      <c r="AT30" s="52">
        <v>0</v>
      </c>
      <c r="AU30" s="41" t="s">
        <v>349</v>
      </c>
      <c r="AV30" s="41" t="s">
        <v>356</v>
      </c>
      <c r="AW30" s="41" t="s">
        <v>375</v>
      </c>
      <c r="AX30" s="41" t="s">
        <v>376</v>
      </c>
    </row>
    <row r="31" spans="1:50" x14ac:dyDescent="0.2">
      <c r="A31" s="40">
        <v>42360525</v>
      </c>
      <c r="B31" s="41" t="s">
        <v>2631</v>
      </c>
      <c r="C31" s="41" t="s">
        <v>2643</v>
      </c>
      <c r="D31" s="41" t="s">
        <v>460</v>
      </c>
      <c r="E31" s="49">
        <v>2273838</v>
      </c>
      <c r="F31" s="49">
        <v>11208</v>
      </c>
      <c r="G31" s="50">
        <v>2262630</v>
      </c>
      <c r="H31" s="42" t="s">
        <v>2615</v>
      </c>
      <c r="I31" s="42" t="s">
        <v>461</v>
      </c>
      <c r="J31" s="43" t="s">
        <v>351</v>
      </c>
      <c r="K31" s="40">
        <v>1121825496</v>
      </c>
      <c r="L31" s="41" t="s">
        <v>378</v>
      </c>
      <c r="M31" s="41" t="s">
        <v>316</v>
      </c>
      <c r="N31" s="41" t="s">
        <v>317</v>
      </c>
      <c r="O31" s="41" t="s">
        <v>379</v>
      </c>
      <c r="P31" s="41" t="s">
        <v>319</v>
      </c>
      <c r="Q31" s="40">
        <v>860007335</v>
      </c>
      <c r="R31" s="41" t="s">
        <v>381</v>
      </c>
      <c r="S31" s="40">
        <v>923210</v>
      </c>
      <c r="T31" s="41" t="s">
        <v>56</v>
      </c>
      <c r="U31" s="41" t="s">
        <v>29</v>
      </c>
      <c r="V31" s="41" t="s">
        <v>30</v>
      </c>
      <c r="W31" s="42" t="s">
        <v>31</v>
      </c>
      <c r="X31" s="42" t="s">
        <v>32</v>
      </c>
      <c r="Y31" s="42" t="s">
        <v>33</v>
      </c>
      <c r="Z31" s="42" t="s">
        <v>2644</v>
      </c>
      <c r="AA31" s="42" t="s">
        <v>34</v>
      </c>
      <c r="AB31" s="42" t="s">
        <v>34</v>
      </c>
      <c r="AC31" s="42" t="s">
        <v>34</v>
      </c>
      <c r="AD31" s="42" t="s">
        <v>462</v>
      </c>
      <c r="AE31" s="42"/>
      <c r="AF31" s="42"/>
      <c r="AG31" s="42" t="s">
        <v>463</v>
      </c>
      <c r="AH31" s="42"/>
      <c r="AI31" s="44"/>
      <c r="AJ31" s="42"/>
      <c r="AK31" s="44"/>
      <c r="AL31" s="42"/>
      <c r="AM31" s="52">
        <v>1925</v>
      </c>
      <c r="AN31" s="52">
        <v>1925</v>
      </c>
      <c r="AO31" s="52">
        <v>1025</v>
      </c>
      <c r="AP31" s="52">
        <v>0</v>
      </c>
      <c r="AQ31" s="42"/>
      <c r="AR31" s="52">
        <v>3225</v>
      </c>
      <c r="AS31" s="52">
        <v>42360525</v>
      </c>
      <c r="AT31" s="52">
        <v>0</v>
      </c>
      <c r="AU31" s="41" t="s">
        <v>349</v>
      </c>
      <c r="AV31" s="41" t="s">
        <v>356</v>
      </c>
      <c r="AW31" s="41" t="s">
        <v>382</v>
      </c>
      <c r="AX31" s="41" t="s">
        <v>383</v>
      </c>
    </row>
    <row r="32" spans="1:50" x14ac:dyDescent="0.2">
      <c r="A32" s="40">
        <v>42360625</v>
      </c>
      <c r="B32" s="41" t="s">
        <v>2631</v>
      </c>
      <c r="C32" s="41" t="s">
        <v>2645</v>
      </c>
      <c r="D32" s="41" t="s">
        <v>460</v>
      </c>
      <c r="E32" s="49">
        <v>1512056</v>
      </c>
      <c r="F32" s="49">
        <v>6638</v>
      </c>
      <c r="G32" s="50">
        <v>1505418</v>
      </c>
      <c r="H32" s="42" t="s">
        <v>2615</v>
      </c>
      <c r="I32" s="42" t="s">
        <v>461</v>
      </c>
      <c r="J32" s="43" t="s">
        <v>351</v>
      </c>
      <c r="K32" s="40">
        <v>1019101173</v>
      </c>
      <c r="L32" s="41" t="s">
        <v>385</v>
      </c>
      <c r="M32" s="41" t="s">
        <v>316</v>
      </c>
      <c r="N32" s="41" t="s">
        <v>317</v>
      </c>
      <c r="O32" s="41" t="s">
        <v>386</v>
      </c>
      <c r="P32" s="41" t="s">
        <v>319</v>
      </c>
      <c r="Q32" s="40">
        <v>860034313</v>
      </c>
      <c r="R32" s="41" t="s">
        <v>355</v>
      </c>
      <c r="S32" s="40">
        <v>923224</v>
      </c>
      <c r="T32" s="41" t="s">
        <v>239</v>
      </c>
      <c r="U32" s="41" t="s">
        <v>240</v>
      </c>
      <c r="V32" s="41" t="s">
        <v>241</v>
      </c>
      <c r="W32" s="42" t="s">
        <v>47</v>
      </c>
      <c r="X32" s="42" t="s">
        <v>76</v>
      </c>
      <c r="Y32" s="42" t="s">
        <v>33</v>
      </c>
      <c r="Z32" s="42" t="s">
        <v>2646</v>
      </c>
      <c r="AA32" s="42" t="s">
        <v>34</v>
      </c>
      <c r="AB32" s="42" t="s">
        <v>34</v>
      </c>
      <c r="AC32" s="42" t="s">
        <v>34</v>
      </c>
      <c r="AD32" s="42" t="s">
        <v>462</v>
      </c>
      <c r="AE32" s="42"/>
      <c r="AF32" s="42"/>
      <c r="AG32" s="42" t="s">
        <v>463</v>
      </c>
      <c r="AH32" s="42"/>
      <c r="AI32" s="44"/>
      <c r="AJ32" s="42"/>
      <c r="AK32" s="44"/>
      <c r="AL32" s="42"/>
      <c r="AM32" s="52">
        <v>5425</v>
      </c>
      <c r="AN32" s="52">
        <v>5425</v>
      </c>
      <c r="AO32" s="52">
        <v>1125</v>
      </c>
      <c r="AP32" s="52">
        <v>0</v>
      </c>
      <c r="AQ32" s="42"/>
      <c r="AR32" s="52">
        <v>3325</v>
      </c>
      <c r="AS32" s="52">
        <v>42360625</v>
      </c>
      <c r="AT32" s="52">
        <v>0</v>
      </c>
      <c r="AU32" s="41" t="s">
        <v>349</v>
      </c>
      <c r="AV32" s="41" t="s">
        <v>356</v>
      </c>
      <c r="AW32" s="41" t="s">
        <v>387</v>
      </c>
      <c r="AX32" s="41" t="s">
        <v>388</v>
      </c>
    </row>
    <row r="33" spans="1:50" x14ac:dyDescent="0.2">
      <c r="A33" s="40">
        <v>42360825</v>
      </c>
      <c r="B33" s="41" t="s">
        <v>2631</v>
      </c>
      <c r="C33" s="41" t="s">
        <v>2647</v>
      </c>
      <c r="D33" s="41" t="s">
        <v>460</v>
      </c>
      <c r="E33" s="49">
        <v>2650000</v>
      </c>
      <c r="F33" s="49">
        <v>13465</v>
      </c>
      <c r="G33" s="50">
        <v>2636535</v>
      </c>
      <c r="H33" s="42" t="s">
        <v>2615</v>
      </c>
      <c r="I33" s="42" t="s">
        <v>461</v>
      </c>
      <c r="J33" s="43" t="s">
        <v>351</v>
      </c>
      <c r="K33" s="40">
        <v>1012449137</v>
      </c>
      <c r="L33" s="41" t="s">
        <v>390</v>
      </c>
      <c r="M33" s="41" t="s">
        <v>316</v>
      </c>
      <c r="N33" s="41" t="s">
        <v>317</v>
      </c>
      <c r="O33" s="41" t="s">
        <v>391</v>
      </c>
      <c r="P33" s="41" t="s">
        <v>319</v>
      </c>
      <c r="Q33" s="40">
        <v>860003020</v>
      </c>
      <c r="R33" s="41" t="s">
        <v>393</v>
      </c>
      <c r="S33" s="40">
        <v>923290</v>
      </c>
      <c r="T33" s="41" t="s">
        <v>208</v>
      </c>
      <c r="U33" s="41" t="s">
        <v>29</v>
      </c>
      <c r="V33" s="41" t="s">
        <v>30</v>
      </c>
      <c r="W33" s="42" t="s">
        <v>31</v>
      </c>
      <c r="X33" s="42" t="s">
        <v>32</v>
      </c>
      <c r="Y33" s="42" t="s">
        <v>33</v>
      </c>
      <c r="Z33" s="42" t="s">
        <v>2648</v>
      </c>
      <c r="AA33" s="42" t="s">
        <v>34</v>
      </c>
      <c r="AB33" s="42" t="s">
        <v>34</v>
      </c>
      <c r="AC33" s="42" t="s">
        <v>34</v>
      </c>
      <c r="AD33" s="42" t="s">
        <v>462</v>
      </c>
      <c r="AE33" s="42"/>
      <c r="AF33" s="42"/>
      <c r="AG33" s="42" t="s">
        <v>463</v>
      </c>
      <c r="AH33" s="42"/>
      <c r="AI33" s="44"/>
      <c r="AJ33" s="42"/>
      <c r="AK33" s="44"/>
      <c r="AL33" s="42"/>
      <c r="AM33" s="52">
        <v>5025</v>
      </c>
      <c r="AN33" s="52">
        <v>5025</v>
      </c>
      <c r="AO33" s="52">
        <v>1225</v>
      </c>
      <c r="AP33" s="52">
        <v>0</v>
      </c>
      <c r="AQ33" s="42"/>
      <c r="AR33" s="52">
        <v>3425</v>
      </c>
      <c r="AS33" s="52">
        <v>42360825</v>
      </c>
      <c r="AT33" s="52">
        <v>0</v>
      </c>
      <c r="AU33" s="41" t="s">
        <v>349</v>
      </c>
      <c r="AV33" s="41" t="s">
        <v>356</v>
      </c>
      <c r="AW33" s="41" t="s">
        <v>394</v>
      </c>
      <c r="AX33" s="41" t="s">
        <v>395</v>
      </c>
    </row>
    <row r="34" spans="1:50" x14ac:dyDescent="0.2">
      <c r="A34" s="40">
        <v>42360925</v>
      </c>
      <c r="B34" s="41" t="s">
        <v>2631</v>
      </c>
      <c r="C34" s="41" t="s">
        <v>2649</v>
      </c>
      <c r="D34" s="41" t="s">
        <v>460</v>
      </c>
      <c r="E34" s="49">
        <v>2575000</v>
      </c>
      <c r="F34" s="49">
        <v>14233</v>
      </c>
      <c r="G34" s="50">
        <v>2560767</v>
      </c>
      <c r="H34" s="42" t="s">
        <v>2615</v>
      </c>
      <c r="I34" s="42" t="s">
        <v>461</v>
      </c>
      <c r="J34" s="43" t="s">
        <v>351</v>
      </c>
      <c r="K34" s="40">
        <v>40325709</v>
      </c>
      <c r="L34" s="41" t="s">
        <v>397</v>
      </c>
      <c r="M34" s="41" t="s">
        <v>316</v>
      </c>
      <c r="N34" s="41" t="s">
        <v>317</v>
      </c>
      <c r="O34" s="41" t="s">
        <v>398</v>
      </c>
      <c r="P34" s="41" t="s">
        <v>319</v>
      </c>
      <c r="Q34" s="40">
        <v>900047981</v>
      </c>
      <c r="R34" s="41" t="s">
        <v>399</v>
      </c>
      <c r="S34" s="40">
        <v>923227</v>
      </c>
      <c r="T34" s="41" t="s">
        <v>141</v>
      </c>
      <c r="U34" s="41" t="s">
        <v>142</v>
      </c>
      <c r="V34" s="41" t="s">
        <v>143</v>
      </c>
      <c r="W34" s="42" t="s">
        <v>31</v>
      </c>
      <c r="X34" s="42" t="s">
        <v>32</v>
      </c>
      <c r="Y34" s="42" t="s">
        <v>33</v>
      </c>
      <c r="Z34" s="42" t="s">
        <v>2650</v>
      </c>
      <c r="AA34" s="42" t="s">
        <v>34</v>
      </c>
      <c r="AB34" s="42" t="s">
        <v>34</v>
      </c>
      <c r="AC34" s="42" t="s">
        <v>34</v>
      </c>
      <c r="AD34" s="42" t="s">
        <v>462</v>
      </c>
      <c r="AE34" s="42"/>
      <c r="AF34" s="42"/>
      <c r="AG34" s="42" t="s">
        <v>463</v>
      </c>
      <c r="AH34" s="42"/>
      <c r="AI34" s="44"/>
      <c r="AJ34" s="42"/>
      <c r="AK34" s="44"/>
      <c r="AL34" s="42"/>
      <c r="AM34" s="52">
        <v>3225</v>
      </c>
      <c r="AN34" s="52">
        <v>3225</v>
      </c>
      <c r="AO34" s="52">
        <v>1325</v>
      </c>
      <c r="AP34" s="52">
        <v>0</v>
      </c>
      <c r="AQ34" s="42"/>
      <c r="AR34" s="52">
        <v>3525</v>
      </c>
      <c r="AS34" s="52">
        <v>42360925</v>
      </c>
      <c r="AT34" s="52">
        <v>0</v>
      </c>
      <c r="AU34" s="41" t="s">
        <v>349</v>
      </c>
      <c r="AV34" s="41" t="s">
        <v>356</v>
      </c>
      <c r="AW34" s="41" t="s">
        <v>602</v>
      </c>
      <c r="AX34" s="41" t="s">
        <v>401</v>
      </c>
    </row>
    <row r="35" spans="1:50" x14ac:dyDescent="0.2">
      <c r="A35" s="40">
        <v>42361125</v>
      </c>
      <c r="B35" s="41" t="s">
        <v>2631</v>
      </c>
      <c r="C35" s="41" t="s">
        <v>2639</v>
      </c>
      <c r="D35" s="41" t="s">
        <v>460</v>
      </c>
      <c r="E35" s="49">
        <v>2516800</v>
      </c>
      <c r="F35" s="49">
        <v>12666</v>
      </c>
      <c r="G35" s="50">
        <v>2504134</v>
      </c>
      <c r="H35" s="42" t="s">
        <v>2615</v>
      </c>
      <c r="I35" s="42" t="s">
        <v>461</v>
      </c>
      <c r="J35" s="43" t="s">
        <v>351</v>
      </c>
      <c r="K35" s="40">
        <v>53093999</v>
      </c>
      <c r="L35" s="41" t="s">
        <v>403</v>
      </c>
      <c r="M35" s="41" t="s">
        <v>316</v>
      </c>
      <c r="N35" s="41" t="s">
        <v>317</v>
      </c>
      <c r="O35" s="41" t="s">
        <v>404</v>
      </c>
      <c r="P35" s="41" t="s">
        <v>319</v>
      </c>
      <c r="Q35" s="40">
        <v>890903938</v>
      </c>
      <c r="R35" s="41" t="s">
        <v>342</v>
      </c>
      <c r="S35" s="40">
        <v>923224</v>
      </c>
      <c r="T35" s="41" t="s">
        <v>239</v>
      </c>
      <c r="U35" s="41" t="s">
        <v>240</v>
      </c>
      <c r="V35" s="41" t="s">
        <v>241</v>
      </c>
      <c r="W35" s="42" t="s">
        <v>47</v>
      </c>
      <c r="X35" s="42" t="s">
        <v>76</v>
      </c>
      <c r="Y35" s="42" t="s">
        <v>33</v>
      </c>
      <c r="Z35" s="42" t="s">
        <v>2640</v>
      </c>
      <c r="AA35" s="42" t="s">
        <v>34</v>
      </c>
      <c r="AB35" s="42" t="s">
        <v>34</v>
      </c>
      <c r="AC35" s="42" t="s">
        <v>34</v>
      </c>
      <c r="AD35" s="42" t="s">
        <v>462</v>
      </c>
      <c r="AE35" s="42"/>
      <c r="AF35" s="42"/>
      <c r="AG35" s="42" t="s">
        <v>463</v>
      </c>
      <c r="AH35" s="42"/>
      <c r="AI35" s="44"/>
      <c r="AJ35" s="42"/>
      <c r="AK35" s="44"/>
      <c r="AL35" s="42"/>
      <c r="AM35" s="52">
        <v>5425</v>
      </c>
      <c r="AN35" s="52">
        <v>5425</v>
      </c>
      <c r="AO35" s="52">
        <v>1425</v>
      </c>
      <c r="AP35" s="52">
        <v>0</v>
      </c>
      <c r="AQ35" s="42"/>
      <c r="AR35" s="52">
        <v>3625</v>
      </c>
      <c r="AS35" s="52">
        <v>42361125</v>
      </c>
      <c r="AT35" s="52">
        <v>0</v>
      </c>
      <c r="AU35" s="41" t="s">
        <v>349</v>
      </c>
      <c r="AV35" s="41" t="s">
        <v>356</v>
      </c>
      <c r="AW35" s="41" t="s">
        <v>400</v>
      </c>
      <c r="AX35" s="41" t="s">
        <v>405</v>
      </c>
    </row>
    <row r="36" spans="1:50" x14ac:dyDescent="0.2">
      <c r="A36" s="40">
        <v>42361225</v>
      </c>
      <c r="B36" s="41" t="s">
        <v>2631</v>
      </c>
      <c r="C36" s="41" t="s">
        <v>2651</v>
      </c>
      <c r="D36" s="41" t="s">
        <v>460</v>
      </c>
      <c r="E36" s="49">
        <v>1521825</v>
      </c>
      <c r="F36" s="49">
        <v>7914</v>
      </c>
      <c r="G36" s="50">
        <v>1513911</v>
      </c>
      <c r="H36" s="42" t="s">
        <v>2615</v>
      </c>
      <c r="I36" s="42" t="s">
        <v>461</v>
      </c>
      <c r="J36" s="43" t="s">
        <v>351</v>
      </c>
      <c r="K36" s="40">
        <v>1012379960</v>
      </c>
      <c r="L36" s="41" t="s">
        <v>407</v>
      </c>
      <c r="M36" s="41" t="s">
        <v>316</v>
      </c>
      <c r="N36" s="41" t="s">
        <v>317</v>
      </c>
      <c r="O36" s="41" t="s">
        <v>408</v>
      </c>
      <c r="P36" s="41" t="s">
        <v>319</v>
      </c>
      <c r="Q36" s="40">
        <v>860007335</v>
      </c>
      <c r="R36" s="41" t="s">
        <v>381</v>
      </c>
      <c r="S36" s="40">
        <v>923227</v>
      </c>
      <c r="T36" s="41" t="s">
        <v>141</v>
      </c>
      <c r="U36" s="41" t="s">
        <v>142</v>
      </c>
      <c r="V36" s="41" t="s">
        <v>143</v>
      </c>
      <c r="W36" s="42" t="s">
        <v>31</v>
      </c>
      <c r="X36" s="42" t="s">
        <v>32</v>
      </c>
      <c r="Y36" s="42" t="s">
        <v>33</v>
      </c>
      <c r="Z36" s="42" t="s">
        <v>2652</v>
      </c>
      <c r="AA36" s="42" t="s">
        <v>34</v>
      </c>
      <c r="AB36" s="42" t="s">
        <v>34</v>
      </c>
      <c r="AC36" s="42" t="s">
        <v>34</v>
      </c>
      <c r="AD36" s="42" t="s">
        <v>462</v>
      </c>
      <c r="AE36" s="42"/>
      <c r="AF36" s="42"/>
      <c r="AG36" s="42" t="s">
        <v>463</v>
      </c>
      <c r="AH36" s="42"/>
      <c r="AI36" s="44"/>
      <c r="AJ36" s="42"/>
      <c r="AK36" s="44"/>
      <c r="AL36" s="42"/>
      <c r="AM36" s="52">
        <v>3225</v>
      </c>
      <c r="AN36" s="52">
        <v>3225</v>
      </c>
      <c r="AO36" s="52">
        <v>1525</v>
      </c>
      <c r="AP36" s="52">
        <v>0</v>
      </c>
      <c r="AQ36" s="42"/>
      <c r="AR36" s="52">
        <v>3725</v>
      </c>
      <c r="AS36" s="52">
        <v>42361225</v>
      </c>
      <c r="AT36" s="52">
        <v>0</v>
      </c>
      <c r="AU36" s="41" t="s">
        <v>349</v>
      </c>
      <c r="AV36" s="41" t="s">
        <v>362</v>
      </c>
      <c r="AW36" s="41" t="s">
        <v>409</v>
      </c>
      <c r="AX36" s="41" t="s">
        <v>410</v>
      </c>
    </row>
    <row r="37" spans="1:50" x14ac:dyDescent="0.2">
      <c r="A37" s="40">
        <v>42361325</v>
      </c>
      <c r="B37" s="41" t="s">
        <v>2631</v>
      </c>
      <c r="C37" s="41" t="s">
        <v>2653</v>
      </c>
      <c r="D37" s="41" t="s">
        <v>460</v>
      </c>
      <c r="E37" s="49">
        <v>1521825</v>
      </c>
      <c r="F37" s="49">
        <v>7914</v>
      </c>
      <c r="G37" s="50">
        <v>1513911</v>
      </c>
      <c r="H37" s="42" t="s">
        <v>2615</v>
      </c>
      <c r="I37" s="42" t="s">
        <v>461</v>
      </c>
      <c r="J37" s="43" t="s">
        <v>351</v>
      </c>
      <c r="K37" s="40">
        <v>1073697700</v>
      </c>
      <c r="L37" s="41" t="s">
        <v>412</v>
      </c>
      <c r="M37" s="41" t="s">
        <v>316</v>
      </c>
      <c r="N37" s="41" t="s">
        <v>317</v>
      </c>
      <c r="O37" s="41" t="s">
        <v>413</v>
      </c>
      <c r="P37" s="41" t="s">
        <v>319</v>
      </c>
      <c r="Q37" s="40">
        <v>860034313</v>
      </c>
      <c r="R37" s="41" t="s">
        <v>355</v>
      </c>
      <c r="S37" s="40">
        <v>923227</v>
      </c>
      <c r="T37" s="41" t="s">
        <v>141</v>
      </c>
      <c r="U37" s="41" t="s">
        <v>142</v>
      </c>
      <c r="V37" s="41" t="s">
        <v>143</v>
      </c>
      <c r="W37" s="42" t="s">
        <v>31</v>
      </c>
      <c r="X37" s="42" t="s">
        <v>32</v>
      </c>
      <c r="Y37" s="42" t="s">
        <v>33</v>
      </c>
      <c r="Z37" s="42" t="s">
        <v>2652</v>
      </c>
      <c r="AA37" s="42" t="s">
        <v>34</v>
      </c>
      <c r="AB37" s="42" t="s">
        <v>34</v>
      </c>
      <c r="AC37" s="42" t="s">
        <v>34</v>
      </c>
      <c r="AD37" s="42" t="s">
        <v>462</v>
      </c>
      <c r="AE37" s="42"/>
      <c r="AF37" s="42"/>
      <c r="AG37" s="42" t="s">
        <v>463</v>
      </c>
      <c r="AH37" s="42"/>
      <c r="AI37" s="44"/>
      <c r="AJ37" s="42"/>
      <c r="AK37" s="44"/>
      <c r="AL37" s="42"/>
      <c r="AM37" s="52">
        <v>3225</v>
      </c>
      <c r="AN37" s="52">
        <v>3225</v>
      </c>
      <c r="AO37" s="52">
        <v>1625</v>
      </c>
      <c r="AP37" s="52">
        <v>0</v>
      </c>
      <c r="AQ37" s="42"/>
      <c r="AR37" s="52">
        <v>3825</v>
      </c>
      <c r="AS37" s="52">
        <v>42361325</v>
      </c>
      <c r="AT37" s="52">
        <v>0</v>
      </c>
      <c r="AU37" s="41" t="s">
        <v>349</v>
      </c>
      <c r="AV37" s="41" t="s">
        <v>362</v>
      </c>
      <c r="AW37" s="41" t="s">
        <v>414</v>
      </c>
      <c r="AX37" s="41" t="s">
        <v>410</v>
      </c>
    </row>
    <row r="38" spans="1:50" x14ac:dyDescent="0.2">
      <c r="A38" s="40">
        <v>42361525</v>
      </c>
      <c r="B38" s="41" t="s">
        <v>2631</v>
      </c>
      <c r="C38" s="41" t="s">
        <v>2654</v>
      </c>
      <c r="D38" s="41" t="s">
        <v>460</v>
      </c>
      <c r="E38" s="49">
        <v>1521825</v>
      </c>
      <c r="F38" s="49">
        <v>7914</v>
      </c>
      <c r="G38" s="50">
        <v>1513911</v>
      </c>
      <c r="H38" s="42" t="s">
        <v>2615</v>
      </c>
      <c r="I38" s="42" t="s">
        <v>461</v>
      </c>
      <c r="J38" s="43" t="s">
        <v>351</v>
      </c>
      <c r="K38" s="40">
        <v>80030739</v>
      </c>
      <c r="L38" s="41" t="s">
        <v>416</v>
      </c>
      <c r="M38" s="41" t="s">
        <v>316</v>
      </c>
      <c r="N38" s="41" t="s">
        <v>317</v>
      </c>
      <c r="O38" s="41" t="s">
        <v>417</v>
      </c>
      <c r="P38" s="41" t="s">
        <v>319</v>
      </c>
      <c r="Q38" s="40">
        <v>860002964</v>
      </c>
      <c r="R38" s="41" t="s">
        <v>419</v>
      </c>
      <c r="S38" s="40">
        <v>923227</v>
      </c>
      <c r="T38" s="41" t="s">
        <v>141</v>
      </c>
      <c r="U38" s="41" t="s">
        <v>142</v>
      </c>
      <c r="V38" s="41" t="s">
        <v>143</v>
      </c>
      <c r="W38" s="42" t="s">
        <v>31</v>
      </c>
      <c r="X38" s="42" t="s">
        <v>32</v>
      </c>
      <c r="Y38" s="42" t="s">
        <v>33</v>
      </c>
      <c r="Z38" s="42" t="s">
        <v>2652</v>
      </c>
      <c r="AA38" s="42" t="s">
        <v>34</v>
      </c>
      <c r="AB38" s="42" t="s">
        <v>34</v>
      </c>
      <c r="AC38" s="42" t="s">
        <v>34</v>
      </c>
      <c r="AD38" s="42" t="s">
        <v>462</v>
      </c>
      <c r="AE38" s="42"/>
      <c r="AF38" s="42"/>
      <c r="AG38" s="42" t="s">
        <v>463</v>
      </c>
      <c r="AH38" s="42"/>
      <c r="AI38" s="44"/>
      <c r="AJ38" s="42"/>
      <c r="AK38" s="44"/>
      <c r="AL38" s="42"/>
      <c r="AM38" s="52">
        <v>3225</v>
      </c>
      <c r="AN38" s="52">
        <v>3225</v>
      </c>
      <c r="AO38" s="52">
        <v>1725</v>
      </c>
      <c r="AP38" s="52">
        <v>0</v>
      </c>
      <c r="AQ38" s="42"/>
      <c r="AR38" s="52">
        <v>3925</v>
      </c>
      <c r="AS38" s="52">
        <v>42361525</v>
      </c>
      <c r="AT38" s="52">
        <v>0</v>
      </c>
      <c r="AU38" s="41" t="s">
        <v>349</v>
      </c>
      <c r="AV38" s="41" t="s">
        <v>362</v>
      </c>
      <c r="AW38" s="41" t="s">
        <v>420</v>
      </c>
      <c r="AX38" s="41" t="s">
        <v>410</v>
      </c>
    </row>
    <row r="39" spans="1:50" x14ac:dyDescent="0.2">
      <c r="A39" s="40">
        <v>42361625</v>
      </c>
      <c r="B39" s="41" t="s">
        <v>2631</v>
      </c>
      <c r="C39" s="41" t="s">
        <v>2654</v>
      </c>
      <c r="D39" s="41" t="s">
        <v>460</v>
      </c>
      <c r="E39" s="49">
        <v>1060096</v>
      </c>
      <c r="F39" s="49">
        <v>5548</v>
      </c>
      <c r="G39" s="50">
        <v>1054548</v>
      </c>
      <c r="H39" s="42" t="s">
        <v>2615</v>
      </c>
      <c r="I39" s="42" t="s">
        <v>461</v>
      </c>
      <c r="J39" s="43" t="s">
        <v>351</v>
      </c>
      <c r="K39" s="40">
        <v>1024533099</v>
      </c>
      <c r="L39" s="41" t="s">
        <v>423</v>
      </c>
      <c r="M39" s="41" t="s">
        <v>316</v>
      </c>
      <c r="N39" s="41" t="s">
        <v>317</v>
      </c>
      <c r="O39" s="41" t="s">
        <v>424</v>
      </c>
      <c r="P39" s="41" t="s">
        <v>319</v>
      </c>
      <c r="Q39" s="40">
        <v>860002964</v>
      </c>
      <c r="R39" s="41" t="s">
        <v>419</v>
      </c>
      <c r="S39" s="40">
        <v>923210</v>
      </c>
      <c r="T39" s="41" t="s">
        <v>56</v>
      </c>
      <c r="U39" s="41" t="s">
        <v>29</v>
      </c>
      <c r="V39" s="41" t="s">
        <v>30</v>
      </c>
      <c r="W39" s="42" t="s">
        <v>31</v>
      </c>
      <c r="X39" s="42" t="s">
        <v>32</v>
      </c>
      <c r="Y39" s="42" t="s">
        <v>33</v>
      </c>
      <c r="Z39" s="42" t="s">
        <v>2655</v>
      </c>
      <c r="AA39" s="42" t="s">
        <v>34</v>
      </c>
      <c r="AB39" s="42" t="s">
        <v>34</v>
      </c>
      <c r="AC39" s="42" t="s">
        <v>34</v>
      </c>
      <c r="AD39" s="42" t="s">
        <v>462</v>
      </c>
      <c r="AE39" s="42"/>
      <c r="AF39" s="42"/>
      <c r="AG39" s="42" t="s">
        <v>463</v>
      </c>
      <c r="AH39" s="42"/>
      <c r="AI39" s="44"/>
      <c r="AJ39" s="42"/>
      <c r="AK39" s="44"/>
      <c r="AL39" s="42"/>
      <c r="AM39" s="52">
        <v>1925</v>
      </c>
      <c r="AN39" s="52">
        <v>1925</v>
      </c>
      <c r="AO39" s="52">
        <v>1825</v>
      </c>
      <c r="AP39" s="52">
        <v>0</v>
      </c>
      <c r="AQ39" s="42"/>
      <c r="AR39" s="52">
        <v>4025</v>
      </c>
      <c r="AS39" s="52">
        <v>42361625</v>
      </c>
      <c r="AT39" s="52">
        <v>0</v>
      </c>
      <c r="AU39" s="41" t="s">
        <v>421</v>
      </c>
      <c r="AV39" s="41" t="s">
        <v>362</v>
      </c>
      <c r="AW39" s="41" t="s">
        <v>425</v>
      </c>
      <c r="AX39" s="41" t="s">
        <v>426</v>
      </c>
    </row>
    <row r="40" spans="1:50" x14ac:dyDescent="0.2">
      <c r="A40" s="40">
        <v>43210725</v>
      </c>
      <c r="B40" s="41" t="s">
        <v>2632</v>
      </c>
      <c r="C40" s="41" t="s">
        <v>2656</v>
      </c>
      <c r="D40" s="41" t="s">
        <v>460</v>
      </c>
      <c r="E40" s="49">
        <v>2112083</v>
      </c>
      <c r="F40" s="49">
        <v>0</v>
      </c>
      <c r="G40" s="50">
        <v>2112083</v>
      </c>
      <c r="H40" s="42" t="s">
        <v>2615</v>
      </c>
      <c r="I40" s="42" t="s">
        <v>461</v>
      </c>
      <c r="J40" s="43" t="s">
        <v>314</v>
      </c>
      <c r="K40" s="40">
        <v>860063875</v>
      </c>
      <c r="L40" s="41" t="s">
        <v>315</v>
      </c>
      <c r="M40" s="41" t="s">
        <v>316</v>
      </c>
      <c r="N40" s="41" t="s">
        <v>317</v>
      </c>
      <c r="O40" s="41" t="s">
        <v>318</v>
      </c>
      <c r="P40" s="41" t="s">
        <v>319</v>
      </c>
      <c r="Q40" s="40">
        <v>860050750</v>
      </c>
      <c r="R40" s="41" t="s">
        <v>321</v>
      </c>
      <c r="S40" s="40">
        <v>923210</v>
      </c>
      <c r="T40" s="41" t="s">
        <v>56</v>
      </c>
      <c r="U40" s="41" t="s">
        <v>29</v>
      </c>
      <c r="V40" s="41" t="s">
        <v>30</v>
      </c>
      <c r="W40" s="42" t="s">
        <v>47</v>
      </c>
      <c r="X40" s="42" t="s">
        <v>48</v>
      </c>
      <c r="Y40" s="42" t="s">
        <v>33</v>
      </c>
      <c r="Z40" s="42" t="s">
        <v>2023</v>
      </c>
      <c r="AA40" s="42" t="s">
        <v>34</v>
      </c>
      <c r="AB40" s="42" t="s">
        <v>34</v>
      </c>
      <c r="AC40" s="42" t="s">
        <v>34</v>
      </c>
      <c r="AD40" s="42" t="s">
        <v>462</v>
      </c>
      <c r="AE40" s="42"/>
      <c r="AF40" s="42"/>
      <c r="AG40" s="42" t="s">
        <v>463</v>
      </c>
      <c r="AH40" s="42"/>
      <c r="AI40" s="44"/>
      <c r="AJ40" s="42"/>
      <c r="AK40" s="44"/>
      <c r="AL40" s="42" t="s">
        <v>2657</v>
      </c>
      <c r="AM40" s="52">
        <v>1225</v>
      </c>
      <c r="AN40" s="52">
        <v>1225</v>
      </c>
      <c r="AO40" s="52">
        <v>30525</v>
      </c>
      <c r="AP40" s="52">
        <v>3525</v>
      </c>
      <c r="AQ40" s="42" t="s">
        <v>2016</v>
      </c>
      <c r="AR40" s="52">
        <v>2325</v>
      </c>
      <c r="AS40" s="52">
        <v>43210725</v>
      </c>
      <c r="AT40" s="52">
        <v>0</v>
      </c>
      <c r="AU40" s="41" t="s">
        <v>2016</v>
      </c>
      <c r="AV40" s="41" t="s">
        <v>323</v>
      </c>
      <c r="AW40" s="41" t="s">
        <v>2025</v>
      </c>
      <c r="AX40" s="41" t="s">
        <v>2026</v>
      </c>
    </row>
    <row r="41" spans="1:50" x14ac:dyDescent="0.2">
      <c r="A41" s="40">
        <v>47481725</v>
      </c>
      <c r="B41" s="41" t="s">
        <v>2659</v>
      </c>
      <c r="C41" s="41" t="s">
        <v>2660</v>
      </c>
      <c r="D41" s="41" t="s">
        <v>460</v>
      </c>
      <c r="E41" s="49">
        <v>576929</v>
      </c>
      <c r="F41" s="49">
        <v>0</v>
      </c>
      <c r="G41" s="50">
        <v>576929</v>
      </c>
      <c r="H41" s="42" t="s">
        <v>2615</v>
      </c>
      <c r="I41" s="42" t="s">
        <v>461</v>
      </c>
      <c r="J41" s="43" t="s">
        <v>351</v>
      </c>
      <c r="K41" s="40">
        <v>80724086</v>
      </c>
      <c r="L41" s="41" t="s">
        <v>1926</v>
      </c>
      <c r="M41" s="41" t="s">
        <v>316</v>
      </c>
      <c r="N41" s="41" t="s">
        <v>317</v>
      </c>
      <c r="O41" s="41" t="s">
        <v>1927</v>
      </c>
      <c r="P41" s="41" t="s">
        <v>319</v>
      </c>
      <c r="Q41" s="40">
        <v>890903938</v>
      </c>
      <c r="R41" s="41" t="s">
        <v>342</v>
      </c>
      <c r="S41" s="40">
        <v>923238</v>
      </c>
      <c r="T41" s="41" t="s">
        <v>569</v>
      </c>
      <c r="U41" s="41" t="s">
        <v>29</v>
      </c>
      <c r="V41" s="41" t="s">
        <v>30</v>
      </c>
      <c r="W41" s="42" t="s">
        <v>31</v>
      </c>
      <c r="X41" s="42" t="s">
        <v>32</v>
      </c>
      <c r="Y41" s="42" t="s">
        <v>33</v>
      </c>
      <c r="Z41" s="42" t="s">
        <v>1925</v>
      </c>
      <c r="AA41" s="42" t="s">
        <v>34</v>
      </c>
      <c r="AB41" s="42" t="s">
        <v>34</v>
      </c>
      <c r="AC41" s="42" t="s">
        <v>34</v>
      </c>
      <c r="AD41" s="42" t="s">
        <v>462</v>
      </c>
      <c r="AE41" s="42"/>
      <c r="AF41" s="42"/>
      <c r="AG41" s="42" t="s">
        <v>463</v>
      </c>
      <c r="AH41" s="42"/>
      <c r="AI41" s="44"/>
      <c r="AJ41" s="42"/>
      <c r="AK41" s="44"/>
      <c r="AL41" s="42"/>
      <c r="AM41" s="52">
        <v>325</v>
      </c>
      <c r="AN41" s="52">
        <v>325</v>
      </c>
      <c r="AO41" s="52">
        <v>28825</v>
      </c>
      <c r="AP41" s="52">
        <v>0</v>
      </c>
      <c r="AQ41" s="42"/>
      <c r="AR41" s="52">
        <v>4125</v>
      </c>
      <c r="AS41" s="52">
        <v>47481725</v>
      </c>
      <c r="AT41" s="52">
        <v>0</v>
      </c>
      <c r="AU41" s="41" t="s">
        <v>1923</v>
      </c>
      <c r="AV41" s="41" t="s">
        <v>1929</v>
      </c>
      <c r="AW41" s="41" t="s">
        <v>1930</v>
      </c>
      <c r="AX41" s="41" t="s">
        <v>1931</v>
      </c>
    </row>
    <row r="42" spans="1:50" x14ac:dyDescent="0.2">
      <c r="A42" s="40">
        <v>47481825</v>
      </c>
      <c r="B42" s="41" t="s">
        <v>2659</v>
      </c>
      <c r="C42" s="41" t="s">
        <v>2662</v>
      </c>
      <c r="D42" s="41" t="s">
        <v>460</v>
      </c>
      <c r="E42" s="49">
        <v>478585</v>
      </c>
      <c r="F42" s="49">
        <v>0</v>
      </c>
      <c r="G42" s="50">
        <v>478585</v>
      </c>
      <c r="H42" s="42" t="s">
        <v>2615</v>
      </c>
      <c r="I42" s="42" t="s">
        <v>461</v>
      </c>
      <c r="J42" s="43" t="s">
        <v>351</v>
      </c>
      <c r="K42" s="40">
        <v>1012449137</v>
      </c>
      <c r="L42" s="41" t="s">
        <v>390</v>
      </c>
      <c r="M42" s="41" t="s">
        <v>316</v>
      </c>
      <c r="N42" s="41" t="s">
        <v>317</v>
      </c>
      <c r="O42" s="41" t="s">
        <v>391</v>
      </c>
      <c r="P42" s="41" t="s">
        <v>319</v>
      </c>
      <c r="Q42" s="40">
        <v>860003020</v>
      </c>
      <c r="R42" s="41" t="s">
        <v>393</v>
      </c>
      <c r="S42" s="40">
        <v>923290</v>
      </c>
      <c r="T42" s="41" t="s">
        <v>208</v>
      </c>
      <c r="U42" s="41" t="s">
        <v>29</v>
      </c>
      <c r="V42" s="41" t="s">
        <v>30</v>
      </c>
      <c r="W42" s="42" t="s">
        <v>31</v>
      </c>
      <c r="X42" s="42" t="s">
        <v>32</v>
      </c>
      <c r="Y42" s="42" t="s">
        <v>33</v>
      </c>
      <c r="Z42" s="42" t="s">
        <v>1933</v>
      </c>
      <c r="AA42" s="42" t="s">
        <v>34</v>
      </c>
      <c r="AB42" s="42" t="s">
        <v>34</v>
      </c>
      <c r="AC42" s="42" t="s">
        <v>34</v>
      </c>
      <c r="AD42" s="42" t="s">
        <v>462</v>
      </c>
      <c r="AE42" s="42"/>
      <c r="AF42" s="42"/>
      <c r="AG42" s="42" t="s">
        <v>463</v>
      </c>
      <c r="AH42" s="42"/>
      <c r="AI42" s="44"/>
      <c r="AJ42" s="42"/>
      <c r="AK42" s="44"/>
      <c r="AL42" s="42"/>
      <c r="AM42" s="52">
        <v>4925</v>
      </c>
      <c r="AN42" s="52">
        <v>4925</v>
      </c>
      <c r="AO42" s="52">
        <v>28925</v>
      </c>
      <c r="AP42" s="52">
        <v>0</v>
      </c>
      <c r="AQ42" s="42"/>
      <c r="AR42" s="52">
        <v>4225</v>
      </c>
      <c r="AS42" s="52">
        <v>47481825</v>
      </c>
      <c r="AT42" s="52">
        <v>0</v>
      </c>
      <c r="AU42" s="41" t="s">
        <v>1923</v>
      </c>
      <c r="AV42" s="41" t="s">
        <v>1929</v>
      </c>
      <c r="AW42" s="41" t="s">
        <v>1934</v>
      </c>
      <c r="AX42" s="41" t="s">
        <v>1935</v>
      </c>
    </row>
    <row r="43" spans="1:50" x14ac:dyDescent="0.2">
      <c r="A43" s="40">
        <v>47481925</v>
      </c>
      <c r="B43" s="41" t="s">
        <v>2659</v>
      </c>
      <c r="C43" s="41" t="s">
        <v>2664</v>
      </c>
      <c r="D43" s="41" t="s">
        <v>460</v>
      </c>
      <c r="E43" s="49">
        <v>93439</v>
      </c>
      <c r="F43" s="49">
        <v>0</v>
      </c>
      <c r="G43" s="50">
        <v>93439</v>
      </c>
      <c r="H43" s="42" t="s">
        <v>2615</v>
      </c>
      <c r="I43" s="42" t="s">
        <v>461</v>
      </c>
      <c r="J43" s="43" t="s">
        <v>351</v>
      </c>
      <c r="K43" s="40">
        <v>79661139</v>
      </c>
      <c r="L43" s="41" t="s">
        <v>1871</v>
      </c>
      <c r="M43" s="41" t="s">
        <v>316</v>
      </c>
      <c r="N43" s="41" t="s">
        <v>317</v>
      </c>
      <c r="O43" s="41" t="s">
        <v>1872</v>
      </c>
      <c r="P43" s="41" t="s">
        <v>319</v>
      </c>
      <c r="Q43" s="40">
        <v>860034313</v>
      </c>
      <c r="R43" s="41" t="s">
        <v>355</v>
      </c>
      <c r="S43" s="40">
        <v>923210</v>
      </c>
      <c r="T43" s="41" t="s">
        <v>56</v>
      </c>
      <c r="U43" s="41" t="s">
        <v>29</v>
      </c>
      <c r="V43" s="41" t="s">
        <v>30</v>
      </c>
      <c r="W43" s="42" t="s">
        <v>31</v>
      </c>
      <c r="X43" s="42" t="s">
        <v>32</v>
      </c>
      <c r="Y43" s="42" t="s">
        <v>33</v>
      </c>
      <c r="Z43" s="42" t="s">
        <v>1937</v>
      </c>
      <c r="AA43" s="42" t="s">
        <v>34</v>
      </c>
      <c r="AB43" s="42" t="s">
        <v>34</v>
      </c>
      <c r="AC43" s="42" t="s">
        <v>34</v>
      </c>
      <c r="AD43" s="42" t="s">
        <v>462</v>
      </c>
      <c r="AE43" s="42"/>
      <c r="AF43" s="42"/>
      <c r="AG43" s="42" t="s">
        <v>463</v>
      </c>
      <c r="AH43" s="42"/>
      <c r="AI43" s="44"/>
      <c r="AJ43" s="42"/>
      <c r="AK43" s="44"/>
      <c r="AL43" s="42"/>
      <c r="AM43" s="52">
        <v>1625</v>
      </c>
      <c r="AN43" s="52">
        <v>1625</v>
      </c>
      <c r="AO43" s="52">
        <v>29025</v>
      </c>
      <c r="AP43" s="52">
        <v>0</v>
      </c>
      <c r="AQ43" s="42"/>
      <c r="AR43" s="52">
        <v>4325</v>
      </c>
      <c r="AS43" s="52">
        <v>47481925</v>
      </c>
      <c r="AT43" s="52">
        <v>0</v>
      </c>
      <c r="AU43" s="41" t="s">
        <v>1923</v>
      </c>
      <c r="AV43" s="41" t="s">
        <v>1929</v>
      </c>
      <c r="AW43" s="41" t="s">
        <v>1939</v>
      </c>
      <c r="AX43" s="41" t="s">
        <v>1940</v>
      </c>
    </row>
    <row r="44" spans="1:50" x14ac:dyDescent="0.2">
      <c r="A44" s="40">
        <v>47482025</v>
      </c>
      <c r="B44" s="41" t="s">
        <v>2659</v>
      </c>
      <c r="C44" s="41" t="s">
        <v>2666</v>
      </c>
      <c r="D44" s="41" t="s">
        <v>460</v>
      </c>
      <c r="E44" s="49">
        <v>252632</v>
      </c>
      <c r="F44" s="49">
        <v>0</v>
      </c>
      <c r="G44" s="50">
        <v>252632</v>
      </c>
      <c r="H44" s="42" t="s">
        <v>2615</v>
      </c>
      <c r="I44" s="42" t="s">
        <v>461</v>
      </c>
      <c r="J44" s="43" t="s">
        <v>351</v>
      </c>
      <c r="K44" s="40">
        <v>80062448</v>
      </c>
      <c r="L44" s="41" t="s">
        <v>1943</v>
      </c>
      <c r="M44" s="41" t="s">
        <v>316</v>
      </c>
      <c r="N44" s="41" t="s">
        <v>317</v>
      </c>
      <c r="O44" s="41" t="s">
        <v>1944</v>
      </c>
      <c r="P44" s="41" t="s">
        <v>319</v>
      </c>
      <c r="Q44" s="40">
        <v>860034313</v>
      </c>
      <c r="R44" s="41" t="s">
        <v>355</v>
      </c>
      <c r="S44" s="40">
        <v>923210</v>
      </c>
      <c r="T44" s="41" t="s">
        <v>56</v>
      </c>
      <c r="U44" s="41" t="s">
        <v>29</v>
      </c>
      <c r="V44" s="41" t="s">
        <v>30</v>
      </c>
      <c r="W44" s="42" t="s">
        <v>31</v>
      </c>
      <c r="X44" s="42" t="s">
        <v>32</v>
      </c>
      <c r="Y44" s="42" t="s">
        <v>33</v>
      </c>
      <c r="Z44" s="42" t="s">
        <v>1942</v>
      </c>
      <c r="AA44" s="42" t="s">
        <v>34</v>
      </c>
      <c r="AB44" s="42" t="s">
        <v>34</v>
      </c>
      <c r="AC44" s="42" t="s">
        <v>34</v>
      </c>
      <c r="AD44" s="42" t="s">
        <v>462</v>
      </c>
      <c r="AE44" s="42"/>
      <c r="AF44" s="42"/>
      <c r="AG44" s="42" t="s">
        <v>463</v>
      </c>
      <c r="AH44" s="42"/>
      <c r="AI44" s="44"/>
      <c r="AJ44" s="42"/>
      <c r="AK44" s="44"/>
      <c r="AL44" s="42"/>
      <c r="AM44" s="52">
        <v>1625</v>
      </c>
      <c r="AN44" s="52">
        <v>1625</v>
      </c>
      <c r="AO44" s="52">
        <v>29125</v>
      </c>
      <c r="AP44" s="52">
        <v>0</v>
      </c>
      <c r="AQ44" s="42"/>
      <c r="AR44" s="52">
        <v>4425</v>
      </c>
      <c r="AS44" s="52">
        <v>47482025</v>
      </c>
      <c r="AT44" s="52">
        <v>0</v>
      </c>
      <c r="AU44" s="41" t="s">
        <v>1923</v>
      </c>
      <c r="AV44" s="41" t="s">
        <v>1929</v>
      </c>
      <c r="AW44" s="41" t="s">
        <v>1946</v>
      </c>
      <c r="AX44" s="41" t="s">
        <v>1947</v>
      </c>
    </row>
    <row r="45" spans="1:50" x14ac:dyDescent="0.2">
      <c r="A45" s="40">
        <v>47482125</v>
      </c>
      <c r="B45" s="41" t="s">
        <v>2659</v>
      </c>
      <c r="C45" s="41" t="s">
        <v>2668</v>
      </c>
      <c r="D45" s="41" t="s">
        <v>460</v>
      </c>
      <c r="E45" s="49">
        <v>478585</v>
      </c>
      <c r="F45" s="49">
        <v>0</v>
      </c>
      <c r="G45" s="50">
        <v>478585</v>
      </c>
      <c r="H45" s="42" t="s">
        <v>2615</v>
      </c>
      <c r="I45" s="42" t="s">
        <v>461</v>
      </c>
      <c r="J45" s="43" t="s">
        <v>351</v>
      </c>
      <c r="K45" s="40">
        <v>1018436224</v>
      </c>
      <c r="L45" s="41" t="s">
        <v>739</v>
      </c>
      <c r="M45" s="41" t="s">
        <v>316</v>
      </c>
      <c r="N45" s="41" t="s">
        <v>317</v>
      </c>
      <c r="O45" s="41" t="s">
        <v>740</v>
      </c>
      <c r="P45" s="41" t="s">
        <v>319</v>
      </c>
      <c r="Q45" s="40">
        <v>890903938</v>
      </c>
      <c r="R45" s="41" t="s">
        <v>342</v>
      </c>
      <c r="S45" s="40">
        <v>923285</v>
      </c>
      <c r="T45" s="41" t="s">
        <v>572</v>
      </c>
      <c r="U45" s="41" t="s">
        <v>29</v>
      </c>
      <c r="V45" s="41" t="s">
        <v>30</v>
      </c>
      <c r="W45" s="42" t="s">
        <v>31</v>
      </c>
      <c r="X45" s="42" t="s">
        <v>32</v>
      </c>
      <c r="Y45" s="42" t="s">
        <v>33</v>
      </c>
      <c r="Z45" s="42" t="s">
        <v>1933</v>
      </c>
      <c r="AA45" s="42" t="s">
        <v>34</v>
      </c>
      <c r="AB45" s="42" t="s">
        <v>34</v>
      </c>
      <c r="AC45" s="42" t="s">
        <v>34</v>
      </c>
      <c r="AD45" s="42" t="s">
        <v>462</v>
      </c>
      <c r="AE45" s="42"/>
      <c r="AF45" s="42"/>
      <c r="AG45" s="42" t="s">
        <v>463</v>
      </c>
      <c r="AH45" s="42"/>
      <c r="AI45" s="44"/>
      <c r="AJ45" s="42"/>
      <c r="AK45" s="44"/>
      <c r="AL45" s="42"/>
      <c r="AM45" s="52">
        <v>4425</v>
      </c>
      <c r="AN45" s="52">
        <v>4425</v>
      </c>
      <c r="AO45" s="52">
        <v>29225</v>
      </c>
      <c r="AP45" s="52">
        <v>0</v>
      </c>
      <c r="AQ45" s="42"/>
      <c r="AR45" s="52">
        <v>4525</v>
      </c>
      <c r="AS45" s="52">
        <v>47482125</v>
      </c>
      <c r="AT45" s="52">
        <v>0</v>
      </c>
      <c r="AU45" s="41" t="s">
        <v>1923</v>
      </c>
      <c r="AV45" s="41" t="s">
        <v>1929</v>
      </c>
      <c r="AW45" s="41" t="s">
        <v>1949</v>
      </c>
      <c r="AX45" s="41" t="s">
        <v>1950</v>
      </c>
    </row>
    <row r="46" spans="1:50" x14ac:dyDescent="0.2">
      <c r="A46" s="40">
        <v>47482225</v>
      </c>
      <c r="B46" s="41" t="s">
        <v>2659</v>
      </c>
      <c r="C46" s="41" t="s">
        <v>2670</v>
      </c>
      <c r="D46" s="41" t="s">
        <v>460</v>
      </c>
      <c r="E46" s="49">
        <v>372012</v>
      </c>
      <c r="F46" s="49">
        <v>0</v>
      </c>
      <c r="G46" s="50">
        <v>372012</v>
      </c>
      <c r="H46" s="42" t="s">
        <v>2615</v>
      </c>
      <c r="I46" s="42" t="s">
        <v>461</v>
      </c>
      <c r="J46" s="43" t="s">
        <v>351</v>
      </c>
      <c r="K46" s="40">
        <v>52425990</v>
      </c>
      <c r="L46" s="41" t="s">
        <v>1953</v>
      </c>
      <c r="M46" s="41" t="s">
        <v>316</v>
      </c>
      <c r="N46" s="41" t="s">
        <v>317</v>
      </c>
      <c r="O46" s="41" t="s">
        <v>1954</v>
      </c>
      <c r="P46" s="41" t="s">
        <v>319</v>
      </c>
      <c r="Q46" s="40">
        <v>860007335</v>
      </c>
      <c r="R46" s="41" t="s">
        <v>381</v>
      </c>
      <c r="S46" s="40">
        <v>923238</v>
      </c>
      <c r="T46" s="41" t="s">
        <v>569</v>
      </c>
      <c r="U46" s="41" t="s">
        <v>29</v>
      </c>
      <c r="V46" s="41" t="s">
        <v>30</v>
      </c>
      <c r="W46" s="42" t="s">
        <v>31</v>
      </c>
      <c r="X46" s="42" t="s">
        <v>32</v>
      </c>
      <c r="Y46" s="42" t="s">
        <v>33</v>
      </c>
      <c r="Z46" s="42" t="s">
        <v>1952</v>
      </c>
      <c r="AA46" s="42" t="s">
        <v>34</v>
      </c>
      <c r="AB46" s="42" t="s">
        <v>34</v>
      </c>
      <c r="AC46" s="42" t="s">
        <v>34</v>
      </c>
      <c r="AD46" s="42" t="s">
        <v>462</v>
      </c>
      <c r="AE46" s="42"/>
      <c r="AF46" s="42"/>
      <c r="AG46" s="42" t="s">
        <v>463</v>
      </c>
      <c r="AH46" s="42"/>
      <c r="AI46" s="44"/>
      <c r="AJ46" s="42"/>
      <c r="AK46" s="44"/>
      <c r="AL46" s="42"/>
      <c r="AM46" s="52">
        <v>325</v>
      </c>
      <c r="AN46" s="52">
        <v>325</v>
      </c>
      <c r="AO46" s="52">
        <v>29325</v>
      </c>
      <c r="AP46" s="52">
        <v>0</v>
      </c>
      <c r="AQ46" s="42"/>
      <c r="AR46" s="52">
        <v>4625</v>
      </c>
      <c r="AS46" s="52">
        <v>47482225</v>
      </c>
      <c r="AT46" s="52">
        <v>0</v>
      </c>
      <c r="AU46" s="41" t="s">
        <v>1923</v>
      </c>
      <c r="AV46" s="41" t="s">
        <v>1929</v>
      </c>
      <c r="AW46" s="41" t="s">
        <v>1956</v>
      </c>
      <c r="AX46" s="41" t="s">
        <v>1957</v>
      </c>
    </row>
    <row r="47" spans="1:50" x14ac:dyDescent="0.2">
      <c r="A47" s="40">
        <v>47482425</v>
      </c>
      <c r="B47" s="41" t="s">
        <v>2659</v>
      </c>
      <c r="C47" s="41" t="s">
        <v>2672</v>
      </c>
      <c r="D47" s="41" t="s">
        <v>460</v>
      </c>
      <c r="E47" s="49">
        <v>576929</v>
      </c>
      <c r="F47" s="49">
        <v>0</v>
      </c>
      <c r="G47" s="50">
        <v>576929</v>
      </c>
      <c r="H47" s="42" t="s">
        <v>2615</v>
      </c>
      <c r="I47" s="42" t="s">
        <v>461</v>
      </c>
      <c r="J47" s="43" t="s">
        <v>351</v>
      </c>
      <c r="K47" s="40">
        <v>79359242</v>
      </c>
      <c r="L47" s="41" t="s">
        <v>1959</v>
      </c>
      <c r="M47" s="41" t="s">
        <v>316</v>
      </c>
      <c r="N47" s="41" t="s">
        <v>317</v>
      </c>
      <c r="O47" s="41" t="s">
        <v>1960</v>
      </c>
      <c r="P47" s="41" t="s">
        <v>319</v>
      </c>
      <c r="Q47" s="40">
        <v>860002964</v>
      </c>
      <c r="R47" s="41" t="s">
        <v>419</v>
      </c>
      <c r="S47" s="40">
        <v>923210</v>
      </c>
      <c r="T47" s="41" t="s">
        <v>56</v>
      </c>
      <c r="U47" s="41" t="s">
        <v>29</v>
      </c>
      <c r="V47" s="41" t="s">
        <v>30</v>
      </c>
      <c r="W47" s="42" t="s">
        <v>31</v>
      </c>
      <c r="X47" s="42" t="s">
        <v>32</v>
      </c>
      <c r="Y47" s="42" t="s">
        <v>33</v>
      </c>
      <c r="Z47" s="42" t="s">
        <v>1925</v>
      </c>
      <c r="AA47" s="42" t="s">
        <v>34</v>
      </c>
      <c r="AB47" s="42" t="s">
        <v>34</v>
      </c>
      <c r="AC47" s="42" t="s">
        <v>34</v>
      </c>
      <c r="AD47" s="42" t="s">
        <v>462</v>
      </c>
      <c r="AE47" s="42"/>
      <c r="AF47" s="42"/>
      <c r="AG47" s="42" t="s">
        <v>463</v>
      </c>
      <c r="AH47" s="42"/>
      <c r="AI47" s="44"/>
      <c r="AJ47" s="42"/>
      <c r="AK47" s="44"/>
      <c r="AL47" s="42"/>
      <c r="AM47" s="52">
        <v>1625</v>
      </c>
      <c r="AN47" s="52">
        <v>1625</v>
      </c>
      <c r="AO47" s="52">
        <v>29425</v>
      </c>
      <c r="AP47" s="52">
        <v>0</v>
      </c>
      <c r="AQ47" s="42"/>
      <c r="AR47" s="52">
        <v>4725</v>
      </c>
      <c r="AS47" s="52">
        <v>47482425</v>
      </c>
      <c r="AT47" s="52">
        <v>0</v>
      </c>
      <c r="AU47" s="41" t="s">
        <v>1923</v>
      </c>
      <c r="AV47" s="41" t="s">
        <v>1929</v>
      </c>
      <c r="AW47" s="41" t="s">
        <v>1962</v>
      </c>
      <c r="AX47" s="41" t="s">
        <v>1963</v>
      </c>
    </row>
    <row r="48" spans="1:50" x14ac:dyDescent="0.2">
      <c r="A48" s="40">
        <v>47482625</v>
      </c>
      <c r="B48" s="41" t="s">
        <v>2659</v>
      </c>
      <c r="C48" s="41" t="s">
        <v>2674</v>
      </c>
      <c r="D48" s="41" t="s">
        <v>460</v>
      </c>
      <c r="E48" s="49">
        <v>465641</v>
      </c>
      <c r="F48" s="49">
        <v>0</v>
      </c>
      <c r="G48" s="50">
        <v>465641</v>
      </c>
      <c r="H48" s="42" t="s">
        <v>2615</v>
      </c>
      <c r="I48" s="42" t="s">
        <v>461</v>
      </c>
      <c r="J48" s="43" t="s">
        <v>351</v>
      </c>
      <c r="K48" s="40">
        <v>80062448</v>
      </c>
      <c r="L48" s="41" t="s">
        <v>1943</v>
      </c>
      <c r="M48" s="41" t="s">
        <v>316</v>
      </c>
      <c r="N48" s="41" t="s">
        <v>317</v>
      </c>
      <c r="O48" s="41" t="s">
        <v>1944</v>
      </c>
      <c r="P48" s="41" t="s">
        <v>319</v>
      </c>
      <c r="Q48" s="40">
        <v>860034313</v>
      </c>
      <c r="R48" s="41" t="s">
        <v>355</v>
      </c>
      <c r="S48" s="40">
        <v>923238</v>
      </c>
      <c r="T48" s="41" t="s">
        <v>569</v>
      </c>
      <c r="U48" s="41" t="s">
        <v>29</v>
      </c>
      <c r="V48" s="41" t="s">
        <v>30</v>
      </c>
      <c r="W48" s="42" t="s">
        <v>31</v>
      </c>
      <c r="X48" s="42" t="s">
        <v>32</v>
      </c>
      <c r="Y48" s="42" t="s">
        <v>33</v>
      </c>
      <c r="Z48" s="42" t="s">
        <v>2007</v>
      </c>
      <c r="AA48" s="42" t="s">
        <v>34</v>
      </c>
      <c r="AB48" s="42" t="s">
        <v>34</v>
      </c>
      <c r="AC48" s="42" t="s">
        <v>34</v>
      </c>
      <c r="AD48" s="42" t="s">
        <v>462</v>
      </c>
      <c r="AE48" s="42"/>
      <c r="AF48" s="42"/>
      <c r="AG48" s="42" t="s">
        <v>463</v>
      </c>
      <c r="AH48" s="42"/>
      <c r="AI48" s="44"/>
      <c r="AJ48" s="42"/>
      <c r="AK48" s="44"/>
      <c r="AL48" s="42"/>
      <c r="AM48" s="52">
        <v>325</v>
      </c>
      <c r="AN48" s="52">
        <v>325</v>
      </c>
      <c r="AO48" s="52">
        <v>30225</v>
      </c>
      <c r="AP48" s="52">
        <v>0</v>
      </c>
      <c r="AQ48" s="42"/>
      <c r="AR48" s="52">
        <v>4825</v>
      </c>
      <c r="AS48" s="52">
        <v>47482625</v>
      </c>
      <c r="AT48" s="52">
        <v>0</v>
      </c>
      <c r="AU48" s="41" t="s">
        <v>2005</v>
      </c>
      <c r="AV48" s="41" t="s">
        <v>1929</v>
      </c>
      <c r="AW48" s="41" t="s">
        <v>2009</v>
      </c>
      <c r="AX48" s="41" t="s">
        <v>2010</v>
      </c>
    </row>
    <row r="49" spans="1:50" x14ac:dyDescent="0.2">
      <c r="A49" s="40">
        <v>47482825</v>
      </c>
      <c r="B49" s="41" t="s">
        <v>2659</v>
      </c>
      <c r="C49" s="41" t="s">
        <v>2676</v>
      </c>
      <c r="D49" s="41" t="s">
        <v>460</v>
      </c>
      <c r="E49" s="49">
        <v>35200</v>
      </c>
      <c r="F49" s="49">
        <v>0</v>
      </c>
      <c r="G49" s="50">
        <v>35200</v>
      </c>
      <c r="H49" s="42" t="s">
        <v>2615</v>
      </c>
      <c r="I49" s="42" t="s">
        <v>461</v>
      </c>
      <c r="J49" s="43" t="s">
        <v>351</v>
      </c>
      <c r="K49" s="40">
        <v>79661139</v>
      </c>
      <c r="L49" s="41" t="s">
        <v>1871</v>
      </c>
      <c r="M49" s="41" t="s">
        <v>316</v>
      </c>
      <c r="N49" s="41" t="s">
        <v>317</v>
      </c>
      <c r="O49" s="41" t="s">
        <v>1872</v>
      </c>
      <c r="P49" s="41" t="s">
        <v>319</v>
      </c>
      <c r="Q49" s="40">
        <v>860034313</v>
      </c>
      <c r="R49" s="41" t="s">
        <v>355</v>
      </c>
      <c r="S49" s="40">
        <v>923210</v>
      </c>
      <c r="T49" s="41" t="s">
        <v>56</v>
      </c>
      <c r="U49" s="41" t="s">
        <v>29</v>
      </c>
      <c r="V49" s="41" t="s">
        <v>30</v>
      </c>
      <c r="W49" s="42" t="s">
        <v>31</v>
      </c>
      <c r="X49" s="42" t="s">
        <v>32</v>
      </c>
      <c r="Y49" s="42" t="s">
        <v>33</v>
      </c>
      <c r="Z49" s="42" t="s">
        <v>2012</v>
      </c>
      <c r="AA49" s="42" t="s">
        <v>34</v>
      </c>
      <c r="AB49" s="42" t="s">
        <v>34</v>
      </c>
      <c r="AC49" s="42" t="s">
        <v>34</v>
      </c>
      <c r="AD49" s="42" t="s">
        <v>462</v>
      </c>
      <c r="AE49" s="42"/>
      <c r="AF49" s="42"/>
      <c r="AG49" s="42" t="s">
        <v>463</v>
      </c>
      <c r="AH49" s="42"/>
      <c r="AI49" s="44"/>
      <c r="AJ49" s="42"/>
      <c r="AK49" s="44"/>
      <c r="AL49" s="42"/>
      <c r="AM49" s="52">
        <v>1625</v>
      </c>
      <c r="AN49" s="52">
        <v>1625</v>
      </c>
      <c r="AO49" s="52">
        <v>30325</v>
      </c>
      <c r="AP49" s="52">
        <v>0</v>
      </c>
      <c r="AQ49" s="42"/>
      <c r="AR49" s="52">
        <v>4925</v>
      </c>
      <c r="AS49" s="52">
        <v>47482825</v>
      </c>
      <c r="AT49" s="52">
        <v>0</v>
      </c>
      <c r="AU49" s="41" t="s">
        <v>2005</v>
      </c>
      <c r="AV49" s="41" t="s">
        <v>1929</v>
      </c>
      <c r="AW49" s="41" t="s">
        <v>2014</v>
      </c>
      <c r="AX49" s="41" t="s">
        <v>2015</v>
      </c>
    </row>
    <row r="50" spans="1:50" x14ac:dyDescent="0.2">
      <c r="A50" s="40">
        <v>47483125</v>
      </c>
      <c r="B50" s="41" t="s">
        <v>2659</v>
      </c>
      <c r="C50" s="41" t="s">
        <v>2678</v>
      </c>
      <c r="D50" s="41" t="s">
        <v>460</v>
      </c>
      <c r="E50" s="49">
        <v>136200</v>
      </c>
      <c r="F50" s="49">
        <v>0</v>
      </c>
      <c r="G50" s="50">
        <v>136200</v>
      </c>
      <c r="H50" s="42" t="s">
        <v>2615</v>
      </c>
      <c r="I50" s="42" t="s">
        <v>461</v>
      </c>
      <c r="J50" s="43" t="s">
        <v>351</v>
      </c>
      <c r="K50" s="40">
        <v>79661139</v>
      </c>
      <c r="L50" s="41" t="s">
        <v>1871</v>
      </c>
      <c r="M50" s="41" t="s">
        <v>316</v>
      </c>
      <c r="N50" s="41" t="s">
        <v>317</v>
      </c>
      <c r="O50" s="41" t="s">
        <v>1872</v>
      </c>
      <c r="P50" s="41" t="s">
        <v>319</v>
      </c>
      <c r="Q50" s="40">
        <v>860034313</v>
      </c>
      <c r="R50" s="41" t="s">
        <v>355</v>
      </c>
      <c r="S50" s="40">
        <v>923210</v>
      </c>
      <c r="T50" s="41" t="s">
        <v>56</v>
      </c>
      <c r="U50" s="41" t="s">
        <v>29</v>
      </c>
      <c r="V50" s="41" t="s">
        <v>30</v>
      </c>
      <c r="W50" s="42" t="s">
        <v>31</v>
      </c>
      <c r="X50" s="42" t="s">
        <v>32</v>
      </c>
      <c r="Y50" s="42" t="s">
        <v>33</v>
      </c>
      <c r="Z50" s="42" t="s">
        <v>2018</v>
      </c>
      <c r="AA50" s="42" t="s">
        <v>34</v>
      </c>
      <c r="AB50" s="42" t="s">
        <v>34</v>
      </c>
      <c r="AC50" s="42" t="s">
        <v>34</v>
      </c>
      <c r="AD50" s="42" t="s">
        <v>462</v>
      </c>
      <c r="AE50" s="42"/>
      <c r="AF50" s="42"/>
      <c r="AG50" s="42" t="s">
        <v>463</v>
      </c>
      <c r="AH50" s="42"/>
      <c r="AI50" s="44"/>
      <c r="AJ50" s="42"/>
      <c r="AK50" s="44"/>
      <c r="AL50" s="42"/>
      <c r="AM50" s="52">
        <v>1625</v>
      </c>
      <c r="AN50" s="52">
        <v>1625</v>
      </c>
      <c r="AO50" s="52">
        <v>30425</v>
      </c>
      <c r="AP50" s="52">
        <v>0</v>
      </c>
      <c r="AQ50" s="42"/>
      <c r="AR50" s="52">
        <v>5025</v>
      </c>
      <c r="AS50" s="52">
        <v>47483125</v>
      </c>
      <c r="AT50" s="52">
        <v>0</v>
      </c>
      <c r="AU50" s="41" t="s">
        <v>2016</v>
      </c>
      <c r="AV50" s="41" t="s">
        <v>1929</v>
      </c>
      <c r="AW50" s="41" t="s">
        <v>2020</v>
      </c>
      <c r="AX50" s="41" t="s">
        <v>2021</v>
      </c>
    </row>
    <row r="51" spans="1:50" x14ac:dyDescent="0.2">
      <c r="A51" s="40">
        <v>47483225</v>
      </c>
      <c r="B51" s="41" t="s">
        <v>2659</v>
      </c>
      <c r="C51" s="41" t="s">
        <v>2680</v>
      </c>
      <c r="D51" s="41" t="s">
        <v>460</v>
      </c>
      <c r="E51" s="49">
        <v>222632</v>
      </c>
      <c r="F51" s="49">
        <v>0</v>
      </c>
      <c r="G51" s="50">
        <v>222632</v>
      </c>
      <c r="H51" s="42" t="s">
        <v>2615</v>
      </c>
      <c r="I51" s="42" t="s">
        <v>461</v>
      </c>
      <c r="J51" s="43" t="s">
        <v>351</v>
      </c>
      <c r="K51" s="40">
        <v>11315001</v>
      </c>
      <c r="L51" s="41" t="s">
        <v>2037</v>
      </c>
      <c r="M51" s="41" t="s">
        <v>316</v>
      </c>
      <c r="N51" s="41" t="s">
        <v>317</v>
      </c>
      <c r="O51" s="41" t="s">
        <v>2038</v>
      </c>
      <c r="P51" s="41" t="s">
        <v>319</v>
      </c>
      <c r="Q51" s="40">
        <v>890903938</v>
      </c>
      <c r="R51" s="41" t="s">
        <v>342</v>
      </c>
      <c r="S51" s="40">
        <v>923210</v>
      </c>
      <c r="T51" s="41" t="s">
        <v>56</v>
      </c>
      <c r="U51" s="41" t="s">
        <v>29</v>
      </c>
      <c r="V51" s="41" t="s">
        <v>30</v>
      </c>
      <c r="W51" s="42" t="s">
        <v>31</v>
      </c>
      <c r="X51" s="42" t="s">
        <v>32</v>
      </c>
      <c r="Y51" s="42" t="s">
        <v>33</v>
      </c>
      <c r="Z51" s="42" t="s">
        <v>2036</v>
      </c>
      <c r="AA51" s="42" t="s">
        <v>34</v>
      </c>
      <c r="AB51" s="42" t="s">
        <v>34</v>
      </c>
      <c r="AC51" s="42" t="s">
        <v>34</v>
      </c>
      <c r="AD51" s="42" t="s">
        <v>462</v>
      </c>
      <c r="AE51" s="42"/>
      <c r="AF51" s="42"/>
      <c r="AG51" s="42" t="s">
        <v>463</v>
      </c>
      <c r="AH51" s="42"/>
      <c r="AI51" s="44"/>
      <c r="AJ51" s="42"/>
      <c r="AK51" s="44"/>
      <c r="AL51" s="42"/>
      <c r="AM51" s="52">
        <v>1625</v>
      </c>
      <c r="AN51" s="52">
        <v>1625</v>
      </c>
      <c r="AO51" s="52">
        <v>30725</v>
      </c>
      <c r="AP51" s="52">
        <v>0</v>
      </c>
      <c r="AQ51" s="42"/>
      <c r="AR51" s="52">
        <v>5125</v>
      </c>
      <c r="AS51" s="52">
        <v>47483225</v>
      </c>
      <c r="AT51" s="52">
        <v>0</v>
      </c>
      <c r="AU51" s="41" t="s">
        <v>2034</v>
      </c>
      <c r="AV51" s="41" t="s">
        <v>1929</v>
      </c>
      <c r="AW51" s="41" t="s">
        <v>2040</v>
      </c>
      <c r="AX51" s="41" t="s">
        <v>2041</v>
      </c>
    </row>
    <row r="52" spans="1:50" x14ac:dyDescent="0.2">
      <c r="A52" s="40">
        <v>47483325</v>
      </c>
      <c r="B52" s="41" t="s">
        <v>2659</v>
      </c>
      <c r="C52" s="41" t="s">
        <v>2682</v>
      </c>
      <c r="D52" s="41" t="s">
        <v>460</v>
      </c>
      <c r="E52" s="49">
        <v>354493</v>
      </c>
      <c r="F52" s="49">
        <v>0</v>
      </c>
      <c r="G52" s="50">
        <v>354493</v>
      </c>
      <c r="H52" s="42" t="s">
        <v>2615</v>
      </c>
      <c r="I52" s="42" t="s">
        <v>461</v>
      </c>
      <c r="J52" s="43" t="s">
        <v>351</v>
      </c>
      <c r="K52" s="40">
        <v>40783907</v>
      </c>
      <c r="L52" s="41" t="s">
        <v>2044</v>
      </c>
      <c r="M52" s="41" t="s">
        <v>316</v>
      </c>
      <c r="N52" s="41" t="s">
        <v>317</v>
      </c>
      <c r="O52" s="41" t="s">
        <v>2045</v>
      </c>
      <c r="P52" s="41" t="s">
        <v>319</v>
      </c>
      <c r="Q52" s="40">
        <v>860003020</v>
      </c>
      <c r="R52" s="41" t="s">
        <v>393</v>
      </c>
      <c r="S52" s="40">
        <v>923228</v>
      </c>
      <c r="T52" s="41" t="s">
        <v>158</v>
      </c>
      <c r="U52" s="41" t="s">
        <v>159</v>
      </c>
      <c r="V52" s="41" t="s">
        <v>160</v>
      </c>
      <c r="W52" s="42" t="s">
        <v>31</v>
      </c>
      <c r="X52" s="42" t="s">
        <v>32</v>
      </c>
      <c r="Y52" s="42" t="s">
        <v>33</v>
      </c>
      <c r="Z52" s="42" t="s">
        <v>2043</v>
      </c>
      <c r="AA52" s="42" t="s">
        <v>34</v>
      </c>
      <c r="AB52" s="42" t="s">
        <v>34</v>
      </c>
      <c r="AC52" s="42" t="s">
        <v>34</v>
      </c>
      <c r="AD52" s="42" t="s">
        <v>462</v>
      </c>
      <c r="AE52" s="42"/>
      <c r="AF52" s="42"/>
      <c r="AG52" s="42" t="s">
        <v>463</v>
      </c>
      <c r="AH52" s="42"/>
      <c r="AI52" s="44"/>
      <c r="AJ52" s="42"/>
      <c r="AK52" s="44"/>
      <c r="AL52" s="42"/>
      <c r="AM52" s="52">
        <v>3425</v>
      </c>
      <c r="AN52" s="52">
        <v>3425</v>
      </c>
      <c r="AO52" s="52">
        <v>30825</v>
      </c>
      <c r="AP52" s="52">
        <v>0</v>
      </c>
      <c r="AQ52" s="42"/>
      <c r="AR52" s="52">
        <v>5225</v>
      </c>
      <c r="AS52" s="52">
        <v>47483325</v>
      </c>
      <c r="AT52" s="52">
        <v>0</v>
      </c>
      <c r="AU52" s="41" t="s">
        <v>2034</v>
      </c>
      <c r="AV52" s="41" t="s">
        <v>1929</v>
      </c>
      <c r="AW52" s="41" t="s">
        <v>2046</v>
      </c>
      <c r="AX52" s="41" t="s">
        <v>2047</v>
      </c>
    </row>
    <row r="53" spans="1:50" x14ac:dyDescent="0.2">
      <c r="A53" s="40">
        <v>47483425</v>
      </c>
      <c r="B53" s="41" t="s">
        <v>2659</v>
      </c>
      <c r="C53" s="41" t="s">
        <v>2668</v>
      </c>
      <c r="D53" s="41" t="s">
        <v>460</v>
      </c>
      <c r="E53" s="49">
        <v>478585</v>
      </c>
      <c r="F53" s="49">
        <v>0</v>
      </c>
      <c r="G53" s="50">
        <v>478585</v>
      </c>
      <c r="H53" s="42" t="s">
        <v>2615</v>
      </c>
      <c r="I53" s="42" t="s">
        <v>461</v>
      </c>
      <c r="J53" s="43" t="s">
        <v>351</v>
      </c>
      <c r="K53" s="40">
        <v>11313776</v>
      </c>
      <c r="L53" s="41" t="s">
        <v>676</v>
      </c>
      <c r="M53" s="41" t="s">
        <v>316</v>
      </c>
      <c r="N53" s="41" t="s">
        <v>317</v>
      </c>
      <c r="O53" s="41" t="s">
        <v>2123</v>
      </c>
      <c r="P53" s="41" t="s">
        <v>319</v>
      </c>
      <c r="Q53" s="40">
        <v>890903938</v>
      </c>
      <c r="R53" s="41" t="s">
        <v>342</v>
      </c>
      <c r="S53" s="40">
        <v>923211</v>
      </c>
      <c r="T53" s="41" t="s">
        <v>69</v>
      </c>
      <c r="U53" s="41" t="s">
        <v>29</v>
      </c>
      <c r="V53" s="41" t="s">
        <v>30</v>
      </c>
      <c r="W53" s="42" t="s">
        <v>31</v>
      </c>
      <c r="X53" s="42" t="s">
        <v>32</v>
      </c>
      <c r="Y53" s="42" t="s">
        <v>33</v>
      </c>
      <c r="Z53" s="42" t="s">
        <v>1933</v>
      </c>
      <c r="AA53" s="42" t="s">
        <v>34</v>
      </c>
      <c r="AB53" s="42" t="s">
        <v>34</v>
      </c>
      <c r="AC53" s="42" t="s">
        <v>34</v>
      </c>
      <c r="AD53" s="42" t="s">
        <v>462</v>
      </c>
      <c r="AE53" s="42"/>
      <c r="AF53" s="42"/>
      <c r="AG53" s="42" t="s">
        <v>463</v>
      </c>
      <c r="AH53" s="42"/>
      <c r="AI53" s="44"/>
      <c r="AJ53" s="42"/>
      <c r="AK53" s="44"/>
      <c r="AL53" s="42"/>
      <c r="AM53" s="52">
        <v>925</v>
      </c>
      <c r="AN53" s="52">
        <v>925</v>
      </c>
      <c r="AO53" s="52">
        <v>32225</v>
      </c>
      <c r="AP53" s="52">
        <v>0</v>
      </c>
      <c r="AQ53" s="42"/>
      <c r="AR53" s="52">
        <v>5325</v>
      </c>
      <c r="AS53" s="52">
        <v>47483425</v>
      </c>
      <c r="AT53" s="52">
        <v>0</v>
      </c>
      <c r="AU53" s="41" t="s">
        <v>2121</v>
      </c>
      <c r="AV53" s="41" t="s">
        <v>1929</v>
      </c>
      <c r="AW53" s="41" t="s">
        <v>2125</v>
      </c>
      <c r="AX53" s="41" t="s">
        <v>2126</v>
      </c>
    </row>
    <row r="54" spans="1:50" x14ac:dyDescent="0.2">
      <c r="A54" s="40">
        <v>47483525</v>
      </c>
      <c r="B54" s="41" t="s">
        <v>2659</v>
      </c>
      <c r="C54" s="41" t="s">
        <v>2668</v>
      </c>
      <c r="D54" s="41" t="s">
        <v>460</v>
      </c>
      <c r="E54" s="49">
        <v>478585</v>
      </c>
      <c r="F54" s="49">
        <v>0</v>
      </c>
      <c r="G54" s="50">
        <v>478585</v>
      </c>
      <c r="H54" s="42" t="s">
        <v>2615</v>
      </c>
      <c r="I54" s="42" t="s">
        <v>461</v>
      </c>
      <c r="J54" s="43" t="s">
        <v>351</v>
      </c>
      <c r="K54" s="40">
        <v>11223758</v>
      </c>
      <c r="L54" s="41" t="s">
        <v>671</v>
      </c>
      <c r="M54" s="41" t="s">
        <v>316</v>
      </c>
      <c r="N54" s="41" t="s">
        <v>317</v>
      </c>
      <c r="O54" s="41" t="s">
        <v>672</v>
      </c>
      <c r="P54" s="41" t="s">
        <v>319</v>
      </c>
      <c r="Q54" s="40">
        <v>890903938</v>
      </c>
      <c r="R54" s="41" t="s">
        <v>342</v>
      </c>
      <c r="S54" s="40">
        <v>923211</v>
      </c>
      <c r="T54" s="41" t="s">
        <v>69</v>
      </c>
      <c r="U54" s="41" t="s">
        <v>29</v>
      </c>
      <c r="V54" s="41" t="s">
        <v>30</v>
      </c>
      <c r="W54" s="42" t="s">
        <v>31</v>
      </c>
      <c r="X54" s="42" t="s">
        <v>32</v>
      </c>
      <c r="Y54" s="42" t="s">
        <v>33</v>
      </c>
      <c r="Z54" s="42" t="s">
        <v>1933</v>
      </c>
      <c r="AA54" s="42" t="s">
        <v>34</v>
      </c>
      <c r="AB54" s="42" t="s">
        <v>34</v>
      </c>
      <c r="AC54" s="42" t="s">
        <v>34</v>
      </c>
      <c r="AD54" s="42" t="s">
        <v>462</v>
      </c>
      <c r="AE54" s="42"/>
      <c r="AF54" s="42"/>
      <c r="AG54" s="42" t="s">
        <v>463</v>
      </c>
      <c r="AH54" s="42"/>
      <c r="AI54" s="44"/>
      <c r="AJ54" s="42"/>
      <c r="AK54" s="44"/>
      <c r="AL54" s="42"/>
      <c r="AM54" s="52">
        <v>925</v>
      </c>
      <c r="AN54" s="52">
        <v>925</v>
      </c>
      <c r="AO54" s="52">
        <v>32325</v>
      </c>
      <c r="AP54" s="52">
        <v>0</v>
      </c>
      <c r="AQ54" s="42"/>
      <c r="AR54" s="52">
        <v>5425</v>
      </c>
      <c r="AS54" s="52">
        <v>47483525</v>
      </c>
      <c r="AT54" s="52">
        <v>0</v>
      </c>
      <c r="AU54" s="41" t="s">
        <v>2121</v>
      </c>
      <c r="AV54" s="41" t="s">
        <v>1929</v>
      </c>
      <c r="AW54" s="41" t="s">
        <v>2129</v>
      </c>
      <c r="AX54" s="41" t="s">
        <v>2126</v>
      </c>
    </row>
    <row r="55" spans="1:50" x14ac:dyDescent="0.2">
      <c r="A55" s="40">
        <v>47483625</v>
      </c>
      <c r="B55" s="41" t="s">
        <v>2659</v>
      </c>
      <c r="C55" s="41" t="s">
        <v>2686</v>
      </c>
      <c r="D55" s="41" t="s">
        <v>460</v>
      </c>
      <c r="E55" s="49">
        <v>465641</v>
      </c>
      <c r="F55" s="49">
        <v>0</v>
      </c>
      <c r="G55" s="50">
        <v>465641</v>
      </c>
      <c r="H55" s="42" t="s">
        <v>2615</v>
      </c>
      <c r="I55" s="42" t="s">
        <v>461</v>
      </c>
      <c r="J55" s="43" t="s">
        <v>351</v>
      </c>
      <c r="K55" s="40">
        <v>11315001</v>
      </c>
      <c r="L55" s="41" t="s">
        <v>2037</v>
      </c>
      <c r="M55" s="41" t="s">
        <v>316</v>
      </c>
      <c r="N55" s="41" t="s">
        <v>317</v>
      </c>
      <c r="O55" s="41" t="s">
        <v>2038</v>
      </c>
      <c r="P55" s="41" t="s">
        <v>319</v>
      </c>
      <c r="Q55" s="40">
        <v>890903938</v>
      </c>
      <c r="R55" s="41" t="s">
        <v>342</v>
      </c>
      <c r="S55" s="40">
        <v>923238</v>
      </c>
      <c r="T55" s="41" t="s">
        <v>569</v>
      </c>
      <c r="U55" s="41" t="s">
        <v>29</v>
      </c>
      <c r="V55" s="41" t="s">
        <v>30</v>
      </c>
      <c r="W55" s="42" t="s">
        <v>31</v>
      </c>
      <c r="X55" s="42" t="s">
        <v>32</v>
      </c>
      <c r="Y55" s="42" t="s">
        <v>33</v>
      </c>
      <c r="Z55" s="42" t="s">
        <v>2007</v>
      </c>
      <c r="AA55" s="42" t="s">
        <v>34</v>
      </c>
      <c r="AB55" s="42" t="s">
        <v>34</v>
      </c>
      <c r="AC55" s="42" t="s">
        <v>34</v>
      </c>
      <c r="AD55" s="42" t="s">
        <v>462</v>
      </c>
      <c r="AE55" s="42"/>
      <c r="AF55" s="42"/>
      <c r="AG55" s="42" t="s">
        <v>463</v>
      </c>
      <c r="AH55" s="42"/>
      <c r="AI55" s="44"/>
      <c r="AJ55" s="42"/>
      <c r="AK55" s="44"/>
      <c r="AL55" s="42"/>
      <c r="AM55" s="52">
        <v>325</v>
      </c>
      <c r="AN55" s="52">
        <v>325</v>
      </c>
      <c r="AO55" s="52">
        <v>32425</v>
      </c>
      <c r="AP55" s="52">
        <v>0</v>
      </c>
      <c r="AQ55" s="42"/>
      <c r="AR55" s="52">
        <v>5525</v>
      </c>
      <c r="AS55" s="52">
        <v>47483625</v>
      </c>
      <c r="AT55" s="52">
        <v>0</v>
      </c>
      <c r="AU55" s="41" t="s">
        <v>2121</v>
      </c>
      <c r="AV55" s="41" t="s">
        <v>1929</v>
      </c>
      <c r="AW55" s="41" t="s">
        <v>2132</v>
      </c>
      <c r="AX55" s="41" t="s">
        <v>2133</v>
      </c>
    </row>
    <row r="56" spans="1:50" x14ac:dyDescent="0.2">
      <c r="A56" s="40">
        <v>47483825</v>
      </c>
      <c r="B56" s="41" t="s">
        <v>2659</v>
      </c>
      <c r="C56" s="41" t="s">
        <v>2688</v>
      </c>
      <c r="D56" s="41" t="s">
        <v>460</v>
      </c>
      <c r="E56" s="49">
        <v>156195</v>
      </c>
      <c r="F56" s="49">
        <v>0</v>
      </c>
      <c r="G56" s="50">
        <v>156195</v>
      </c>
      <c r="H56" s="42" t="s">
        <v>2615</v>
      </c>
      <c r="I56" s="42" t="s">
        <v>461</v>
      </c>
      <c r="J56" s="43" t="s">
        <v>351</v>
      </c>
      <c r="K56" s="40">
        <v>1012449137</v>
      </c>
      <c r="L56" s="41" t="s">
        <v>390</v>
      </c>
      <c r="M56" s="41" t="s">
        <v>316</v>
      </c>
      <c r="N56" s="41" t="s">
        <v>317</v>
      </c>
      <c r="O56" s="41" t="s">
        <v>391</v>
      </c>
      <c r="P56" s="41" t="s">
        <v>319</v>
      </c>
      <c r="Q56" s="40">
        <v>860003020</v>
      </c>
      <c r="R56" s="41" t="s">
        <v>393</v>
      </c>
      <c r="S56" s="40">
        <v>923290</v>
      </c>
      <c r="T56" s="41" t="s">
        <v>208</v>
      </c>
      <c r="U56" s="41" t="s">
        <v>29</v>
      </c>
      <c r="V56" s="41" t="s">
        <v>30</v>
      </c>
      <c r="W56" s="42" t="s">
        <v>31</v>
      </c>
      <c r="X56" s="42" t="s">
        <v>32</v>
      </c>
      <c r="Y56" s="42" t="s">
        <v>33</v>
      </c>
      <c r="Z56" s="42" t="s">
        <v>2689</v>
      </c>
      <c r="AA56" s="42" t="s">
        <v>34</v>
      </c>
      <c r="AB56" s="42" t="s">
        <v>34</v>
      </c>
      <c r="AC56" s="42" t="s">
        <v>34</v>
      </c>
      <c r="AD56" s="42" t="s">
        <v>462</v>
      </c>
      <c r="AE56" s="42"/>
      <c r="AF56" s="42"/>
      <c r="AG56" s="42" t="s">
        <v>463</v>
      </c>
      <c r="AH56" s="42"/>
      <c r="AI56" s="44"/>
      <c r="AJ56" s="42"/>
      <c r="AK56" s="44"/>
      <c r="AL56" s="42"/>
      <c r="AM56" s="52">
        <v>4925</v>
      </c>
      <c r="AN56" s="52">
        <v>4925</v>
      </c>
      <c r="AO56" s="52">
        <v>33725</v>
      </c>
      <c r="AP56" s="52">
        <v>0</v>
      </c>
      <c r="AQ56" s="42"/>
      <c r="AR56" s="52">
        <v>5625</v>
      </c>
      <c r="AS56" s="52">
        <v>47483825</v>
      </c>
      <c r="AT56" s="52">
        <v>0</v>
      </c>
      <c r="AU56" s="41" t="s">
        <v>2631</v>
      </c>
      <c r="AV56" s="41" t="s">
        <v>1929</v>
      </c>
      <c r="AW56" s="41" t="s">
        <v>2691</v>
      </c>
      <c r="AX56" s="41" t="s">
        <v>2692</v>
      </c>
    </row>
    <row r="57" spans="1:50" x14ac:dyDescent="0.2">
      <c r="A57" s="40">
        <v>47483925</v>
      </c>
      <c r="B57" s="41" t="s">
        <v>2659</v>
      </c>
      <c r="C57" s="41" t="s">
        <v>2694</v>
      </c>
      <c r="D57" s="41" t="s">
        <v>460</v>
      </c>
      <c r="E57" s="49">
        <v>322390</v>
      </c>
      <c r="F57" s="49">
        <v>0</v>
      </c>
      <c r="G57" s="50">
        <v>322390</v>
      </c>
      <c r="H57" s="42" t="s">
        <v>2615</v>
      </c>
      <c r="I57" s="42" t="s">
        <v>461</v>
      </c>
      <c r="J57" s="43" t="s">
        <v>351</v>
      </c>
      <c r="K57" s="40">
        <v>1018436224</v>
      </c>
      <c r="L57" s="41" t="s">
        <v>739</v>
      </c>
      <c r="M57" s="41" t="s">
        <v>316</v>
      </c>
      <c r="N57" s="41" t="s">
        <v>317</v>
      </c>
      <c r="O57" s="41" t="s">
        <v>740</v>
      </c>
      <c r="P57" s="41" t="s">
        <v>319</v>
      </c>
      <c r="Q57" s="40">
        <v>890903938</v>
      </c>
      <c r="R57" s="41" t="s">
        <v>342</v>
      </c>
      <c r="S57" s="40">
        <v>923285</v>
      </c>
      <c r="T57" s="41" t="s">
        <v>572</v>
      </c>
      <c r="U57" s="41" t="s">
        <v>29</v>
      </c>
      <c r="V57" s="41" t="s">
        <v>30</v>
      </c>
      <c r="W57" s="42" t="s">
        <v>31</v>
      </c>
      <c r="X57" s="42" t="s">
        <v>32</v>
      </c>
      <c r="Y57" s="42" t="s">
        <v>33</v>
      </c>
      <c r="Z57" s="42" t="s">
        <v>2695</v>
      </c>
      <c r="AA57" s="42" t="s">
        <v>34</v>
      </c>
      <c r="AB57" s="42" t="s">
        <v>34</v>
      </c>
      <c r="AC57" s="42" t="s">
        <v>34</v>
      </c>
      <c r="AD57" s="42" t="s">
        <v>462</v>
      </c>
      <c r="AE57" s="42"/>
      <c r="AF57" s="42"/>
      <c r="AG57" s="42" t="s">
        <v>463</v>
      </c>
      <c r="AH57" s="42"/>
      <c r="AI57" s="44"/>
      <c r="AJ57" s="42"/>
      <c r="AK57" s="44"/>
      <c r="AL57" s="42"/>
      <c r="AM57" s="52">
        <v>4425</v>
      </c>
      <c r="AN57" s="52">
        <v>4425</v>
      </c>
      <c r="AO57" s="52">
        <v>33825</v>
      </c>
      <c r="AP57" s="52">
        <v>0</v>
      </c>
      <c r="AQ57" s="42"/>
      <c r="AR57" s="52">
        <v>5725</v>
      </c>
      <c r="AS57" s="52">
        <v>47483925</v>
      </c>
      <c r="AT57" s="52">
        <v>0</v>
      </c>
      <c r="AU57" s="41" t="s">
        <v>2631</v>
      </c>
      <c r="AV57" s="41" t="s">
        <v>1929</v>
      </c>
      <c r="AW57" s="41" t="s">
        <v>2697</v>
      </c>
      <c r="AX57" s="41" t="s">
        <v>2698</v>
      </c>
    </row>
    <row r="58" spans="1:50" x14ac:dyDescent="0.2">
      <c r="A58" s="40">
        <v>47484025</v>
      </c>
      <c r="B58" s="41" t="s">
        <v>2659</v>
      </c>
      <c r="C58" s="41" t="s">
        <v>2700</v>
      </c>
      <c r="D58" s="41" t="s">
        <v>460</v>
      </c>
      <c r="E58" s="49">
        <v>404493</v>
      </c>
      <c r="F58" s="49">
        <v>0</v>
      </c>
      <c r="G58" s="50">
        <v>404493</v>
      </c>
      <c r="H58" s="42" t="s">
        <v>2615</v>
      </c>
      <c r="I58" s="42" t="s">
        <v>461</v>
      </c>
      <c r="J58" s="43" t="s">
        <v>351</v>
      </c>
      <c r="K58" s="40">
        <v>80724086</v>
      </c>
      <c r="L58" s="41" t="s">
        <v>1926</v>
      </c>
      <c r="M58" s="41" t="s">
        <v>316</v>
      </c>
      <c r="N58" s="41" t="s">
        <v>317</v>
      </c>
      <c r="O58" s="41" t="s">
        <v>1927</v>
      </c>
      <c r="P58" s="41" t="s">
        <v>319</v>
      </c>
      <c r="Q58" s="40">
        <v>890903938</v>
      </c>
      <c r="R58" s="41" t="s">
        <v>342</v>
      </c>
      <c r="S58" s="40">
        <v>923238</v>
      </c>
      <c r="T58" s="41" t="s">
        <v>569</v>
      </c>
      <c r="U58" s="41" t="s">
        <v>29</v>
      </c>
      <c r="V58" s="41" t="s">
        <v>30</v>
      </c>
      <c r="W58" s="42" t="s">
        <v>31</v>
      </c>
      <c r="X58" s="42" t="s">
        <v>32</v>
      </c>
      <c r="Y58" s="42" t="s">
        <v>33</v>
      </c>
      <c r="Z58" s="42" t="s">
        <v>2701</v>
      </c>
      <c r="AA58" s="42" t="s">
        <v>34</v>
      </c>
      <c r="AB58" s="42" t="s">
        <v>34</v>
      </c>
      <c r="AC58" s="42" t="s">
        <v>34</v>
      </c>
      <c r="AD58" s="42" t="s">
        <v>462</v>
      </c>
      <c r="AE58" s="42"/>
      <c r="AF58" s="42"/>
      <c r="AG58" s="42" t="s">
        <v>463</v>
      </c>
      <c r="AH58" s="42"/>
      <c r="AI58" s="44"/>
      <c r="AJ58" s="42"/>
      <c r="AK58" s="44"/>
      <c r="AL58" s="42"/>
      <c r="AM58" s="52">
        <v>325</v>
      </c>
      <c r="AN58" s="52">
        <v>325</v>
      </c>
      <c r="AO58" s="52">
        <v>33925</v>
      </c>
      <c r="AP58" s="52">
        <v>0</v>
      </c>
      <c r="AQ58" s="42"/>
      <c r="AR58" s="52">
        <v>5825</v>
      </c>
      <c r="AS58" s="52">
        <v>47484025</v>
      </c>
      <c r="AT58" s="52">
        <v>0</v>
      </c>
      <c r="AU58" s="41" t="s">
        <v>2631</v>
      </c>
      <c r="AV58" s="41" t="s">
        <v>1929</v>
      </c>
      <c r="AW58" s="41" t="s">
        <v>2703</v>
      </c>
      <c r="AX58" s="41" t="s">
        <v>2704</v>
      </c>
    </row>
    <row r="59" spans="1:50" x14ac:dyDescent="0.2">
      <c r="A59" s="40">
        <v>47484125</v>
      </c>
      <c r="B59" s="41" t="s">
        <v>2659</v>
      </c>
      <c r="C59" s="41" t="s">
        <v>2706</v>
      </c>
      <c r="D59" s="41" t="s">
        <v>460</v>
      </c>
      <c r="E59" s="49">
        <v>119839</v>
      </c>
      <c r="F59" s="49">
        <v>0</v>
      </c>
      <c r="G59" s="50">
        <v>119839</v>
      </c>
      <c r="H59" s="42" t="s">
        <v>2615</v>
      </c>
      <c r="I59" s="42" t="s">
        <v>461</v>
      </c>
      <c r="J59" s="43" t="s">
        <v>351</v>
      </c>
      <c r="K59" s="40">
        <v>79207235</v>
      </c>
      <c r="L59" s="41" t="s">
        <v>1860</v>
      </c>
      <c r="M59" s="41" t="s">
        <v>316</v>
      </c>
      <c r="N59" s="41" t="s">
        <v>317</v>
      </c>
      <c r="O59" s="41" t="s">
        <v>1861</v>
      </c>
      <c r="P59" s="41" t="s">
        <v>319</v>
      </c>
      <c r="Q59" s="40">
        <v>860007335</v>
      </c>
      <c r="R59" s="41" t="s">
        <v>381</v>
      </c>
      <c r="S59" s="40">
        <v>923290</v>
      </c>
      <c r="T59" s="41" t="s">
        <v>208</v>
      </c>
      <c r="U59" s="41" t="s">
        <v>29</v>
      </c>
      <c r="V59" s="41" t="s">
        <v>30</v>
      </c>
      <c r="W59" s="42" t="s">
        <v>31</v>
      </c>
      <c r="X59" s="42" t="s">
        <v>32</v>
      </c>
      <c r="Y59" s="42" t="s">
        <v>33</v>
      </c>
      <c r="Z59" s="42" t="s">
        <v>2707</v>
      </c>
      <c r="AA59" s="42" t="s">
        <v>34</v>
      </c>
      <c r="AB59" s="42" t="s">
        <v>34</v>
      </c>
      <c r="AC59" s="42" t="s">
        <v>34</v>
      </c>
      <c r="AD59" s="42" t="s">
        <v>462</v>
      </c>
      <c r="AE59" s="42"/>
      <c r="AF59" s="42"/>
      <c r="AG59" s="42" t="s">
        <v>463</v>
      </c>
      <c r="AH59" s="42"/>
      <c r="AI59" s="44"/>
      <c r="AJ59" s="42"/>
      <c r="AK59" s="44"/>
      <c r="AL59" s="42"/>
      <c r="AM59" s="52">
        <v>4825</v>
      </c>
      <c r="AN59" s="52">
        <v>4825</v>
      </c>
      <c r="AO59" s="52">
        <v>34025</v>
      </c>
      <c r="AP59" s="52">
        <v>0</v>
      </c>
      <c r="AQ59" s="42"/>
      <c r="AR59" s="52">
        <v>5925</v>
      </c>
      <c r="AS59" s="52">
        <v>47484125</v>
      </c>
      <c r="AT59" s="52">
        <v>0</v>
      </c>
      <c r="AU59" s="41" t="s">
        <v>2631</v>
      </c>
      <c r="AV59" s="41" t="s">
        <v>1929</v>
      </c>
      <c r="AW59" s="41" t="s">
        <v>2709</v>
      </c>
      <c r="AX59" s="41" t="s">
        <v>2710</v>
      </c>
    </row>
    <row r="60" spans="1:50" x14ac:dyDescent="0.2">
      <c r="A60" s="40">
        <v>47484325</v>
      </c>
      <c r="B60" s="41" t="s">
        <v>2659</v>
      </c>
      <c r="C60" s="41" t="s">
        <v>2712</v>
      </c>
      <c r="D60" s="41" t="s">
        <v>460</v>
      </c>
      <c r="E60" s="49">
        <v>801659</v>
      </c>
      <c r="F60" s="49">
        <v>0</v>
      </c>
      <c r="G60" s="50">
        <v>801659</v>
      </c>
      <c r="H60" s="42" t="s">
        <v>2615</v>
      </c>
      <c r="I60" s="42" t="s">
        <v>461</v>
      </c>
      <c r="J60" s="43" t="s">
        <v>351</v>
      </c>
      <c r="K60" s="40">
        <v>80062448</v>
      </c>
      <c r="L60" s="41" t="s">
        <v>1943</v>
      </c>
      <c r="M60" s="41" t="s">
        <v>316</v>
      </c>
      <c r="N60" s="41" t="s">
        <v>317</v>
      </c>
      <c r="O60" s="41" t="s">
        <v>1944</v>
      </c>
      <c r="P60" s="41" t="s">
        <v>319</v>
      </c>
      <c r="Q60" s="40">
        <v>860034313</v>
      </c>
      <c r="R60" s="41" t="s">
        <v>355</v>
      </c>
      <c r="S60" s="40">
        <v>923238</v>
      </c>
      <c r="T60" s="41" t="s">
        <v>569</v>
      </c>
      <c r="U60" s="41" t="s">
        <v>29</v>
      </c>
      <c r="V60" s="41" t="s">
        <v>30</v>
      </c>
      <c r="W60" s="42" t="s">
        <v>31</v>
      </c>
      <c r="X60" s="42" t="s">
        <v>32</v>
      </c>
      <c r="Y60" s="42" t="s">
        <v>33</v>
      </c>
      <c r="Z60" s="42" t="s">
        <v>2713</v>
      </c>
      <c r="AA60" s="42" t="s">
        <v>34</v>
      </c>
      <c r="AB60" s="42" t="s">
        <v>34</v>
      </c>
      <c r="AC60" s="42" t="s">
        <v>34</v>
      </c>
      <c r="AD60" s="42" t="s">
        <v>462</v>
      </c>
      <c r="AE60" s="42"/>
      <c r="AF60" s="42"/>
      <c r="AG60" s="42" t="s">
        <v>463</v>
      </c>
      <c r="AH60" s="42"/>
      <c r="AI60" s="44"/>
      <c r="AJ60" s="42"/>
      <c r="AK60" s="44"/>
      <c r="AL60" s="42"/>
      <c r="AM60" s="52">
        <v>325</v>
      </c>
      <c r="AN60" s="52">
        <v>325</v>
      </c>
      <c r="AO60" s="52">
        <v>34125</v>
      </c>
      <c r="AP60" s="52">
        <v>0</v>
      </c>
      <c r="AQ60" s="42"/>
      <c r="AR60" s="52">
        <v>6025</v>
      </c>
      <c r="AS60" s="52">
        <v>47484325</v>
      </c>
      <c r="AT60" s="52">
        <v>0</v>
      </c>
      <c r="AU60" s="41" t="s">
        <v>2631</v>
      </c>
      <c r="AV60" s="41" t="s">
        <v>1929</v>
      </c>
      <c r="AW60" s="41" t="s">
        <v>2715</v>
      </c>
      <c r="AX60" s="41" t="s">
        <v>2716</v>
      </c>
    </row>
    <row r="61" spans="1:50" x14ac:dyDescent="0.2">
      <c r="A61" s="40">
        <v>47484425</v>
      </c>
      <c r="B61" s="41" t="s">
        <v>2659</v>
      </c>
      <c r="C61" s="41" t="s">
        <v>2718</v>
      </c>
      <c r="D61" s="41" t="s">
        <v>460</v>
      </c>
      <c r="E61" s="49">
        <v>156195</v>
      </c>
      <c r="F61" s="49">
        <v>0</v>
      </c>
      <c r="G61" s="50">
        <v>156195</v>
      </c>
      <c r="H61" s="42" t="s">
        <v>2615</v>
      </c>
      <c r="I61" s="42" t="s">
        <v>461</v>
      </c>
      <c r="J61" s="43" t="s">
        <v>351</v>
      </c>
      <c r="K61" s="40">
        <v>1075254883</v>
      </c>
      <c r="L61" s="41" t="s">
        <v>938</v>
      </c>
      <c r="M61" s="41" t="s">
        <v>316</v>
      </c>
      <c r="N61" s="41" t="s">
        <v>317</v>
      </c>
      <c r="O61" s="41" t="s">
        <v>939</v>
      </c>
      <c r="P61" s="41" t="s">
        <v>319</v>
      </c>
      <c r="Q61" s="40">
        <v>860034313</v>
      </c>
      <c r="R61" s="41" t="s">
        <v>355</v>
      </c>
      <c r="S61" s="40">
        <v>923238</v>
      </c>
      <c r="T61" s="41" t="s">
        <v>569</v>
      </c>
      <c r="U61" s="41" t="s">
        <v>29</v>
      </c>
      <c r="V61" s="41" t="s">
        <v>30</v>
      </c>
      <c r="W61" s="42" t="s">
        <v>31</v>
      </c>
      <c r="X61" s="42" t="s">
        <v>32</v>
      </c>
      <c r="Y61" s="42" t="s">
        <v>33</v>
      </c>
      <c r="Z61" s="42" t="s">
        <v>2689</v>
      </c>
      <c r="AA61" s="42" t="s">
        <v>34</v>
      </c>
      <c r="AB61" s="42" t="s">
        <v>34</v>
      </c>
      <c r="AC61" s="42" t="s">
        <v>34</v>
      </c>
      <c r="AD61" s="42" t="s">
        <v>462</v>
      </c>
      <c r="AE61" s="42"/>
      <c r="AF61" s="42"/>
      <c r="AG61" s="42" t="s">
        <v>463</v>
      </c>
      <c r="AH61" s="42"/>
      <c r="AI61" s="44"/>
      <c r="AJ61" s="42"/>
      <c r="AK61" s="44"/>
      <c r="AL61" s="42"/>
      <c r="AM61" s="52">
        <v>325</v>
      </c>
      <c r="AN61" s="52">
        <v>325</v>
      </c>
      <c r="AO61" s="52">
        <v>38125</v>
      </c>
      <c r="AP61" s="52">
        <v>0</v>
      </c>
      <c r="AQ61" s="42"/>
      <c r="AR61" s="52">
        <v>6125</v>
      </c>
      <c r="AS61" s="52">
        <v>47484425</v>
      </c>
      <c r="AT61" s="52">
        <v>0</v>
      </c>
      <c r="AU61" s="41" t="s">
        <v>2720</v>
      </c>
      <c r="AV61" s="41" t="s">
        <v>1929</v>
      </c>
      <c r="AW61" s="41" t="s">
        <v>2721</v>
      </c>
      <c r="AX61" s="41" t="s">
        <v>2722</v>
      </c>
    </row>
    <row r="62" spans="1:50" x14ac:dyDescent="0.2">
      <c r="A62" s="40">
        <v>47484525</v>
      </c>
      <c r="B62" s="41" t="s">
        <v>2659</v>
      </c>
      <c r="C62" s="41" t="s">
        <v>2724</v>
      </c>
      <c r="D62" s="41" t="s">
        <v>460</v>
      </c>
      <c r="E62" s="49">
        <v>312390</v>
      </c>
      <c r="F62" s="49">
        <v>0</v>
      </c>
      <c r="G62" s="50">
        <v>312390</v>
      </c>
      <c r="H62" s="42" t="s">
        <v>2615</v>
      </c>
      <c r="I62" s="42" t="s">
        <v>461</v>
      </c>
      <c r="J62" s="43" t="s">
        <v>351</v>
      </c>
      <c r="K62" s="40">
        <v>1012439964</v>
      </c>
      <c r="L62" s="41" t="s">
        <v>1055</v>
      </c>
      <c r="M62" s="41" t="s">
        <v>316</v>
      </c>
      <c r="N62" s="41" t="s">
        <v>317</v>
      </c>
      <c r="O62" s="41" t="s">
        <v>1056</v>
      </c>
      <c r="P62" s="41" t="s">
        <v>319</v>
      </c>
      <c r="Q62" s="40">
        <v>890903938</v>
      </c>
      <c r="R62" s="41" t="s">
        <v>342</v>
      </c>
      <c r="S62" s="40">
        <v>923238</v>
      </c>
      <c r="T62" s="41" t="s">
        <v>569</v>
      </c>
      <c r="U62" s="41" t="s">
        <v>29</v>
      </c>
      <c r="V62" s="41" t="s">
        <v>30</v>
      </c>
      <c r="W62" s="42" t="s">
        <v>31</v>
      </c>
      <c r="X62" s="42" t="s">
        <v>32</v>
      </c>
      <c r="Y62" s="42" t="s">
        <v>33</v>
      </c>
      <c r="Z62" s="42" t="s">
        <v>2725</v>
      </c>
      <c r="AA62" s="42" t="s">
        <v>34</v>
      </c>
      <c r="AB62" s="42" t="s">
        <v>34</v>
      </c>
      <c r="AC62" s="42" t="s">
        <v>34</v>
      </c>
      <c r="AD62" s="42" t="s">
        <v>462</v>
      </c>
      <c r="AE62" s="42"/>
      <c r="AF62" s="42"/>
      <c r="AG62" s="42" t="s">
        <v>463</v>
      </c>
      <c r="AH62" s="42"/>
      <c r="AI62" s="44"/>
      <c r="AJ62" s="42"/>
      <c r="AK62" s="44"/>
      <c r="AL62" s="42"/>
      <c r="AM62" s="52">
        <v>325</v>
      </c>
      <c r="AN62" s="52">
        <v>325</v>
      </c>
      <c r="AO62" s="52">
        <v>38225</v>
      </c>
      <c r="AP62" s="52">
        <v>0</v>
      </c>
      <c r="AQ62" s="42"/>
      <c r="AR62" s="52">
        <v>6225</v>
      </c>
      <c r="AS62" s="52">
        <v>47484525</v>
      </c>
      <c r="AT62" s="52">
        <v>0</v>
      </c>
      <c r="AU62" s="41" t="s">
        <v>2720</v>
      </c>
      <c r="AV62" s="41" t="s">
        <v>1929</v>
      </c>
      <c r="AW62" s="41" t="s">
        <v>2727</v>
      </c>
      <c r="AX62" s="41" t="s">
        <v>2728</v>
      </c>
    </row>
    <row r="63" spans="1:50" x14ac:dyDescent="0.2">
      <c r="A63" s="40">
        <v>47484625</v>
      </c>
      <c r="B63" s="41" t="s">
        <v>2659</v>
      </c>
      <c r="C63" s="41" t="s">
        <v>2730</v>
      </c>
      <c r="D63" s="41" t="s">
        <v>460</v>
      </c>
      <c r="E63" s="49">
        <v>468585</v>
      </c>
      <c r="F63" s="49">
        <v>0</v>
      </c>
      <c r="G63" s="50">
        <v>468585</v>
      </c>
      <c r="H63" s="42" t="s">
        <v>2615</v>
      </c>
      <c r="I63" s="42" t="s">
        <v>461</v>
      </c>
      <c r="J63" s="43" t="s">
        <v>351</v>
      </c>
      <c r="K63" s="40">
        <v>52505799</v>
      </c>
      <c r="L63" s="41" t="s">
        <v>813</v>
      </c>
      <c r="M63" s="41" t="s">
        <v>316</v>
      </c>
      <c r="N63" s="41" t="s">
        <v>317</v>
      </c>
      <c r="O63" s="41" t="s">
        <v>814</v>
      </c>
      <c r="P63" s="41" t="s">
        <v>319</v>
      </c>
      <c r="Q63" s="40">
        <v>860034313</v>
      </c>
      <c r="R63" s="41" t="s">
        <v>355</v>
      </c>
      <c r="S63" s="40">
        <v>923238</v>
      </c>
      <c r="T63" s="41" t="s">
        <v>569</v>
      </c>
      <c r="U63" s="41" t="s">
        <v>29</v>
      </c>
      <c r="V63" s="41" t="s">
        <v>30</v>
      </c>
      <c r="W63" s="42" t="s">
        <v>31</v>
      </c>
      <c r="X63" s="42" t="s">
        <v>32</v>
      </c>
      <c r="Y63" s="42" t="s">
        <v>33</v>
      </c>
      <c r="Z63" s="42" t="s">
        <v>2731</v>
      </c>
      <c r="AA63" s="42" t="s">
        <v>34</v>
      </c>
      <c r="AB63" s="42" t="s">
        <v>34</v>
      </c>
      <c r="AC63" s="42" t="s">
        <v>34</v>
      </c>
      <c r="AD63" s="42" t="s">
        <v>462</v>
      </c>
      <c r="AE63" s="42"/>
      <c r="AF63" s="42"/>
      <c r="AG63" s="42" t="s">
        <v>463</v>
      </c>
      <c r="AH63" s="42"/>
      <c r="AI63" s="44"/>
      <c r="AJ63" s="42"/>
      <c r="AK63" s="44"/>
      <c r="AL63" s="42"/>
      <c r="AM63" s="52">
        <v>325</v>
      </c>
      <c r="AN63" s="52">
        <v>325</v>
      </c>
      <c r="AO63" s="52">
        <v>38325</v>
      </c>
      <c r="AP63" s="52">
        <v>0</v>
      </c>
      <c r="AQ63" s="42"/>
      <c r="AR63" s="52">
        <v>6325</v>
      </c>
      <c r="AS63" s="52">
        <v>47484625</v>
      </c>
      <c r="AT63" s="52">
        <v>0</v>
      </c>
      <c r="AU63" s="41" t="s">
        <v>2720</v>
      </c>
      <c r="AV63" s="41" t="s">
        <v>1929</v>
      </c>
      <c r="AW63" s="41" t="s">
        <v>2733</v>
      </c>
      <c r="AX63" s="41" t="s">
        <v>2734</v>
      </c>
    </row>
    <row r="64" spans="1:50" x14ac:dyDescent="0.2">
      <c r="A64" s="40">
        <v>47484725</v>
      </c>
      <c r="B64" s="41" t="s">
        <v>2659</v>
      </c>
      <c r="C64" s="41" t="s">
        <v>2736</v>
      </c>
      <c r="D64" s="41" t="s">
        <v>460</v>
      </c>
      <c r="E64" s="49">
        <v>624780</v>
      </c>
      <c r="F64" s="49">
        <v>0</v>
      </c>
      <c r="G64" s="50">
        <v>624780</v>
      </c>
      <c r="H64" s="42" t="s">
        <v>2615</v>
      </c>
      <c r="I64" s="42" t="s">
        <v>461</v>
      </c>
      <c r="J64" s="43" t="s">
        <v>351</v>
      </c>
      <c r="K64" s="40">
        <v>79408514</v>
      </c>
      <c r="L64" s="41" t="s">
        <v>792</v>
      </c>
      <c r="M64" s="41" t="s">
        <v>316</v>
      </c>
      <c r="N64" s="41" t="s">
        <v>317</v>
      </c>
      <c r="O64" s="41" t="s">
        <v>793</v>
      </c>
      <c r="P64" s="41" t="s">
        <v>319</v>
      </c>
      <c r="Q64" s="40">
        <v>900047981</v>
      </c>
      <c r="R64" s="41" t="s">
        <v>399</v>
      </c>
      <c r="S64" s="40">
        <v>923238</v>
      </c>
      <c r="T64" s="41" t="s">
        <v>569</v>
      </c>
      <c r="U64" s="41" t="s">
        <v>29</v>
      </c>
      <c r="V64" s="41" t="s">
        <v>30</v>
      </c>
      <c r="W64" s="42" t="s">
        <v>31</v>
      </c>
      <c r="X64" s="42" t="s">
        <v>32</v>
      </c>
      <c r="Y64" s="42" t="s">
        <v>33</v>
      </c>
      <c r="Z64" s="42" t="s">
        <v>2737</v>
      </c>
      <c r="AA64" s="42" t="s">
        <v>34</v>
      </c>
      <c r="AB64" s="42" t="s">
        <v>34</v>
      </c>
      <c r="AC64" s="42" t="s">
        <v>34</v>
      </c>
      <c r="AD64" s="42" t="s">
        <v>462</v>
      </c>
      <c r="AE64" s="42"/>
      <c r="AF64" s="42"/>
      <c r="AG64" s="42" t="s">
        <v>463</v>
      </c>
      <c r="AH64" s="42"/>
      <c r="AI64" s="44"/>
      <c r="AJ64" s="42"/>
      <c r="AK64" s="44"/>
      <c r="AL64" s="42"/>
      <c r="AM64" s="52">
        <v>325</v>
      </c>
      <c r="AN64" s="52">
        <v>325</v>
      </c>
      <c r="AO64" s="52">
        <v>38425</v>
      </c>
      <c r="AP64" s="52">
        <v>0</v>
      </c>
      <c r="AQ64" s="42"/>
      <c r="AR64" s="52">
        <v>6425</v>
      </c>
      <c r="AS64" s="52">
        <v>47484725</v>
      </c>
      <c r="AT64" s="52">
        <v>0</v>
      </c>
      <c r="AU64" s="41" t="s">
        <v>2720</v>
      </c>
      <c r="AV64" s="41" t="s">
        <v>1929</v>
      </c>
      <c r="AW64" s="41" t="s">
        <v>2739</v>
      </c>
      <c r="AX64" s="41" t="s">
        <v>2740</v>
      </c>
    </row>
    <row r="65" spans="1:50" x14ac:dyDescent="0.2">
      <c r="A65" s="40">
        <v>47484825</v>
      </c>
      <c r="B65" s="41" t="s">
        <v>2659</v>
      </c>
      <c r="C65" s="41" t="s">
        <v>2742</v>
      </c>
      <c r="D65" s="41" t="s">
        <v>460</v>
      </c>
      <c r="E65" s="49">
        <v>232058</v>
      </c>
      <c r="F65" s="49">
        <v>0</v>
      </c>
      <c r="G65" s="50">
        <v>232058</v>
      </c>
      <c r="H65" s="42" t="s">
        <v>2615</v>
      </c>
      <c r="I65" s="42" t="s">
        <v>461</v>
      </c>
      <c r="J65" s="43" t="s">
        <v>351</v>
      </c>
      <c r="K65" s="40">
        <v>4041331</v>
      </c>
      <c r="L65" s="41" t="s">
        <v>2743</v>
      </c>
      <c r="M65" s="41" t="s">
        <v>316</v>
      </c>
      <c r="N65" s="41" t="s">
        <v>317</v>
      </c>
      <c r="O65" s="41" t="s">
        <v>2744</v>
      </c>
      <c r="P65" s="41" t="s">
        <v>319</v>
      </c>
      <c r="Q65" s="40">
        <v>860034313</v>
      </c>
      <c r="R65" s="41" t="s">
        <v>355</v>
      </c>
      <c r="S65" s="40">
        <v>923238</v>
      </c>
      <c r="T65" s="41" t="s">
        <v>569</v>
      </c>
      <c r="U65" s="41" t="s">
        <v>29</v>
      </c>
      <c r="V65" s="41" t="s">
        <v>30</v>
      </c>
      <c r="W65" s="42" t="s">
        <v>31</v>
      </c>
      <c r="X65" s="42" t="s">
        <v>32</v>
      </c>
      <c r="Y65" s="42" t="s">
        <v>33</v>
      </c>
      <c r="Z65" s="42" t="s">
        <v>2745</v>
      </c>
      <c r="AA65" s="42" t="s">
        <v>34</v>
      </c>
      <c r="AB65" s="42" t="s">
        <v>34</v>
      </c>
      <c r="AC65" s="42" t="s">
        <v>34</v>
      </c>
      <c r="AD65" s="42" t="s">
        <v>462</v>
      </c>
      <c r="AE65" s="42"/>
      <c r="AF65" s="42"/>
      <c r="AG65" s="42" t="s">
        <v>463</v>
      </c>
      <c r="AH65" s="42"/>
      <c r="AI65" s="44"/>
      <c r="AJ65" s="42"/>
      <c r="AK65" s="44"/>
      <c r="AL65" s="42"/>
      <c r="AM65" s="52">
        <v>325</v>
      </c>
      <c r="AN65" s="52">
        <v>325</v>
      </c>
      <c r="AO65" s="52">
        <v>38525</v>
      </c>
      <c r="AP65" s="52">
        <v>0</v>
      </c>
      <c r="AQ65" s="42"/>
      <c r="AR65" s="52">
        <v>6525</v>
      </c>
      <c r="AS65" s="52">
        <v>47484825</v>
      </c>
      <c r="AT65" s="52">
        <v>0</v>
      </c>
      <c r="AU65" s="41" t="s">
        <v>2720</v>
      </c>
      <c r="AV65" s="41" t="s">
        <v>1929</v>
      </c>
      <c r="AW65" s="41" t="s">
        <v>2747</v>
      </c>
      <c r="AX65" s="41" t="s">
        <v>2748</v>
      </c>
    </row>
    <row r="66" spans="1:50" x14ac:dyDescent="0.2">
      <c r="A66" s="40">
        <v>47484925</v>
      </c>
      <c r="B66" s="41" t="s">
        <v>2659</v>
      </c>
      <c r="C66" s="41" t="s">
        <v>2750</v>
      </c>
      <c r="D66" s="41" t="s">
        <v>460</v>
      </c>
      <c r="E66" s="49">
        <v>166195</v>
      </c>
      <c r="F66" s="49">
        <v>0</v>
      </c>
      <c r="G66" s="50">
        <v>166195</v>
      </c>
      <c r="H66" s="42" t="s">
        <v>2615</v>
      </c>
      <c r="I66" s="42" t="s">
        <v>461</v>
      </c>
      <c r="J66" s="43" t="s">
        <v>351</v>
      </c>
      <c r="K66" s="40">
        <v>13478907</v>
      </c>
      <c r="L66" s="41" t="s">
        <v>948</v>
      </c>
      <c r="M66" s="41" t="s">
        <v>316</v>
      </c>
      <c r="N66" s="41" t="s">
        <v>317</v>
      </c>
      <c r="O66" s="41" t="s">
        <v>949</v>
      </c>
      <c r="P66" s="41" t="s">
        <v>319</v>
      </c>
      <c r="Q66" s="40">
        <v>890903938</v>
      </c>
      <c r="R66" s="41" t="s">
        <v>342</v>
      </c>
      <c r="S66" s="40">
        <v>923238</v>
      </c>
      <c r="T66" s="41" t="s">
        <v>569</v>
      </c>
      <c r="U66" s="41" t="s">
        <v>29</v>
      </c>
      <c r="V66" s="41" t="s">
        <v>30</v>
      </c>
      <c r="W66" s="42" t="s">
        <v>31</v>
      </c>
      <c r="X66" s="42" t="s">
        <v>32</v>
      </c>
      <c r="Y66" s="42" t="s">
        <v>33</v>
      </c>
      <c r="Z66" s="42" t="s">
        <v>2751</v>
      </c>
      <c r="AA66" s="42" t="s">
        <v>34</v>
      </c>
      <c r="AB66" s="42" t="s">
        <v>34</v>
      </c>
      <c r="AC66" s="42" t="s">
        <v>34</v>
      </c>
      <c r="AD66" s="42" t="s">
        <v>462</v>
      </c>
      <c r="AE66" s="42"/>
      <c r="AF66" s="42"/>
      <c r="AG66" s="42" t="s">
        <v>463</v>
      </c>
      <c r="AH66" s="42"/>
      <c r="AI66" s="44"/>
      <c r="AJ66" s="42"/>
      <c r="AK66" s="44"/>
      <c r="AL66" s="42"/>
      <c r="AM66" s="52">
        <v>325</v>
      </c>
      <c r="AN66" s="52">
        <v>325</v>
      </c>
      <c r="AO66" s="52">
        <v>38625</v>
      </c>
      <c r="AP66" s="52">
        <v>0</v>
      </c>
      <c r="AQ66" s="42"/>
      <c r="AR66" s="52">
        <v>6625</v>
      </c>
      <c r="AS66" s="52">
        <v>47484925</v>
      </c>
      <c r="AT66" s="52">
        <v>0</v>
      </c>
      <c r="AU66" s="41" t="s">
        <v>2720</v>
      </c>
      <c r="AV66" s="41" t="s">
        <v>1929</v>
      </c>
      <c r="AW66" s="41" t="s">
        <v>2753</v>
      </c>
      <c r="AX66" s="41" t="s">
        <v>2754</v>
      </c>
    </row>
    <row r="67" spans="1:50" x14ac:dyDescent="0.2">
      <c r="A67" s="40">
        <v>47485025</v>
      </c>
      <c r="B67" s="41" t="s">
        <v>2659</v>
      </c>
      <c r="C67" s="41" t="s">
        <v>2756</v>
      </c>
      <c r="D67" s="41" t="s">
        <v>460</v>
      </c>
      <c r="E67" s="49">
        <v>528207</v>
      </c>
      <c r="F67" s="49">
        <v>0</v>
      </c>
      <c r="G67" s="50">
        <v>528207</v>
      </c>
      <c r="H67" s="42" t="s">
        <v>2615</v>
      </c>
      <c r="I67" s="42" t="s">
        <v>461</v>
      </c>
      <c r="J67" s="43" t="s">
        <v>351</v>
      </c>
      <c r="K67" s="40">
        <v>52425990</v>
      </c>
      <c r="L67" s="41" t="s">
        <v>1953</v>
      </c>
      <c r="M67" s="41" t="s">
        <v>316</v>
      </c>
      <c r="N67" s="41" t="s">
        <v>317</v>
      </c>
      <c r="O67" s="41" t="s">
        <v>1954</v>
      </c>
      <c r="P67" s="41" t="s">
        <v>319</v>
      </c>
      <c r="Q67" s="40">
        <v>860007335</v>
      </c>
      <c r="R67" s="41" t="s">
        <v>381</v>
      </c>
      <c r="S67" s="40">
        <v>923238</v>
      </c>
      <c r="T67" s="41" t="s">
        <v>569</v>
      </c>
      <c r="U67" s="41" t="s">
        <v>29</v>
      </c>
      <c r="V67" s="41" t="s">
        <v>30</v>
      </c>
      <c r="W67" s="42" t="s">
        <v>31</v>
      </c>
      <c r="X67" s="42" t="s">
        <v>32</v>
      </c>
      <c r="Y67" s="42" t="s">
        <v>33</v>
      </c>
      <c r="Z67" s="42" t="s">
        <v>2757</v>
      </c>
      <c r="AA67" s="42" t="s">
        <v>34</v>
      </c>
      <c r="AB67" s="42" t="s">
        <v>34</v>
      </c>
      <c r="AC67" s="42" t="s">
        <v>34</v>
      </c>
      <c r="AD67" s="42" t="s">
        <v>462</v>
      </c>
      <c r="AE67" s="42"/>
      <c r="AF67" s="42"/>
      <c r="AG67" s="42" t="s">
        <v>463</v>
      </c>
      <c r="AH67" s="42"/>
      <c r="AI67" s="44"/>
      <c r="AJ67" s="42"/>
      <c r="AK67" s="44"/>
      <c r="AL67" s="42"/>
      <c r="AM67" s="52">
        <v>325</v>
      </c>
      <c r="AN67" s="52">
        <v>325</v>
      </c>
      <c r="AO67" s="52">
        <v>38725</v>
      </c>
      <c r="AP67" s="52">
        <v>0</v>
      </c>
      <c r="AQ67" s="42"/>
      <c r="AR67" s="52">
        <v>6725</v>
      </c>
      <c r="AS67" s="52">
        <v>47485025</v>
      </c>
      <c r="AT67" s="52">
        <v>0</v>
      </c>
      <c r="AU67" s="41" t="s">
        <v>2720</v>
      </c>
      <c r="AV67" s="41" t="s">
        <v>1929</v>
      </c>
      <c r="AW67" s="41" t="s">
        <v>2759</v>
      </c>
      <c r="AX67" s="41" t="s">
        <v>2760</v>
      </c>
    </row>
    <row r="68" spans="1:50" x14ac:dyDescent="0.2">
      <c r="A68" s="40">
        <v>47485125</v>
      </c>
      <c r="B68" s="41" t="s">
        <v>2659</v>
      </c>
      <c r="C68" s="41" t="s">
        <v>2762</v>
      </c>
      <c r="D68" s="41" t="s">
        <v>460</v>
      </c>
      <c r="E68" s="49">
        <v>668651</v>
      </c>
      <c r="F68" s="49">
        <v>0</v>
      </c>
      <c r="G68" s="50">
        <v>668651</v>
      </c>
      <c r="H68" s="42" t="s">
        <v>2615</v>
      </c>
      <c r="I68" s="42" t="s">
        <v>461</v>
      </c>
      <c r="J68" s="43" t="s">
        <v>351</v>
      </c>
      <c r="K68" s="40">
        <v>80062448</v>
      </c>
      <c r="L68" s="41" t="s">
        <v>1943</v>
      </c>
      <c r="M68" s="41" t="s">
        <v>316</v>
      </c>
      <c r="N68" s="41" t="s">
        <v>317</v>
      </c>
      <c r="O68" s="41" t="s">
        <v>1944</v>
      </c>
      <c r="P68" s="41" t="s">
        <v>319</v>
      </c>
      <c r="Q68" s="40">
        <v>860034313</v>
      </c>
      <c r="R68" s="41" t="s">
        <v>355</v>
      </c>
      <c r="S68" s="40">
        <v>923238</v>
      </c>
      <c r="T68" s="41" t="s">
        <v>569</v>
      </c>
      <c r="U68" s="41" t="s">
        <v>29</v>
      </c>
      <c r="V68" s="41" t="s">
        <v>30</v>
      </c>
      <c r="W68" s="42" t="s">
        <v>31</v>
      </c>
      <c r="X68" s="42" t="s">
        <v>32</v>
      </c>
      <c r="Y68" s="42" t="s">
        <v>33</v>
      </c>
      <c r="Z68" s="42" t="s">
        <v>2763</v>
      </c>
      <c r="AA68" s="42" t="s">
        <v>34</v>
      </c>
      <c r="AB68" s="42" t="s">
        <v>34</v>
      </c>
      <c r="AC68" s="42" t="s">
        <v>34</v>
      </c>
      <c r="AD68" s="42" t="s">
        <v>462</v>
      </c>
      <c r="AE68" s="42"/>
      <c r="AF68" s="42"/>
      <c r="AG68" s="42" t="s">
        <v>463</v>
      </c>
      <c r="AH68" s="42"/>
      <c r="AI68" s="44"/>
      <c r="AJ68" s="42"/>
      <c r="AK68" s="44"/>
      <c r="AL68" s="42"/>
      <c r="AM68" s="52">
        <v>325</v>
      </c>
      <c r="AN68" s="52">
        <v>325</v>
      </c>
      <c r="AO68" s="52">
        <v>38825</v>
      </c>
      <c r="AP68" s="52">
        <v>0</v>
      </c>
      <c r="AQ68" s="42"/>
      <c r="AR68" s="52">
        <v>6825</v>
      </c>
      <c r="AS68" s="52">
        <v>47485125</v>
      </c>
      <c r="AT68" s="52">
        <v>0</v>
      </c>
      <c r="AU68" s="41" t="s">
        <v>2720</v>
      </c>
      <c r="AV68" s="41" t="s">
        <v>1929</v>
      </c>
      <c r="AW68" s="41" t="s">
        <v>2765</v>
      </c>
      <c r="AX68" s="41" t="s">
        <v>2766</v>
      </c>
    </row>
    <row r="69" spans="1:50" x14ac:dyDescent="0.2">
      <c r="A69" s="40">
        <v>47485225</v>
      </c>
      <c r="B69" s="41" t="s">
        <v>2659</v>
      </c>
      <c r="C69" s="41" t="s">
        <v>2768</v>
      </c>
      <c r="D69" s="41" t="s">
        <v>460</v>
      </c>
      <c r="E69" s="49">
        <v>199914</v>
      </c>
      <c r="F69" s="49">
        <v>0</v>
      </c>
      <c r="G69" s="50">
        <v>199914</v>
      </c>
      <c r="H69" s="42" t="s">
        <v>2615</v>
      </c>
      <c r="I69" s="42" t="s">
        <v>461</v>
      </c>
      <c r="J69" s="43" t="s">
        <v>351</v>
      </c>
      <c r="K69" s="40">
        <v>20927278</v>
      </c>
      <c r="L69" s="41" t="s">
        <v>2769</v>
      </c>
      <c r="M69" s="41" t="s">
        <v>316</v>
      </c>
      <c r="N69" s="41" t="s">
        <v>317</v>
      </c>
      <c r="O69" s="41" t="s">
        <v>2770</v>
      </c>
      <c r="P69" s="41" t="s">
        <v>319</v>
      </c>
      <c r="Q69" s="40">
        <v>860035827</v>
      </c>
      <c r="R69" s="41" t="s">
        <v>653</v>
      </c>
      <c r="S69" s="40">
        <v>923210</v>
      </c>
      <c r="T69" s="41" t="s">
        <v>56</v>
      </c>
      <c r="U69" s="41" t="s">
        <v>29</v>
      </c>
      <c r="V69" s="41" t="s">
        <v>30</v>
      </c>
      <c r="W69" s="42" t="s">
        <v>31</v>
      </c>
      <c r="X69" s="42" t="s">
        <v>32</v>
      </c>
      <c r="Y69" s="42" t="s">
        <v>33</v>
      </c>
      <c r="Z69" s="42" t="s">
        <v>2771</v>
      </c>
      <c r="AA69" s="42" t="s">
        <v>34</v>
      </c>
      <c r="AB69" s="42" t="s">
        <v>34</v>
      </c>
      <c r="AC69" s="42" t="s">
        <v>34</v>
      </c>
      <c r="AD69" s="42" t="s">
        <v>462</v>
      </c>
      <c r="AE69" s="42"/>
      <c r="AF69" s="42"/>
      <c r="AG69" s="42" t="s">
        <v>463</v>
      </c>
      <c r="AH69" s="42"/>
      <c r="AI69" s="44"/>
      <c r="AJ69" s="42"/>
      <c r="AK69" s="44"/>
      <c r="AL69" s="42"/>
      <c r="AM69" s="52">
        <v>1625</v>
      </c>
      <c r="AN69" s="52">
        <v>1625</v>
      </c>
      <c r="AO69" s="52">
        <v>38925</v>
      </c>
      <c r="AP69" s="52">
        <v>0</v>
      </c>
      <c r="AQ69" s="42"/>
      <c r="AR69" s="52">
        <v>6925</v>
      </c>
      <c r="AS69" s="52">
        <v>47485225</v>
      </c>
      <c r="AT69" s="52">
        <v>0</v>
      </c>
      <c r="AU69" s="41" t="s">
        <v>2720</v>
      </c>
      <c r="AV69" s="41" t="s">
        <v>1929</v>
      </c>
      <c r="AW69" s="41" t="s">
        <v>2773</v>
      </c>
      <c r="AX69" s="41" t="s">
        <v>2774</v>
      </c>
    </row>
    <row r="70" spans="1:50" x14ac:dyDescent="0.2">
      <c r="A70" s="40">
        <v>47485325</v>
      </c>
      <c r="B70" s="41" t="s">
        <v>2659</v>
      </c>
      <c r="C70" s="41" t="s">
        <v>2776</v>
      </c>
      <c r="D70" s="41" t="s">
        <v>460</v>
      </c>
      <c r="E70" s="49">
        <v>139896</v>
      </c>
      <c r="F70" s="49">
        <v>0</v>
      </c>
      <c r="G70" s="50">
        <v>139896</v>
      </c>
      <c r="H70" s="42" t="s">
        <v>2615</v>
      </c>
      <c r="I70" s="42" t="s">
        <v>461</v>
      </c>
      <c r="J70" s="43" t="s">
        <v>351</v>
      </c>
      <c r="K70" s="40">
        <v>1070825199</v>
      </c>
      <c r="L70" s="41" t="s">
        <v>2777</v>
      </c>
      <c r="M70" s="41" t="s">
        <v>316</v>
      </c>
      <c r="N70" s="41" t="s">
        <v>317</v>
      </c>
      <c r="O70" s="41" t="s">
        <v>2778</v>
      </c>
      <c r="P70" s="41" t="s">
        <v>319</v>
      </c>
      <c r="Q70" s="40">
        <v>890903938</v>
      </c>
      <c r="R70" s="41" t="s">
        <v>342</v>
      </c>
      <c r="S70" s="40">
        <v>923210</v>
      </c>
      <c r="T70" s="41" t="s">
        <v>56</v>
      </c>
      <c r="U70" s="41" t="s">
        <v>57</v>
      </c>
      <c r="V70" s="41" t="s">
        <v>58</v>
      </c>
      <c r="W70" s="42" t="s">
        <v>31</v>
      </c>
      <c r="X70" s="42" t="s">
        <v>32</v>
      </c>
      <c r="Y70" s="42" t="s">
        <v>33</v>
      </c>
      <c r="Z70" s="42" t="s">
        <v>2779</v>
      </c>
      <c r="AA70" s="42" t="s">
        <v>34</v>
      </c>
      <c r="AB70" s="42" t="s">
        <v>34</v>
      </c>
      <c r="AC70" s="42" t="s">
        <v>34</v>
      </c>
      <c r="AD70" s="42" t="s">
        <v>462</v>
      </c>
      <c r="AE70" s="42"/>
      <c r="AF70" s="42"/>
      <c r="AG70" s="42" t="s">
        <v>463</v>
      </c>
      <c r="AH70" s="42"/>
      <c r="AI70" s="44"/>
      <c r="AJ70" s="42"/>
      <c r="AK70" s="44"/>
      <c r="AL70" s="42"/>
      <c r="AM70" s="52">
        <v>625</v>
      </c>
      <c r="AN70" s="52">
        <v>625</v>
      </c>
      <c r="AO70" s="52">
        <v>39025</v>
      </c>
      <c r="AP70" s="52">
        <v>0</v>
      </c>
      <c r="AQ70" s="42"/>
      <c r="AR70" s="52">
        <v>7025</v>
      </c>
      <c r="AS70" s="52">
        <v>47485325</v>
      </c>
      <c r="AT70" s="52">
        <v>0</v>
      </c>
      <c r="AU70" s="41" t="s">
        <v>2720</v>
      </c>
      <c r="AV70" s="41" t="s">
        <v>1929</v>
      </c>
      <c r="AW70" s="41" t="s">
        <v>2781</v>
      </c>
      <c r="AX70" s="41" t="s">
        <v>2782</v>
      </c>
    </row>
    <row r="71" spans="1:50" x14ac:dyDescent="0.2">
      <c r="A71" s="40">
        <v>50237825</v>
      </c>
      <c r="B71" s="41" t="s">
        <v>2784</v>
      </c>
      <c r="C71" s="41" t="s">
        <v>2785</v>
      </c>
      <c r="D71" s="41" t="s">
        <v>460</v>
      </c>
      <c r="E71" s="49">
        <v>668651</v>
      </c>
      <c r="F71" s="49">
        <v>0</v>
      </c>
      <c r="G71" s="50">
        <v>668651</v>
      </c>
      <c r="H71" s="42" t="s">
        <v>2615</v>
      </c>
      <c r="I71" s="42" t="s">
        <v>461</v>
      </c>
      <c r="J71" s="43" t="s">
        <v>351</v>
      </c>
      <c r="K71" s="40">
        <v>11315001</v>
      </c>
      <c r="L71" s="41" t="s">
        <v>2037</v>
      </c>
      <c r="M71" s="41" t="s">
        <v>316</v>
      </c>
      <c r="N71" s="41" t="s">
        <v>317</v>
      </c>
      <c r="O71" s="41" t="s">
        <v>2038</v>
      </c>
      <c r="P71" s="41" t="s">
        <v>319</v>
      </c>
      <c r="Q71" s="40">
        <v>890903938</v>
      </c>
      <c r="R71" s="41" t="s">
        <v>342</v>
      </c>
      <c r="S71" s="40">
        <v>923238</v>
      </c>
      <c r="T71" s="41" t="s">
        <v>569</v>
      </c>
      <c r="U71" s="41" t="s">
        <v>29</v>
      </c>
      <c r="V71" s="41" t="s">
        <v>30</v>
      </c>
      <c r="W71" s="42" t="s">
        <v>31</v>
      </c>
      <c r="X71" s="42" t="s">
        <v>32</v>
      </c>
      <c r="Y71" s="42" t="s">
        <v>33</v>
      </c>
      <c r="Z71" s="42" t="s">
        <v>2763</v>
      </c>
      <c r="AA71" s="42" t="s">
        <v>34</v>
      </c>
      <c r="AB71" s="42" t="s">
        <v>34</v>
      </c>
      <c r="AC71" s="42" t="s">
        <v>34</v>
      </c>
      <c r="AD71" s="42" t="s">
        <v>462</v>
      </c>
      <c r="AE71" s="42"/>
      <c r="AF71" s="42"/>
      <c r="AG71" s="42" t="s">
        <v>463</v>
      </c>
      <c r="AH71" s="42"/>
      <c r="AI71" s="44"/>
      <c r="AJ71" s="42"/>
      <c r="AK71" s="44"/>
      <c r="AL71" s="42" t="s">
        <v>2786</v>
      </c>
      <c r="AM71" s="52">
        <v>325</v>
      </c>
      <c r="AN71" s="52">
        <v>325</v>
      </c>
      <c r="AO71" s="52">
        <v>39125</v>
      </c>
      <c r="AP71" s="52">
        <v>4325</v>
      </c>
      <c r="AQ71" s="42" t="s">
        <v>2784</v>
      </c>
      <c r="AR71" s="52">
        <v>7425</v>
      </c>
      <c r="AS71" s="52">
        <v>50237825</v>
      </c>
      <c r="AT71" s="52">
        <v>0</v>
      </c>
      <c r="AU71" s="41" t="s">
        <v>2659</v>
      </c>
      <c r="AV71" s="41" t="s">
        <v>1929</v>
      </c>
      <c r="AW71" s="41" t="s">
        <v>2788</v>
      </c>
      <c r="AX71" s="41" t="s">
        <v>2789</v>
      </c>
    </row>
    <row r="72" spans="1:50" x14ac:dyDescent="0.2">
      <c r="A72" s="40">
        <v>50245825</v>
      </c>
      <c r="B72" s="41" t="s">
        <v>2784</v>
      </c>
      <c r="C72" s="41" t="s">
        <v>2791</v>
      </c>
      <c r="D72" s="41" t="s">
        <v>460</v>
      </c>
      <c r="E72" s="49">
        <v>26070</v>
      </c>
      <c r="F72" s="49">
        <v>0</v>
      </c>
      <c r="G72" s="50">
        <v>26070</v>
      </c>
      <c r="H72" s="42" t="s">
        <v>2615</v>
      </c>
      <c r="I72" s="42" t="s">
        <v>461</v>
      </c>
      <c r="J72" s="43" t="s">
        <v>314</v>
      </c>
      <c r="K72" s="40">
        <v>899999094</v>
      </c>
      <c r="L72" s="41" t="s">
        <v>432</v>
      </c>
      <c r="M72" s="41" t="s">
        <v>316</v>
      </c>
      <c r="N72" s="41" t="s">
        <v>317</v>
      </c>
      <c r="O72" s="41" t="s">
        <v>433</v>
      </c>
      <c r="P72" s="41" t="s">
        <v>319</v>
      </c>
      <c r="Q72" s="40">
        <v>860034313</v>
      </c>
      <c r="R72" s="41" t="s">
        <v>355</v>
      </c>
      <c r="S72" s="40">
        <v>923210</v>
      </c>
      <c r="T72" s="41" t="s">
        <v>56</v>
      </c>
      <c r="U72" s="41" t="s">
        <v>29</v>
      </c>
      <c r="V72" s="41" t="s">
        <v>30</v>
      </c>
      <c r="W72" s="42" t="s">
        <v>47</v>
      </c>
      <c r="X72" s="42" t="s">
        <v>48</v>
      </c>
      <c r="Y72" s="42" t="s">
        <v>33</v>
      </c>
      <c r="Z72" s="42" t="s">
        <v>431</v>
      </c>
      <c r="AA72" s="42" t="s">
        <v>34</v>
      </c>
      <c r="AB72" s="42" t="s">
        <v>34</v>
      </c>
      <c r="AC72" s="42" t="s">
        <v>34</v>
      </c>
      <c r="AD72" s="42" t="s">
        <v>462</v>
      </c>
      <c r="AE72" s="42"/>
      <c r="AF72" s="42"/>
      <c r="AG72" s="42" t="s">
        <v>463</v>
      </c>
      <c r="AH72" s="42"/>
      <c r="AI72" s="44"/>
      <c r="AJ72" s="42"/>
      <c r="AK72" s="44"/>
      <c r="AL72" s="42" t="s">
        <v>2792</v>
      </c>
      <c r="AM72" s="52">
        <v>1225</v>
      </c>
      <c r="AN72" s="52">
        <v>1225</v>
      </c>
      <c r="AO72" s="52">
        <v>34325</v>
      </c>
      <c r="AP72" s="52">
        <v>4125</v>
      </c>
      <c r="AQ72" s="42" t="s">
        <v>2784</v>
      </c>
      <c r="AR72" s="52">
        <v>7225</v>
      </c>
      <c r="AS72" s="52">
        <v>50245825</v>
      </c>
      <c r="AT72" s="52">
        <v>0</v>
      </c>
      <c r="AU72" s="41" t="s">
        <v>2631</v>
      </c>
      <c r="AV72" s="41" t="s">
        <v>323</v>
      </c>
      <c r="AW72" s="41" t="s">
        <v>2794</v>
      </c>
      <c r="AX72" s="41" t="s">
        <v>2795</v>
      </c>
    </row>
    <row r="73" spans="1:50" x14ac:dyDescent="0.2">
      <c r="A73" s="40">
        <v>50281325</v>
      </c>
      <c r="B73" s="41" t="s">
        <v>2784</v>
      </c>
      <c r="C73" s="41" t="s">
        <v>2797</v>
      </c>
      <c r="D73" s="41" t="s">
        <v>460</v>
      </c>
      <c r="E73" s="49">
        <v>244110</v>
      </c>
      <c r="F73" s="49">
        <v>0</v>
      </c>
      <c r="G73" s="50">
        <v>244110</v>
      </c>
      <c r="H73" s="42" t="s">
        <v>2615</v>
      </c>
      <c r="I73" s="42" t="s">
        <v>461</v>
      </c>
      <c r="J73" s="43" t="s">
        <v>314</v>
      </c>
      <c r="K73" s="40">
        <v>899999094</v>
      </c>
      <c r="L73" s="41" t="s">
        <v>432</v>
      </c>
      <c r="M73" s="41" t="s">
        <v>316</v>
      </c>
      <c r="N73" s="41" t="s">
        <v>317</v>
      </c>
      <c r="O73" s="41" t="s">
        <v>433</v>
      </c>
      <c r="P73" s="41" t="s">
        <v>319</v>
      </c>
      <c r="Q73" s="40">
        <v>860034313</v>
      </c>
      <c r="R73" s="41" t="s">
        <v>355</v>
      </c>
      <c r="S73" s="40">
        <v>923210</v>
      </c>
      <c r="T73" s="41" t="s">
        <v>56</v>
      </c>
      <c r="U73" s="41" t="s">
        <v>29</v>
      </c>
      <c r="V73" s="41" t="s">
        <v>30</v>
      </c>
      <c r="W73" s="42" t="s">
        <v>47</v>
      </c>
      <c r="X73" s="42" t="s">
        <v>48</v>
      </c>
      <c r="Y73" s="42" t="s">
        <v>33</v>
      </c>
      <c r="Z73" s="42" t="s">
        <v>2798</v>
      </c>
      <c r="AA73" s="42" t="s">
        <v>34</v>
      </c>
      <c r="AB73" s="42" t="s">
        <v>34</v>
      </c>
      <c r="AC73" s="42" t="s">
        <v>34</v>
      </c>
      <c r="AD73" s="42" t="s">
        <v>462</v>
      </c>
      <c r="AE73" s="42"/>
      <c r="AF73" s="42"/>
      <c r="AG73" s="42" t="s">
        <v>463</v>
      </c>
      <c r="AH73" s="42"/>
      <c r="AI73" s="44"/>
      <c r="AJ73" s="42"/>
      <c r="AK73" s="44"/>
      <c r="AL73" s="42" t="s">
        <v>2799</v>
      </c>
      <c r="AM73" s="52">
        <v>1225</v>
      </c>
      <c r="AN73" s="52">
        <v>1225</v>
      </c>
      <c r="AO73" s="52">
        <v>34225</v>
      </c>
      <c r="AP73" s="52">
        <v>4025</v>
      </c>
      <c r="AQ73" s="42" t="s">
        <v>2784</v>
      </c>
      <c r="AR73" s="52">
        <v>7125</v>
      </c>
      <c r="AS73" s="52">
        <v>50281325</v>
      </c>
      <c r="AT73" s="52">
        <v>0</v>
      </c>
      <c r="AU73" s="41" t="s">
        <v>2631</v>
      </c>
      <c r="AV73" s="41" t="s">
        <v>323</v>
      </c>
      <c r="AW73" s="41" t="s">
        <v>2801</v>
      </c>
      <c r="AX73" s="41" t="s">
        <v>2802</v>
      </c>
    </row>
    <row r="74" spans="1:50" x14ac:dyDescent="0.2">
      <c r="A74" s="40">
        <v>64519025</v>
      </c>
      <c r="B74" s="41" t="s">
        <v>2804</v>
      </c>
      <c r="C74" s="41" t="s">
        <v>2805</v>
      </c>
      <c r="D74" s="41" t="s">
        <v>460</v>
      </c>
      <c r="E74" s="49">
        <v>4292876</v>
      </c>
      <c r="F74" s="49">
        <v>22820</v>
      </c>
      <c r="G74" s="50">
        <v>4270056</v>
      </c>
      <c r="H74" s="42" t="s">
        <v>2615</v>
      </c>
      <c r="I74" s="42" t="s">
        <v>461</v>
      </c>
      <c r="J74" s="43" t="s">
        <v>351</v>
      </c>
      <c r="K74" s="40">
        <v>1012333352</v>
      </c>
      <c r="L74" s="41" t="s">
        <v>726</v>
      </c>
      <c r="M74" s="41" t="s">
        <v>316</v>
      </c>
      <c r="N74" s="41" t="s">
        <v>317</v>
      </c>
      <c r="O74" s="41" t="s">
        <v>727</v>
      </c>
      <c r="P74" s="41" t="s">
        <v>319</v>
      </c>
      <c r="Q74" s="40">
        <v>860002964</v>
      </c>
      <c r="R74" s="41" t="s">
        <v>419</v>
      </c>
      <c r="S74" s="40">
        <v>923245</v>
      </c>
      <c r="T74" s="41" t="s">
        <v>180</v>
      </c>
      <c r="U74" s="41" t="s">
        <v>29</v>
      </c>
      <c r="V74" s="41" t="s">
        <v>30</v>
      </c>
      <c r="W74" s="42" t="s">
        <v>31</v>
      </c>
      <c r="X74" s="42" t="s">
        <v>32</v>
      </c>
      <c r="Y74" s="42" t="s">
        <v>33</v>
      </c>
      <c r="Z74" s="42" t="s">
        <v>2806</v>
      </c>
      <c r="AA74" s="42" t="s">
        <v>34</v>
      </c>
      <c r="AB74" s="42" t="s">
        <v>34</v>
      </c>
      <c r="AC74" s="42" t="s">
        <v>34</v>
      </c>
      <c r="AD74" s="42" t="s">
        <v>462</v>
      </c>
      <c r="AE74" s="42"/>
      <c r="AF74" s="42"/>
      <c r="AG74" s="42" t="s">
        <v>463</v>
      </c>
      <c r="AH74" s="42"/>
      <c r="AI74" s="44"/>
      <c r="AJ74" s="42"/>
      <c r="AK74" s="44"/>
      <c r="AL74" s="42"/>
      <c r="AM74" s="52">
        <v>3825</v>
      </c>
      <c r="AN74" s="52">
        <v>3825</v>
      </c>
      <c r="AO74" s="52">
        <v>4525</v>
      </c>
      <c r="AP74" s="52">
        <v>0</v>
      </c>
      <c r="AQ74" s="42"/>
      <c r="AR74" s="52">
        <v>7725</v>
      </c>
      <c r="AS74" s="52">
        <v>64519025</v>
      </c>
      <c r="AT74" s="52">
        <v>0</v>
      </c>
      <c r="AU74" s="41" t="s">
        <v>699</v>
      </c>
      <c r="AV74" s="41" t="s">
        <v>356</v>
      </c>
      <c r="AW74" s="41" t="s">
        <v>728</v>
      </c>
      <c r="AX74" s="41" t="s">
        <v>724</v>
      </c>
    </row>
    <row r="75" spans="1:50" x14ac:dyDescent="0.2">
      <c r="A75" s="40">
        <v>64519225</v>
      </c>
      <c r="B75" s="41" t="s">
        <v>2804</v>
      </c>
      <c r="C75" s="41" t="s">
        <v>2808</v>
      </c>
      <c r="D75" s="41" t="s">
        <v>460</v>
      </c>
      <c r="E75" s="49">
        <v>4292876</v>
      </c>
      <c r="F75" s="49">
        <v>22820</v>
      </c>
      <c r="G75" s="50">
        <v>4270056</v>
      </c>
      <c r="H75" s="42" t="s">
        <v>2615</v>
      </c>
      <c r="I75" s="42" t="s">
        <v>461</v>
      </c>
      <c r="J75" s="43" t="s">
        <v>351</v>
      </c>
      <c r="K75" s="40">
        <v>1065630928</v>
      </c>
      <c r="L75" s="41" t="s">
        <v>730</v>
      </c>
      <c r="M75" s="41" t="s">
        <v>316</v>
      </c>
      <c r="N75" s="41" t="s">
        <v>317</v>
      </c>
      <c r="O75" s="41" t="s">
        <v>731</v>
      </c>
      <c r="P75" s="41" t="s">
        <v>319</v>
      </c>
      <c r="Q75" s="40">
        <v>860034313</v>
      </c>
      <c r="R75" s="41" t="s">
        <v>355</v>
      </c>
      <c r="S75" s="40">
        <v>923245</v>
      </c>
      <c r="T75" s="41" t="s">
        <v>180</v>
      </c>
      <c r="U75" s="41" t="s">
        <v>29</v>
      </c>
      <c r="V75" s="41" t="s">
        <v>30</v>
      </c>
      <c r="W75" s="42" t="s">
        <v>31</v>
      </c>
      <c r="X75" s="42" t="s">
        <v>32</v>
      </c>
      <c r="Y75" s="42" t="s">
        <v>33</v>
      </c>
      <c r="Z75" s="42" t="s">
        <v>2806</v>
      </c>
      <c r="AA75" s="42" t="s">
        <v>34</v>
      </c>
      <c r="AB75" s="42" t="s">
        <v>34</v>
      </c>
      <c r="AC75" s="42" t="s">
        <v>34</v>
      </c>
      <c r="AD75" s="42" t="s">
        <v>462</v>
      </c>
      <c r="AE75" s="42"/>
      <c r="AF75" s="42"/>
      <c r="AG75" s="42" t="s">
        <v>463</v>
      </c>
      <c r="AH75" s="42"/>
      <c r="AI75" s="44"/>
      <c r="AJ75" s="42"/>
      <c r="AK75" s="44"/>
      <c r="AL75" s="42"/>
      <c r="AM75" s="52">
        <v>3825</v>
      </c>
      <c r="AN75" s="52">
        <v>3825</v>
      </c>
      <c r="AO75" s="52">
        <v>4625</v>
      </c>
      <c r="AP75" s="52">
        <v>0</v>
      </c>
      <c r="AQ75" s="42"/>
      <c r="AR75" s="52">
        <v>7825</v>
      </c>
      <c r="AS75" s="52">
        <v>64519225</v>
      </c>
      <c r="AT75" s="52">
        <v>0</v>
      </c>
      <c r="AU75" s="41" t="s">
        <v>699</v>
      </c>
      <c r="AV75" s="41" t="s">
        <v>356</v>
      </c>
      <c r="AW75" s="41" t="s">
        <v>732</v>
      </c>
      <c r="AX75" s="41" t="s">
        <v>724</v>
      </c>
    </row>
    <row r="76" spans="1:50" x14ac:dyDescent="0.2">
      <c r="A76" s="40">
        <v>64519325</v>
      </c>
      <c r="B76" s="41" t="s">
        <v>2804</v>
      </c>
      <c r="C76" s="41" t="s">
        <v>2810</v>
      </c>
      <c r="D76" s="41" t="s">
        <v>460</v>
      </c>
      <c r="E76" s="49">
        <v>4292876</v>
      </c>
      <c r="F76" s="49">
        <v>22820</v>
      </c>
      <c r="G76" s="50">
        <v>4270056</v>
      </c>
      <c r="H76" s="42" t="s">
        <v>2615</v>
      </c>
      <c r="I76" s="42" t="s">
        <v>461</v>
      </c>
      <c r="J76" s="43" t="s">
        <v>351</v>
      </c>
      <c r="K76" s="40">
        <v>52954942</v>
      </c>
      <c r="L76" s="41" t="s">
        <v>734</v>
      </c>
      <c r="M76" s="41" t="s">
        <v>316</v>
      </c>
      <c r="N76" s="41" t="s">
        <v>317</v>
      </c>
      <c r="O76" s="41" t="s">
        <v>735</v>
      </c>
      <c r="P76" s="41" t="s">
        <v>319</v>
      </c>
      <c r="Q76" s="40">
        <v>860034313</v>
      </c>
      <c r="R76" s="41" t="s">
        <v>355</v>
      </c>
      <c r="S76" s="40">
        <v>923245</v>
      </c>
      <c r="T76" s="41" t="s">
        <v>180</v>
      </c>
      <c r="U76" s="41" t="s">
        <v>29</v>
      </c>
      <c r="V76" s="41" t="s">
        <v>30</v>
      </c>
      <c r="W76" s="42" t="s">
        <v>31</v>
      </c>
      <c r="X76" s="42" t="s">
        <v>32</v>
      </c>
      <c r="Y76" s="42" t="s">
        <v>33</v>
      </c>
      <c r="Z76" s="42" t="s">
        <v>2806</v>
      </c>
      <c r="AA76" s="42" t="s">
        <v>34</v>
      </c>
      <c r="AB76" s="42" t="s">
        <v>34</v>
      </c>
      <c r="AC76" s="42" t="s">
        <v>34</v>
      </c>
      <c r="AD76" s="42" t="s">
        <v>462</v>
      </c>
      <c r="AE76" s="42"/>
      <c r="AF76" s="42"/>
      <c r="AG76" s="42" t="s">
        <v>463</v>
      </c>
      <c r="AH76" s="42"/>
      <c r="AI76" s="44"/>
      <c r="AJ76" s="42"/>
      <c r="AK76" s="44"/>
      <c r="AL76" s="42"/>
      <c r="AM76" s="52">
        <v>3825</v>
      </c>
      <c r="AN76" s="52">
        <v>3825</v>
      </c>
      <c r="AO76" s="52">
        <v>4725</v>
      </c>
      <c r="AP76" s="52">
        <v>0</v>
      </c>
      <c r="AQ76" s="42"/>
      <c r="AR76" s="52">
        <v>7925</v>
      </c>
      <c r="AS76" s="52">
        <v>64519325</v>
      </c>
      <c r="AT76" s="52">
        <v>0</v>
      </c>
      <c r="AU76" s="41" t="s">
        <v>699</v>
      </c>
      <c r="AV76" s="41" t="s">
        <v>356</v>
      </c>
      <c r="AW76" s="41" t="s">
        <v>736</v>
      </c>
      <c r="AX76" s="41" t="s">
        <v>724</v>
      </c>
    </row>
    <row r="77" spans="1:50" x14ac:dyDescent="0.2">
      <c r="A77" s="40">
        <v>64519425</v>
      </c>
      <c r="B77" s="41" t="s">
        <v>2804</v>
      </c>
      <c r="C77" s="41" t="s">
        <v>2812</v>
      </c>
      <c r="D77" s="41" t="s">
        <v>460</v>
      </c>
      <c r="E77" s="49">
        <v>4292877</v>
      </c>
      <c r="F77" s="49">
        <v>22820</v>
      </c>
      <c r="G77" s="50">
        <v>4270057</v>
      </c>
      <c r="H77" s="42" t="s">
        <v>2615</v>
      </c>
      <c r="I77" s="42" t="s">
        <v>461</v>
      </c>
      <c r="J77" s="43" t="s">
        <v>351</v>
      </c>
      <c r="K77" s="40">
        <v>1018436224</v>
      </c>
      <c r="L77" s="41" t="s">
        <v>739</v>
      </c>
      <c r="M77" s="41" t="s">
        <v>316</v>
      </c>
      <c r="N77" s="41" t="s">
        <v>317</v>
      </c>
      <c r="O77" s="41" t="s">
        <v>740</v>
      </c>
      <c r="P77" s="41" t="s">
        <v>319</v>
      </c>
      <c r="Q77" s="40">
        <v>890903938</v>
      </c>
      <c r="R77" s="41" t="s">
        <v>342</v>
      </c>
      <c r="S77" s="40">
        <v>923285</v>
      </c>
      <c r="T77" s="41" t="s">
        <v>572</v>
      </c>
      <c r="U77" s="41" t="s">
        <v>29</v>
      </c>
      <c r="V77" s="41" t="s">
        <v>30</v>
      </c>
      <c r="W77" s="42" t="s">
        <v>31</v>
      </c>
      <c r="X77" s="42" t="s">
        <v>32</v>
      </c>
      <c r="Y77" s="42" t="s">
        <v>33</v>
      </c>
      <c r="Z77" s="42" t="s">
        <v>2813</v>
      </c>
      <c r="AA77" s="42" t="s">
        <v>34</v>
      </c>
      <c r="AB77" s="42" t="s">
        <v>34</v>
      </c>
      <c r="AC77" s="42" t="s">
        <v>34</v>
      </c>
      <c r="AD77" s="42" t="s">
        <v>462</v>
      </c>
      <c r="AE77" s="42"/>
      <c r="AF77" s="42"/>
      <c r="AG77" s="42" t="s">
        <v>463</v>
      </c>
      <c r="AH77" s="42"/>
      <c r="AI77" s="44"/>
      <c r="AJ77" s="42"/>
      <c r="AK77" s="44"/>
      <c r="AL77" s="42"/>
      <c r="AM77" s="52">
        <v>4225</v>
      </c>
      <c r="AN77" s="52">
        <v>4225</v>
      </c>
      <c r="AO77" s="52">
        <v>4825</v>
      </c>
      <c r="AP77" s="52">
        <v>0</v>
      </c>
      <c r="AQ77" s="42"/>
      <c r="AR77" s="52">
        <v>8025</v>
      </c>
      <c r="AS77" s="52">
        <v>64519425</v>
      </c>
      <c r="AT77" s="52">
        <v>0</v>
      </c>
      <c r="AU77" s="41" t="s">
        <v>737</v>
      </c>
      <c r="AV77" s="41" t="s">
        <v>356</v>
      </c>
      <c r="AW77" s="41" t="s">
        <v>741</v>
      </c>
      <c r="AX77" s="41" t="s">
        <v>742</v>
      </c>
    </row>
    <row r="78" spans="1:50" x14ac:dyDescent="0.2">
      <c r="A78" s="40">
        <v>64519525</v>
      </c>
      <c r="B78" s="41" t="s">
        <v>2804</v>
      </c>
      <c r="C78" s="41" t="s">
        <v>2815</v>
      </c>
      <c r="D78" s="41" t="s">
        <v>460</v>
      </c>
      <c r="E78" s="49">
        <v>3986243</v>
      </c>
      <c r="F78" s="49">
        <v>21190</v>
      </c>
      <c r="G78" s="50">
        <v>3965053</v>
      </c>
      <c r="H78" s="42" t="s">
        <v>2615</v>
      </c>
      <c r="I78" s="42" t="s">
        <v>461</v>
      </c>
      <c r="J78" s="43" t="s">
        <v>351</v>
      </c>
      <c r="K78" s="40">
        <v>39669143</v>
      </c>
      <c r="L78" s="41" t="s">
        <v>745</v>
      </c>
      <c r="M78" s="41" t="s">
        <v>316</v>
      </c>
      <c r="N78" s="41" t="s">
        <v>317</v>
      </c>
      <c r="O78" s="41" t="s">
        <v>746</v>
      </c>
      <c r="P78" s="41" t="s">
        <v>319</v>
      </c>
      <c r="Q78" s="40">
        <v>890903938</v>
      </c>
      <c r="R78" s="41" t="s">
        <v>342</v>
      </c>
      <c r="S78" s="40">
        <v>923245</v>
      </c>
      <c r="T78" s="41" t="s">
        <v>180</v>
      </c>
      <c r="U78" s="41" t="s">
        <v>29</v>
      </c>
      <c r="V78" s="41" t="s">
        <v>30</v>
      </c>
      <c r="W78" s="42" t="s">
        <v>31</v>
      </c>
      <c r="X78" s="42" t="s">
        <v>32</v>
      </c>
      <c r="Y78" s="42" t="s">
        <v>33</v>
      </c>
      <c r="Z78" s="42" t="s">
        <v>2816</v>
      </c>
      <c r="AA78" s="42" t="s">
        <v>34</v>
      </c>
      <c r="AB78" s="42" t="s">
        <v>34</v>
      </c>
      <c r="AC78" s="42" t="s">
        <v>34</v>
      </c>
      <c r="AD78" s="42" t="s">
        <v>462</v>
      </c>
      <c r="AE78" s="42"/>
      <c r="AF78" s="42"/>
      <c r="AG78" s="42" t="s">
        <v>463</v>
      </c>
      <c r="AH78" s="42"/>
      <c r="AI78" s="44"/>
      <c r="AJ78" s="42"/>
      <c r="AK78" s="44"/>
      <c r="AL78" s="42"/>
      <c r="AM78" s="52">
        <v>3825</v>
      </c>
      <c r="AN78" s="52">
        <v>3825</v>
      </c>
      <c r="AO78" s="52">
        <v>4925</v>
      </c>
      <c r="AP78" s="52">
        <v>0</v>
      </c>
      <c r="AQ78" s="42"/>
      <c r="AR78" s="52">
        <v>8125</v>
      </c>
      <c r="AS78" s="52">
        <v>64519525</v>
      </c>
      <c r="AT78" s="52">
        <v>0</v>
      </c>
      <c r="AU78" s="41" t="s">
        <v>743</v>
      </c>
      <c r="AV78" s="41" t="s">
        <v>356</v>
      </c>
      <c r="AW78" s="41" t="s">
        <v>747</v>
      </c>
      <c r="AX78" s="41" t="s">
        <v>748</v>
      </c>
    </row>
    <row r="79" spans="1:50" x14ac:dyDescent="0.2">
      <c r="A79" s="40">
        <v>64519625</v>
      </c>
      <c r="B79" s="41" t="s">
        <v>2804</v>
      </c>
      <c r="C79" s="41" t="s">
        <v>2818</v>
      </c>
      <c r="D79" s="41" t="s">
        <v>460</v>
      </c>
      <c r="E79" s="49">
        <v>3986243</v>
      </c>
      <c r="F79" s="49">
        <v>21190</v>
      </c>
      <c r="G79" s="50">
        <v>3965053</v>
      </c>
      <c r="H79" s="42" t="s">
        <v>2615</v>
      </c>
      <c r="I79" s="42" t="s">
        <v>461</v>
      </c>
      <c r="J79" s="43" t="s">
        <v>351</v>
      </c>
      <c r="K79" s="40">
        <v>52506643</v>
      </c>
      <c r="L79" s="41" t="s">
        <v>750</v>
      </c>
      <c r="M79" s="41" t="s">
        <v>316</v>
      </c>
      <c r="N79" s="41" t="s">
        <v>317</v>
      </c>
      <c r="O79" s="41" t="s">
        <v>751</v>
      </c>
      <c r="P79" s="41" t="s">
        <v>319</v>
      </c>
      <c r="Q79" s="40">
        <v>860034313</v>
      </c>
      <c r="R79" s="41" t="s">
        <v>355</v>
      </c>
      <c r="S79" s="40">
        <v>923245</v>
      </c>
      <c r="T79" s="41" t="s">
        <v>180</v>
      </c>
      <c r="U79" s="41" t="s">
        <v>29</v>
      </c>
      <c r="V79" s="41" t="s">
        <v>30</v>
      </c>
      <c r="W79" s="42" t="s">
        <v>31</v>
      </c>
      <c r="X79" s="42" t="s">
        <v>32</v>
      </c>
      <c r="Y79" s="42" t="s">
        <v>33</v>
      </c>
      <c r="Z79" s="42" t="s">
        <v>2816</v>
      </c>
      <c r="AA79" s="42" t="s">
        <v>34</v>
      </c>
      <c r="AB79" s="42" t="s">
        <v>34</v>
      </c>
      <c r="AC79" s="42" t="s">
        <v>34</v>
      </c>
      <c r="AD79" s="42" t="s">
        <v>462</v>
      </c>
      <c r="AE79" s="42"/>
      <c r="AF79" s="42"/>
      <c r="AG79" s="42" t="s">
        <v>463</v>
      </c>
      <c r="AH79" s="42"/>
      <c r="AI79" s="44"/>
      <c r="AJ79" s="42"/>
      <c r="AK79" s="44"/>
      <c r="AL79" s="42"/>
      <c r="AM79" s="52">
        <v>3825</v>
      </c>
      <c r="AN79" s="52">
        <v>3825</v>
      </c>
      <c r="AO79" s="52">
        <v>5025</v>
      </c>
      <c r="AP79" s="52">
        <v>0</v>
      </c>
      <c r="AQ79" s="42"/>
      <c r="AR79" s="52">
        <v>8225</v>
      </c>
      <c r="AS79" s="52">
        <v>64519625</v>
      </c>
      <c r="AT79" s="52">
        <v>0</v>
      </c>
      <c r="AU79" s="41" t="s">
        <v>743</v>
      </c>
      <c r="AV79" s="41" t="s">
        <v>356</v>
      </c>
      <c r="AW79" s="41" t="s">
        <v>752</v>
      </c>
      <c r="AX79" s="41" t="s">
        <v>748</v>
      </c>
    </row>
    <row r="80" spans="1:50" x14ac:dyDescent="0.2">
      <c r="A80" s="40">
        <v>64519725</v>
      </c>
      <c r="B80" s="41" t="s">
        <v>2804</v>
      </c>
      <c r="C80" s="41" t="s">
        <v>2820</v>
      </c>
      <c r="D80" s="41" t="s">
        <v>460</v>
      </c>
      <c r="E80" s="49">
        <v>3986243</v>
      </c>
      <c r="F80" s="49">
        <v>21190</v>
      </c>
      <c r="G80" s="50">
        <v>3965053</v>
      </c>
      <c r="H80" s="42" t="s">
        <v>2615</v>
      </c>
      <c r="I80" s="42" t="s">
        <v>461</v>
      </c>
      <c r="J80" s="43" t="s">
        <v>351</v>
      </c>
      <c r="K80" s="40">
        <v>52803339</v>
      </c>
      <c r="L80" s="41" t="s">
        <v>754</v>
      </c>
      <c r="M80" s="41" t="s">
        <v>316</v>
      </c>
      <c r="N80" s="41" t="s">
        <v>317</v>
      </c>
      <c r="O80" s="41" t="s">
        <v>755</v>
      </c>
      <c r="P80" s="41" t="s">
        <v>319</v>
      </c>
      <c r="Q80" s="40">
        <v>860034313</v>
      </c>
      <c r="R80" s="41" t="s">
        <v>355</v>
      </c>
      <c r="S80" s="40">
        <v>923245</v>
      </c>
      <c r="T80" s="41" t="s">
        <v>180</v>
      </c>
      <c r="U80" s="41" t="s">
        <v>29</v>
      </c>
      <c r="V80" s="41" t="s">
        <v>30</v>
      </c>
      <c r="W80" s="42" t="s">
        <v>31</v>
      </c>
      <c r="X80" s="42" t="s">
        <v>32</v>
      </c>
      <c r="Y80" s="42" t="s">
        <v>33</v>
      </c>
      <c r="Z80" s="42" t="s">
        <v>2816</v>
      </c>
      <c r="AA80" s="42" t="s">
        <v>34</v>
      </c>
      <c r="AB80" s="42" t="s">
        <v>34</v>
      </c>
      <c r="AC80" s="42" t="s">
        <v>34</v>
      </c>
      <c r="AD80" s="42" t="s">
        <v>462</v>
      </c>
      <c r="AE80" s="42"/>
      <c r="AF80" s="42"/>
      <c r="AG80" s="42" t="s">
        <v>463</v>
      </c>
      <c r="AH80" s="42"/>
      <c r="AI80" s="44"/>
      <c r="AJ80" s="42"/>
      <c r="AK80" s="44"/>
      <c r="AL80" s="42"/>
      <c r="AM80" s="52">
        <v>3825</v>
      </c>
      <c r="AN80" s="52">
        <v>3825</v>
      </c>
      <c r="AO80" s="52">
        <v>5125</v>
      </c>
      <c r="AP80" s="52">
        <v>0</v>
      </c>
      <c r="AQ80" s="42"/>
      <c r="AR80" s="52">
        <v>8325</v>
      </c>
      <c r="AS80" s="52">
        <v>64519725</v>
      </c>
      <c r="AT80" s="52">
        <v>0</v>
      </c>
      <c r="AU80" s="41" t="s">
        <v>743</v>
      </c>
      <c r="AV80" s="41" t="s">
        <v>356</v>
      </c>
      <c r="AW80" s="41" t="s">
        <v>756</v>
      </c>
      <c r="AX80" s="41" t="s">
        <v>748</v>
      </c>
    </row>
    <row r="81" spans="1:50" x14ac:dyDescent="0.2">
      <c r="A81" s="40">
        <v>64519825</v>
      </c>
      <c r="B81" s="41" t="s">
        <v>2804</v>
      </c>
      <c r="C81" s="41" t="s">
        <v>2822</v>
      </c>
      <c r="D81" s="41" t="s">
        <v>460</v>
      </c>
      <c r="E81" s="49">
        <v>3986243</v>
      </c>
      <c r="F81" s="49">
        <v>21190</v>
      </c>
      <c r="G81" s="50">
        <v>3965053</v>
      </c>
      <c r="H81" s="42" t="s">
        <v>2615</v>
      </c>
      <c r="I81" s="42" t="s">
        <v>461</v>
      </c>
      <c r="J81" s="43" t="s">
        <v>351</v>
      </c>
      <c r="K81" s="40">
        <v>1022364660</v>
      </c>
      <c r="L81" s="41" t="s">
        <v>758</v>
      </c>
      <c r="M81" s="41" t="s">
        <v>316</v>
      </c>
      <c r="N81" s="41" t="s">
        <v>317</v>
      </c>
      <c r="O81" s="41" t="s">
        <v>759</v>
      </c>
      <c r="P81" s="41" t="s">
        <v>319</v>
      </c>
      <c r="Q81" s="40">
        <v>860034313</v>
      </c>
      <c r="R81" s="41" t="s">
        <v>355</v>
      </c>
      <c r="S81" s="40">
        <v>923245</v>
      </c>
      <c r="T81" s="41" t="s">
        <v>180</v>
      </c>
      <c r="U81" s="41" t="s">
        <v>29</v>
      </c>
      <c r="V81" s="41" t="s">
        <v>30</v>
      </c>
      <c r="W81" s="42" t="s">
        <v>31</v>
      </c>
      <c r="X81" s="42" t="s">
        <v>32</v>
      </c>
      <c r="Y81" s="42" t="s">
        <v>33</v>
      </c>
      <c r="Z81" s="42" t="s">
        <v>2816</v>
      </c>
      <c r="AA81" s="42" t="s">
        <v>34</v>
      </c>
      <c r="AB81" s="42" t="s">
        <v>34</v>
      </c>
      <c r="AC81" s="42" t="s">
        <v>34</v>
      </c>
      <c r="AD81" s="42" t="s">
        <v>462</v>
      </c>
      <c r="AE81" s="42"/>
      <c r="AF81" s="42"/>
      <c r="AG81" s="42" t="s">
        <v>463</v>
      </c>
      <c r="AH81" s="42"/>
      <c r="AI81" s="44"/>
      <c r="AJ81" s="42"/>
      <c r="AK81" s="44"/>
      <c r="AL81" s="42"/>
      <c r="AM81" s="52">
        <v>3825</v>
      </c>
      <c r="AN81" s="52">
        <v>3825</v>
      </c>
      <c r="AO81" s="52">
        <v>5225</v>
      </c>
      <c r="AP81" s="52">
        <v>0</v>
      </c>
      <c r="AQ81" s="42"/>
      <c r="AR81" s="52">
        <v>8425</v>
      </c>
      <c r="AS81" s="52">
        <v>64519825</v>
      </c>
      <c r="AT81" s="52">
        <v>0</v>
      </c>
      <c r="AU81" s="41" t="s">
        <v>743</v>
      </c>
      <c r="AV81" s="41" t="s">
        <v>356</v>
      </c>
      <c r="AW81" s="41" t="s">
        <v>760</v>
      </c>
      <c r="AX81" s="41" t="s">
        <v>748</v>
      </c>
    </row>
    <row r="82" spans="1:50" x14ac:dyDescent="0.2">
      <c r="A82" s="40">
        <v>64519925</v>
      </c>
      <c r="B82" s="41" t="s">
        <v>2804</v>
      </c>
      <c r="C82" s="41" t="s">
        <v>2820</v>
      </c>
      <c r="D82" s="41" t="s">
        <v>460</v>
      </c>
      <c r="E82" s="49">
        <v>3986243</v>
      </c>
      <c r="F82" s="49">
        <v>21190</v>
      </c>
      <c r="G82" s="50">
        <v>3965053</v>
      </c>
      <c r="H82" s="42" t="s">
        <v>2615</v>
      </c>
      <c r="I82" s="42" t="s">
        <v>461</v>
      </c>
      <c r="J82" s="43" t="s">
        <v>351</v>
      </c>
      <c r="K82" s="40">
        <v>52874856</v>
      </c>
      <c r="L82" s="41" t="s">
        <v>762</v>
      </c>
      <c r="M82" s="41" t="s">
        <v>316</v>
      </c>
      <c r="N82" s="41" t="s">
        <v>317</v>
      </c>
      <c r="O82" s="41" t="s">
        <v>763</v>
      </c>
      <c r="P82" s="41" t="s">
        <v>319</v>
      </c>
      <c r="Q82" s="40">
        <v>860034313</v>
      </c>
      <c r="R82" s="41" t="s">
        <v>355</v>
      </c>
      <c r="S82" s="40">
        <v>923245</v>
      </c>
      <c r="T82" s="41" t="s">
        <v>180</v>
      </c>
      <c r="U82" s="41" t="s">
        <v>29</v>
      </c>
      <c r="V82" s="41" t="s">
        <v>30</v>
      </c>
      <c r="W82" s="42" t="s">
        <v>31</v>
      </c>
      <c r="X82" s="42" t="s">
        <v>32</v>
      </c>
      <c r="Y82" s="42" t="s">
        <v>33</v>
      </c>
      <c r="Z82" s="42" t="s">
        <v>2816</v>
      </c>
      <c r="AA82" s="42" t="s">
        <v>34</v>
      </c>
      <c r="AB82" s="42" t="s">
        <v>34</v>
      </c>
      <c r="AC82" s="42" t="s">
        <v>34</v>
      </c>
      <c r="AD82" s="42" t="s">
        <v>462</v>
      </c>
      <c r="AE82" s="42"/>
      <c r="AF82" s="42"/>
      <c r="AG82" s="42" t="s">
        <v>463</v>
      </c>
      <c r="AH82" s="42"/>
      <c r="AI82" s="44"/>
      <c r="AJ82" s="42"/>
      <c r="AK82" s="44"/>
      <c r="AL82" s="42"/>
      <c r="AM82" s="52">
        <v>3825</v>
      </c>
      <c r="AN82" s="52">
        <v>3825</v>
      </c>
      <c r="AO82" s="52">
        <v>5325</v>
      </c>
      <c r="AP82" s="52">
        <v>0</v>
      </c>
      <c r="AQ82" s="42"/>
      <c r="AR82" s="52">
        <v>8525</v>
      </c>
      <c r="AS82" s="52">
        <v>64519925</v>
      </c>
      <c r="AT82" s="52">
        <v>0</v>
      </c>
      <c r="AU82" s="41" t="s">
        <v>743</v>
      </c>
      <c r="AV82" s="41" t="s">
        <v>356</v>
      </c>
      <c r="AW82" s="41" t="s">
        <v>764</v>
      </c>
      <c r="AX82" s="41" t="s">
        <v>748</v>
      </c>
    </row>
    <row r="83" spans="1:50" x14ac:dyDescent="0.2">
      <c r="A83" s="40">
        <v>64520025</v>
      </c>
      <c r="B83" s="41" t="s">
        <v>2804</v>
      </c>
      <c r="C83" s="41" t="s">
        <v>2825</v>
      </c>
      <c r="D83" s="41" t="s">
        <v>460</v>
      </c>
      <c r="E83" s="49">
        <v>3986243</v>
      </c>
      <c r="F83" s="49">
        <v>21190</v>
      </c>
      <c r="G83" s="50">
        <v>3965053</v>
      </c>
      <c r="H83" s="42" t="s">
        <v>2615</v>
      </c>
      <c r="I83" s="42" t="s">
        <v>461</v>
      </c>
      <c r="J83" s="43" t="s">
        <v>351</v>
      </c>
      <c r="K83" s="40">
        <v>52306195</v>
      </c>
      <c r="L83" s="41" t="s">
        <v>766</v>
      </c>
      <c r="M83" s="41" t="s">
        <v>316</v>
      </c>
      <c r="N83" s="41" t="s">
        <v>317</v>
      </c>
      <c r="O83" s="41" t="s">
        <v>767</v>
      </c>
      <c r="P83" s="41" t="s">
        <v>319</v>
      </c>
      <c r="Q83" s="40">
        <v>860002964</v>
      </c>
      <c r="R83" s="41" t="s">
        <v>419</v>
      </c>
      <c r="S83" s="40">
        <v>923245</v>
      </c>
      <c r="T83" s="41" t="s">
        <v>180</v>
      </c>
      <c r="U83" s="41" t="s">
        <v>29</v>
      </c>
      <c r="V83" s="41" t="s">
        <v>30</v>
      </c>
      <c r="W83" s="42" t="s">
        <v>31</v>
      </c>
      <c r="X83" s="42" t="s">
        <v>32</v>
      </c>
      <c r="Y83" s="42" t="s">
        <v>33</v>
      </c>
      <c r="Z83" s="42" t="s">
        <v>2816</v>
      </c>
      <c r="AA83" s="42" t="s">
        <v>34</v>
      </c>
      <c r="AB83" s="42" t="s">
        <v>34</v>
      </c>
      <c r="AC83" s="42" t="s">
        <v>34</v>
      </c>
      <c r="AD83" s="42" t="s">
        <v>462</v>
      </c>
      <c r="AE83" s="42"/>
      <c r="AF83" s="42"/>
      <c r="AG83" s="42" t="s">
        <v>463</v>
      </c>
      <c r="AH83" s="42"/>
      <c r="AI83" s="44"/>
      <c r="AJ83" s="42"/>
      <c r="AK83" s="44"/>
      <c r="AL83" s="42"/>
      <c r="AM83" s="52">
        <v>3825</v>
      </c>
      <c r="AN83" s="52">
        <v>3825</v>
      </c>
      <c r="AO83" s="52">
        <v>5425</v>
      </c>
      <c r="AP83" s="52">
        <v>0</v>
      </c>
      <c r="AQ83" s="42"/>
      <c r="AR83" s="52">
        <v>8625</v>
      </c>
      <c r="AS83" s="52">
        <v>64520025</v>
      </c>
      <c r="AT83" s="52">
        <v>0</v>
      </c>
      <c r="AU83" s="41" t="s">
        <v>743</v>
      </c>
      <c r="AV83" s="41" t="s">
        <v>356</v>
      </c>
      <c r="AW83" s="41" t="s">
        <v>768</v>
      </c>
      <c r="AX83" s="41" t="s">
        <v>748</v>
      </c>
    </row>
    <row r="84" spans="1:50" x14ac:dyDescent="0.2">
      <c r="A84" s="40">
        <v>64520125</v>
      </c>
      <c r="B84" s="41" t="s">
        <v>2804</v>
      </c>
      <c r="C84" s="41" t="s">
        <v>2827</v>
      </c>
      <c r="D84" s="41" t="s">
        <v>460</v>
      </c>
      <c r="E84" s="49">
        <v>3986243</v>
      </c>
      <c r="F84" s="49">
        <v>21190</v>
      </c>
      <c r="G84" s="50">
        <v>3965053</v>
      </c>
      <c r="H84" s="42" t="s">
        <v>2615</v>
      </c>
      <c r="I84" s="42" t="s">
        <v>461</v>
      </c>
      <c r="J84" s="43" t="s">
        <v>351</v>
      </c>
      <c r="K84" s="40">
        <v>52229415</v>
      </c>
      <c r="L84" s="41" t="s">
        <v>770</v>
      </c>
      <c r="M84" s="41" t="s">
        <v>316</v>
      </c>
      <c r="N84" s="41" t="s">
        <v>317</v>
      </c>
      <c r="O84" s="41" t="s">
        <v>771</v>
      </c>
      <c r="P84" s="41" t="s">
        <v>319</v>
      </c>
      <c r="Q84" s="40">
        <v>860034313</v>
      </c>
      <c r="R84" s="41" t="s">
        <v>355</v>
      </c>
      <c r="S84" s="40">
        <v>923245</v>
      </c>
      <c r="T84" s="41" t="s">
        <v>180</v>
      </c>
      <c r="U84" s="41" t="s">
        <v>29</v>
      </c>
      <c r="V84" s="41" t="s">
        <v>30</v>
      </c>
      <c r="W84" s="42" t="s">
        <v>31</v>
      </c>
      <c r="X84" s="42" t="s">
        <v>32</v>
      </c>
      <c r="Y84" s="42" t="s">
        <v>33</v>
      </c>
      <c r="Z84" s="42" t="s">
        <v>2816</v>
      </c>
      <c r="AA84" s="42" t="s">
        <v>34</v>
      </c>
      <c r="AB84" s="42" t="s">
        <v>34</v>
      </c>
      <c r="AC84" s="42" t="s">
        <v>34</v>
      </c>
      <c r="AD84" s="42" t="s">
        <v>462</v>
      </c>
      <c r="AE84" s="42"/>
      <c r="AF84" s="42"/>
      <c r="AG84" s="42" t="s">
        <v>463</v>
      </c>
      <c r="AH84" s="42"/>
      <c r="AI84" s="44"/>
      <c r="AJ84" s="42"/>
      <c r="AK84" s="44"/>
      <c r="AL84" s="42"/>
      <c r="AM84" s="52">
        <v>3825</v>
      </c>
      <c r="AN84" s="52">
        <v>3825</v>
      </c>
      <c r="AO84" s="52">
        <v>5525</v>
      </c>
      <c r="AP84" s="52">
        <v>0</v>
      </c>
      <c r="AQ84" s="42"/>
      <c r="AR84" s="52">
        <v>8725</v>
      </c>
      <c r="AS84" s="52">
        <v>64520125</v>
      </c>
      <c r="AT84" s="52">
        <v>0</v>
      </c>
      <c r="AU84" s="41" t="s">
        <v>743</v>
      </c>
      <c r="AV84" s="41" t="s">
        <v>356</v>
      </c>
      <c r="AW84" s="41" t="s">
        <v>772</v>
      </c>
      <c r="AX84" s="41" t="s">
        <v>748</v>
      </c>
    </row>
    <row r="85" spans="1:50" x14ac:dyDescent="0.2">
      <c r="A85" s="40">
        <v>64520225</v>
      </c>
      <c r="B85" s="41" t="s">
        <v>2804</v>
      </c>
      <c r="C85" s="41" t="s">
        <v>2829</v>
      </c>
      <c r="D85" s="41" t="s">
        <v>460</v>
      </c>
      <c r="E85" s="49">
        <v>3986243</v>
      </c>
      <c r="F85" s="49">
        <v>21190</v>
      </c>
      <c r="G85" s="50">
        <v>3965053</v>
      </c>
      <c r="H85" s="42" t="s">
        <v>2615</v>
      </c>
      <c r="I85" s="42" t="s">
        <v>461</v>
      </c>
      <c r="J85" s="43" t="s">
        <v>351</v>
      </c>
      <c r="K85" s="40">
        <v>1031123608</v>
      </c>
      <c r="L85" s="41" t="s">
        <v>774</v>
      </c>
      <c r="M85" s="41" t="s">
        <v>316</v>
      </c>
      <c r="N85" s="41" t="s">
        <v>317</v>
      </c>
      <c r="O85" s="41" t="s">
        <v>775</v>
      </c>
      <c r="P85" s="41" t="s">
        <v>319</v>
      </c>
      <c r="Q85" s="40">
        <v>890903938</v>
      </c>
      <c r="R85" s="41" t="s">
        <v>342</v>
      </c>
      <c r="S85" s="40">
        <v>923245</v>
      </c>
      <c r="T85" s="41" t="s">
        <v>180</v>
      </c>
      <c r="U85" s="41" t="s">
        <v>29</v>
      </c>
      <c r="V85" s="41" t="s">
        <v>30</v>
      </c>
      <c r="W85" s="42" t="s">
        <v>31</v>
      </c>
      <c r="X85" s="42" t="s">
        <v>32</v>
      </c>
      <c r="Y85" s="42" t="s">
        <v>33</v>
      </c>
      <c r="Z85" s="42" t="s">
        <v>2816</v>
      </c>
      <c r="AA85" s="42" t="s">
        <v>34</v>
      </c>
      <c r="AB85" s="42" t="s">
        <v>34</v>
      </c>
      <c r="AC85" s="42" t="s">
        <v>34</v>
      </c>
      <c r="AD85" s="42" t="s">
        <v>462</v>
      </c>
      <c r="AE85" s="42"/>
      <c r="AF85" s="42"/>
      <c r="AG85" s="42" t="s">
        <v>463</v>
      </c>
      <c r="AH85" s="42"/>
      <c r="AI85" s="44"/>
      <c r="AJ85" s="42"/>
      <c r="AK85" s="44"/>
      <c r="AL85" s="42"/>
      <c r="AM85" s="52">
        <v>3825</v>
      </c>
      <c r="AN85" s="52">
        <v>3825</v>
      </c>
      <c r="AO85" s="52">
        <v>5625</v>
      </c>
      <c r="AP85" s="52">
        <v>0</v>
      </c>
      <c r="AQ85" s="42"/>
      <c r="AR85" s="52">
        <v>8825</v>
      </c>
      <c r="AS85" s="52">
        <v>64520225</v>
      </c>
      <c r="AT85" s="52">
        <v>0</v>
      </c>
      <c r="AU85" s="41" t="s">
        <v>743</v>
      </c>
      <c r="AV85" s="41" t="s">
        <v>356</v>
      </c>
      <c r="AW85" s="41" t="s">
        <v>776</v>
      </c>
      <c r="AX85" s="41" t="s">
        <v>748</v>
      </c>
    </row>
    <row r="86" spans="1:50" x14ac:dyDescent="0.2">
      <c r="A86" s="40">
        <v>64520325</v>
      </c>
      <c r="B86" s="41" t="s">
        <v>2804</v>
      </c>
      <c r="C86" s="41" t="s">
        <v>2831</v>
      </c>
      <c r="D86" s="41" t="s">
        <v>460</v>
      </c>
      <c r="E86" s="49">
        <v>3986243</v>
      </c>
      <c r="F86" s="49">
        <v>22721</v>
      </c>
      <c r="G86" s="50">
        <v>3963522</v>
      </c>
      <c r="H86" s="42" t="s">
        <v>2615</v>
      </c>
      <c r="I86" s="42" t="s">
        <v>461</v>
      </c>
      <c r="J86" s="43" t="s">
        <v>351</v>
      </c>
      <c r="K86" s="40">
        <v>2994915</v>
      </c>
      <c r="L86" s="41" t="s">
        <v>778</v>
      </c>
      <c r="M86" s="41" t="s">
        <v>316</v>
      </c>
      <c r="N86" s="41" t="s">
        <v>317</v>
      </c>
      <c r="O86" s="41" t="s">
        <v>779</v>
      </c>
      <c r="P86" s="41" t="s">
        <v>319</v>
      </c>
      <c r="Q86" s="40">
        <v>860034313</v>
      </c>
      <c r="R86" s="41" t="s">
        <v>355</v>
      </c>
      <c r="S86" s="40">
        <v>923245</v>
      </c>
      <c r="T86" s="41" t="s">
        <v>180</v>
      </c>
      <c r="U86" s="41" t="s">
        <v>29</v>
      </c>
      <c r="V86" s="41" t="s">
        <v>30</v>
      </c>
      <c r="W86" s="42" t="s">
        <v>31</v>
      </c>
      <c r="X86" s="42" t="s">
        <v>32</v>
      </c>
      <c r="Y86" s="42" t="s">
        <v>33</v>
      </c>
      <c r="Z86" s="42" t="s">
        <v>2816</v>
      </c>
      <c r="AA86" s="42" t="s">
        <v>34</v>
      </c>
      <c r="AB86" s="42" t="s">
        <v>34</v>
      </c>
      <c r="AC86" s="42" t="s">
        <v>34</v>
      </c>
      <c r="AD86" s="42" t="s">
        <v>462</v>
      </c>
      <c r="AE86" s="42"/>
      <c r="AF86" s="42"/>
      <c r="AG86" s="42" t="s">
        <v>463</v>
      </c>
      <c r="AH86" s="42"/>
      <c r="AI86" s="44"/>
      <c r="AJ86" s="42"/>
      <c r="AK86" s="44"/>
      <c r="AL86" s="42"/>
      <c r="AM86" s="52">
        <v>3825</v>
      </c>
      <c r="AN86" s="52">
        <v>3825</v>
      </c>
      <c r="AO86" s="52">
        <v>5725</v>
      </c>
      <c r="AP86" s="52">
        <v>0</v>
      </c>
      <c r="AQ86" s="42"/>
      <c r="AR86" s="52">
        <v>8925</v>
      </c>
      <c r="AS86" s="52">
        <v>64520325</v>
      </c>
      <c r="AT86" s="52">
        <v>0</v>
      </c>
      <c r="AU86" s="41" t="s">
        <v>743</v>
      </c>
      <c r="AV86" s="41" t="s">
        <v>356</v>
      </c>
      <c r="AW86" s="41" t="s">
        <v>780</v>
      </c>
      <c r="AX86" s="41" t="s">
        <v>748</v>
      </c>
    </row>
    <row r="87" spans="1:50" x14ac:dyDescent="0.2">
      <c r="A87" s="40">
        <v>64520425</v>
      </c>
      <c r="B87" s="41" t="s">
        <v>2804</v>
      </c>
      <c r="C87" s="41" t="s">
        <v>2833</v>
      </c>
      <c r="D87" s="41" t="s">
        <v>460</v>
      </c>
      <c r="E87" s="49">
        <v>3986243</v>
      </c>
      <c r="F87" s="49">
        <v>22721</v>
      </c>
      <c r="G87" s="50">
        <v>3963522</v>
      </c>
      <c r="H87" s="42" t="s">
        <v>2615</v>
      </c>
      <c r="I87" s="42" t="s">
        <v>461</v>
      </c>
      <c r="J87" s="43" t="s">
        <v>351</v>
      </c>
      <c r="K87" s="40">
        <v>93117815</v>
      </c>
      <c r="L87" s="41" t="s">
        <v>782</v>
      </c>
      <c r="M87" s="41" t="s">
        <v>316</v>
      </c>
      <c r="N87" s="41" t="s">
        <v>317</v>
      </c>
      <c r="O87" s="41" t="s">
        <v>2834</v>
      </c>
      <c r="P87" s="41" t="s">
        <v>319</v>
      </c>
      <c r="Q87" s="40">
        <v>860003020</v>
      </c>
      <c r="R87" s="41" t="s">
        <v>393</v>
      </c>
      <c r="S87" s="40">
        <v>923245</v>
      </c>
      <c r="T87" s="41" t="s">
        <v>180</v>
      </c>
      <c r="U87" s="41" t="s">
        <v>29</v>
      </c>
      <c r="V87" s="41" t="s">
        <v>30</v>
      </c>
      <c r="W87" s="42" t="s">
        <v>31</v>
      </c>
      <c r="X87" s="42" t="s">
        <v>32</v>
      </c>
      <c r="Y87" s="42" t="s">
        <v>33</v>
      </c>
      <c r="Z87" s="42" t="s">
        <v>2816</v>
      </c>
      <c r="AA87" s="42" t="s">
        <v>34</v>
      </c>
      <c r="AB87" s="42" t="s">
        <v>34</v>
      </c>
      <c r="AC87" s="42" t="s">
        <v>34</v>
      </c>
      <c r="AD87" s="42" t="s">
        <v>462</v>
      </c>
      <c r="AE87" s="42"/>
      <c r="AF87" s="42"/>
      <c r="AG87" s="42" t="s">
        <v>463</v>
      </c>
      <c r="AH87" s="42"/>
      <c r="AI87" s="44"/>
      <c r="AJ87" s="42"/>
      <c r="AK87" s="44"/>
      <c r="AL87" s="42"/>
      <c r="AM87" s="52">
        <v>3825</v>
      </c>
      <c r="AN87" s="52">
        <v>3825</v>
      </c>
      <c r="AO87" s="52">
        <v>5825</v>
      </c>
      <c r="AP87" s="52">
        <v>0</v>
      </c>
      <c r="AQ87" s="42"/>
      <c r="AR87" s="52">
        <v>9025</v>
      </c>
      <c r="AS87" s="52">
        <v>64520425</v>
      </c>
      <c r="AT87" s="52">
        <v>0</v>
      </c>
      <c r="AU87" s="41" t="s">
        <v>743</v>
      </c>
      <c r="AV87" s="41" t="s">
        <v>356</v>
      </c>
      <c r="AW87" s="41" t="s">
        <v>785</v>
      </c>
      <c r="AX87" s="41" t="s">
        <v>748</v>
      </c>
    </row>
    <row r="88" spans="1:50" x14ac:dyDescent="0.2">
      <c r="A88" s="40">
        <v>64520525</v>
      </c>
      <c r="B88" s="41" t="s">
        <v>2804</v>
      </c>
      <c r="C88" s="41" t="s">
        <v>2836</v>
      </c>
      <c r="D88" s="41" t="s">
        <v>460</v>
      </c>
      <c r="E88" s="49">
        <v>3986243</v>
      </c>
      <c r="F88" s="49">
        <v>21190</v>
      </c>
      <c r="G88" s="50">
        <v>3965053</v>
      </c>
      <c r="H88" s="42" t="s">
        <v>2615</v>
      </c>
      <c r="I88" s="42" t="s">
        <v>461</v>
      </c>
      <c r="J88" s="43" t="s">
        <v>351</v>
      </c>
      <c r="K88" s="40">
        <v>79965721</v>
      </c>
      <c r="L88" s="41" t="s">
        <v>788</v>
      </c>
      <c r="M88" s="41" t="s">
        <v>316</v>
      </c>
      <c r="N88" s="41" t="s">
        <v>317</v>
      </c>
      <c r="O88" s="41" t="s">
        <v>789</v>
      </c>
      <c r="P88" s="41" t="s">
        <v>319</v>
      </c>
      <c r="Q88" s="40">
        <v>860007335</v>
      </c>
      <c r="R88" s="41" t="s">
        <v>381</v>
      </c>
      <c r="S88" s="40">
        <v>923245</v>
      </c>
      <c r="T88" s="41" t="s">
        <v>180</v>
      </c>
      <c r="U88" s="41" t="s">
        <v>29</v>
      </c>
      <c r="V88" s="41" t="s">
        <v>30</v>
      </c>
      <c r="W88" s="42" t="s">
        <v>31</v>
      </c>
      <c r="X88" s="42" t="s">
        <v>32</v>
      </c>
      <c r="Y88" s="42" t="s">
        <v>33</v>
      </c>
      <c r="Z88" s="42" t="s">
        <v>2816</v>
      </c>
      <c r="AA88" s="42" t="s">
        <v>34</v>
      </c>
      <c r="AB88" s="42" t="s">
        <v>34</v>
      </c>
      <c r="AC88" s="42" t="s">
        <v>34</v>
      </c>
      <c r="AD88" s="42" t="s">
        <v>462</v>
      </c>
      <c r="AE88" s="42"/>
      <c r="AF88" s="42"/>
      <c r="AG88" s="42" t="s">
        <v>463</v>
      </c>
      <c r="AH88" s="42"/>
      <c r="AI88" s="44"/>
      <c r="AJ88" s="42"/>
      <c r="AK88" s="44"/>
      <c r="AL88" s="42"/>
      <c r="AM88" s="52">
        <v>3825</v>
      </c>
      <c r="AN88" s="52">
        <v>3825</v>
      </c>
      <c r="AO88" s="52">
        <v>5925</v>
      </c>
      <c r="AP88" s="52">
        <v>0</v>
      </c>
      <c r="AQ88" s="42"/>
      <c r="AR88" s="52">
        <v>9125</v>
      </c>
      <c r="AS88" s="52">
        <v>64520525</v>
      </c>
      <c r="AT88" s="52">
        <v>0</v>
      </c>
      <c r="AU88" s="41" t="s">
        <v>786</v>
      </c>
      <c r="AV88" s="41" t="s">
        <v>356</v>
      </c>
      <c r="AW88" s="41" t="s">
        <v>790</v>
      </c>
      <c r="AX88" s="41" t="s">
        <v>748</v>
      </c>
    </row>
    <row r="89" spans="1:50" x14ac:dyDescent="0.2">
      <c r="A89" s="40">
        <v>64520625</v>
      </c>
      <c r="B89" s="41" t="s">
        <v>2804</v>
      </c>
      <c r="C89" s="41" t="s">
        <v>2838</v>
      </c>
      <c r="D89" s="41" t="s">
        <v>460</v>
      </c>
      <c r="E89" s="49">
        <v>3986243</v>
      </c>
      <c r="F89" s="49">
        <v>24939</v>
      </c>
      <c r="G89" s="50">
        <v>3961304</v>
      </c>
      <c r="H89" s="42" t="s">
        <v>2615</v>
      </c>
      <c r="I89" s="42" t="s">
        <v>461</v>
      </c>
      <c r="J89" s="43" t="s">
        <v>351</v>
      </c>
      <c r="K89" s="40">
        <v>79408514</v>
      </c>
      <c r="L89" s="41" t="s">
        <v>792</v>
      </c>
      <c r="M89" s="41" t="s">
        <v>316</v>
      </c>
      <c r="N89" s="41" t="s">
        <v>317</v>
      </c>
      <c r="O89" s="41" t="s">
        <v>793</v>
      </c>
      <c r="P89" s="41" t="s">
        <v>319</v>
      </c>
      <c r="Q89" s="40">
        <v>900047981</v>
      </c>
      <c r="R89" s="41" t="s">
        <v>399</v>
      </c>
      <c r="S89" s="40">
        <v>923245</v>
      </c>
      <c r="T89" s="41" t="s">
        <v>180</v>
      </c>
      <c r="U89" s="41" t="s">
        <v>29</v>
      </c>
      <c r="V89" s="41" t="s">
        <v>30</v>
      </c>
      <c r="W89" s="42" t="s">
        <v>31</v>
      </c>
      <c r="X89" s="42" t="s">
        <v>32</v>
      </c>
      <c r="Y89" s="42" t="s">
        <v>33</v>
      </c>
      <c r="Z89" s="42" t="s">
        <v>2816</v>
      </c>
      <c r="AA89" s="42" t="s">
        <v>34</v>
      </c>
      <c r="AB89" s="42" t="s">
        <v>34</v>
      </c>
      <c r="AC89" s="42" t="s">
        <v>34</v>
      </c>
      <c r="AD89" s="42" t="s">
        <v>462</v>
      </c>
      <c r="AE89" s="42"/>
      <c r="AF89" s="42"/>
      <c r="AG89" s="42" t="s">
        <v>463</v>
      </c>
      <c r="AH89" s="42"/>
      <c r="AI89" s="44"/>
      <c r="AJ89" s="42"/>
      <c r="AK89" s="44"/>
      <c r="AL89" s="42"/>
      <c r="AM89" s="52">
        <v>3825</v>
      </c>
      <c r="AN89" s="52">
        <v>3825</v>
      </c>
      <c r="AO89" s="52">
        <v>6025</v>
      </c>
      <c r="AP89" s="52">
        <v>0</v>
      </c>
      <c r="AQ89" s="42"/>
      <c r="AR89" s="52">
        <v>9225</v>
      </c>
      <c r="AS89" s="52">
        <v>64520625</v>
      </c>
      <c r="AT89" s="52">
        <v>0</v>
      </c>
      <c r="AU89" s="41" t="s">
        <v>786</v>
      </c>
      <c r="AV89" s="41" t="s">
        <v>356</v>
      </c>
      <c r="AW89" s="41" t="s">
        <v>794</v>
      </c>
      <c r="AX89" s="41" t="s">
        <v>748</v>
      </c>
    </row>
    <row r="90" spans="1:50" x14ac:dyDescent="0.2">
      <c r="A90" s="40">
        <v>64520725</v>
      </c>
      <c r="B90" s="41" t="s">
        <v>2804</v>
      </c>
      <c r="C90" s="41" t="s">
        <v>2840</v>
      </c>
      <c r="D90" s="41" t="s">
        <v>460</v>
      </c>
      <c r="E90" s="49">
        <v>3986243</v>
      </c>
      <c r="F90" s="49">
        <v>21190</v>
      </c>
      <c r="G90" s="50">
        <v>3965053</v>
      </c>
      <c r="H90" s="42" t="s">
        <v>2615</v>
      </c>
      <c r="I90" s="42" t="s">
        <v>461</v>
      </c>
      <c r="J90" s="43" t="s">
        <v>351</v>
      </c>
      <c r="K90" s="40">
        <v>93130667</v>
      </c>
      <c r="L90" s="41" t="s">
        <v>796</v>
      </c>
      <c r="M90" s="41" t="s">
        <v>316</v>
      </c>
      <c r="N90" s="41" t="s">
        <v>317</v>
      </c>
      <c r="O90" s="41" t="s">
        <v>797</v>
      </c>
      <c r="P90" s="41" t="s">
        <v>319</v>
      </c>
      <c r="Q90" s="40">
        <v>860035827</v>
      </c>
      <c r="R90" s="41" t="s">
        <v>653</v>
      </c>
      <c r="S90" s="40">
        <v>923245</v>
      </c>
      <c r="T90" s="41" t="s">
        <v>180</v>
      </c>
      <c r="U90" s="41" t="s">
        <v>29</v>
      </c>
      <c r="V90" s="41" t="s">
        <v>30</v>
      </c>
      <c r="W90" s="42" t="s">
        <v>31</v>
      </c>
      <c r="X90" s="42" t="s">
        <v>32</v>
      </c>
      <c r="Y90" s="42" t="s">
        <v>33</v>
      </c>
      <c r="Z90" s="42" t="s">
        <v>2816</v>
      </c>
      <c r="AA90" s="42" t="s">
        <v>34</v>
      </c>
      <c r="AB90" s="42" t="s">
        <v>34</v>
      </c>
      <c r="AC90" s="42" t="s">
        <v>34</v>
      </c>
      <c r="AD90" s="42" t="s">
        <v>462</v>
      </c>
      <c r="AE90" s="42"/>
      <c r="AF90" s="42"/>
      <c r="AG90" s="42" t="s">
        <v>463</v>
      </c>
      <c r="AH90" s="42"/>
      <c r="AI90" s="44"/>
      <c r="AJ90" s="42"/>
      <c r="AK90" s="44"/>
      <c r="AL90" s="42"/>
      <c r="AM90" s="52">
        <v>3825</v>
      </c>
      <c r="AN90" s="52">
        <v>3825</v>
      </c>
      <c r="AO90" s="52">
        <v>6125</v>
      </c>
      <c r="AP90" s="52">
        <v>0</v>
      </c>
      <c r="AQ90" s="42"/>
      <c r="AR90" s="52">
        <v>9325</v>
      </c>
      <c r="AS90" s="52">
        <v>64520725</v>
      </c>
      <c r="AT90" s="52">
        <v>0</v>
      </c>
      <c r="AU90" s="41" t="s">
        <v>786</v>
      </c>
      <c r="AV90" s="41" t="s">
        <v>356</v>
      </c>
      <c r="AW90" s="41" t="s">
        <v>798</v>
      </c>
      <c r="AX90" s="41" t="s">
        <v>748</v>
      </c>
    </row>
    <row r="91" spans="1:50" x14ac:dyDescent="0.2">
      <c r="A91" s="40">
        <v>64520825</v>
      </c>
      <c r="B91" s="41" t="s">
        <v>2804</v>
      </c>
      <c r="C91" s="41" t="s">
        <v>2842</v>
      </c>
      <c r="D91" s="41" t="s">
        <v>460</v>
      </c>
      <c r="E91" s="49">
        <v>3986243</v>
      </c>
      <c r="F91" s="49">
        <v>21190</v>
      </c>
      <c r="G91" s="50">
        <v>3965053</v>
      </c>
      <c r="H91" s="42" t="s">
        <v>2615</v>
      </c>
      <c r="I91" s="42" t="s">
        <v>461</v>
      </c>
      <c r="J91" s="43" t="s">
        <v>351</v>
      </c>
      <c r="K91" s="40">
        <v>1032398395</v>
      </c>
      <c r="L91" s="41" t="s">
        <v>805</v>
      </c>
      <c r="M91" s="41" t="s">
        <v>316</v>
      </c>
      <c r="N91" s="41" t="s">
        <v>317</v>
      </c>
      <c r="O91" s="41" t="s">
        <v>806</v>
      </c>
      <c r="P91" s="41" t="s">
        <v>319</v>
      </c>
      <c r="Q91" s="40">
        <v>860035827</v>
      </c>
      <c r="R91" s="41" t="s">
        <v>653</v>
      </c>
      <c r="S91" s="40">
        <v>923245</v>
      </c>
      <c r="T91" s="41" t="s">
        <v>180</v>
      </c>
      <c r="U91" s="41" t="s">
        <v>29</v>
      </c>
      <c r="V91" s="41" t="s">
        <v>30</v>
      </c>
      <c r="W91" s="42" t="s">
        <v>31</v>
      </c>
      <c r="X91" s="42" t="s">
        <v>32</v>
      </c>
      <c r="Y91" s="42" t="s">
        <v>33</v>
      </c>
      <c r="Z91" s="42" t="s">
        <v>2816</v>
      </c>
      <c r="AA91" s="42" t="s">
        <v>34</v>
      </c>
      <c r="AB91" s="42" t="s">
        <v>34</v>
      </c>
      <c r="AC91" s="42" t="s">
        <v>34</v>
      </c>
      <c r="AD91" s="42" t="s">
        <v>462</v>
      </c>
      <c r="AE91" s="42"/>
      <c r="AF91" s="42"/>
      <c r="AG91" s="42" t="s">
        <v>463</v>
      </c>
      <c r="AH91" s="42"/>
      <c r="AI91" s="44"/>
      <c r="AJ91" s="42"/>
      <c r="AK91" s="44"/>
      <c r="AL91" s="42"/>
      <c r="AM91" s="52">
        <v>3825</v>
      </c>
      <c r="AN91" s="52">
        <v>3825</v>
      </c>
      <c r="AO91" s="52">
        <v>6325</v>
      </c>
      <c r="AP91" s="52">
        <v>0</v>
      </c>
      <c r="AQ91" s="42"/>
      <c r="AR91" s="52">
        <v>9425</v>
      </c>
      <c r="AS91" s="52">
        <v>64520825</v>
      </c>
      <c r="AT91" s="52">
        <v>0</v>
      </c>
      <c r="AU91" s="41" t="s">
        <v>786</v>
      </c>
      <c r="AV91" s="41" t="s">
        <v>356</v>
      </c>
      <c r="AW91" s="41" t="s">
        <v>807</v>
      </c>
      <c r="AX91" s="41" t="s">
        <v>748</v>
      </c>
    </row>
    <row r="92" spans="1:50" x14ac:dyDescent="0.2">
      <c r="A92" s="40">
        <v>64520925</v>
      </c>
      <c r="B92" s="41" t="s">
        <v>2804</v>
      </c>
      <c r="C92" s="41" t="s">
        <v>2829</v>
      </c>
      <c r="D92" s="41" t="s">
        <v>460</v>
      </c>
      <c r="E92" s="49">
        <v>3986243</v>
      </c>
      <c r="F92" s="49">
        <v>21190</v>
      </c>
      <c r="G92" s="50">
        <v>3965053</v>
      </c>
      <c r="H92" s="42" t="s">
        <v>2615</v>
      </c>
      <c r="I92" s="42" t="s">
        <v>461</v>
      </c>
      <c r="J92" s="43" t="s">
        <v>351</v>
      </c>
      <c r="K92" s="40">
        <v>1022338160</v>
      </c>
      <c r="L92" s="41" t="s">
        <v>809</v>
      </c>
      <c r="M92" s="41" t="s">
        <v>316</v>
      </c>
      <c r="N92" s="41" t="s">
        <v>317</v>
      </c>
      <c r="O92" s="41" t="s">
        <v>810</v>
      </c>
      <c r="P92" s="41" t="s">
        <v>319</v>
      </c>
      <c r="Q92" s="40">
        <v>890903938</v>
      </c>
      <c r="R92" s="41" t="s">
        <v>342</v>
      </c>
      <c r="S92" s="40">
        <v>923245</v>
      </c>
      <c r="T92" s="41" t="s">
        <v>180</v>
      </c>
      <c r="U92" s="41" t="s">
        <v>29</v>
      </c>
      <c r="V92" s="41" t="s">
        <v>30</v>
      </c>
      <c r="W92" s="42" t="s">
        <v>31</v>
      </c>
      <c r="X92" s="42" t="s">
        <v>32</v>
      </c>
      <c r="Y92" s="42" t="s">
        <v>33</v>
      </c>
      <c r="Z92" s="42" t="s">
        <v>2816</v>
      </c>
      <c r="AA92" s="42" t="s">
        <v>34</v>
      </c>
      <c r="AB92" s="42" t="s">
        <v>34</v>
      </c>
      <c r="AC92" s="42" t="s">
        <v>34</v>
      </c>
      <c r="AD92" s="42" t="s">
        <v>462</v>
      </c>
      <c r="AE92" s="42"/>
      <c r="AF92" s="42"/>
      <c r="AG92" s="42" t="s">
        <v>463</v>
      </c>
      <c r="AH92" s="42"/>
      <c r="AI92" s="44"/>
      <c r="AJ92" s="42"/>
      <c r="AK92" s="44"/>
      <c r="AL92" s="42"/>
      <c r="AM92" s="52">
        <v>3825</v>
      </c>
      <c r="AN92" s="52">
        <v>3825</v>
      </c>
      <c r="AO92" s="52">
        <v>6425</v>
      </c>
      <c r="AP92" s="52">
        <v>0</v>
      </c>
      <c r="AQ92" s="42"/>
      <c r="AR92" s="52">
        <v>9525</v>
      </c>
      <c r="AS92" s="52">
        <v>64520925</v>
      </c>
      <c r="AT92" s="52">
        <v>0</v>
      </c>
      <c r="AU92" s="41" t="s">
        <v>786</v>
      </c>
      <c r="AV92" s="41" t="s">
        <v>356</v>
      </c>
      <c r="AW92" s="41" t="s">
        <v>811</v>
      </c>
      <c r="AX92" s="41" t="s">
        <v>748</v>
      </c>
    </row>
    <row r="93" spans="1:50" x14ac:dyDescent="0.2">
      <c r="A93" s="40">
        <v>64521025</v>
      </c>
      <c r="B93" s="41" t="s">
        <v>2804</v>
      </c>
      <c r="C93" s="41" t="s">
        <v>2845</v>
      </c>
      <c r="D93" s="41" t="s">
        <v>460</v>
      </c>
      <c r="E93" s="49">
        <v>3986243</v>
      </c>
      <c r="F93" s="49">
        <v>21190</v>
      </c>
      <c r="G93" s="50">
        <v>3965053</v>
      </c>
      <c r="H93" s="42" t="s">
        <v>2615</v>
      </c>
      <c r="I93" s="42" t="s">
        <v>461</v>
      </c>
      <c r="J93" s="43" t="s">
        <v>351</v>
      </c>
      <c r="K93" s="40">
        <v>52505799</v>
      </c>
      <c r="L93" s="41" t="s">
        <v>813</v>
      </c>
      <c r="M93" s="41" t="s">
        <v>316</v>
      </c>
      <c r="N93" s="41" t="s">
        <v>317</v>
      </c>
      <c r="O93" s="41" t="s">
        <v>814</v>
      </c>
      <c r="P93" s="41" t="s">
        <v>319</v>
      </c>
      <c r="Q93" s="40">
        <v>860034313</v>
      </c>
      <c r="R93" s="41" t="s">
        <v>355</v>
      </c>
      <c r="S93" s="40">
        <v>923245</v>
      </c>
      <c r="T93" s="41" t="s">
        <v>180</v>
      </c>
      <c r="U93" s="41" t="s">
        <v>29</v>
      </c>
      <c r="V93" s="41" t="s">
        <v>30</v>
      </c>
      <c r="W93" s="42" t="s">
        <v>31</v>
      </c>
      <c r="X93" s="42" t="s">
        <v>32</v>
      </c>
      <c r="Y93" s="42" t="s">
        <v>33</v>
      </c>
      <c r="Z93" s="42" t="s">
        <v>2816</v>
      </c>
      <c r="AA93" s="42" t="s">
        <v>34</v>
      </c>
      <c r="AB93" s="42" t="s">
        <v>34</v>
      </c>
      <c r="AC93" s="42" t="s">
        <v>34</v>
      </c>
      <c r="AD93" s="42" t="s">
        <v>462</v>
      </c>
      <c r="AE93" s="42"/>
      <c r="AF93" s="42"/>
      <c r="AG93" s="42" t="s">
        <v>463</v>
      </c>
      <c r="AH93" s="42"/>
      <c r="AI93" s="44"/>
      <c r="AJ93" s="42"/>
      <c r="AK93" s="44"/>
      <c r="AL93" s="42"/>
      <c r="AM93" s="52">
        <v>3825</v>
      </c>
      <c r="AN93" s="52">
        <v>3825</v>
      </c>
      <c r="AO93" s="52">
        <v>6525</v>
      </c>
      <c r="AP93" s="52">
        <v>0</v>
      </c>
      <c r="AQ93" s="42"/>
      <c r="AR93" s="52">
        <v>9625</v>
      </c>
      <c r="AS93" s="52">
        <v>64521025</v>
      </c>
      <c r="AT93" s="52">
        <v>0</v>
      </c>
      <c r="AU93" s="41" t="s">
        <v>786</v>
      </c>
      <c r="AV93" s="41" t="s">
        <v>356</v>
      </c>
      <c r="AW93" s="41" t="s">
        <v>815</v>
      </c>
      <c r="AX93" s="41" t="s">
        <v>748</v>
      </c>
    </row>
    <row r="94" spans="1:50" x14ac:dyDescent="0.2">
      <c r="A94" s="40">
        <v>64521125</v>
      </c>
      <c r="B94" s="41" t="s">
        <v>2804</v>
      </c>
      <c r="C94" s="41" t="s">
        <v>2847</v>
      </c>
      <c r="D94" s="41" t="s">
        <v>460</v>
      </c>
      <c r="E94" s="49">
        <v>3986243</v>
      </c>
      <c r="F94" s="49">
        <v>21190</v>
      </c>
      <c r="G94" s="50">
        <v>3965053</v>
      </c>
      <c r="H94" s="42" t="s">
        <v>2615</v>
      </c>
      <c r="I94" s="42" t="s">
        <v>461</v>
      </c>
      <c r="J94" s="43" t="s">
        <v>351</v>
      </c>
      <c r="K94" s="40">
        <v>39668440</v>
      </c>
      <c r="L94" s="41" t="s">
        <v>817</v>
      </c>
      <c r="M94" s="41" t="s">
        <v>316</v>
      </c>
      <c r="N94" s="41" t="s">
        <v>317</v>
      </c>
      <c r="O94" s="41" t="s">
        <v>818</v>
      </c>
      <c r="P94" s="41" t="s">
        <v>319</v>
      </c>
      <c r="Q94" s="40">
        <v>860034313</v>
      </c>
      <c r="R94" s="41" t="s">
        <v>355</v>
      </c>
      <c r="S94" s="40">
        <v>923245</v>
      </c>
      <c r="T94" s="41" t="s">
        <v>180</v>
      </c>
      <c r="U94" s="41" t="s">
        <v>29</v>
      </c>
      <c r="V94" s="41" t="s">
        <v>30</v>
      </c>
      <c r="W94" s="42" t="s">
        <v>31</v>
      </c>
      <c r="X94" s="42" t="s">
        <v>32</v>
      </c>
      <c r="Y94" s="42" t="s">
        <v>33</v>
      </c>
      <c r="Z94" s="42" t="s">
        <v>2816</v>
      </c>
      <c r="AA94" s="42" t="s">
        <v>34</v>
      </c>
      <c r="AB94" s="42" t="s">
        <v>34</v>
      </c>
      <c r="AC94" s="42" t="s">
        <v>34</v>
      </c>
      <c r="AD94" s="42" t="s">
        <v>462</v>
      </c>
      <c r="AE94" s="42"/>
      <c r="AF94" s="42"/>
      <c r="AG94" s="42" t="s">
        <v>463</v>
      </c>
      <c r="AH94" s="42"/>
      <c r="AI94" s="44"/>
      <c r="AJ94" s="42"/>
      <c r="AK94" s="44"/>
      <c r="AL94" s="42"/>
      <c r="AM94" s="52">
        <v>3825</v>
      </c>
      <c r="AN94" s="52">
        <v>3825</v>
      </c>
      <c r="AO94" s="52">
        <v>6625</v>
      </c>
      <c r="AP94" s="52">
        <v>0</v>
      </c>
      <c r="AQ94" s="42"/>
      <c r="AR94" s="52">
        <v>9725</v>
      </c>
      <c r="AS94" s="52">
        <v>64521125</v>
      </c>
      <c r="AT94" s="52">
        <v>0</v>
      </c>
      <c r="AU94" s="41" t="s">
        <v>786</v>
      </c>
      <c r="AV94" s="41" t="s">
        <v>356</v>
      </c>
      <c r="AW94" s="41" t="s">
        <v>819</v>
      </c>
      <c r="AX94" s="41" t="s">
        <v>748</v>
      </c>
    </row>
    <row r="95" spans="1:50" x14ac:dyDescent="0.2">
      <c r="A95" s="40">
        <v>64521225</v>
      </c>
      <c r="B95" s="41" t="s">
        <v>2804</v>
      </c>
      <c r="C95" s="41" t="s">
        <v>2840</v>
      </c>
      <c r="D95" s="41" t="s">
        <v>460</v>
      </c>
      <c r="E95" s="49">
        <v>3986243</v>
      </c>
      <c r="F95" s="49">
        <v>21190</v>
      </c>
      <c r="G95" s="50">
        <v>3965053</v>
      </c>
      <c r="H95" s="42" t="s">
        <v>2615</v>
      </c>
      <c r="I95" s="42" t="s">
        <v>461</v>
      </c>
      <c r="J95" s="43" t="s">
        <v>351</v>
      </c>
      <c r="K95" s="40">
        <v>52487484</v>
      </c>
      <c r="L95" s="41" t="s">
        <v>821</v>
      </c>
      <c r="M95" s="41" t="s">
        <v>316</v>
      </c>
      <c r="N95" s="41" t="s">
        <v>317</v>
      </c>
      <c r="O95" s="41" t="s">
        <v>822</v>
      </c>
      <c r="P95" s="41" t="s">
        <v>319</v>
      </c>
      <c r="Q95" s="40">
        <v>860035827</v>
      </c>
      <c r="R95" s="41" t="s">
        <v>653</v>
      </c>
      <c r="S95" s="40">
        <v>923245</v>
      </c>
      <c r="T95" s="41" t="s">
        <v>180</v>
      </c>
      <c r="U95" s="41" t="s">
        <v>29</v>
      </c>
      <c r="V95" s="41" t="s">
        <v>30</v>
      </c>
      <c r="W95" s="42" t="s">
        <v>31</v>
      </c>
      <c r="X95" s="42" t="s">
        <v>32</v>
      </c>
      <c r="Y95" s="42" t="s">
        <v>33</v>
      </c>
      <c r="Z95" s="42" t="s">
        <v>2816</v>
      </c>
      <c r="AA95" s="42" t="s">
        <v>34</v>
      </c>
      <c r="AB95" s="42" t="s">
        <v>34</v>
      </c>
      <c r="AC95" s="42" t="s">
        <v>34</v>
      </c>
      <c r="AD95" s="42" t="s">
        <v>462</v>
      </c>
      <c r="AE95" s="42"/>
      <c r="AF95" s="42"/>
      <c r="AG95" s="42" t="s">
        <v>463</v>
      </c>
      <c r="AH95" s="42"/>
      <c r="AI95" s="44"/>
      <c r="AJ95" s="42"/>
      <c r="AK95" s="44"/>
      <c r="AL95" s="42"/>
      <c r="AM95" s="52">
        <v>3825</v>
      </c>
      <c r="AN95" s="52">
        <v>3825</v>
      </c>
      <c r="AO95" s="52">
        <v>6725</v>
      </c>
      <c r="AP95" s="52">
        <v>0</v>
      </c>
      <c r="AQ95" s="42"/>
      <c r="AR95" s="52">
        <v>9825</v>
      </c>
      <c r="AS95" s="52">
        <v>64521225</v>
      </c>
      <c r="AT95" s="52">
        <v>0</v>
      </c>
      <c r="AU95" s="41" t="s">
        <v>786</v>
      </c>
      <c r="AV95" s="41" t="s">
        <v>356</v>
      </c>
      <c r="AW95" s="41" t="s">
        <v>823</v>
      </c>
      <c r="AX95" s="41" t="s">
        <v>748</v>
      </c>
    </row>
    <row r="96" spans="1:50" x14ac:dyDescent="0.2">
      <c r="A96" s="40">
        <v>64521325</v>
      </c>
      <c r="B96" s="41" t="s">
        <v>2804</v>
      </c>
      <c r="C96" s="41" t="s">
        <v>2850</v>
      </c>
      <c r="D96" s="41" t="s">
        <v>460</v>
      </c>
      <c r="E96" s="49">
        <v>3986243</v>
      </c>
      <c r="F96" s="49">
        <v>21190</v>
      </c>
      <c r="G96" s="50">
        <v>3965053</v>
      </c>
      <c r="H96" s="42" t="s">
        <v>2615</v>
      </c>
      <c r="I96" s="42" t="s">
        <v>461</v>
      </c>
      <c r="J96" s="43" t="s">
        <v>351</v>
      </c>
      <c r="K96" s="40">
        <v>1105677068</v>
      </c>
      <c r="L96" s="41" t="s">
        <v>825</v>
      </c>
      <c r="M96" s="41" t="s">
        <v>316</v>
      </c>
      <c r="N96" s="41" t="s">
        <v>317</v>
      </c>
      <c r="O96" s="41" t="s">
        <v>826</v>
      </c>
      <c r="P96" s="41" t="s">
        <v>319</v>
      </c>
      <c r="Q96" s="40">
        <v>890903938</v>
      </c>
      <c r="R96" s="41" t="s">
        <v>342</v>
      </c>
      <c r="S96" s="40">
        <v>923245</v>
      </c>
      <c r="T96" s="41" t="s">
        <v>180</v>
      </c>
      <c r="U96" s="41" t="s">
        <v>29</v>
      </c>
      <c r="V96" s="41" t="s">
        <v>30</v>
      </c>
      <c r="W96" s="42" t="s">
        <v>31</v>
      </c>
      <c r="X96" s="42" t="s">
        <v>32</v>
      </c>
      <c r="Y96" s="42" t="s">
        <v>33</v>
      </c>
      <c r="Z96" s="42" t="s">
        <v>2816</v>
      </c>
      <c r="AA96" s="42" t="s">
        <v>34</v>
      </c>
      <c r="AB96" s="42" t="s">
        <v>34</v>
      </c>
      <c r="AC96" s="42" t="s">
        <v>34</v>
      </c>
      <c r="AD96" s="42" t="s">
        <v>462</v>
      </c>
      <c r="AE96" s="42"/>
      <c r="AF96" s="42"/>
      <c r="AG96" s="42" t="s">
        <v>463</v>
      </c>
      <c r="AH96" s="42"/>
      <c r="AI96" s="44"/>
      <c r="AJ96" s="42"/>
      <c r="AK96" s="44"/>
      <c r="AL96" s="42"/>
      <c r="AM96" s="52">
        <v>3825</v>
      </c>
      <c r="AN96" s="52">
        <v>3825</v>
      </c>
      <c r="AO96" s="52">
        <v>6825</v>
      </c>
      <c r="AP96" s="52">
        <v>0</v>
      </c>
      <c r="AQ96" s="42"/>
      <c r="AR96" s="52">
        <v>9925</v>
      </c>
      <c r="AS96" s="52">
        <v>64521325</v>
      </c>
      <c r="AT96" s="52">
        <v>0</v>
      </c>
      <c r="AU96" s="41" t="s">
        <v>786</v>
      </c>
      <c r="AV96" s="41" t="s">
        <v>356</v>
      </c>
      <c r="AW96" s="41" t="s">
        <v>827</v>
      </c>
      <c r="AX96" s="41" t="s">
        <v>748</v>
      </c>
    </row>
    <row r="97" spans="1:50" x14ac:dyDescent="0.2">
      <c r="A97" s="40">
        <v>64521425</v>
      </c>
      <c r="B97" s="41" t="s">
        <v>2804</v>
      </c>
      <c r="C97" s="41" t="s">
        <v>2850</v>
      </c>
      <c r="D97" s="41" t="s">
        <v>460</v>
      </c>
      <c r="E97" s="49">
        <v>3986243</v>
      </c>
      <c r="F97" s="49">
        <v>21190</v>
      </c>
      <c r="G97" s="50">
        <v>3965053</v>
      </c>
      <c r="H97" s="42" t="s">
        <v>2615</v>
      </c>
      <c r="I97" s="42" t="s">
        <v>461</v>
      </c>
      <c r="J97" s="43" t="s">
        <v>351</v>
      </c>
      <c r="K97" s="40">
        <v>51959382</v>
      </c>
      <c r="L97" s="41" t="s">
        <v>829</v>
      </c>
      <c r="M97" s="41" t="s">
        <v>316</v>
      </c>
      <c r="N97" s="41" t="s">
        <v>317</v>
      </c>
      <c r="O97" s="41" t="s">
        <v>830</v>
      </c>
      <c r="P97" s="41" t="s">
        <v>319</v>
      </c>
      <c r="Q97" s="40">
        <v>890903938</v>
      </c>
      <c r="R97" s="41" t="s">
        <v>342</v>
      </c>
      <c r="S97" s="40">
        <v>923245</v>
      </c>
      <c r="T97" s="41" t="s">
        <v>180</v>
      </c>
      <c r="U97" s="41" t="s">
        <v>29</v>
      </c>
      <c r="V97" s="41" t="s">
        <v>30</v>
      </c>
      <c r="W97" s="42" t="s">
        <v>31</v>
      </c>
      <c r="X97" s="42" t="s">
        <v>32</v>
      </c>
      <c r="Y97" s="42" t="s">
        <v>33</v>
      </c>
      <c r="Z97" s="42" t="s">
        <v>2816</v>
      </c>
      <c r="AA97" s="42" t="s">
        <v>34</v>
      </c>
      <c r="AB97" s="42" t="s">
        <v>34</v>
      </c>
      <c r="AC97" s="42" t="s">
        <v>34</v>
      </c>
      <c r="AD97" s="42" t="s">
        <v>462</v>
      </c>
      <c r="AE97" s="42"/>
      <c r="AF97" s="42"/>
      <c r="AG97" s="42" t="s">
        <v>463</v>
      </c>
      <c r="AH97" s="42"/>
      <c r="AI97" s="44"/>
      <c r="AJ97" s="42"/>
      <c r="AK97" s="44"/>
      <c r="AL97" s="42"/>
      <c r="AM97" s="52">
        <v>3825</v>
      </c>
      <c r="AN97" s="52">
        <v>3825</v>
      </c>
      <c r="AO97" s="52">
        <v>6925</v>
      </c>
      <c r="AP97" s="52">
        <v>0</v>
      </c>
      <c r="AQ97" s="42"/>
      <c r="AR97" s="52">
        <v>10025</v>
      </c>
      <c r="AS97" s="52">
        <v>64521425</v>
      </c>
      <c r="AT97" s="52">
        <v>0</v>
      </c>
      <c r="AU97" s="41" t="s">
        <v>786</v>
      </c>
      <c r="AV97" s="41" t="s">
        <v>356</v>
      </c>
      <c r="AW97" s="41" t="s">
        <v>831</v>
      </c>
      <c r="AX97" s="41" t="s">
        <v>748</v>
      </c>
    </row>
    <row r="98" spans="1:50" x14ac:dyDescent="0.2">
      <c r="A98" s="40">
        <v>64521525</v>
      </c>
      <c r="B98" s="41" t="s">
        <v>2804</v>
      </c>
      <c r="C98" s="41" t="s">
        <v>2815</v>
      </c>
      <c r="D98" s="41" t="s">
        <v>460</v>
      </c>
      <c r="E98" s="49">
        <v>3986243</v>
      </c>
      <c r="F98" s="49">
        <v>21190</v>
      </c>
      <c r="G98" s="50">
        <v>3965053</v>
      </c>
      <c r="H98" s="42" t="s">
        <v>2615</v>
      </c>
      <c r="I98" s="42" t="s">
        <v>461</v>
      </c>
      <c r="J98" s="43" t="s">
        <v>351</v>
      </c>
      <c r="K98" s="40">
        <v>20352018</v>
      </c>
      <c r="L98" s="41" t="s">
        <v>833</v>
      </c>
      <c r="M98" s="41" t="s">
        <v>316</v>
      </c>
      <c r="N98" s="41" t="s">
        <v>317</v>
      </c>
      <c r="O98" s="41" t="s">
        <v>834</v>
      </c>
      <c r="P98" s="41" t="s">
        <v>319</v>
      </c>
      <c r="Q98" s="40">
        <v>890903938</v>
      </c>
      <c r="R98" s="41" t="s">
        <v>342</v>
      </c>
      <c r="S98" s="40">
        <v>923245</v>
      </c>
      <c r="T98" s="41" t="s">
        <v>180</v>
      </c>
      <c r="U98" s="41" t="s">
        <v>29</v>
      </c>
      <c r="V98" s="41" t="s">
        <v>30</v>
      </c>
      <c r="W98" s="42" t="s">
        <v>31</v>
      </c>
      <c r="X98" s="42" t="s">
        <v>32</v>
      </c>
      <c r="Y98" s="42" t="s">
        <v>33</v>
      </c>
      <c r="Z98" s="42" t="s">
        <v>2816</v>
      </c>
      <c r="AA98" s="42" t="s">
        <v>34</v>
      </c>
      <c r="AB98" s="42" t="s">
        <v>34</v>
      </c>
      <c r="AC98" s="42" t="s">
        <v>34</v>
      </c>
      <c r="AD98" s="42" t="s">
        <v>462</v>
      </c>
      <c r="AE98" s="42"/>
      <c r="AF98" s="42"/>
      <c r="AG98" s="42" t="s">
        <v>463</v>
      </c>
      <c r="AH98" s="42"/>
      <c r="AI98" s="44"/>
      <c r="AJ98" s="42"/>
      <c r="AK98" s="44"/>
      <c r="AL98" s="42"/>
      <c r="AM98" s="52">
        <v>3825</v>
      </c>
      <c r="AN98" s="52">
        <v>3825</v>
      </c>
      <c r="AO98" s="52">
        <v>7025</v>
      </c>
      <c r="AP98" s="52">
        <v>0</v>
      </c>
      <c r="AQ98" s="42"/>
      <c r="AR98" s="52">
        <v>10125</v>
      </c>
      <c r="AS98" s="52">
        <v>64521525</v>
      </c>
      <c r="AT98" s="52">
        <v>0</v>
      </c>
      <c r="AU98" s="41" t="s">
        <v>786</v>
      </c>
      <c r="AV98" s="41" t="s">
        <v>356</v>
      </c>
      <c r="AW98" s="41" t="s">
        <v>835</v>
      </c>
      <c r="AX98" s="41" t="s">
        <v>748</v>
      </c>
    </row>
    <row r="99" spans="1:50" x14ac:dyDescent="0.2">
      <c r="A99" s="40">
        <v>64521625</v>
      </c>
      <c r="B99" s="41" t="s">
        <v>2804</v>
      </c>
      <c r="C99" s="41" t="s">
        <v>2818</v>
      </c>
      <c r="D99" s="41" t="s">
        <v>460</v>
      </c>
      <c r="E99" s="49">
        <v>3986243</v>
      </c>
      <c r="F99" s="49">
        <v>21190</v>
      </c>
      <c r="G99" s="50">
        <v>3965053</v>
      </c>
      <c r="H99" s="42" t="s">
        <v>2615</v>
      </c>
      <c r="I99" s="42" t="s">
        <v>461</v>
      </c>
      <c r="J99" s="43" t="s">
        <v>351</v>
      </c>
      <c r="K99" s="40">
        <v>1072195097</v>
      </c>
      <c r="L99" s="41" t="s">
        <v>837</v>
      </c>
      <c r="M99" s="41" t="s">
        <v>316</v>
      </c>
      <c r="N99" s="41" t="s">
        <v>317</v>
      </c>
      <c r="O99" s="41" t="s">
        <v>838</v>
      </c>
      <c r="P99" s="41" t="s">
        <v>319</v>
      </c>
      <c r="Q99" s="40">
        <v>860034313</v>
      </c>
      <c r="R99" s="41" t="s">
        <v>355</v>
      </c>
      <c r="S99" s="40">
        <v>923245</v>
      </c>
      <c r="T99" s="41" t="s">
        <v>180</v>
      </c>
      <c r="U99" s="41" t="s">
        <v>29</v>
      </c>
      <c r="V99" s="41" t="s">
        <v>30</v>
      </c>
      <c r="W99" s="42" t="s">
        <v>31</v>
      </c>
      <c r="X99" s="42" t="s">
        <v>32</v>
      </c>
      <c r="Y99" s="42" t="s">
        <v>33</v>
      </c>
      <c r="Z99" s="42" t="s">
        <v>2816</v>
      </c>
      <c r="AA99" s="42" t="s">
        <v>34</v>
      </c>
      <c r="AB99" s="42" t="s">
        <v>34</v>
      </c>
      <c r="AC99" s="42" t="s">
        <v>34</v>
      </c>
      <c r="AD99" s="42" t="s">
        <v>462</v>
      </c>
      <c r="AE99" s="42"/>
      <c r="AF99" s="42"/>
      <c r="AG99" s="42" t="s">
        <v>463</v>
      </c>
      <c r="AH99" s="42"/>
      <c r="AI99" s="44"/>
      <c r="AJ99" s="42"/>
      <c r="AK99" s="44"/>
      <c r="AL99" s="42"/>
      <c r="AM99" s="52">
        <v>3825</v>
      </c>
      <c r="AN99" s="52">
        <v>3825</v>
      </c>
      <c r="AO99" s="52">
        <v>7125</v>
      </c>
      <c r="AP99" s="52">
        <v>0</v>
      </c>
      <c r="AQ99" s="42"/>
      <c r="AR99" s="52">
        <v>10225</v>
      </c>
      <c r="AS99" s="52">
        <v>64521625</v>
      </c>
      <c r="AT99" s="52">
        <v>0</v>
      </c>
      <c r="AU99" s="41" t="s">
        <v>786</v>
      </c>
      <c r="AV99" s="41" t="s">
        <v>356</v>
      </c>
      <c r="AW99" s="41" t="s">
        <v>839</v>
      </c>
      <c r="AX99" s="41" t="s">
        <v>840</v>
      </c>
    </row>
    <row r="100" spans="1:50" x14ac:dyDescent="0.2">
      <c r="A100" s="40">
        <v>64521725</v>
      </c>
      <c r="B100" s="41" t="s">
        <v>2804</v>
      </c>
      <c r="C100" s="41" t="s">
        <v>2855</v>
      </c>
      <c r="D100" s="41" t="s">
        <v>460</v>
      </c>
      <c r="E100" s="49">
        <v>3986243</v>
      </c>
      <c r="F100" s="49">
        <v>21190</v>
      </c>
      <c r="G100" s="50">
        <v>3965053</v>
      </c>
      <c r="H100" s="42" t="s">
        <v>2615</v>
      </c>
      <c r="I100" s="42" t="s">
        <v>461</v>
      </c>
      <c r="J100" s="43" t="s">
        <v>351</v>
      </c>
      <c r="K100" s="40">
        <v>35254472</v>
      </c>
      <c r="L100" s="41" t="s">
        <v>842</v>
      </c>
      <c r="M100" s="41" t="s">
        <v>316</v>
      </c>
      <c r="N100" s="41" t="s">
        <v>317</v>
      </c>
      <c r="O100" s="41" t="s">
        <v>843</v>
      </c>
      <c r="P100" s="41" t="s">
        <v>319</v>
      </c>
      <c r="Q100" s="40">
        <v>860007335</v>
      </c>
      <c r="R100" s="41" t="s">
        <v>381</v>
      </c>
      <c r="S100" s="40">
        <v>923245</v>
      </c>
      <c r="T100" s="41" t="s">
        <v>180</v>
      </c>
      <c r="U100" s="41" t="s">
        <v>29</v>
      </c>
      <c r="V100" s="41" t="s">
        <v>30</v>
      </c>
      <c r="W100" s="42" t="s">
        <v>31</v>
      </c>
      <c r="X100" s="42" t="s">
        <v>32</v>
      </c>
      <c r="Y100" s="42" t="s">
        <v>33</v>
      </c>
      <c r="Z100" s="42" t="s">
        <v>2816</v>
      </c>
      <c r="AA100" s="42" t="s">
        <v>34</v>
      </c>
      <c r="AB100" s="42" t="s">
        <v>34</v>
      </c>
      <c r="AC100" s="42" t="s">
        <v>34</v>
      </c>
      <c r="AD100" s="42" t="s">
        <v>462</v>
      </c>
      <c r="AE100" s="42"/>
      <c r="AF100" s="42"/>
      <c r="AG100" s="42" t="s">
        <v>463</v>
      </c>
      <c r="AH100" s="42"/>
      <c r="AI100" s="44"/>
      <c r="AJ100" s="42"/>
      <c r="AK100" s="44"/>
      <c r="AL100" s="42"/>
      <c r="AM100" s="52">
        <v>3825</v>
      </c>
      <c r="AN100" s="52">
        <v>3825</v>
      </c>
      <c r="AO100" s="52">
        <v>7225</v>
      </c>
      <c r="AP100" s="52">
        <v>0</v>
      </c>
      <c r="AQ100" s="42"/>
      <c r="AR100" s="52">
        <v>10325</v>
      </c>
      <c r="AS100" s="52">
        <v>64521725</v>
      </c>
      <c r="AT100" s="52">
        <v>0</v>
      </c>
      <c r="AU100" s="41" t="s">
        <v>786</v>
      </c>
      <c r="AV100" s="41" t="s">
        <v>356</v>
      </c>
      <c r="AW100" s="41" t="s">
        <v>845</v>
      </c>
      <c r="AX100" s="41" t="s">
        <v>748</v>
      </c>
    </row>
    <row r="101" spans="1:50" x14ac:dyDescent="0.2">
      <c r="A101" s="40">
        <v>64521925</v>
      </c>
      <c r="B101" s="41" t="s">
        <v>2804</v>
      </c>
      <c r="C101" s="41" t="s">
        <v>2857</v>
      </c>
      <c r="D101" s="41" t="s">
        <v>460</v>
      </c>
      <c r="E101" s="49">
        <v>3986243</v>
      </c>
      <c r="F101" s="49">
        <v>21190</v>
      </c>
      <c r="G101" s="50">
        <v>3965053</v>
      </c>
      <c r="H101" s="42" t="s">
        <v>2615</v>
      </c>
      <c r="I101" s="42" t="s">
        <v>461</v>
      </c>
      <c r="J101" s="43" t="s">
        <v>351</v>
      </c>
      <c r="K101" s="40">
        <v>65787530</v>
      </c>
      <c r="L101" s="41" t="s">
        <v>847</v>
      </c>
      <c r="M101" s="41" t="s">
        <v>316</v>
      </c>
      <c r="N101" s="41" t="s">
        <v>317</v>
      </c>
      <c r="O101" s="41" t="s">
        <v>848</v>
      </c>
      <c r="P101" s="41" t="s">
        <v>319</v>
      </c>
      <c r="Q101" s="40">
        <v>860007335</v>
      </c>
      <c r="R101" s="41" t="s">
        <v>381</v>
      </c>
      <c r="S101" s="40">
        <v>923245</v>
      </c>
      <c r="T101" s="41" t="s">
        <v>180</v>
      </c>
      <c r="U101" s="41" t="s">
        <v>29</v>
      </c>
      <c r="V101" s="41" t="s">
        <v>30</v>
      </c>
      <c r="W101" s="42" t="s">
        <v>31</v>
      </c>
      <c r="X101" s="42" t="s">
        <v>32</v>
      </c>
      <c r="Y101" s="42" t="s">
        <v>33</v>
      </c>
      <c r="Z101" s="42" t="s">
        <v>2816</v>
      </c>
      <c r="AA101" s="42" t="s">
        <v>34</v>
      </c>
      <c r="AB101" s="42" t="s">
        <v>34</v>
      </c>
      <c r="AC101" s="42" t="s">
        <v>34</v>
      </c>
      <c r="AD101" s="42" t="s">
        <v>462</v>
      </c>
      <c r="AE101" s="42"/>
      <c r="AF101" s="42"/>
      <c r="AG101" s="42" t="s">
        <v>463</v>
      </c>
      <c r="AH101" s="42"/>
      <c r="AI101" s="44"/>
      <c r="AJ101" s="42"/>
      <c r="AK101" s="44"/>
      <c r="AL101" s="42"/>
      <c r="AM101" s="52">
        <v>3825</v>
      </c>
      <c r="AN101" s="52">
        <v>3825</v>
      </c>
      <c r="AO101" s="52">
        <v>7325</v>
      </c>
      <c r="AP101" s="52">
        <v>0</v>
      </c>
      <c r="AQ101" s="42"/>
      <c r="AR101" s="52">
        <v>10425</v>
      </c>
      <c r="AS101" s="52">
        <v>64521925</v>
      </c>
      <c r="AT101" s="52">
        <v>0</v>
      </c>
      <c r="AU101" s="41" t="s">
        <v>786</v>
      </c>
      <c r="AV101" s="41" t="s">
        <v>356</v>
      </c>
      <c r="AW101" s="41" t="s">
        <v>850</v>
      </c>
      <c r="AX101" s="41" t="s">
        <v>748</v>
      </c>
    </row>
    <row r="102" spans="1:50" x14ac:dyDescent="0.2">
      <c r="A102" s="40">
        <v>64522025</v>
      </c>
      <c r="B102" s="41" t="s">
        <v>2804</v>
      </c>
      <c r="C102" s="41" t="s">
        <v>2859</v>
      </c>
      <c r="D102" s="41" t="s">
        <v>460</v>
      </c>
      <c r="E102" s="49">
        <v>3986243</v>
      </c>
      <c r="F102" s="49">
        <v>21190</v>
      </c>
      <c r="G102" s="50">
        <v>3965053</v>
      </c>
      <c r="H102" s="42" t="s">
        <v>2615</v>
      </c>
      <c r="I102" s="42" t="s">
        <v>461</v>
      </c>
      <c r="J102" s="43" t="s">
        <v>351</v>
      </c>
      <c r="K102" s="40">
        <v>12644439</v>
      </c>
      <c r="L102" s="41" t="s">
        <v>852</v>
      </c>
      <c r="M102" s="41" t="s">
        <v>316</v>
      </c>
      <c r="N102" s="41" t="s">
        <v>317</v>
      </c>
      <c r="O102" s="41" t="s">
        <v>853</v>
      </c>
      <c r="P102" s="41" t="s">
        <v>319</v>
      </c>
      <c r="Q102" s="40">
        <v>890903938</v>
      </c>
      <c r="R102" s="41" t="s">
        <v>342</v>
      </c>
      <c r="S102" s="40">
        <v>923245</v>
      </c>
      <c r="T102" s="41" t="s">
        <v>180</v>
      </c>
      <c r="U102" s="41" t="s">
        <v>29</v>
      </c>
      <c r="V102" s="41" t="s">
        <v>30</v>
      </c>
      <c r="W102" s="42" t="s">
        <v>31</v>
      </c>
      <c r="X102" s="42" t="s">
        <v>32</v>
      </c>
      <c r="Y102" s="42" t="s">
        <v>33</v>
      </c>
      <c r="Z102" s="42" t="s">
        <v>2816</v>
      </c>
      <c r="AA102" s="42" t="s">
        <v>34</v>
      </c>
      <c r="AB102" s="42" t="s">
        <v>34</v>
      </c>
      <c r="AC102" s="42" t="s">
        <v>34</v>
      </c>
      <c r="AD102" s="42" t="s">
        <v>462</v>
      </c>
      <c r="AE102" s="42"/>
      <c r="AF102" s="42"/>
      <c r="AG102" s="42" t="s">
        <v>463</v>
      </c>
      <c r="AH102" s="42"/>
      <c r="AI102" s="44"/>
      <c r="AJ102" s="42"/>
      <c r="AK102" s="44"/>
      <c r="AL102" s="42"/>
      <c r="AM102" s="52">
        <v>3825</v>
      </c>
      <c r="AN102" s="52">
        <v>3825</v>
      </c>
      <c r="AO102" s="52">
        <v>7425</v>
      </c>
      <c r="AP102" s="52">
        <v>0</v>
      </c>
      <c r="AQ102" s="42"/>
      <c r="AR102" s="52">
        <v>10525</v>
      </c>
      <c r="AS102" s="52">
        <v>64522025</v>
      </c>
      <c r="AT102" s="52">
        <v>0</v>
      </c>
      <c r="AU102" s="41" t="s">
        <v>786</v>
      </c>
      <c r="AV102" s="41" t="s">
        <v>356</v>
      </c>
      <c r="AW102" s="41" t="s">
        <v>855</v>
      </c>
      <c r="AX102" s="41" t="s">
        <v>748</v>
      </c>
    </row>
    <row r="103" spans="1:50" x14ac:dyDescent="0.2">
      <c r="A103" s="40">
        <v>64522125</v>
      </c>
      <c r="B103" s="41" t="s">
        <v>2804</v>
      </c>
      <c r="C103" s="41" t="s">
        <v>2861</v>
      </c>
      <c r="D103" s="41" t="s">
        <v>460</v>
      </c>
      <c r="E103" s="49">
        <v>2009233</v>
      </c>
      <c r="F103" s="49">
        <v>9621</v>
      </c>
      <c r="G103" s="50">
        <v>1999612</v>
      </c>
      <c r="H103" s="42" t="s">
        <v>2615</v>
      </c>
      <c r="I103" s="42" t="s">
        <v>461</v>
      </c>
      <c r="J103" s="43" t="s">
        <v>351</v>
      </c>
      <c r="K103" s="40">
        <v>39676109</v>
      </c>
      <c r="L103" s="41" t="s">
        <v>857</v>
      </c>
      <c r="M103" s="41" t="s">
        <v>316</v>
      </c>
      <c r="N103" s="41" t="s">
        <v>317</v>
      </c>
      <c r="O103" s="41" t="s">
        <v>858</v>
      </c>
      <c r="P103" s="41" t="s">
        <v>319</v>
      </c>
      <c r="Q103" s="40">
        <v>890903938</v>
      </c>
      <c r="R103" s="41" t="s">
        <v>342</v>
      </c>
      <c r="S103" s="40">
        <v>923210</v>
      </c>
      <c r="T103" s="41" t="s">
        <v>56</v>
      </c>
      <c r="U103" s="41" t="s">
        <v>29</v>
      </c>
      <c r="V103" s="41" t="s">
        <v>30</v>
      </c>
      <c r="W103" s="42" t="s">
        <v>31</v>
      </c>
      <c r="X103" s="42" t="s">
        <v>32</v>
      </c>
      <c r="Y103" s="42" t="s">
        <v>33</v>
      </c>
      <c r="Z103" s="42" t="s">
        <v>2862</v>
      </c>
      <c r="AA103" s="42" t="s">
        <v>34</v>
      </c>
      <c r="AB103" s="42" t="s">
        <v>34</v>
      </c>
      <c r="AC103" s="42" t="s">
        <v>34</v>
      </c>
      <c r="AD103" s="42" t="s">
        <v>462</v>
      </c>
      <c r="AE103" s="42"/>
      <c r="AF103" s="42"/>
      <c r="AG103" s="42" t="s">
        <v>463</v>
      </c>
      <c r="AH103" s="42"/>
      <c r="AI103" s="44"/>
      <c r="AJ103" s="42"/>
      <c r="AK103" s="44"/>
      <c r="AL103" s="42"/>
      <c r="AM103" s="52">
        <v>1925</v>
      </c>
      <c r="AN103" s="52">
        <v>1925</v>
      </c>
      <c r="AO103" s="52">
        <v>7525</v>
      </c>
      <c r="AP103" s="52">
        <v>0</v>
      </c>
      <c r="AQ103" s="42"/>
      <c r="AR103" s="52">
        <v>10625</v>
      </c>
      <c r="AS103" s="52">
        <v>64522125</v>
      </c>
      <c r="AT103" s="52">
        <v>0</v>
      </c>
      <c r="AU103" s="41" t="s">
        <v>786</v>
      </c>
      <c r="AV103" s="41" t="s">
        <v>356</v>
      </c>
      <c r="AW103" s="41" t="s">
        <v>860</v>
      </c>
      <c r="AX103" s="41" t="s">
        <v>861</v>
      </c>
    </row>
    <row r="104" spans="1:50" x14ac:dyDescent="0.2">
      <c r="A104" s="40">
        <v>64522225</v>
      </c>
      <c r="B104" s="41" t="s">
        <v>2804</v>
      </c>
      <c r="C104" s="41" t="s">
        <v>2864</v>
      </c>
      <c r="D104" s="41" t="s">
        <v>460</v>
      </c>
      <c r="E104" s="49">
        <v>3986243</v>
      </c>
      <c r="F104" s="49">
        <v>21190</v>
      </c>
      <c r="G104" s="50">
        <v>3965053</v>
      </c>
      <c r="H104" s="42" t="s">
        <v>2615</v>
      </c>
      <c r="I104" s="42" t="s">
        <v>461</v>
      </c>
      <c r="J104" s="43" t="s">
        <v>351</v>
      </c>
      <c r="K104" s="40">
        <v>53119149</v>
      </c>
      <c r="L104" s="41" t="s">
        <v>863</v>
      </c>
      <c r="M104" s="41" t="s">
        <v>316</v>
      </c>
      <c r="N104" s="41" t="s">
        <v>317</v>
      </c>
      <c r="O104" s="41" t="s">
        <v>864</v>
      </c>
      <c r="P104" s="41" t="s">
        <v>319</v>
      </c>
      <c r="Q104" s="40">
        <v>860002964</v>
      </c>
      <c r="R104" s="41" t="s">
        <v>419</v>
      </c>
      <c r="S104" s="40">
        <v>923245</v>
      </c>
      <c r="T104" s="41" t="s">
        <v>180</v>
      </c>
      <c r="U104" s="41" t="s">
        <v>29</v>
      </c>
      <c r="V104" s="41" t="s">
        <v>30</v>
      </c>
      <c r="W104" s="42" t="s">
        <v>31</v>
      </c>
      <c r="X104" s="42" t="s">
        <v>32</v>
      </c>
      <c r="Y104" s="42" t="s">
        <v>33</v>
      </c>
      <c r="Z104" s="42" t="s">
        <v>2816</v>
      </c>
      <c r="AA104" s="42" t="s">
        <v>34</v>
      </c>
      <c r="AB104" s="42" t="s">
        <v>34</v>
      </c>
      <c r="AC104" s="42" t="s">
        <v>34</v>
      </c>
      <c r="AD104" s="42" t="s">
        <v>462</v>
      </c>
      <c r="AE104" s="42"/>
      <c r="AF104" s="42"/>
      <c r="AG104" s="42" t="s">
        <v>463</v>
      </c>
      <c r="AH104" s="42"/>
      <c r="AI104" s="44"/>
      <c r="AJ104" s="42"/>
      <c r="AK104" s="44"/>
      <c r="AL104" s="42"/>
      <c r="AM104" s="52">
        <v>3825</v>
      </c>
      <c r="AN104" s="52">
        <v>3825</v>
      </c>
      <c r="AO104" s="52">
        <v>7625</v>
      </c>
      <c r="AP104" s="52">
        <v>0</v>
      </c>
      <c r="AQ104" s="42"/>
      <c r="AR104" s="52">
        <v>10725</v>
      </c>
      <c r="AS104" s="52">
        <v>64522225</v>
      </c>
      <c r="AT104" s="52">
        <v>0</v>
      </c>
      <c r="AU104" s="41" t="s">
        <v>786</v>
      </c>
      <c r="AV104" s="41" t="s">
        <v>356</v>
      </c>
      <c r="AW104" s="41" t="s">
        <v>866</v>
      </c>
      <c r="AX104" s="41" t="s">
        <v>748</v>
      </c>
    </row>
    <row r="105" spans="1:50" x14ac:dyDescent="0.2">
      <c r="A105" s="40">
        <v>64522325</v>
      </c>
      <c r="B105" s="41" t="s">
        <v>2804</v>
      </c>
      <c r="C105" s="41" t="s">
        <v>2866</v>
      </c>
      <c r="D105" s="41" t="s">
        <v>460</v>
      </c>
      <c r="E105" s="49">
        <v>3986243</v>
      </c>
      <c r="F105" s="49">
        <v>21190</v>
      </c>
      <c r="G105" s="50">
        <v>3965053</v>
      </c>
      <c r="H105" s="42" t="s">
        <v>2615</v>
      </c>
      <c r="I105" s="42" t="s">
        <v>461</v>
      </c>
      <c r="J105" s="43" t="s">
        <v>351</v>
      </c>
      <c r="K105" s="40">
        <v>80056517</v>
      </c>
      <c r="L105" s="41" t="s">
        <v>868</v>
      </c>
      <c r="M105" s="41" t="s">
        <v>316</v>
      </c>
      <c r="N105" s="41" t="s">
        <v>317</v>
      </c>
      <c r="O105" s="41" t="s">
        <v>2867</v>
      </c>
      <c r="P105" s="41" t="s">
        <v>319</v>
      </c>
      <c r="Q105" s="40">
        <v>860051894</v>
      </c>
      <c r="R105" s="41" t="s">
        <v>2868</v>
      </c>
      <c r="S105" s="40">
        <v>923245</v>
      </c>
      <c r="T105" s="41" t="s">
        <v>180</v>
      </c>
      <c r="U105" s="41" t="s">
        <v>29</v>
      </c>
      <c r="V105" s="41" t="s">
        <v>30</v>
      </c>
      <c r="W105" s="42" t="s">
        <v>31</v>
      </c>
      <c r="X105" s="42" t="s">
        <v>32</v>
      </c>
      <c r="Y105" s="42" t="s">
        <v>33</v>
      </c>
      <c r="Z105" s="42" t="s">
        <v>2816</v>
      </c>
      <c r="AA105" s="42" t="s">
        <v>34</v>
      </c>
      <c r="AB105" s="42" t="s">
        <v>34</v>
      </c>
      <c r="AC105" s="42" t="s">
        <v>34</v>
      </c>
      <c r="AD105" s="42" t="s">
        <v>462</v>
      </c>
      <c r="AE105" s="42"/>
      <c r="AF105" s="42"/>
      <c r="AG105" s="42" t="s">
        <v>463</v>
      </c>
      <c r="AH105" s="42"/>
      <c r="AI105" s="44"/>
      <c r="AJ105" s="42"/>
      <c r="AK105" s="44"/>
      <c r="AL105" s="42"/>
      <c r="AM105" s="52">
        <v>3825</v>
      </c>
      <c r="AN105" s="52">
        <v>3825</v>
      </c>
      <c r="AO105" s="52">
        <v>7725</v>
      </c>
      <c r="AP105" s="52">
        <v>0</v>
      </c>
      <c r="AQ105" s="42"/>
      <c r="AR105" s="52">
        <v>10825</v>
      </c>
      <c r="AS105" s="52">
        <v>64522325</v>
      </c>
      <c r="AT105" s="52">
        <v>0</v>
      </c>
      <c r="AU105" s="41" t="s">
        <v>786</v>
      </c>
      <c r="AV105" s="41" t="s">
        <v>356</v>
      </c>
      <c r="AW105" s="41" t="s">
        <v>870</v>
      </c>
      <c r="AX105" s="41" t="s">
        <v>748</v>
      </c>
    </row>
    <row r="106" spans="1:50" x14ac:dyDescent="0.2">
      <c r="A106" s="40">
        <v>64522425</v>
      </c>
      <c r="B106" s="41" t="s">
        <v>2804</v>
      </c>
      <c r="C106" s="41" t="s">
        <v>2866</v>
      </c>
      <c r="D106" s="41" t="s">
        <v>460</v>
      </c>
      <c r="E106" s="49">
        <v>3986243</v>
      </c>
      <c r="F106" s="49">
        <v>21190</v>
      </c>
      <c r="G106" s="50">
        <v>3965053</v>
      </c>
      <c r="H106" s="42" t="s">
        <v>2615</v>
      </c>
      <c r="I106" s="42" t="s">
        <v>461</v>
      </c>
      <c r="J106" s="43" t="s">
        <v>351</v>
      </c>
      <c r="K106" s="40">
        <v>1022945222</v>
      </c>
      <c r="L106" s="41" t="s">
        <v>872</v>
      </c>
      <c r="M106" s="41" t="s">
        <v>316</v>
      </c>
      <c r="N106" s="41" t="s">
        <v>317</v>
      </c>
      <c r="O106" s="41" t="s">
        <v>873</v>
      </c>
      <c r="P106" s="41" t="s">
        <v>319</v>
      </c>
      <c r="Q106" s="40">
        <v>900047981</v>
      </c>
      <c r="R106" s="41" t="s">
        <v>399</v>
      </c>
      <c r="S106" s="40">
        <v>923245</v>
      </c>
      <c r="T106" s="41" t="s">
        <v>180</v>
      </c>
      <c r="U106" s="41" t="s">
        <v>29</v>
      </c>
      <c r="V106" s="41" t="s">
        <v>30</v>
      </c>
      <c r="W106" s="42" t="s">
        <v>31</v>
      </c>
      <c r="X106" s="42" t="s">
        <v>32</v>
      </c>
      <c r="Y106" s="42" t="s">
        <v>33</v>
      </c>
      <c r="Z106" s="42" t="s">
        <v>2816</v>
      </c>
      <c r="AA106" s="42" t="s">
        <v>34</v>
      </c>
      <c r="AB106" s="42" t="s">
        <v>34</v>
      </c>
      <c r="AC106" s="42" t="s">
        <v>34</v>
      </c>
      <c r="AD106" s="42" t="s">
        <v>462</v>
      </c>
      <c r="AE106" s="42"/>
      <c r="AF106" s="42"/>
      <c r="AG106" s="42" t="s">
        <v>463</v>
      </c>
      <c r="AH106" s="42"/>
      <c r="AI106" s="44"/>
      <c r="AJ106" s="42"/>
      <c r="AK106" s="44"/>
      <c r="AL106" s="42"/>
      <c r="AM106" s="52">
        <v>3825</v>
      </c>
      <c r="AN106" s="52">
        <v>3825</v>
      </c>
      <c r="AO106" s="52">
        <v>7825</v>
      </c>
      <c r="AP106" s="52">
        <v>0</v>
      </c>
      <c r="AQ106" s="42"/>
      <c r="AR106" s="52">
        <v>10925</v>
      </c>
      <c r="AS106" s="52">
        <v>64522425</v>
      </c>
      <c r="AT106" s="52">
        <v>0</v>
      </c>
      <c r="AU106" s="41" t="s">
        <v>786</v>
      </c>
      <c r="AV106" s="41" t="s">
        <v>356</v>
      </c>
      <c r="AW106" s="41" t="s">
        <v>875</v>
      </c>
      <c r="AX106" s="41" t="s">
        <v>748</v>
      </c>
    </row>
    <row r="107" spans="1:50" x14ac:dyDescent="0.2">
      <c r="A107" s="40">
        <v>64522525</v>
      </c>
      <c r="B107" s="41" t="s">
        <v>2804</v>
      </c>
      <c r="C107" s="41" t="s">
        <v>2845</v>
      </c>
      <c r="D107" s="41" t="s">
        <v>460</v>
      </c>
      <c r="E107" s="49">
        <v>3986243</v>
      </c>
      <c r="F107" s="49">
        <v>21190</v>
      </c>
      <c r="G107" s="50">
        <v>3965053</v>
      </c>
      <c r="H107" s="42" t="s">
        <v>2615</v>
      </c>
      <c r="I107" s="42" t="s">
        <v>461</v>
      </c>
      <c r="J107" s="43" t="s">
        <v>351</v>
      </c>
      <c r="K107" s="40">
        <v>80047546</v>
      </c>
      <c r="L107" s="41" t="s">
        <v>877</v>
      </c>
      <c r="M107" s="41" t="s">
        <v>316</v>
      </c>
      <c r="N107" s="41" t="s">
        <v>317</v>
      </c>
      <c r="O107" s="41" t="s">
        <v>878</v>
      </c>
      <c r="P107" s="41" t="s">
        <v>319</v>
      </c>
      <c r="Q107" s="40">
        <v>860034313</v>
      </c>
      <c r="R107" s="41" t="s">
        <v>355</v>
      </c>
      <c r="S107" s="40">
        <v>923245</v>
      </c>
      <c r="T107" s="41" t="s">
        <v>180</v>
      </c>
      <c r="U107" s="41" t="s">
        <v>29</v>
      </c>
      <c r="V107" s="41" t="s">
        <v>30</v>
      </c>
      <c r="W107" s="42" t="s">
        <v>31</v>
      </c>
      <c r="X107" s="42" t="s">
        <v>32</v>
      </c>
      <c r="Y107" s="42" t="s">
        <v>33</v>
      </c>
      <c r="Z107" s="42" t="s">
        <v>2816</v>
      </c>
      <c r="AA107" s="42" t="s">
        <v>34</v>
      </c>
      <c r="AB107" s="42" t="s">
        <v>34</v>
      </c>
      <c r="AC107" s="42" t="s">
        <v>34</v>
      </c>
      <c r="AD107" s="42" t="s">
        <v>462</v>
      </c>
      <c r="AE107" s="42"/>
      <c r="AF107" s="42"/>
      <c r="AG107" s="42" t="s">
        <v>463</v>
      </c>
      <c r="AH107" s="42"/>
      <c r="AI107" s="44"/>
      <c r="AJ107" s="42"/>
      <c r="AK107" s="44"/>
      <c r="AL107" s="42"/>
      <c r="AM107" s="52">
        <v>3825</v>
      </c>
      <c r="AN107" s="52">
        <v>3825</v>
      </c>
      <c r="AO107" s="52">
        <v>7925</v>
      </c>
      <c r="AP107" s="52">
        <v>0</v>
      </c>
      <c r="AQ107" s="42"/>
      <c r="AR107" s="52">
        <v>11025</v>
      </c>
      <c r="AS107" s="52">
        <v>64522525</v>
      </c>
      <c r="AT107" s="52">
        <v>0</v>
      </c>
      <c r="AU107" s="41" t="s">
        <v>786</v>
      </c>
      <c r="AV107" s="41" t="s">
        <v>356</v>
      </c>
      <c r="AW107" s="41" t="s">
        <v>880</v>
      </c>
      <c r="AX107" s="41" t="s">
        <v>748</v>
      </c>
    </row>
    <row r="108" spans="1:50" x14ac:dyDescent="0.2">
      <c r="A108" s="40">
        <v>64522625</v>
      </c>
      <c r="B108" s="41" t="s">
        <v>2804</v>
      </c>
      <c r="C108" s="41" t="s">
        <v>2815</v>
      </c>
      <c r="D108" s="41" t="s">
        <v>460</v>
      </c>
      <c r="E108" s="49">
        <v>3986243</v>
      </c>
      <c r="F108" s="49">
        <v>21190</v>
      </c>
      <c r="G108" s="50">
        <v>3965053</v>
      </c>
      <c r="H108" s="42" t="s">
        <v>2615</v>
      </c>
      <c r="I108" s="42" t="s">
        <v>461</v>
      </c>
      <c r="J108" s="43" t="s">
        <v>351</v>
      </c>
      <c r="K108" s="40">
        <v>1023876213</v>
      </c>
      <c r="L108" s="41" t="s">
        <v>882</v>
      </c>
      <c r="M108" s="41" t="s">
        <v>316</v>
      </c>
      <c r="N108" s="41" t="s">
        <v>317</v>
      </c>
      <c r="O108" s="41" t="s">
        <v>883</v>
      </c>
      <c r="P108" s="41" t="s">
        <v>319</v>
      </c>
      <c r="Q108" s="40">
        <v>890903938</v>
      </c>
      <c r="R108" s="41" t="s">
        <v>342</v>
      </c>
      <c r="S108" s="40">
        <v>923245</v>
      </c>
      <c r="T108" s="41" t="s">
        <v>180</v>
      </c>
      <c r="U108" s="41" t="s">
        <v>29</v>
      </c>
      <c r="V108" s="41" t="s">
        <v>30</v>
      </c>
      <c r="W108" s="42" t="s">
        <v>31</v>
      </c>
      <c r="X108" s="42" t="s">
        <v>32</v>
      </c>
      <c r="Y108" s="42" t="s">
        <v>33</v>
      </c>
      <c r="Z108" s="42" t="s">
        <v>2816</v>
      </c>
      <c r="AA108" s="42" t="s">
        <v>34</v>
      </c>
      <c r="AB108" s="42" t="s">
        <v>34</v>
      </c>
      <c r="AC108" s="42" t="s">
        <v>34</v>
      </c>
      <c r="AD108" s="42" t="s">
        <v>462</v>
      </c>
      <c r="AE108" s="42"/>
      <c r="AF108" s="42"/>
      <c r="AG108" s="42" t="s">
        <v>463</v>
      </c>
      <c r="AH108" s="42"/>
      <c r="AI108" s="44"/>
      <c r="AJ108" s="42"/>
      <c r="AK108" s="44"/>
      <c r="AL108" s="42"/>
      <c r="AM108" s="52">
        <v>3825</v>
      </c>
      <c r="AN108" s="52">
        <v>3825</v>
      </c>
      <c r="AO108" s="52">
        <v>8025</v>
      </c>
      <c r="AP108" s="52">
        <v>0</v>
      </c>
      <c r="AQ108" s="42"/>
      <c r="AR108" s="52">
        <v>11125</v>
      </c>
      <c r="AS108" s="52">
        <v>64522625</v>
      </c>
      <c r="AT108" s="52">
        <v>0</v>
      </c>
      <c r="AU108" s="41" t="s">
        <v>786</v>
      </c>
      <c r="AV108" s="41" t="s">
        <v>356</v>
      </c>
      <c r="AW108" s="41" t="s">
        <v>885</v>
      </c>
      <c r="AX108" s="41" t="s">
        <v>748</v>
      </c>
    </row>
    <row r="109" spans="1:50" x14ac:dyDescent="0.2">
      <c r="A109" s="40">
        <v>64522725</v>
      </c>
      <c r="B109" s="41" t="s">
        <v>2804</v>
      </c>
      <c r="C109" s="41" t="s">
        <v>2822</v>
      </c>
      <c r="D109" s="41" t="s">
        <v>460</v>
      </c>
      <c r="E109" s="49">
        <v>3986243</v>
      </c>
      <c r="F109" s="49">
        <v>21190</v>
      </c>
      <c r="G109" s="50">
        <v>3965053</v>
      </c>
      <c r="H109" s="42" t="s">
        <v>2615</v>
      </c>
      <c r="I109" s="42" t="s">
        <v>461</v>
      </c>
      <c r="J109" s="43" t="s">
        <v>887</v>
      </c>
      <c r="K109" s="40">
        <v>474259</v>
      </c>
      <c r="L109" s="41" t="s">
        <v>888</v>
      </c>
      <c r="M109" s="41" t="s">
        <v>316</v>
      </c>
      <c r="N109" s="41" t="s">
        <v>317</v>
      </c>
      <c r="O109" s="41" t="s">
        <v>889</v>
      </c>
      <c r="P109" s="41" t="s">
        <v>319</v>
      </c>
      <c r="Q109" s="40">
        <v>860034313</v>
      </c>
      <c r="R109" s="41" t="s">
        <v>355</v>
      </c>
      <c r="S109" s="40">
        <v>923245</v>
      </c>
      <c r="T109" s="41" t="s">
        <v>180</v>
      </c>
      <c r="U109" s="41" t="s">
        <v>29</v>
      </c>
      <c r="V109" s="41" t="s">
        <v>30</v>
      </c>
      <c r="W109" s="42" t="s">
        <v>31</v>
      </c>
      <c r="X109" s="42" t="s">
        <v>32</v>
      </c>
      <c r="Y109" s="42" t="s">
        <v>33</v>
      </c>
      <c r="Z109" s="42" t="s">
        <v>2816</v>
      </c>
      <c r="AA109" s="42" t="s">
        <v>34</v>
      </c>
      <c r="AB109" s="42" t="s">
        <v>34</v>
      </c>
      <c r="AC109" s="42" t="s">
        <v>34</v>
      </c>
      <c r="AD109" s="42" t="s">
        <v>462</v>
      </c>
      <c r="AE109" s="42"/>
      <c r="AF109" s="42"/>
      <c r="AG109" s="42" t="s">
        <v>463</v>
      </c>
      <c r="AH109" s="42"/>
      <c r="AI109" s="44"/>
      <c r="AJ109" s="42"/>
      <c r="AK109" s="44"/>
      <c r="AL109" s="42"/>
      <c r="AM109" s="52">
        <v>3825</v>
      </c>
      <c r="AN109" s="52">
        <v>3825</v>
      </c>
      <c r="AO109" s="52">
        <v>8125</v>
      </c>
      <c r="AP109" s="52">
        <v>0</v>
      </c>
      <c r="AQ109" s="42"/>
      <c r="AR109" s="52">
        <v>11225</v>
      </c>
      <c r="AS109" s="52">
        <v>64522725</v>
      </c>
      <c r="AT109" s="52">
        <v>0</v>
      </c>
      <c r="AU109" s="41" t="s">
        <v>786</v>
      </c>
      <c r="AV109" s="41" t="s">
        <v>356</v>
      </c>
      <c r="AW109" s="41" t="s">
        <v>891</v>
      </c>
      <c r="AX109" s="41" t="s">
        <v>748</v>
      </c>
    </row>
    <row r="110" spans="1:50" x14ac:dyDescent="0.2">
      <c r="A110" s="40">
        <v>64522825</v>
      </c>
      <c r="B110" s="41" t="s">
        <v>2804</v>
      </c>
      <c r="C110" s="41" t="s">
        <v>2874</v>
      </c>
      <c r="D110" s="41" t="s">
        <v>460</v>
      </c>
      <c r="E110" s="49">
        <v>3986243</v>
      </c>
      <c r="F110" s="49">
        <v>21190</v>
      </c>
      <c r="G110" s="50">
        <v>3965053</v>
      </c>
      <c r="H110" s="42" t="s">
        <v>2615</v>
      </c>
      <c r="I110" s="42" t="s">
        <v>461</v>
      </c>
      <c r="J110" s="43" t="s">
        <v>351</v>
      </c>
      <c r="K110" s="40">
        <v>1024470479</v>
      </c>
      <c r="L110" s="41" t="s">
        <v>893</v>
      </c>
      <c r="M110" s="41" t="s">
        <v>316</v>
      </c>
      <c r="N110" s="41" t="s">
        <v>317</v>
      </c>
      <c r="O110" s="41" t="s">
        <v>894</v>
      </c>
      <c r="P110" s="41" t="s">
        <v>319</v>
      </c>
      <c r="Q110" s="40">
        <v>860034313</v>
      </c>
      <c r="R110" s="41" t="s">
        <v>355</v>
      </c>
      <c r="S110" s="40">
        <v>923245</v>
      </c>
      <c r="T110" s="41" t="s">
        <v>180</v>
      </c>
      <c r="U110" s="41" t="s">
        <v>29</v>
      </c>
      <c r="V110" s="41" t="s">
        <v>30</v>
      </c>
      <c r="W110" s="42" t="s">
        <v>31</v>
      </c>
      <c r="X110" s="42" t="s">
        <v>32</v>
      </c>
      <c r="Y110" s="42" t="s">
        <v>33</v>
      </c>
      <c r="Z110" s="42" t="s">
        <v>2816</v>
      </c>
      <c r="AA110" s="42" t="s">
        <v>34</v>
      </c>
      <c r="AB110" s="42" t="s">
        <v>34</v>
      </c>
      <c r="AC110" s="42" t="s">
        <v>34</v>
      </c>
      <c r="AD110" s="42" t="s">
        <v>462</v>
      </c>
      <c r="AE110" s="42"/>
      <c r="AF110" s="42"/>
      <c r="AG110" s="42" t="s">
        <v>463</v>
      </c>
      <c r="AH110" s="42"/>
      <c r="AI110" s="44"/>
      <c r="AJ110" s="42"/>
      <c r="AK110" s="44"/>
      <c r="AL110" s="42"/>
      <c r="AM110" s="52">
        <v>3825</v>
      </c>
      <c r="AN110" s="52">
        <v>3825</v>
      </c>
      <c r="AO110" s="52">
        <v>8225</v>
      </c>
      <c r="AP110" s="52">
        <v>0</v>
      </c>
      <c r="AQ110" s="42"/>
      <c r="AR110" s="52">
        <v>11325</v>
      </c>
      <c r="AS110" s="52">
        <v>64522825</v>
      </c>
      <c r="AT110" s="52">
        <v>0</v>
      </c>
      <c r="AU110" s="41" t="s">
        <v>786</v>
      </c>
      <c r="AV110" s="41" t="s">
        <v>356</v>
      </c>
      <c r="AW110" s="41" t="s">
        <v>896</v>
      </c>
      <c r="AX110" s="41" t="s">
        <v>748</v>
      </c>
    </row>
    <row r="111" spans="1:50" x14ac:dyDescent="0.2">
      <c r="A111" s="40">
        <v>64522925</v>
      </c>
      <c r="B111" s="41" t="s">
        <v>2804</v>
      </c>
      <c r="C111" s="41" t="s">
        <v>2876</v>
      </c>
      <c r="D111" s="41" t="s">
        <v>460</v>
      </c>
      <c r="E111" s="49">
        <v>3986243</v>
      </c>
      <c r="F111" s="49">
        <v>21190</v>
      </c>
      <c r="G111" s="50">
        <v>3965053</v>
      </c>
      <c r="H111" s="42" t="s">
        <v>2615</v>
      </c>
      <c r="I111" s="42" t="s">
        <v>461</v>
      </c>
      <c r="J111" s="43" t="s">
        <v>351</v>
      </c>
      <c r="K111" s="40">
        <v>1022415410</v>
      </c>
      <c r="L111" s="41" t="s">
        <v>898</v>
      </c>
      <c r="M111" s="41" t="s">
        <v>316</v>
      </c>
      <c r="N111" s="41" t="s">
        <v>317</v>
      </c>
      <c r="O111" s="41" t="s">
        <v>899</v>
      </c>
      <c r="P111" s="41" t="s">
        <v>319</v>
      </c>
      <c r="Q111" s="40">
        <v>890903938</v>
      </c>
      <c r="R111" s="41" t="s">
        <v>342</v>
      </c>
      <c r="S111" s="40">
        <v>923245</v>
      </c>
      <c r="T111" s="41" t="s">
        <v>180</v>
      </c>
      <c r="U111" s="41" t="s">
        <v>29</v>
      </c>
      <c r="V111" s="41" t="s">
        <v>30</v>
      </c>
      <c r="W111" s="42" t="s">
        <v>31</v>
      </c>
      <c r="X111" s="42" t="s">
        <v>32</v>
      </c>
      <c r="Y111" s="42" t="s">
        <v>33</v>
      </c>
      <c r="Z111" s="42" t="s">
        <v>2816</v>
      </c>
      <c r="AA111" s="42" t="s">
        <v>34</v>
      </c>
      <c r="AB111" s="42" t="s">
        <v>34</v>
      </c>
      <c r="AC111" s="42" t="s">
        <v>34</v>
      </c>
      <c r="AD111" s="42" t="s">
        <v>462</v>
      </c>
      <c r="AE111" s="42"/>
      <c r="AF111" s="42"/>
      <c r="AG111" s="42" t="s">
        <v>463</v>
      </c>
      <c r="AH111" s="42"/>
      <c r="AI111" s="44"/>
      <c r="AJ111" s="42"/>
      <c r="AK111" s="44"/>
      <c r="AL111" s="42"/>
      <c r="AM111" s="52">
        <v>3825</v>
      </c>
      <c r="AN111" s="52">
        <v>3825</v>
      </c>
      <c r="AO111" s="52">
        <v>8325</v>
      </c>
      <c r="AP111" s="52">
        <v>0</v>
      </c>
      <c r="AQ111" s="42"/>
      <c r="AR111" s="52">
        <v>11425</v>
      </c>
      <c r="AS111" s="52">
        <v>64522925</v>
      </c>
      <c r="AT111" s="52">
        <v>0</v>
      </c>
      <c r="AU111" s="41" t="s">
        <v>786</v>
      </c>
      <c r="AV111" s="41" t="s">
        <v>356</v>
      </c>
      <c r="AW111" s="41" t="s">
        <v>901</v>
      </c>
      <c r="AX111" s="41" t="s">
        <v>748</v>
      </c>
    </row>
    <row r="112" spans="1:50" x14ac:dyDescent="0.2">
      <c r="A112" s="40">
        <v>64523025</v>
      </c>
      <c r="B112" s="41" t="s">
        <v>2804</v>
      </c>
      <c r="C112" s="41" t="s">
        <v>2859</v>
      </c>
      <c r="D112" s="41" t="s">
        <v>460</v>
      </c>
      <c r="E112" s="49">
        <v>3986243</v>
      </c>
      <c r="F112" s="49">
        <v>21190</v>
      </c>
      <c r="G112" s="50">
        <v>3965053</v>
      </c>
      <c r="H112" s="42" t="s">
        <v>2615</v>
      </c>
      <c r="I112" s="42" t="s">
        <v>461</v>
      </c>
      <c r="J112" s="43" t="s">
        <v>351</v>
      </c>
      <c r="K112" s="40">
        <v>91238336</v>
      </c>
      <c r="L112" s="41" t="s">
        <v>903</v>
      </c>
      <c r="M112" s="41" t="s">
        <v>316</v>
      </c>
      <c r="N112" s="41" t="s">
        <v>317</v>
      </c>
      <c r="O112" s="41" t="s">
        <v>904</v>
      </c>
      <c r="P112" s="41" t="s">
        <v>319</v>
      </c>
      <c r="Q112" s="40">
        <v>890903938</v>
      </c>
      <c r="R112" s="41" t="s">
        <v>342</v>
      </c>
      <c r="S112" s="40">
        <v>923245</v>
      </c>
      <c r="T112" s="41" t="s">
        <v>180</v>
      </c>
      <c r="U112" s="41" t="s">
        <v>29</v>
      </c>
      <c r="V112" s="41" t="s">
        <v>30</v>
      </c>
      <c r="W112" s="42" t="s">
        <v>31</v>
      </c>
      <c r="X112" s="42" t="s">
        <v>32</v>
      </c>
      <c r="Y112" s="42" t="s">
        <v>33</v>
      </c>
      <c r="Z112" s="42" t="s">
        <v>2816</v>
      </c>
      <c r="AA112" s="42" t="s">
        <v>34</v>
      </c>
      <c r="AB112" s="42" t="s">
        <v>34</v>
      </c>
      <c r="AC112" s="42" t="s">
        <v>34</v>
      </c>
      <c r="AD112" s="42" t="s">
        <v>462</v>
      </c>
      <c r="AE112" s="42"/>
      <c r="AF112" s="42"/>
      <c r="AG112" s="42" t="s">
        <v>463</v>
      </c>
      <c r="AH112" s="42"/>
      <c r="AI112" s="44"/>
      <c r="AJ112" s="42"/>
      <c r="AK112" s="44"/>
      <c r="AL112" s="42"/>
      <c r="AM112" s="52">
        <v>3825</v>
      </c>
      <c r="AN112" s="52">
        <v>3825</v>
      </c>
      <c r="AO112" s="52">
        <v>8425</v>
      </c>
      <c r="AP112" s="52">
        <v>0</v>
      </c>
      <c r="AQ112" s="42"/>
      <c r="AR112" s="52">
        <v>11525</v>
      </c>
      <c r="AS112" s="52">
        <v>64523025</v>
      </c>
      <c r="AT112" s="52">
        <v>0</v>
      </c>
      <c r="AU112" s="41" t="s">
        <v>786</v>
      </c>
      <c r="AV112" s="41" t="s">
        <v>356</v>
      </c>
      <c r="AW112" s="41" t="s">
        <v>906</v>
      </c>
      <c r="AX112" s="41" t="s">
        <v>748</v>
      </c>
    </row>
    <row r="113" spans="1:50" x14ac:dyDescent="0.2">
      <c r="A113" s="40">
        <v>64523125</v>
      </c>
      <c r="B113" s="41" t="s">
        <v>2804</v>
      </c>
      <c r="C113" s="41" t="s">
        <v>2879</v>
      </c>
      <c r="D113" s="41" t="s">
        <v>460</v>
      </c>
      <c r="E113" s="49">
        <v>3986243</v>
      </c>
      <c r="F113" s="49">
        <v>21190</v>
      </c>
      <c r="G113" s="50">
        <v>3965053</v>
      </c>
      <c r="H113" s="42" t="s">
        <v>2615</v>
      </c>
      <c r="I113" s="42" t="s">
        <v>461</v>
      </c>
      <c r="J113" s="43" t="s">
        <v>351</v>
      </c>
      <c r="K113" s="40">
        <v>91536012</v>
      </c>
      <c r="L113" s="41" t="s">
        <v>908</v>
      </c>
      <c r="M113" s="41" t="s">
        <v>316</v>
      </c>
      <c r="N113" s="41" t="s">
        <v>317</v>
      </c>
      <c r="O113" s="41" t="s">
        <v>909</v>
      </c>
      <c r="P113" s="41" t="s">
        <v>319</v>
      </c>
      <c r="Q113" s="40">
        <v>890903938</v>
      </c>
      <c r="R113" s="41" t="s">
        <v>342</v>
      </c>
      <c r="S113" s="40">
        <v>923245</v>
      </c>
      <c r="T113" s="41" t="s">
        <v>180</v>
      </c>
      <c r="U113" s="41" t="s">
        <v>29</v>
      </c>
      <c r="V113" s="41" t="s">
        <v>30</v>
      </c>
      <c r="W113" s="42" t="s">
        <v>31</v>
      </c>
      <c r="X113" s="42" t="s">
        <v>32</v>
      </c>
      <c r="Y113" s="42" t="s">
        <v>33</v>
      </c>
      <c r="Z113" s="42" t="s">
        <v>2816</v>
      </c>
      <c r="AA113" s="42" t="s">
        <v>34</v>
      </c>
      <c r="AB113" s="42" t="s">
        <v>34</v>
      </c>
      <c r="AC113" s="42" t="s">
        <v>34</v>
      </c>
      <c r="AD113" s="42" t="s">
        <v>462</v>
      </c>
      <c r="AE113" s="42"/>
      <c r="AF113" s="42"/>
      <c r="AG113" s="42" t="s">
        <v>463</v>
      </c>
      <c r="AH113" s="42"/>
      <c r="AI113" s="44"/>
      <c r="AJ113" s="42"/>
      <c r="AK113" s="44"/>
      <c r="AL113" s="42"/>
      <c r="AM113" s="52">
        <v>3825</v>
      </c>
      <c r="AN113" s="52">
        <v>3825</v>
      </c>
      <c r="AO113" s="52">
        <v>8525</v>
      </c>
      <c r="AP113" s="52">
        <v>0</v>
      </c>
      <c r="AQ113" s="42"/>
      <c r="AR113" s="52">
        <v>11625</v>
      </c>
      <c r="AS113" s="52">
        <v>64523125</v>
      </c>
      <c r="AT113" s="52">
        <v>0</v>
      </c>
      <c r="AU113" s="41" t="s">
        <v>786</v>
      </c>
      <c r="AV113" s="41" t="s">
        <v>356</v>
      </c>
      <c r="AW113" s="41" t="s">
        <v>911</v>
      </c>
      <c r="AX113" s="41" t="s">
        <v>748</v>
      </c>
    </row>
    <row r="114" spans="1:50" x14ac:dyDescent="0.2">
      <c r="A114" s="40">
        <v>64523225</v>
      </c>
      <c r="B114" s="41" t="s">
        <v>2804</v>
      </c>
      <c r="C114" s="41" t="s">
        <v>2881</v>
      </c>
      <c r="D114" s="41" t="s">
        <v>460</v>
      </c>
      <c r="E114" s="49">
        <v>3986243</v>
      </c>
      <c r="F114" s="49">
        <v>22721</v>
      </c>
      <c r="G114" s="50">
        <v>3963522</v>
      </c>
      <c r="H114" s="42" t="s">
        <v>2615</v>
      </c>
      <c r="I114" s="42" t="s">
        <v>461</v>
      </c>
      <c r="J114" s="43" t="s">
        <v>351</v>
      </c>
      <c r="K114" s="40">
        <v>19288738</v>
      </c>
      <c r="L114" s="41" t="s">
        <v>913</v>
      </c>
      <c r="M114" s="41" t="s">
        <v>316</v>
      </c>
      <c r="N114" s="41" t="s">
        <v>317</v>
      </c>
      <c r="O114" s="41" t="s">
        <v>914</v>
      </c>
      <c r="P114" s="41" t="s">
        <v>319</v>
      </c>
      <c r="Q114" s="40">
        <v>860034313</v>
      </c>
      <c r="R114" s="41" t="s">
        <v>355</v>
      </c>
      <c r="S114" s="40">
        <v>923245</v>
      </c>
      <c r="T114" s="41" t="s">
        <v>180</v>
      </c>
      <c r="U114" s="41" t="s">
        <v>29</v>
      </c>
      <c r="V114" s="41" t="s">
        <v>30</v>
      </c>
      <c r="W114" s="42" t="s">
        <v>31</v>
      </c>
      <c r="X114" s="42" t="s">
        <v>32</v>
      </c>
      <c r="Y114" s="42" t="s">
        <v>33</v>
      </c>
      <c r="Z114" s="42" t="s">
        <v>2816</v>
      </c>
      <c r="AA114" s="42" t="s">
        <v>34</v>
      </c>
      <c r="AB114" s="42" t="s">
        <v>34</v>
      </c>
      <c r="AC114" s="42" t="s">
        <v>34</v>
      </c>
      <c r="AD114" s="42" t="s">
        <v>462</v>
      </c>
      <c r="AE114" s="42"/>
      <c r="AF114" s="42"/>
      <c r="AG114" s="42" t="s">
        <v>463</v>
      </c>
      <c r="AH114" s="42"/>
      <c r="AI114" s="44"/>
      <c r="AJ114" s="42"/>
      <c r="AK114" s="44"/>
      <c r="AL114" s="42"/>
      <c r="AM114" s="52">
        <v>3825</v>
      </c>
      <c r="AN114" s="52">
        <v>3825</v>
      </c>
      <c r="AO114" s="52">
        <v>8625</v>
      </c>
      <c r="AP114" s="52">
        <v>0</v>
      </c>
      <c r="AQ114" s="42"/>
      <c r="AR114" s="52">
        <v>11725</v>
      </c>
      <c r="AS114" s="52">
        <v>64523225</v>
      </c>
      <c r="AT114" s="52">
        <v>0</v>
      </c>
      <c r="AU114" s="41" t="s">
        <v>786</v>
      </c>
      <c r="AV114" s="41" t="s">
        <v>356</v>
      </c>
      <c r="AW114" s="41" t="s">
        <v>916</v>
      </c>
      <c r="AX114" s="41" t="s">
        <v>748</v>
      </c>
    </row>
    <row r="115" spans="1:50" x14ac:dyDescent="0.2">
      <c r="A115" s="40">
        <v>64523325</v>
      </c>
      <c r="B115" s="41" t="s">
        <v>2804</v>
      </c>
      <c r="C115" s="41" t="s">
        <v>2879</v>
      </c>
      <c r="D115" s="41" t="s">
        <v>460</v>
      </c>
      <c r="E115" s="49">
        <v>3986243</v>
      </c>
      <c r="F115" s="49">
        <v>21190</v>
      </c>
      <c r="G115" s="50">
        <v>3965053</v>
      </c>
      <c r="H115" s="42" t="s">
        <v>2615</v>
      </c>
      <c r="I115" s="42" t="s">
        <v>461</v>
      </c>
      <c r="J115" s="43" t="s">
        <v>351</v>
      </c>
      <c r="K115" s="40">
        <v>51902634</v>
      </c>
      <c r="L115" s="41" t="s">
        <v>918</v>
      </c>
      <c r="M115" s="41" t="s">
        <v>316</v>
      </c>
      <c r="N115" s="41" t="s">
        <v>328</v>
      </c>
      <c r="O115" s="41" t="s">
        <v>919</v>
      </c>
      <c r="P115" s="41" t="s">
        <v>319</v>
      </c>
      <c r="Q115" s="40">
        <v>890903938</v>
      </c>
      <c r="R115" s="41" t="s">
        <v>342</v>
      </c>
      <c r="S115" s="40">
        <v>923245</v>
      </c>
      <c r="T115" s="41" t="s">
        <v>180</v>
      </c>
      <c r="U115" s="41" t="s">
        <v>29</v>
      </c>
      <c r="V115" s="41" t="s">
        <v>30</v>
      </c>
      <c r="W115" s="42" t="s">
        <v>31</v>
      </c>
      <c r="X115" s="42" t="s">
        <v>32</v>
      </c>
      <c r="Y115" s="42" t="s">
        <v>33</v>
      </c>
      <c r="Z115" s="42" t="s">
        <v>2816</v>
      </c>
      <c r="AA115" s="42" t="s">
        <v>34</v>
      </c>
      <c r="AB115" s="42" t="s">
        <v>34</v>
      </c>
      <c r="AC115" s="42" t="s">
        <v>34</v>
      </c>
      <c r="AD115" s="42" t="s">
        <v>462</v>
      </c>
      <c r="AE115" s="42"/>
      <c r="AF115" s="42"/>
      <c r="AG115" s="42" t="s">
        <v>463</v>
      </c>
      <c r="AH115" s="42"/>
      <c r="AI115" s="44"/>
      <c r="AJ115" s="42"/>
      <c r="AK115" s="44"/>
      <c r="AL115" s="42"/>
      <c r="AM115" s="52">
        <v>3825</v>
      </c>
      <c r="AN115" s="52">
        <v>3825</v>
      </c>
      <c r="AO115" s="52">
        <v>8725</v>
      </c>
      <c r="AP115" s="52">
        <v>0</v>
      </c>
      <c r="AQ115" s="42"/>
      <c r="AR115" s="52">
        <v>11825</v>
      </c>
      <c r="AS115" s="52">
        <v>64523325</v>
      </c>
      <c r="AT115" s="52">
        <v>0</v>
      </c>
      <c r="AU115" s="41" t="s">
        <v>786</v>
      </c>
      <c r="AV115" s="41" t="s">
        <v>356</v>
      </c>
      <c r="AW115" s="41" t="s">
        <v>921</v>
      </c>
      <c r="AX115" s="41" t="s">
        <v>748</v>
      </c>
    </row>
    <row r="116" spans="1:50" x14ac:dyDescent="0.2">
      <c r="A116" s="40">
        <v>64523425</v>
      </c>
      <c r="B116" s="41" t="s">
        <v>2804</v>
      </c>
      <c r="C116" s="41" t="s">
        <v>2884</v>
      </c>
      <c r="D116" s="41" t="s">
        <v>460</v>
      </c>
      <c r="E116" s="49">
        <v>3986243</v>
      </c>
      <c r="F116" s="49">
        <v>21190</v>
      </c>
      <c r="G116" s="50">
        <v>3965053</v>
      </c>
      <c r="H116" s="42" t="s">
        <v>2615</v>
      </c>
      <c r="I116" s="42" t="s">
        <v>461</v>
      </c>
      <c r="J116" s="43" t="s">
        <v>351</v>
      </c>
      <c r="K116" s="40">
        <v>79805062</v>
      </c>
      <c r="L116" s="41" t="s">
        <v>923</v>
      </c>
      <c r="M116" s="41" t="s">
        <v>316</v>
      </c>
      <c r="N116" s="41" t="s">
        <v>317</v>
      </c>
      <c r="O116" s="41" t="s">
        <v>924</v>
      </c>
      <c r="P116" s="41" t="s">
        <v>319</v>
      </c>
      <c r="Q116" s="40">
        <v>860003020</v>
      </c>
      <c r="R116" s="41" t="s">
        <v>393</v>
      </c>
      <c r="S116" s="40">
        <v>923245</v>
      </c>
      <c r="T116" s="41" t="s">
        <v>180</v>
      </c>
      <c r="U116" s="41" t="s">
        <v>29</v>
      </c>
      <c r="V116" s="41" t="s">
        <v>30</v>
      </c>
      <c r="W116" s="42" t="s">
        <v>31</v>
      </c>
      <c r="X116" s="42" t="s">
        <v>32</v>
      </c>
      <c r="Y116" s="42" t="s">
        <v>33</v>
      </c>
      <c r="Z116" s="42" t="s">
        <v>2816</v>
      </c>
      <c r="AA116" s="42" t="s">
        <v>34</v>
      </c>
      <c r="AB116" s="42" t="s">
        <v>34</v>
      </c>
      <c r="AC116" s="42" t="s">
        <v>34</v>
      </c>
      <c r="AD116" s="42" t="s">
        <v>462</v>
      </c>
      <c r="AE116" s="42"/>
      <c r="AF116" s="42"/>
      <c r="AG116" s="42" t="s">
        <v>463</v>
      </c>
      <c r="AH116" s="42"/>
      <c r="AI116" s="44"/>
      <c r="AJ116" s="42"/>
      <c r="AK116" s="44"/>
      <c r="AL116" s="42"/>
      <c r="AM116" s="52">
        <v>3825</v>
      </c>
      <c r="AN116" s="52">
        <v>3825</v>
      </c>
      <c r="AO116" s="52">
        <v>8825</v>
      </c>
      <c r="AP116" s="52">
        <v>0</v>
      </c>
      <c r="AQ116" s="42"/>
      <c r="AR116" s="52">
        <v>11925</v>
      </c>
      <c r="AS116" s="52">
        <v>64523425</v>
      </c>
      <c r="AT116" s="52">
        <v>0</v>
      </c>
      <c r="AU116" s="41" t="s">
        <v>786</v>
      </c>
      <c r="AV116" s="41" t="s">
        <v>356</v>
      </c>
      <c r="AW116" s="41" t="s">
        <v>926</v>
      </c>
      <c r="AX116" s="41" t="s">
        <v>748</v>
      </c>
    </row>
    <row r="117" spans="1:50" x14ac:dyDescent="0.2">
      <c r="A117" s="40">
        <v>64523525</v>
      </c>
      <c r="B117" s="41" t="s">
        <v>2804</v>
      </c>
      <c r="C117" s="41" t="s">
        <v>2886</v>
      </c>
      <c r="D117" s="41" t="s">
        <v>460</v>
      </c>
      <c r="E117" s="49">
        <v>3986243</v>
      </c>
      <c r="F117" s="49">
        <v>21190</v>
      </c>
      <c r="G117" s="50">
        <v>3965053</v>
      </c>
      <c r="H117" s="42" t="s">
        <v>2615</v>
      </c>
      <c r="I117" s="42" t="s">
        <v>461</v>
      </c>
      <c r="J117" s="43" t="s">
        <v>351</v>
      </c>
      <c r="K117" s="40">
        <v>79218271</v>
      </c>
      <c r="L117" s="41" t="s">
        <v>928</v>
      </c>
      <c r="M117" s="41" t="s">
        <v>316</v>
      </c>
      <c r="N117" s="41" t="s">
        <v>317</v>
      </c>
      <c r="O117" s="41" t="s">
        <v>929</v>
      </c>
      <c r="P117" s="41" t="s">
        <v>319</v>
      </c>
      <c r="Q117" s="40">
        <v>890903938</v>
      </c>
      <c r="R117" s="41" t="s">
        <v>342</v>
      </c>
      <c r="S117" s="40">
        <v>923245</v>
      </c>
      <c r="T117" s="41" t="s">
        <v>180</v>
      </c>
      <c r="U117" s="41" t="s">
        <v>29</v>
      </c>
      <c r="V117" s="41" t="s">
        <v>30</v>
      </c>
      <c r="W117" s="42" t="s">
        <v>31</v>
      </c>
      <c r="X117" s="42" t="s">
        <v>32</v>
      </c>
      <c r="Y117" s="42" t="s">
        <v>33</v>
      </c>
      <c r="Z117" s="42" t="s">
        <v>2816</v>
      </c>
      <c r="AA117" s="42" t="s">
        <v>34</v>
      </c>
      <c r="AB117" s="42" t="s">
        <v>34</v>
      </c>
      <c r="AC117" s="42" t="s">
        <v>34</v>
      </c>
      <c r="AD117" s="42" t="s">
        <v>462</v>
      </c>
      <c r="AE117" s="42"/>
      <c r="AF117" s="42"/>
      <c r="AG117" s="42" t="s">
        <v>463</v>
      </c>
      <c r="AH117" s="42"/>
      <c r="AI117" s="44"/>
      <c r="AJ117" s="42"/>
      <c r="AK117" s="44"/>
      <c r="AL117" s="42"/>
      <c r="AM117" s="52">
        <v>3825</v>
      </c>
      <c r="AN117" s="52">
        <v>3825</v>
      </c>
      <c r="AO117" s="52">
        <v>8925</v>
      </c>
      <c r="AP117" s="52">
        <v>0</v>
      </c>
      <c r="AQ117" s="42"/>
      <c r="AR117" s="52">
        <v>12025</v>
      </c>
      <c r="AS117" s="52">
        <v>64523525</v>
      </c>
      <c r="AT117" s="52">
        <v>0</v>
      </c>
      <c r="AU117" s="41" t="s">
        <v>786</v>
      </c>
      <c r="AV117" s="41" t="s">
        <v>356</v>
      </c>
      <c r="AW117" s="41" t="s">
        <v>931</v>
      </c>
      <c r="AX117" s="41" t="s">
        <v>748</v>
      </c>
    </row>
    <row r="118" spans="1:50" x14ac:dyDescent="0.2">
      <c r="A118" s="40">
        <v>64523625</v>
      </c>
      <c r="B118" s="41" t="s">
        <v>2804</v>
      </c>
      <c r="C118" s="41" t="s">
        <v>2857</v>
      </c>
      <c r="D118" s="41" t="s">
        <v>460</v>
      </c>
      <c r="E118" s="49">
        <v>3986243</v>
      </c>
      <c r="F118" s="49">
        <v>21190</v>
      </c>
      <c r="G118" s="50">
        <v>3965053</v>
      </c>
      <c r="H118" s="42" t="s">
        <v>2615</v>
      </c>
      <c r="I118" s="42" t="s">
        <v>461</v>
      </c>
      <c r="J118" s="43" t="s">
        <v>351</v>
      </c>
      <c r="K118" s="40">
        <v>53116478</v>
      </c>
      <c r="L118" s="41" t="s">
        <v>933</v>
      </c>
      <c r="M118" s="41" t="s">
        <v>316</v>
      </c>
      <c r="N118" s="41" t="s">
        <v>317</v>
      </c>
      <c r="O118" s="41" t="s">
        <v>934</v>
      </c>
      <c r="P118" s="41" t="s">
        <v>319</v>
      </c>
      <c r="Q118" s="40">
        <v>860007335</v>
      </c>
      <c r="R118" s="41" t="s">
        <v>381</v>
      </c>
      <c r="S118" s="40">
        <v>923245</v>
      </c>
      <c r="T118" s="41" t="s">
        <v>180</v>
      </c>
      <c r="U118" s="41" t="s">
        <v>29</v>
      </c>
      <c r="V118" s="41" t="s">
        <v>30</v>
      </c>
      <c r="W118" s="42" t="s">
        <v>31</v>
      </c>
      <c r="X118" s="42" t="s">
        <v>32</v>
      </c>
      <c r="Y118" s="42" t="s">
        <v>33</v>
      </c>
      <c r="Z118" s="42" t="s">
        <v>2816</v>
      </c>
      <c r="AA118" s="42" t="s">
        <v>34</v>
      </c>
      <c r="AB118" s="42" t="s">
        <v>34</v>
      </c>
      <c r="AC118" s="42" t="s">
        <v>34</v>
      </c>
      <c r="AD118" s="42" t="s">
        <v>462</v>
      </c>
      <c r="AE118" s="42"/>
      <c r="AF118" s="42"/>
      <c r="AG118" s="42" t="s">
        <v>463</v>
      </c>
      <c r="AH118" s="42"/>
      <c r="AI118" s="44"/>
      <c r="AJ118" s="42"/>
      <c r="AK118" s="44"/>
      <c r="AL118" s="42"/>
      <c r="AM118" s="52">
        <v>3825</v>
      </c>
      <c r="AN118" s="52">
        <v>3825</v>
      </c>
      <c r="AO118" s="52">
        <v>9025</v>
      </c>
      <c r="AP118" s="52">
        <v>0</v>
      </c>
      <c r="AQ118" s="42"/>
      <c r="AR118" s="52">
        <v>12125</v>
      </c>
      <c r="AS118" s="52">
        <v>64523625</v>
      </c>
      <c r="AT118" s="52">
        <v>0</v>
      </c>
      <c r="AU118" s="41" t="s">
        <v>786</v>
      </c>
      <c r="AV118" s="41" t="s">
        <v>356</v>
      </c>
      <c r="AW118" s="41" t="s">
        <v>936</v>
      </c>
      <c r="AX118" s="41" t="s">
        <v>748</v>
      </c>
    </row>
    <row r="119" spans="1:50" x14ac:dyDescent="0.2">
      <c r="A119" s="40">
        <v>64523725</v>
      </c>
      <c r="B119" s="41" t="s">
        <v>2804</v>
      </c>
      <c r="C119" s="41" t="s">
        <v>2847</v>
      </c>
      <c r="D119" s="41" t="s">
        <v>460</v>
      </c>
      <c r="E119" s="49">
        <v>3986243</v>
      </c>
      <c r="F119" s="49">
        <v>21190</v>
      </c>
      <c r="G119" s="50">
        <v>3965053</v>
      </c>
      <c r="H119" s="42" t="s">
        <v>2615</v>
      </c>
      <c r="I119" s="42" t="s">
        <v>461</v>
      </c>
      <c r="J119" s="43" t="s">
        <v>351</v>
      </c>
      <c r="K119" s="40">
        <v>1075254883</v>
      </c>
      <c r="L119" s="41" t="s">
        <v>938</v>
      </c>
      <c r="M119" s="41" t="s">
        <v>316</v>
      </c>
      <c r="N119" s="41" t="s">
        <v>317</v>
      </c>
      <c r="O119" s="41" t="s">
        <v>939</v>
      </c>
      <c r="P119" s="41" t="s">
        <v>319</v>
      </c>
      <c r="Q119" s="40">
        <v>860034313</v>
      </c>
      <c r="R119" s="41" t="s">
        <v>355</v>
      </c>
      <c r="S119" s="40">
        <v>923245</v>
      </c>
      <c r="T119" s="41" t="s">
        <v>180</v>
      </c>
      <c r="U119" s="41" t="s">
        <v>29</v>
      </c>
      <c r="V119" s="41" t="s">
        <v>30</v>
      </c>
      <c r="W119" s="42" t="s">
        <v>31</v>
      </c>
      <c r="X119" s="42" t="s">
        <v>32</v>
      </c>
      <c r="Y119" s="42" t="s">
        <v>33</v>
      </c>
      <c r="Z119" s="42" t="s">
        <v>2816</v>
      </c>
      <c r="AA119" s="42" t="s">
        <v>34</v>
      </c>
      <c r="AB119" s="42" t="s">
        <v>34</v>
      </c>
      <c r="AC119" s="42" t="s">
        <v>34</v>
      </c>
      <c r="AD119" s="42" t="s">
        <v>462</v>
      </c>
      <c r="AE119" s="42"/>
      <c r="AF119" s="42"/>
      <c r="AG119" s="42" t="s">
        <v>463</v>
      </c>
      <c r="AH119" s="42"/>
      <c r="AI119" s="44"/>
      <c r="AJ119" s="42"/>
      <c r="AK119" s="44"/>
      <c r="AL119" s="42"/>
      <c r="AM119" s="52">
        <v>3825</v>
      </c>
      <c r="AN119" s="52">
        <v>3825</v>
      </c>
      <c r="AO119" s="52">
        <v>9125</v>
      </c>
      <c r="AP119" s="52">
        <v>0</v>
      </c>
      <c r="AQ119" s="42"/>
      <c r="AR119" s="52">
        <v>12225</v>
      </c>
      <c r="AS119" s="52">
        <v>64523725</v>
      </c>
      <c r="AT119" s="52">
        <v>0</v>
      </c>
      <c r="AU119" s="41" t="s">
        <v>786</v>
      </c>
      <c r="AV119" s="41" t="s">
        <v>356</v>
      </c>
      <c r="AW119" s="41" t="s">
        <v>941</v>
      </c>
      <c r="AX119" s="41" t="s">
        <v>748</v>
      </c>
    </row>
    <row r="120" spans="1:50" x14ac:dyDescent="0.2">
      <c r="A120" s="40">
        <v>64523825</v>
      </c>
      <c r="B120" s="41" t="s">
        <v>2804</v>
      </c>
      <c r="C120" s="41" t="s">
        <v>2879</v>
      </c>
      <c r="D120" s="41" t="s">
        <v>460</v>
      </c>
      <c r="E120" s="49">
        <v>3986243</v>
      </c>
      <c r="F120" s="49">
        <v>21190</v>
      </c>
      <c r="G120" s="50">
        <v>3965053</v>
      </c>
      <c r="H120" s="42" t="s">
        <v>2615</v>
      </c>
      <c r="I120" s="42" t="s">
        <v>461</v>
      </c>
      <c r="J120" s="43" t="s">
        <v>351</v>
      </c>
      <c r="K120" s="40">
        <v>1069715619</v>
      </c>
      <c r="L120" s="41" t="s">
        <v>943</v>
      </c>
      <c r="M120" s="41" t="s">
        <v>316</v>
      </c>
      <c r="N120" s="41" t="s">
        <v>317</v>
      </c>
      <c r="O120" s="41" t="s">
        <v>944</v>
      </c>
      <c r="P120" s="41" t="s">
        <v>319</v>
      </c>
      <c r="Q120" s="40">
        <v>890903938</v>
      </c>
      <c r="R120" s="41" t="s">
        <v>342</v>
      </c>
      <c r="S120" s="40">
        <v>923245</v>
      </c>
      <c r="T120" s="41" t="s">
        <v>180</v>
      </c>
      <c r="U120" s="41" t="s">
        <v>29</v>
      </c>
      <c r="V120" s="41" t="s">
        <v>30</v>
      </c>
      <c r="W120" s="42" t="s">
        <v>31</v>
      </c>
      <c r="X120" s="42" t="s">
        <v>32</v>
      </c>
      <c r="Y120" s="42" t="s">
        <v>33</v>
      </c>
      <c r="Z120" s="42" t="s">
        <v>2816</v>
      </c>
      <c r="AA120" s="42" t="s">
        <v>34</v>
      </c>
      <c r="AB120" s="42" t="s">
        <v>34</v>
      </c>
      <c r="AC120" s="42" t="s">
        <v>34</v>
      </c>
      <c r="AD120" s="42" t="s">
        <v>462</v>
      </c>
      <c r="AE120" s="42"/>
      <c r="AF120" s="42"/>
      <c r="AG120" s="42" t="s">
        <v>463</v>
      </c>
      <c r="AH120" s="42"/>
      <c r="AI120" s="44"/>
      <c r="AJ120" s="42"/>
      <c r="AK120" s="44"/>
      <c r="AL120" s="42"/>
      <c r="AM120" s="52">
        <v>3825</v>
      </c>
      <c r="AN120" s="52">
        <v>3825</v>
      </c>
      <c r="AO120" s="52">
        <v>9225</v>
      </c>
      <c r="AP120" s="52">
        <v>0</v>
      </c>
      <c r="AQ120" s="42"/>
      <c r="AR120" s="52">
        <v>12325</v>
      </c>
      <c r="AS120" s="52">
        <v>64523825</v>
      </c>
      <c r="AT120" s="52">
        <v>0</v>
      </c>
      <c r="AU120" s="41" t="s">
        <v>786</v>
      </c>
      <c r="AV120" s="41" t="s">
        <v>356</v>
      </c>
      <c r="AW120" s="41" t="s">
        <v>946</v>
      </c>
      <c r="AX120" s="41" t="s">
        <v>748</v>
      </c>
    </row>
    <row r="121" spans="1:50" x14ac:dyDescent="0.2">
      <c r="A121" s="40">
        <v>64523925</v>
      </c>
      <c r="B121" s="41" t="s">
        <v>2804</v>
      </c>
      <c r="C121" s="41" t="s">
        <v>2876</v>
      </c>
      <c r="D121" s="41" t="s">
        <v>460</v>
      </c>
      <c r="E121" s="49">
        <v>3986243</v>
      </c>
      <c r="F121" s="49">
        <v>21190</v>
      </c>
      <c r="G121" s="50">
        <v>3965053</v>
      </c>
      <c r="H121" s="42" t="s">
        <v>2615</v>
      </c>
      <c r="I121" s="42" t="s">
        <v>461</v>
      </c>
      <c r="J121" s="43" t="s">
        <v>351</v>
      </c>
      <c r="K121" s="40">
        <v>13478907</v>
      </c>
      <c r="L121" s="41" t="s">
        <v>948</v>
      </c>
      <c r="M121" s="41" t="s">
        <v>316</v>
      </c>
      <c r="N121" s="41" t="s">
        <v>317</v>
      </c>
      <c r="O121" s="41" t="s">
        <v>949</v>
      </c>
      <c r="P121" s="41" t="s">
        <v>319</v>
      </c>
      <c r="Q121" s="40">
        <v>890903938</v>
      </c>
      <c r="R121" s="41" t="s">
        <v>342</v>
      </c>
      <c r="S121" s="40">
        <v>923245</v>
      </c>
      <c r="T121" s="41" t="s">
        <v>180</v>
      </c>
      <c r="U121" s="41" t="s">
        <v>29</v>
      </c>
      <c r="V121" s="41" t="s">
        <v>30</v>
      </c>
      <c r="W121" s="42" t="s">
        <v>31</v>
      </c>
      <c r="X121" s="42" t="s">
        <v>32</v>
      </c>
      <c r="Y121" s="42" t="s">
        <v>33</v>
      </c>
      <c r="Z121" s="42" t="s">
        <v>2816</v>
      </c>
      <c r="AA121" s="42" t="s">
        <v>34</v>
      </c>
      <c r="AB121" s="42" t="s">
        <v>34</v>
      </c>
      <c r="AC121" s="42" t="s">
        <v>34</v>
      </c>
      <c r="AD121" s="42" t="s">
        <v>462</v>
      </c>
      <c r="AE121" s="42"/>
      <c r="AF121" s="42"/>
      <c r="AG121" s="42" t="s">
        <v>463</v>
      </c>
      <c r="AH121" s="42"/>
      <c r="AI121" s="44"/>
      <c r="AJ121" s="42"/>
      <c r="AK121" s="44"/>
      <c r="AL121" s="42"/>
      <c r="AM121" s="52">
        <v>3825</v>
      </c>
      <c r="AN121" s="52">
        <v>3825</v>
      </c>
      <c r="AO121" s="52">
        <v>9325</v>
      </c>
      <c r="AP121" s="52">
        <v>0</v>
      </c>
      <c r="AQ121" s="42"/>
      <c r="AR121" s="52">
        <v>12425</v>
      </c>
      <c r="AS121" s="52">
        <v>64523925</v>
      </c>
      <c r="AT121" s="52">
        <v>0</v>
      </c>
      <c r="AU121" s="41" t="s">
        <v>786</v>
      </c>
      <c r="AV121" s="41" t="s">
        <v>356</v>
      </c>
      <c r="AW121" s="41" t="s">
        <v>951</v>
      </c>
      <c r="AX121" s="41" t="s">
        <v>748</v>
      </c>
    </row>
    <row r="122" spans="1:50" x14ac:dyDescent="0.2">
      <c r="A122" s="40">
        <v>64524025</v>
      </c>
      <c r="B122" s="41" t="s">
        <v>2804</v>
      </c>
      <c r="C122" s="41" t="s">
        <v>2892</v>
      </c>
      <c r="D122" s="41" t="s">
        <v>460</v>
      </c>
      <c r="E122" s="49">
        <v>3081756</v>
      </c>
      <c r="F122" s="49">
        <v>16056</v>
      </c>
      <c r="G122" s="50">
        <v>3065700</v>
      </c>
      <c r="H122" s="42" t="s">
        <v>2615</v>
      </c>
      <c r="I122" s="42" t="s">
        <v>461</v>
      </c>
      <c r="J122" s="43" t="s">
        <v>351</v>
      </c>
      <c r="K122" s="40">
        <v>31497288</v>
      </c>
      <c r="L122" s="41" t="s">
        <v>953</v>
      </c>
      <c r="M122" s="41" t="s">
        <v>316</v>
      </c>
      <c r="N122" s="41" t="s">
        <v>317</v>
      </c>
      <c r="O122" s="41" t="s">
        <v>954</v>
      </c>
      <c r="P122" s="41" t="s">
        <v>319</v>
      </c>
      <c r="Q122" s="40">
        <v>860007335</v>
      </c>
      <c r="R122" s="41" t="s">
        <v>381</v>
      </c>
      <c r="S122" s="40">
        <v>923245</v>
      </c>
      <c r="T122" s="41" t="s">
        <v>180</v>
      </c>
      <c r="U122" s="41" t="s">
        <v>29</v>
      </c>
      <c r="V122" s="41" t="s">
        <v>30</v>
      </c>
      <c r="W122" s="42" t="s">
        <v>31</v>
      </c>
      <c r="X122" s="42" t="s">
        <v>32</v>
      </c>
      <c r="Y122" s="42" t="s">
        <v>33</v>
      </c>
      <c r="Z122" s="42" t="s">
        <v>2893</v>
      </c>
      <c r="AA122" s="42" t="s">
        <v>34</v>
      </c>
      <c r="AB122" s="42" t="s">
        <v>34</v>
      </c>
      <c r="AC122" s="42" t="s">
        <v>34</v>
      </c>
      <c r="AD122" s="42" t="s">
        <v>462</v>
      </c>
      <c r="AE122" s="42"/>
      <c r="AF122" s="42"/>
      <c r="AG122" s="42" t="s">
        <v>463</v>
      </c>
      <c r="AH122" s="42"/>
      <c r="AI122" s="44"/>
      <c r="AJ122" s="42"/>
      <c r="AK122" s="44"/>
      <c r="AL122" s="42"/>
      <c r="AM122" s="52">
        <v>3825</v>
      </c>
      <c r="AN122" s="52">
        <v>3825</v>
      </c>
      <c r="AO122" s="52">
        <v>9425</v>
      </c>
      <c r="AP122" s="52">
        <v>0</v>
      </c>
      <c r="AQ122" s="42"/>
      <c r="AR122" s="52">
        <v>12525</v>
      </c>
      <c r="AS122" s="52">
        <v>64524025</v>
      </c>
      <c r="AT122" s="52">
        <v>0</v>
      </c>
      <c r="AU122" s="41" t="s">
        <v>786</v>
      </c>
      <c r="AV122" s="41" t="s">
        <v>356</v>
      </c>
      <c r="AW122" s="41" t="s">
        <v>956</v>
      </c>
      <c r="AX122" s="41" t="s">
        <v>748</v>
      </c>
    </row>
    <row r="123" spans="1:50" x14ac:dyDescent="0.2">
      <c r="A123" s="40">
        <v>64524125</v>
      </c>
      <c r="B123" s="41" t="s">
        <v>2804</v>
      </c>
      <c r="C123" s="41" t="s">
        <v>2895</v>
      </c>
      <c r="D123" s="41" t="s">
        <v>460</v>
      </c>
      <c r="E123" s="49">
        <v>3986243</v>
      </c>
      <c r="F123" s="49">
        <v>21190</v>
      </c>
      <c r="G123" s="50">
        <v>3965053</v>
      </c>
      <c r="H123" s="42" t="s">
        <v>2615</v>
      </c>
      <c r="I123" s="42" t="s">
        <v>461</v>
      </c>
      <c r="J123" s="43" t="s">
        <v>351</v>
      </c>
      <c r="K123" s="40">
        <v>79806253</v>
      </c>
      <c r="L123" s="41" t="s">
        <v>958</v>
      </c>
      <c r="M123" s="41" t="s">
        <v>316</v>
      </c>
      <c r="N123" s="41" t="s">
        <v>317</v>
      </c>
      <c r="O123" s="41" t="s">
        <v>959</v>
      </c>
      <c r="P123" s="41" t="s">
        <v>319</v>
      </c>
      <c r="Q123" s="40">
        <v>860034594</v>
      </c>
      <c r="R123" s="41" t="s">
        <v>374</v>
      </c>
      <c r="S123" s="40">
        <v>923245</v>
      </c>
      <c r="T123" s="41" t="s">
        <v>180</v>
      </c>
      <c r="U123" s="41" t="s">
        <v>29</v>
      </c>
      <c r="V123" s="41" t="s">
        <v>30</v>
      </c>
      <c r="W123" s="42" t="s">
        <v>31</v>
      </c>
      <c r="X123" s="42" t="s">
        <v>32</v>
      </c>
      <c r="Y123" s="42" t="s">
        <v>33</v>
      </c>
      <c r="Z123" s="42" t="s">
        <v>2816</v>
      </c>
      <c r="AA123" s="42" t="s">
        <v>34</v>
      </c>
      <c r="AB123" s="42" t="s">
        <v>34</v>
      </c>
      <c r="AC123" s="42" t="s">
        <v>34</v>
      </c>
      <c r="AD123" s="42" t="s">
        <v>462</v>
      </c>
      <c r="AE123" s="42"/>
      <c r="AF123" s="42"/>
      <c r="AG123" s="42" t="s">
        <v>463</v>
      </c>
      <c r="AH123" s="42"/>
      <c r="AI123" s="44"/>
      <c r="AJ123" s="42"/>
      <c r="AK123" s="44"/>
      <c r="AL123" s="42"/>
      <c r="AM123" s="52">
        <v>3825</v>
      </c>
      <c r="AN123" s="52">
        <v>3825</v>
      </c>
      <c r="AO123" s="52">
        <v>9525</v>
      </c>
      <c r="AP123" s="52">
        <v>0</v>
      </c>
      <c r="AQ123" s="42"/>
      <c r="AR123" s="52">
        <v>12625</v>
      </c>
      <c r="AS123" s="52">
        <v>64524125</v>
      </c>
      <c r="AT123" s="52">
        <v>0</v>
      </c>
      <c r="AU123" s="41" t="s">
        <v>786</v>
      </c>
      <c r="AV123" s="41" t="s">
        <v>356</v>
      </c>
      <c r="AW123" s="41" t="s">
        <v>961</v>
      </c>
      <c r="AX123" s="41" t="s">
        <v>748</v>
      </c>
    </row>
    <row r="124" spans="1:50" x14ac:dyDescent="0.2">
      <c r="A124" s="40">
        <v>64524225</v>
      </c>
      <c r="B124" s="41" t="s">
        <v>2804</v>
      </c>
      <c r="C124" s="41" t="s">
        <v>2864</v>
      </c>
      <c r="D124" s="41" t="s">
        <v>460</v>
      </c>
      <c r="E124" s="49">
        <v>3986243</v>
      </c>
      <c r="F124" s="49">
        <v>21190</v>
      </c>
      <c r="G124" s="50">
        <v>3965053</v>
      </c>
      <c r="H124" s="42" t="s">
        <v>2615</v>
      </c>
      <c r="I124" s="42" t="s">
        <v>461</v>
      </c>
      <c r="J124" s="43" t="s">
        <v>351</v>
      </c>
      <c r="K124" s="40">
        <v>39674828</v>
      </c>
      <c r="L124" s="41" t="s">
        <v>963</v>
      </c>
      <c r="M124" s="41" t="s">
        <v>316</v>
      </c>
      <c r="N124" s="41" t="s">
        <v>317</v>
      </c>
      <c r="O124" s="41" t="s">
        <v>964</v>
      </c>
      <c r="P124" s="41" t="s">
        <v>319</v>
      </c>
      <c r="Q124" s="40">
        <v>860002964</v>
      </c>
      <c r="R124" s="41" t="s">
        <v>419</v>
      </c>
      <c r="S124" s="40">
        <v>923245</v>
      </c>
      <c r="T124" s="41" t="s">
        <v>180</v>
      </c>
      <c r="U124" s="41" t="s">
        <v>29</v>
      </c>
      <c r="V124" s="41" t="s">
        <v>30</v>
      </c>
      <c r="W124" s="42" t="s">
        <v>31</v>
      </c>
      <c r="X124" s="42" t="s">
        <v>32</v>
      </c>
      <c r="Y124" s="42" t="s">
        <v>33</v>
      </c>
      <c r="Z124" s="42" t="s">
        <v>2816</v>
      </c>
      <c r="AA124" s="42" t="s">
        <v>34</v>
      </c>
      <c r="AB124" s="42" t="s">
        <v>34</v>
      </c>
      <c r="AC124" s="42" t="s">
        <v>34</v>
      </c>
      <c r="AD124" s="42" t="s">
        <v>462</v>
      </c>
      <c r="AE124" s="42"/>
      <c r="AF124" s="42"/>
      <c r="AG124" s="42" t="s">
        <v>463</v>
      </c>
      <c r="AH124" s="42"/>
      <c r="AI124" s="44"/>
      <c r="AJ124" s="42"/>
      <c r="AK124" s="44"/>
      <c r="AL124" s="42"/>
      <c r="AM124" s="52">
        <v>3825</v>
      </c>
      <c r="AN124" s="52">
        <v>3825</v>
      </c>
      <c r="AO124" s="52">
        <v>9625</v>
      </c>
      <c r="AP124" s="52">
        <v>0</v>
      </c>
      <c r="AQ124" s="42"/>
      <c r="AR124" s="52">
        <v>12725</v>
      </c>
      <c r="AS124" s="52">
        <v>64524225</v>
      </c>
      <c r="AT124" s="52">
        <v>0</v>
      </c>
      <c r="AU124" s="41" t="s">
        <v>786</v>
      </c>
      <c r="AV124" s="41" t="s">
        <v>356</v>
      </c>
      <c r="AW124" s="41" t="s">
        <v>966</v>
      </c>
      <c r="AX124" s="41" t="s">
        <v>748</v>
      </c>
    </row>
    <row r="125" spans="1:50" x14ac:dyDescent="0.2">
      <c r="A125" s="40">
        <v>64524325</v>
      </c>
      <c r="B125" s="41" t="s">
        <v>2804</v>
      </c>
      <c r="C125" s="41" t="s">
        <v>2898</v>
      </c>
      <c r="D125" s="41" t="s">
        <v>460</v>
      </c>
      <c r="E125" s="49">
        <v>3986243</v>
      </c>
      <c r="F125" s="49">
        <v>21190</v>
      </c>
      <c r="G125" s="50">
        <v>3965053</v>
      </c>
      <c r="H125" s="42" t="s">
        <v>2615</v>
      </c>
      <c r="I125" s="42" t="s">
        <v>461</v>
      </c>
      <c r="J125" s="43" t="s">
        <v>351</v>
      </c>
      <c r="K125" s="40">
        <v>81740592</v>
      </c>
      <c r="L125" s="41" t="s">
        <v>968</v>
      </c>
      <c r="M125" s="41" t="s">
        <v>316</v>
      </c>
      <c r="N125" s="41" t="s">
        <v>317</v>
      </c>
      <c r="O125" s="41" t="s">
        <v>969</v>
      </c>
      <c r="P125" s="41" t="s">
        <v>319</v>
      </c>
      <c r="Q125" s="40">
        <v>860003020</v>
      </c>
      <c r="R125" s="41" t="s">
        <v>393</v>
      </c>
      <c r="S125" s="40">
        <v>923245</v>
      </c>
      <c r="T125" s="41" t="s">
        <v>180</v>
      </c>
      <c r="U125" s="41" t="s">
        <v>29</v>
      </c>
      <c r="V125" s="41" t="s">
        <v>30</v>
      </c>
      <c r="W125" s="42" t="s">
        <v>31</v>
      </c>
      <c r="X125" s="42" t="s">
        <v>32</v>
      </c>
      <c r="Y125" s="42" t="s">
        <v>33</v>
      </c>
      <c r="Z125" s="42" t="s">
        <v>2816</v>
      </c>
      <c r="AA125" s="42" t="s">
        <v>34</v>
      </c>
      <c r="AB125" s="42" t="s">
        <v>34</v>
      </c>
      <c r="AC125" s="42" t="s">
        <v>34</v>
      </c>
      <c r="AD125" s="42" t="s">
        <v>462</v>
      </c>
      <c r="AE125" s="42"/>
      <c r="AF125" s="42"/>
      <c r="AG125" s="42" t="s">
        <v>463</v>
      </c>
      <c r="AH125" s="42"/>
      <c r="AI125" s="44"/>
      <c r="AJ125" s="42"/>
      <c r="AK125" s="44"/>
      <c r="AL125" s="42"/>
      <c r="AM125" s="52">
        <v>3825</v>
      </c>
      <c r="AN125" s="52">
        <v>3825</v>
      </c>
      <c r="AO125" s="52">
        <v>9725</v>
      </c>
      <c r="AP125" s="52">
        <v>0</v>
      </c>
      <c r="AQ125" s="42"/>
      <c r="AR125" s="52">
        <v>12825</v>
      </c>
      <c r="AS125" s="52">
        <v>64524325</v>
      </c>
      <c r="AT125" s="52">
        <v>0</v>
      </c>
      <c r="AU125" s="41" t="s">
        <v>786</v>
      </c>
      <c r="AV125" s="41" t="s">
        <v>356</v>
      </c>
      <c r="AW125" s="41" t="s">
        <v>971</v>
      </c>
      <c r="AX125" s="41" t="s">
        <v>748</v>
      </c>
    </row>
    <row r="126" spans="1:50" x14ac:dyDescent="0.2">
      <c r="A126" s="40">
        <v>64524425</v>
      </c>
      <c r="B126" s="41" t="s">
        <v>2804</v>
      </c>
      <c r="C126" s="41" t="s">
        <v>2899</v>
      </c>
      <c r="D126" s="41" t="s">
        <v>460</v>
      </c>
      <c r="E126" s="49">
        <v>6180000</v>
      </c>
      <c r="F126" s="49">
        <v>32852</v>
      </c>
      <c r="G126" s="50">
        <v>6147148</v>
      </c>
      <c r="H126" s="42" t="s">
        <v>2615</v>
      </c>
      <c r="I126" s="42" t="s">
        <v>461</v>
      </c>
      <c r="J126" s="43" t="s">
        <v>351</v>
      </c>
      <c r="K126" s="40">
        <v>1072428066</v>
      </c>
      <c r="L126" s="41" t="s">
        <v>352</v>
      </c>
      <c r="M126" s="41" t="s">
        <v>316</v>
      </c>
      <c r="N126" s="41" t="s">
        <v>317</v>
      </c>
      <c r="O126" s="41" t="s">
        <v>353</v>
      </c>
      <c r="P126" s="41" t="s">
        <v>319</v>
      </c>
      <c r="Q126" s="40">
        <v>860034313</v>
      </c>
      <c r="R126" s="41" t="s">
        <v>355</v>
      </c>
      <c r="S126" s="40">
        <v>923210</v>
      </c>
      <c r="T126" s="41" t="s">
        <v>56</v>
      </c>
      <c r="U126" s="41" t="s">
        <v>29</v>
      </c>
      <c r="V126" s="41" t="s">
        <v>30</v>
      </c>
      <c r="W126" s="42" t="s">
        <v>31</v>
      </c>
      <c r="X126" s="42" t="s">
        <v>32</v>
      </c>
      <c r="Y126" s="42" t="s">
        <v>33</v>
      </c>
      <c r="Z126" s="42" t="s">
        <v>2900</v>
      </c>
      <c r="AA126" s="42" t="s">
        <v>34</v>
      </c>
      <c r="AB126" s="42" t="s">
        <v>34</v>
      </c>
      <c r="AC126" s="42" t="s">
        <v>34</v>
      </c>
      <c r="AD126" s="42" t="s">
        <v>462</v>
      </c>
      <c r="AE126" s="42"/>
      <c r="AF126" s="42"/>
      <c r="AG126" s="42" t="s">
        <v>463</v>
      </c>
      <c r="AH126" s="42"/>
      <c r="AI126" s="44"/>
      <c r="AJ126" s="42"/>
      <c r="AK126" s="44"/>
      <c r="AL126" s="42"/>
      <c r="AM126" s="52">
        <v>1925</v>
      </c>
      <c r="AN126" s="52">
        <v>1925</v>
      </c>
      <c r="AO126" s="52">
        <v>625</v>
      </c>
      <c r="AP126" s="52">
        <v>0</v>
      </c>
      <c r="AQ126" s="42"/>
      <c r="AR126" s="52">
        <v>12925</v>
      </c>
      <c r="AS126" s="52">
        <v>64524425</v>
      </c>
      <c r="AT126" s="52">
        <v>0</v>
      </c>
      <c r="AU126" s="41" t="s">
        <v>349</v>
      </c>
      <c r="AV126" s="41" t="s">
        <v>356</v>
      </c>
      <c r="AW126" s="41" t="s">
        <v>357</v>
      </c>
      <c r="AX126" s="41" t="s">
        <v>358</v>
      </c>
    </row>
    <row r="127" spans="1:50" x14ac:dyDescent="0.2">
      <c r="A127" s="40">
        <v>64524525</v>
      </c>
      <c r="B127" s="41" t="s">
        <v>2804</v>
      </c>
      <c r="C127" s="41" t="s">
        <v>2901</v>
      </c>
      <c r="D127" s="41" t="s">
        <v>460</v>
      </c>
      <c r="E127" s="49">
        <v>2369000</v>
      </c>
      <c r="F127" s="49">
        <v>11779</v>
      </c>
      <c r="G127" s="50">
        <v>2357221</v>
      </c>
      <c r="H127" s="42" t="s">
        <v>2615</v>
      </c>
      <c r="I127" s="42" t="s">
        <v>461</v>
      </c>
      <c r="J127" s="43" t="s">
        <v>351</v>
      </c>
      <c r="K127" s="40">
        <v>1023367986</v>
      </c>
      <c r="L127" s="41" t="s">
        <v>360</v>
      </c>
      <c r="M127" s="41" t="s">
        <v>316</v>
      </c>
      <c r="N127" s="41" t="s">
        <v>317</v>
      </c>
      <c r="O127" s="41" t="s">
        <v>361</v>
      </c>
      <c r="P127" s="41" t="s">
        <v>319</v>
      </c>
      <c r="Q127" s="40">
        <v>860034313</v>
      </c>
      <c r="R127" s="41" t="s">
        <v>355</v>
      </c>
      <c r="S127" s="40">
        <v>923210</v>
      </c>
      <c r="T127" s="41" t="s">
        <v>56</v>
      </c>
      <c r="U127" s="41" t="s">
        <v>29</v>
      </c>
      <c r="V127" s="41" t="s">
        <v>30</v>
      </c>
      <c r="W127" s="42" t="s">
        <v>31</v>
      </c>
      <c r="X127" s="42" t="s">
        <v>32</v>
      </c>
      <c r="Y127" s="42" t="s">
        <v>33</v>
      </c>
      <c r="Z127" s="42" t="s">
        <v>2902</v>
      </c>
      <c r="AA127" s="42" t="s">
        <v>34</v>
      </c>
      <c r="AB127" s="42" t="s">
        <v>34</v>
      </c>
      <c r="AC127" s="42" t="s">
        <v>34</v>
      </c>
      <c r="AD127" s="42" t="s">
        <v>462</v>
      </c>
      <c r="AE127" s="42"/>
      <c r="AF127" s="42"/>
      <c r="AG127" s="42" t="s">
        <v>463</v>
      </c>
      <c r="AH127" s="42"/>
      <c r="AI127" s="44"/>
      <c r="AJ127" s="42"/>
      <c r="AK127" s="44"/>
      <c r="AL127" s="42"/>
      <c r="AM127" s="52">
        <v>1925</v>
      </c>
      <c r="AN127" s="52">
        <v>1925</v>
      </c>
      <c r="AO127" s="52">
        <v>725</v>
      </c>
      <c r="AP127" s="52">
        <v>0</v>
      </c>
      <c r="AQ127" s="42"/>
      <c r="AR127" s="52">
        <v>13025</v>
      </c>
      <c r="AS127" s="52">
        <v>64524525</v>
      </c>
      <c r="AT127" s="52">
        <v>0</v>
      </c>
      <c r="AU127" s="41" t="s">
        <v>349</v>
      </c>
      <c r="AV127" s="41" t="s">
        <v>362</v>
      </c>
      <c r="AW127" s="41" t="s">
        <v>363</v>
      </c>
      <c r="AX127" s="41" t="s">
        <v>364</v>
      </c>
    </row>
    <row r="128" spans="1:50" x14ac:dyDescent="0.2">
      <c r="A128" s="40">
        <v>64524625</v>
      </c>
      <c r="B128" s="41" t="s">
        <v>2804</v>
      </c>
      <c r="C128" s="41" t="s">
        <v>2903</v>
      </c>
      <c r="D128" s="41" t="s">
        <v>460</v>
      </c>
      <c r="E128" s="49">
        <v>5033600</v>
      </c>
      <c r="F128" s="49">
        <v>26758</v>
      </c>
      <c r="G128" s="50">
        <v>5006842</v>
      </c>
      <c r="H128" s="42" t="s">
        <v>2615</v>
      </c>
      <c r="I128" s="42" t="s">
        <v>461</v>
      </c>
      <c r="J128" s="43" t="s">
        <v>351</v>
      </c>
      <c r="K128" s="40">
        <v>1070592669</v>
      </c>
      <c r="L128" s="41" t="s">
        <v>366</v>
      </c>
      <c r="M128" s="41" t="s">
        <v>316</v>
      </c>
      <c r="N128" s="41" t="s">
        <v>317</v>
      </c>
      <c r="O128" s="41" t="s">
        <v>367</v>
      </c>
      <c r="P128" s="41" t="s">
        <v>319</v>
      </c>
      <c r="Q128" s="40">
        <v>890903938</v>
      </c>
      <c r="R128" s="41" t="s">
        <v>342</v>
      </c>
      <c r="S128" s="40">
        <v>923224</v>
      </c>
      <c r="T128" s="41" t="s">
        <v>239</v>
      </c>
      <c r="U128" s="41" t="s">
        <v>240</v>
      </c>
      <c r="V128" s="41" t="s">
        <v>241</v>
      </c>
      <c r="W128" s="42" t="s">
        <v>47</v>
      </c>
      <c r="X128" s="42" t="s">
        <v>76</v>
      </c>
      <c r="Y128" s="42" t="s">
        <v>33</v>
      </c>
      <c r="Z128" s="42" t="s">
        <v>2904</v>
      </c>
      <c r="AA128" s="42" t="s">
        <v>34</v>
      </c>
      <c r="AB128" s="42" t="s">
        <v>34</v>
      </c>
      <c r="AC128" s="42" t="s">
        <v>34</v>
      </c>
      <c r="AD128" s="42" t="s">
        <v>462</v>
      </c>
      <c r="AE128" s="42"/>
      <c r="AF128" s="42"/>
      <c r="AG128" s="42" t="s">
        <v>463</v>
      </c>
      <c r="AH128" s="42"/>
      <c r="AI128" s="44"/>
      <c r="AJ128" s="42"/>
      <c r="AK128" s="44"/>
      <c r="AL128" s="42"/>
      <c r="AM128" s="52">
        <v>5425</v>
      </c>
      <c r="AN128" s="52">
        <v>5425</v>
      </c>
      <c r="AO128" s="52">
        <v>825</v>
      </c>
      <c r="AP128" s="52">
        <v>0</v>
      </c>
      <c r="AQ128" s="42"/>
      <c r="AR128" s="52">
        <v>13125</v>
      </c>
      <c r="AS128" s="52">
        <v>64524625</v>
      </c>
      <c r="AT128" s="52">
        <v>0</v>
      </c>
      <c r="AU128" s="41" t="s">
        <v>349</v>
      </c>
      <c r="AV128" s="41" t="s">
        <v>356</v>
      </c>
      <c r="AW128" s="41" t="s">
        <v>368</v>
      </c>
      <c r="AX128" s="41" t="s">
        <v>369</v>
      </c>
    </row>
    <row r="129" spans="1:50" x14ac:dyDescent="0.2">
      <c r="A129" s="40">
        <v>64524725</v>
      </c>
      <c r="B129" s="41" t="s">
        <v>2804</v>
      </c>
      <c r="C129" s="41" t="s">
        <v>2905</v>
      </c>
      <c r="D129" s="41" t="s">
        <v>460</v>
      </c>
      <c r="E129" s="49">
        <v>4635000</v>
      </c>
      <c r="F129" s="49">
        <v>24639</v>
      </c>
      <c r="G129" s="50">
        <v>4610361</v>
      </c>
      <c r="H129" s="42" t="s">
        <v>2615</v>
      </c>
      <c r="I129" s="42" t="s">
        <v>461</v>
      </c>
      <c r="J129" s="43" t="s">
        <v>351</v>
      </c>
      <c r="K129" s="40">
        <v>1010244141</v>
      </c>
      <c r="L129" s="41" t="s">
        <v>371</v>
      </c>
      <c r="M129" s="41" t="s">
        <v>316</v>
      </c>
      <c r="N129" s="41" t="s">
        <v>317</v>
      </c>
      <c r="O129" s="41" t="s">
        <v>372</v>
      </c>
      <c r="P129" s="41" t="s">
        <v>319</v>
      </c>
      <c r="Q129" s="40">
        <v>860034594</v>
      </c>
      <c r="R129" s="41" t="s">
        <v>374</v>
      </c>
      <c r="S129" s="40">
        <v>923210</v>
      </c>
      <c r="T129" s="41" t="s">
        <v>56</v>
      </c>
      <c r="U129" s="41" t="s">
        <v>29</v>
      </c>
      <c r="V129" s="41" t="s">
        <v>30</v>
      </c>
      <c r="W129" s="42" t="s">
        <v>31</v>
      </c>
      <c r="X129" s="42" t="s">
        <v>32</v>
      </c>
      <c r="Y129" s="42" t="s">
        <v>33</v>
      </c>
      <c r="Z129" s="42" t="s">
        <v>2906</v>
      </c>
      <c r="AA129" s="42" t="s">
        <v>34</v>
      </c>
      <c r="AB129" s="42" t="s">
        <v>34</v>
      </c>
      <c r="AC129" s="42" t="s">
        <v>34</v>
      </c>
      <c r="AD129" s="42" t="s">
        <v>462</v>
      </c>
      <c r="AE129" s="42"/>
      <c r="AF129" s="42"/>
      <c r="AG129" s="42" t="s">
        <v>463</v>
      </c>
      <c r="AH129" s="42"/>
      <c r="AI129" s="44"/>
      <c r="AJ129" s="42"/>
      <c r="AK129" s="44"/>
      <c r="AL129" s="42"/>
      <c r="AM129" s="52">
        <v>1925</v>
      </c>
      <c r="AN129" s="52">
        <v>1925</v>
      </c>
      <c r="AO129" s="52">
        <v>925</v>
      </c>
      <c r="AP129" s="52">
        <v>0</v>
      </c>
      <c r="AQ129" s="42"/>
      <c r="AR129" s="52">
        <v>13225</v>
      </c>
      <c r="AS129" s="52">
        <v>64524725</v>
      </c>
      <c r="AT129" s="52">
        <v>0</v>
      </c>
      <c r="AU129" s="41" t="s">
        <v>349</v>
      </c>
      <c r="AV129" s="41" t="s">
        <v>356</v>
      </c>
      <c r="AW129" s="41" t="s">
        <v>375</v>
      </c>
      <c r="AX129" s="41" t="s">
        <v>376</v>
      </c>
    </row>
    <row r="130" spans="1:50" x14ac:dyDescent="0.2">
      <c r="A130" s="40">
        <v>64524825</v>
      </c>
      <c r="B130" s="41" t="s">
        <v>2804</v>
      </c>
      <c r="C130" s="41" t="s">
        <v>2907</v>
      </c>
      <c r="D130" s="41" t="s">
        <v>460</v>
      </c>
      <c r="E130" s="49">
        <v>4547675</v>
      </c>
      <c r="F130" s="49">
        <v>24175</v>
      </c>
      <c r="G130" s="50">
        <v>4523500</v>
      </c>
      <c r="H130" s="42" t="s">
        <v>2615</v>
      </c>
      <c r="I130" s="42" t="s">
        <v>461</v>
      </c>
      <c r="J130" s="43" t="s">
        <v>351</v>
      </c>
      <c r="K130" s="40">
        <v>1121825496</v>
      </c>
      <c r="L130" s="41" t="s">
        <v>378</v>
      </c>
      <c r="M130" s="41" t="s">
        <v>316</v>
      </c>
      <c r="N130" s="41" t="s">
        <v>317</v>
      </c>
      <c r="O130" s="41" t="s">
        <v>379</v>
      </c>
      <c r="P130" s="41" t="s">
        <v>319</v>
      </c>
      <c r="Q130" s="40">
        <v>860007335</v>
      </c>
      <c r="R130" s="41" t="s">
        <v>381</v>
      </c>
      <c r="S130" s="40">
        <v>923210</v>
      </c>
      <c r="T130" s="41" t="s">
        <v>56</v>
      </c>
      <c r="U130" s="41" t="s">
        <v>29</v>
      </c>
      <c r="V130" s="41" t="s">
        <v>30</v>
      </c>
      <c r="W130" s="42" t="s">
        <v>31</v>
      </c>
      <c r="X130" s="42" t="s">
        <v>32</v>
      </c>
      <c r="Y130" s="42" t="s">
        <v>33</v>
      </c>
      <c r="Z130" s="42" t="s">
        <v>2908</v>
      </c>
      <c r="AA130" s="42" t="s">
        <v>34</v>
      </c>
      <c r="AB130" s="42" t="s">
        <v>34</v>
      </c>
      <c r="AC130" s="42" t="s">
        <v>34</v>
      </c>
      <c r="AD130" s="42" t="s">
        <v>462</v>
      </c>
      <c r="AE130" s="42"/>
      <c r="AF130" s="42"/>
      <c r="AG130" s="42" t="s">
        <v>463</v>
      </c>
      <c r="AH130" s="42"/>
      <c r="AI130" s="44"/>
      <c r="AJ130" s="42"/>
      <c r="AK130" s="44"/>
      <c r="AL130" s="42"/>
      <c r="AM130" s="52">
        <v>1925</v>
      </c>
      <c r="AN130" s="52">
        <v>1925</v>
      </c>
      <c r="AO130" s="52">
        <v>1025</v>
      </c>
      <c r="AP130" s="52">
        <v>0</v>
      </c>
      <c r="AQ130" s="42"/>
      <c r="AR130" s="52">
        <v>13325</v>
      </c>
      <c r="AS130" s="52">
        <v>64524825</v>
      </c>
      <c r="AT130" s="52">
        <v>0</v>
      </c>
      <c r="AU130" s="41" t="s">
        <v>349</v>
      </c>
      <c r="AV130" s="41" t="s">
        <v>356</v>
      </c>
      <c r="AW130" s="41" t="s">
        <v>382</v>
      </c>
      <c r="AX130" s="41" t="s">
        <v>383</v>
      </c>
    </row>
    <row r="131" spans="1:50" x14ac:dyDescent="0.2">
      <c r="A131" s="40">
        <v>64524925</v>
      </c>
      <c r="B131" s="41" t="s">
        <v>2804</v>
      </c>
      <c r="C131" s="41" t="s">
        <v>2909</v>
      </c>
      <c r="D131" s="41" t="s">
        <v>460</v>
      </c>
      <c r="E131" s="49">
        <v>3024111</v>
      </c>
      <c r="F131" s="49">
        <v>15710</v>
      </c>
      <c r="G131" s="50">
        <v>3008401</v>
      </c>
      <c r="H131" s="42" t="s">
        <v>2615</v>
      </c>
      <c r="I131" s="42" t="s">
        <v>461</v>
      </c>
      <c r="J131" s="43" t="s">
        <v>351</v>
      </c>
      <c r="K131" s="40">
        <v>1019101173</v>
      </c>
      <c r="L131" s="41" t="s">
        <v>385</v>
      </c>
      <c r="M131" s="41" t="s">
        <v>316</v>
      </c>
      <c r="N131" s="41" t="s">
        <v>317</v>
      </c>
      <c r="O131" s="41" t="s">
        <v>386</v>
      </c>
      <c r="P131" s="41" t="s">
        <v>319</v>
      </c>
      <c r="Q131" s="40">
        <v>860034313</v>
      </c>
      <c r="R131" s="41" t="s">
        <v>355</v>
      </c>
      <c r="S131" s="40">
        <v>923224</v>
      </c>
      <c r="T131" s="41" t="s">
        <v>239</v>
      </c>
      <c r="U131" s="41" t="s">
        <v>240</v>
      </c>
      <c r="V131" s="41" t="s">
        <v>241</v>
      </c>
      <c r="W131" s="42" t="s">
        <v>47</v>
      </c>
      <c r="X131" s="42" t="s">
        <v>76</v>
      </c>
      <c r="Y131" s="42" t="s">
        <v>33</v>
      </c>
      <c r="Z131" s="42" t="s">
        <v>2910</v>
      </c>
      <c r="AA131" s="42" t="s">
        <v>34</v>
      </c>
      <c r="AB131" s="42" t="s">
        <v>34</v>
      </c>
      <c r="AC131" s="42" t="s">
        <v>34</v>
      </c>
      <c r="AD131" s="42" t="s">
        <v>462</v>
      </c>
      <c r="AE131" s="42"/>
      <c r="AF131" s="42"/>
      <c r="AG131" s="42" t="s">
        <v>463</v>
      </c>
      <c r="AH131" s="42"/>
      <c r="AI131" s="44"/>
      <c r="AJ131" s="42"/>
      <c r="AK131" s="44"/>
      <c r="AL131" s="42"/>
      <c r="AM131" s="52">
        <v>5425</v>
      </c>
      <c r="AN131" s="52">
        <v>5425</v>
      </c>
      <c r="AO131" s="52">
        <v>1125</v>
      </c>
      <c r="AP131" s="52">
        <v>0</v>
      </c>
      <c r="AQ131" s="42"/>
      <c r="AR131" s="52">
        <v>13425</v>
      </c>
      <c r="AS131" s="52">
        <v>64524925</v>
      </c>
      <c r="AT131" s="52">
        <v>0</v>
      </c>
      <c r="AU131" s="41" t="s">
        <v>349</v>
      </c>
      <c r="AV131" s="41" t="s">
        <v>356</v>
      </c>
      <c r="AW131" s="41" t="s">
        <v>387</v>
      </c>
      <c r="AX131" s="41" t="s">
        <v>388</v>
      </c>
    </row>
    <row r="132" spans="1:50" x14ac:dyDescent="0.2">
      <c r="A132" s="40">
        <v>64525025</v>
      </c>
      <c r="B132" s="41" t="s">
        <v>2804</v>
      </c>
      <c r="C132" s="41" t="s">
        <v>2911</v>
      </c>
      <c r="D132" s="41" t="s">
        <v>460</v>
      </c>
      <c r="E132" s="49">
        <v>5300000</v>
      </c>
      <c r="F132" s="49">
        <v>28175</v>
      </c>
      <c r="G132" s="50">
        <v>5271825</v>
      </c>
      <c r="H132" s="42" t="s">
        <v>2615</v>
      </c>
      <c r="I132" s="42" t="s">
        <v>461</v>
      </c>
      <c r="J132" s="43" t="s">
        <v>351</v>
      </c>
      <c r="K132" s="40">
        <v>1012449137</v>
      </c>
      <c r="L132" s="41" t="s">
        <v>390</v>
      </c>
      <c r="M132" s="41" t="s">
        <v>316</v>
      </c>
      <c r="N132" s="41" t="s">
        <v>317</v>
      </c>
      <c r="O132" s="41" t="s">
        <v>391</v>
      </c>
      <c r="P132" s="41" t="s">
        <v>319</v>
      </c>
      <c r="Q132" s="40">
        <v>860003020</v>
      </c>
      <c r="R132" s="41" t="s">
        <v>393</v>
      </c>
      <c r="S132" s="40">
        <v>923290</v>
      </c>
      <c r="T132" s="41" t="s">
        <v>208</v>
      </c>
      <c r="U132" s="41" t="s">
        <v>29</v>
      </c>
      <c r="V132" s="41" t="s">
        <v>30</v>
      </c>
      <c r="W132" s="42" t="s">
        <v>31</v>
      </c>
      <c r="X132" s="42" t="s">
        <v>32</v>
      </c>
      <c r="Y132" s="42" t="s">
        <v>33</v>
      </c>
      <c r="Z132" s="42" t="s">
        <v>2912</v>
      </c>
      <c r="AA132" s="42" t="s">
        <v>34</v>
      </c>
      <c r="AB132" s="42" t="s">
        <v>34</v>
      </c>
      <c r="AC132" s="42" t="s">
        <v>34</v>
      </c>
      <c r="AD132" s="42" t="s">
        <v>462</v>
      </c>
      <c r="AE132" s="42"/>
      <c r="AF132" s="42"/>
      <c r="AG132" s="42" t="s">
        <v>463</v>
      </c>
      <c r="AH132" s="42"/>
      <c r="AI132" s="44"/>
      <c r="AJ132" s="42"/>
      <c r="AK132" s="44"/>
      <c r="AL132" s="42"/>
      <c r="AM132" s="52">
        <v>5025</v>
      </c>
      <c r="AN132" s="52">
        <v>5025</v>
      </c>
      <c r="AO132" s="52">
        <v>1225</v>
      </c>
      <c r="AP132" s="52">
        <v>0</v>
      </c>
      <c r="AQ132" s="42"/>
      <c r="AR132" s="52">
        <v>13525</v>
      </c>
      <c r="AS132" s="52">
        <v>64525025</v>
      </c>
      <c r="AT132" s="52">
        <v>0</v>
      </c>
      <c r="AU132" s="41" t="s">
        <v>349</v>
      </c>
      <c r="AV132" s="41" t="s">
        <v>356</v>
      </c>
      <c r="AW132" s="41" t="s">
        <v>394</v>
      </c>
      <c r="AX132" s="41" t="s">
        <v>395</v>
      </c>
    </row>
    <row r="133" spans="1:50" x14ac:dyDescent="0.2">
      <c r="A133" s="40">
        <v>64525125</v>
      </c>
      <c r="B133" s="41" t="s">
        <v>2804</v>
      </c>
      <c r="C133" s="41" t="s">
        <v>2913</v>
      </c>
      <c r="D133" s="41" t="s">
        <v>460</v>
      </c>
      <c r="E133" s="49">
        <v>5150000</v>
      </c>
      <c r="F133" s="49">
        <v>27377</v>
      </c>
      <c r="G133" s="50">
        <v>5122623</v>
      </c>
      <c r="H133" s="42" t="s">
        <v>2615</v>
      </c>
      <c r="I133" s="42" t="s">
        <v>461</v>
      </c>
      <c r="J133" s="43" t="s">
        <v>351</v>
      </c>
      <c r="K133" s="40">
        <v>40325709</v>
      </c>
      <c r="L133" s="41" t="s">
        <v>397</v>
      </c>
      <c r="M133" s="41" t="s">
        <v>316</v>
      </c>
      <c r="N133" s="41" t="s">
        <v>317</v>
      </c>
      <c r="O133" s="41" t="s">
        <v>398</v>
      </c>
      <c r="P133" s="41" t="s">
        <v>319</v>
      </c>
      <c r="Q133" s="40">
        <v>900047981</v>
      </c>
      <c r="R133" s="41" t="s">
        <v>399</v>
      </c>
      <c r="S133" s="40">
        <v>923227</v>
      </c>
      <c r="T133" s="41" t="s">
        <v>141</v>
      </c>
      <c r="U133" s="41" t="s">
        <v>142</v>
      </c>
      <c r="V133" s="41" t="s">
        <v>143</v>
      </c>
      <c r="W133" s="42" t="s">
        <v>31</v>
      </c>
      <c r="X133" s="42" t="s">
        <v>32</v>
      </c>
      <c r="Y133" s="42" t="s">
        <v>33</v>
      </c>
      <c r="Z133" s="42" t="s">
        <v>2914</v>
      </c>
      <c r="AA133" s="42" t="s">
        <v>34</v>
      </c>
      <c r="AB133" s="42" t="s">
        <v>34</v>
      </c>
      <c r="AC133" s="42" t="s">
        <v>34</v>
      </c>
      <c r="AD133" s="42" t="s">
        <v>462</v>
      </c>
      <c r="AE133" s="42"/>
      <c r="AF133" s="42"/>
      <c r="AG133" s="42" t="s">
        <v>463</v>
      </c>
      <c r="AH133" s="42"/>
      <c r="AI133" s="44"/>
      <c r="AJ133" s="42"/>
      <c r="AK133" s="44"/>
      <c r="AL133" s="42"/>
      <c r="AM133" s="52">
        <v>3225</v>
      </c>
      <c r="AN133" s="52">
        <v>3225</v>
      </c>
      <c r="AO133" s="52">
        <v>1325</v>
      </c>
      <c r="AP133" s="52">
        <v>0</v>
      </c>
      <c r="AQ133" s="42"/>
      <c r="AR133" s="52">
        <v>13625</v>
      </c>
      <c r="AS133" s="52">
        <v>64525125</v>
      </c>
      <c r="AT133" s="52">
        <v>0</v>
      </c>
      <c r="AU133" s="41" t="s">
        <v>349</v>
      </c>
      <c r="AV133" s="41" t="s">
        <v>356</v>
      </c>
      <c r="AW133" s="41" t="s">
        <v>602</v>
      </c>
      <c r="AX133" s="41" t="s">
        <v>401</v>
      </c>
    </row>
    <row r="134" spans="1:50" x14ac:dyDescent="0.2">
      <c r="A134" s="40">
        <v>64525225</v>
      </c>
      <c r="B134" s="41" t="s">
        <v>2804</v>
      </c>
      <c r="C134" s="41" t="s">
        <v>2915</v>
      </c>
      <c r="D134" s="41" t="s">
        <v>460</v>
      </c>
      <c r="E134" s="49">
        <v>5033600</v>
      </c>
      <c r="F134" s="49">
        <v>26758</v>
      </c>
      <c r="G134" s="50">
        <v>5006842</v>
      </c>
      <c r="H134" s="42" t="s">
        <v>2615</v>
      </c>
      <c r="I134" s="42" t="s">
        <v>461</v>
      </c>
      <c r="J134" s="43" t="s">
        <v>351</v>
      </c>
      <c r="K134" s="40">
        <v>53093999</v>
      </c>
      <c r="L134" s="41" t="s">
        <v>403</v>
      </c>
      <c r="M134" s="41" t="s">
        <v>316</v>
      </c>
      <c r="N134" s="41" t="s">
        <v>317</v>
      </c>
      <c r="O134" s="41" t="s">
        <v>404</v>
      </c>
      <c r="P134" s="41" t="s">
        <v>319</v>
      </c>
      <c r="Q134" s="40">
        <v>890903938</v>
      </c>
      <c r="R134" s="41" t="s">
        <v>342</v>
      </c>
      <c r="S134" s="40">
        <v>923224</v>
      </c>
      <c r="T134" s="41" t="s">
        <v>239</v>
      </c>
      <c r="U134" s="41" t="s">
        <v>240</v>
      </c>
      <c r="V134" s="41" t="s">
        <v>241</v>
      </c>
      <c r="W134" s="42" t="s">
        <v>47</v>
      </c>
      <c r="X134" s="42" t="s">
        <v>76</v>
      </c>
      <c r="Y134" s="42" t="s">
        <v>33</v>
      </c>
      <c r="Z134" s="42" t="s">
        <v>2904</v>
      </c>
      <c r="AA134" s="42" t="s">
        <v>34</v>
      </c>
      <c r="AB134" s="42" t="s">
        <v>34</v>
      </c>
      <c r="AC134" s="42" t="s">
        <v>34</v>
      </c>
      <c r="AD134" s="42" t="s">
        <v>462</v>
      </c>
      <c r="AE134" s="42"/>
      <c r="AF134" s="42"/>
      <c r="AG134" s="42" t="s">
        <v>463</v>
      </c>
      <c r="AH134" s="42"/>
      <c r="AI134" s="44"/>
      <c r="AJ134" s="42"/>
      <c r="AK134" s="44"/>
      <c r="AL134" s="42"/>
      <c r="AM134" s="52">
        <v>5425</v>
      </c>
      <c r="AN134" s="52">
        <v>5425</v>
      </c>
      <c r="AO134" s="52">
        <v>1425</v>
      </c>
      <c r="AP134" s="52">
        <v>0</v>
      </c>
      <c r="AQ134" s="42"/>
      <c r="AR134" s="52">
        <v>13725</v>
      </c>
      <c r="AS134" s="52">
        <v>64525225</v>
      </c>
      <c r="AT134" s="52">
        <v>0</v>
      </c>
      <c r="AU134" s="41" t="s">
        <v>349</v>
      </c>
      <c r="AV134" s="41" t="s">
        <v>356</v>
      </c>
      <c r="AW134" s="41" t="s">
        <v>400</v>
      </c>
      <c r="AX134" s="41" t="s">
        <v>405</v>
      </c>
    </row>
    <row r="135" spans="1:50" x14ac:dyDescent="0.2">
      <c r="A135" s="40">
        <v>64525325</v>
      </c>
      <c r="B135" s="41" t="s">
        <v>2804</v>
      </c>
      <c r="C135" s="41" t="s">
        <v>2916</v>
      </c>
      <c r="D135" s="41" t="s">
        <v>460</v>
      </c>
      <c r="E135" s="49">
        <v>3043650</v>
      </c>
      <c r="F135" s="49">
        <v>15827</v>
      </c>
      <c r="G135" s="50">
        <v>3027823</v>
      </c>
      <c r="H135" s="42" t="s">
        <v>2615</v>
      </c>
      <c r="I135" s="42" t="s">
        <v>461</v>
      </c>
      <c r="J135" s="43" t="s">
        <v>351</v>
      </c>
      <c r="K135" s="40">
        <v>1012379960</v>
      </c>
      <c r="L135" s="41" t="s">
        <v>407</v>
      </c>
      <c r="M135" s="41" t="s">
        <v>316</v>
      </c>
      <c r="N135" s="41" t="s">
        <v>317</v>
      </c>
      <c r="O135" s="41" t="s">
        <v>408</v>
      </c>
      <c r="P135" s="41" t="s">
        <v>319</v>
      </c>
      <c r="Q135" s="40">
        <v>860007335</v>
      </c>
      <c r="R135" s="41" t="s">
        <v>381</v>
      </c>
      <c r="S135" s="40">
        <v>923227</v>
      </c>
      <c r="T135" s="41" t="s">
        <v>141</v>
      </c>
      <c r="U135" s="41" t="s">
        <v>142</v>
      </c>
      <c r="V135" s="41" t="s">
        <v>143</v>
      </c>
      <c r="W135" s="42" t="s">
        <v>31</v>
      </c>
      <c r="X135" s="42" t="s">
        <v>32</v>
      </c>
      <c r="Y135" s="42" t="s">
        <v>33</v>
      </c>
      <c r="Z135" s="42" t="s">
        <v>2917</v>
      </c>
      <c r="AA135" s="42" t="s">
        <v>34</v>
      </c>
      <c r="AB135" s="42" t="s">
        <v>34</v>
      </c>
      <c r="AC135" s="42" t="s">
        <v>34</v>
      </c>
      <c r="AD135" s="42" t="s">
        <v>462</v>
      </c>
      <c r="AE135" s="42"/>
      <c r="AF135" s="42"/>
      <c r="AG135" s="42" t="s">
        <v>463</v>
      </c>
      <c r="AH135" s="42"/>
      <c r="AI135" s="44"/>
      <c r="AJ135" s="42"/>
      <c r="AK135" s="44"/>
      <c r="AL135" s="42"/>
      <c r="AM135" s="52">
        <v>3225</v>
      </c>
      <c r="AN135" s="52">
        <v>3225</v>
      </c>
      <c r="AO135" s="52">
        <v>1525</v>
      </c>
      <c r="AP135" s="52">
        <v>0</v>
      </c>
      <c r="AQ135" s="42"/>
      <c r="AR135" s="52">
        <v>13825</v>
      </c>
      <c r="AS135" s="52">
        <v>64525325</v>
      </c>
      <c r="AT135" s="52">
        <v>0</v>
      </c>
      <c r="AU135" s="41" t="s">
        <v>349</v>
      </c>
      <c r="AV135" s="41" t="s">
        <v>362</v>
      </c>
      <c r="AW135" s="41" t="s">
        <v>409</v>
      </c>
      <c r="AX135" s="41" t="s">
        <v>410</v>
      </c>
    </row>
    <row r="136" spans="1:50" x14ac:dyDescent="0.2">
      <c r="A136" s="40">
        <v>64525425</v>
      </c>
      <c r="B136" s="41" t="s">
        <v>2804</v>
      </c>
      <c r="C136" s="41" t="s">
        <v>2918</v>
      </c>
      <c r="D136" s="41" t="s">
        <v>460</v>
      </c>
      <c r="E136" s="49">
        <v>3043650</v>
      </c>
      <c r="F136" s="49">
        <v>15827</v>
      </c>
      <c r="G136" s="50">
        <v>3027823</v>
      </c>
      <c r="H136" s="42" t="s">
        <v>2615</v>
      </c>
      <c r="I136" s="42" t="s">
        <v>461</v>
      </c>
      <c r="J136" s="43" t="s">
        <v>351</v>
      </c>
      <c r="K136" s="40">
        <v>1073697700</v>
      </c>
      <c r="L136" s="41" t="s">
        <v>412</v>
      </c>
      <c r="M136" s="41" t="s">
        <v>316</v>
      </c>
      <c r="N136" s="41" t="s">
        <v>317</v>
      </c>
      <c r="O136" s="41" t="s">
        <v>413</v>
      </c>
      <c r="P136" s="41" t="s">
        <v>319</v>
      </c>
      <c r="Q136" s="40">
        <v>860034313</v>
      </c>
      <c r="R136" s="41" t="s">
        <v>355</v>
      </c>
      <c r="S136" s="40">
        <v>923227</v>
      </c>
      <c r="T136" s="41" t="s">
        <v>141</v>
      </c>
      <c r="U136" s="41" t="s">
        <v>142</v>
      </c>
      <c r="V136" s="41" t="s">
        <v>143</v>
      </c>
      <c r="W136" s="42" t="s">
        <v>31</v>
      </c>
      <c r="X136" s="42" t="s">
        <v>32</v>
      </c>
      <c r="Y136" s="42" t="s">
        <v>33</v>
      </c>
      <c r="Z136" s="42" t="s">
        <v>2917</v>
      </c>
      <c r="AA136" s="42" t="s">
        <v>34</v>
      </c>
      <c r="AB136" s="42" t="s">
        <v>34</v>
      </c>
      <c r="AC136" s="42" t="s">
        <v>34</v>
      </c>
      <c r="AD136" s="42" t="s">
        <v>462</v>
      </c>
      <c r="AE136" s="42"/>
      <c r="AF136" s="42"/>
      <c r="AG136" s="42" t="s">
        <v>463</v>
      </c>
      <c r="AH136" s="42"/>
      <c r="AI136" s="44"/>
      <c r="AJ136" s="42"/>
      <c r="AK136" s="44"/>
      <c r="AL136" s="42"/>
      <c r="AM136" s="52">
        <v>3225</v>
      </c>
      <c r="AN136" s="52">
        <v>3225</v>
      </c>
      <c r="AO136" s="52">
        <v>1625</v>
      </c>
      <c r="AP136" s="52">
        <v>0</v>
      </c>
      <c r="AQ136" s="42"/>
      <c r="AR136" s="52">
        <v>13925</v>
      </c>
      <c r="AS136" s="52">
        <v>64525425</v>
      </c>
      <c r="AT136" s="52">
        <v>0</v>
      </c>
      <c r="AU136" s="41" t="s">
        <v>349</v>
      </c>
      <c r="AV136" s="41" t="s">
        <v>362</v>
      </c>
      <c r="AW136" s="41" t="s">
        <v>414</v>
      </c>
      <c r="AX136" s="41" t="s">
        <v>410</v>
      </c>
    </row>
    <row r="137" spans="1:50" x14ac:dyDescent="0.2">
      <c r="A137" s="40">
        <v>64525525</v>
      </c>
      <c r="B137" s="41" t="s">
        <v>2804</v>
      </c>
      <c r="C137" s="41" t="s">
        <v>2919</v>
      </c>
      <c r="D137" s="41" t="s">
        <v>460</v>
      </c>
      <c r="E137" s="49">
        <v>3043650</v>
      </c>
      <c r="F137" s="49">
        <v>15827</v>
      </c>
      <c r="G137" s="50">
        <v>3027823</v>
      </c>
      <c r="H137" s="42" t="s">
        <v>2615</v>
      </c>
      <c r="I137" s="42" t="s">
        <v>461</v>
      </c>
      <c r="J137" s="43" t="s">
        <v>351</v>
      </c>
      <c r="K137" s="40">
        <v>80030739</v>
      </c>
      <c r="L137" s="41" t="s">
        <v>416</v>
      </c>
      <c r="M137" s="41" t="s">
        <v>316</v>
      </c>
      <c r="N137" s="41" t="s">
        <v>317</v>
      </c>
      <c r="O137" s="41" t="s">
        <v>417</v>
      </c>
      <c r="P137" s="41" t="s">
        <v>319</v>
      </c>
      <c r="Q137" s="40">
        <v>860002964</v>
      </c>
      <c r="R137" s="41" t="s">
        <v>419</v>
      </c>
      <c r="S137" s="40">
        <v>923227</v>
      </c>
      <c r="T137" s="41" t="s">
        <v>141</v>
      </c>
      <c r="U137" s="41" t="s">
        <v>142</v>
      </c>
      <c r="V137" s="41" t="s">
        <v>143</v>
      </c>
      <c r="W137" s="42" t="s">
        <v>31</v>
      </c>
      <c r="X137" s="42" t="s">
        <v>32</v>
      </c>
      <c r="Y137" s="42" t="s">
        <v>33</v>
      </c>
      <c r="Z137" s="42" t="s">
        <v>2917</v>
      </c>
      <c r="AA137" s="42" t="s">
        <v>34</v>
      </c>
      <c r="AB137" s="42" t="s">
        <v>34</v>
      </c>
      <c r="AC137" s="42" t="s">
        <v>34</v>
      </c>
      <c r="AD137" s="42" t="s">
        <v>462</v>
      </c>
      <c r="AE137" s="42"/>
      <c r="AF137" s="42"/>
      <c r="AG137" s="42" t="s">
        <v>463</v>
      </c>
      <c r="AH137" s="42"/>
      <c r="AI137" s="44"/>
      <c r="AJ137" s="42"/>
      <c r="AK137" s="44"/>
      <c r="AL137" s="42"/>
      <c r="AM137" s="52">
        <v>3225</v>
      </c>
      <c r="AN137" s="52">
        <v>3225</v>
      </c>
      <c r="AO137" s="52">
        <v>1725</v>
      </c>
      <c r="AP137" s="52">
        <v>0</v>
      </c>
      <c r="AQ137" s="42"/>
      <c r="AR137" s="52">
        <v>14025</v>
      </c>
      <c r="AS137" s="52">
        <v>64525525</v>
      </c>
      <c r="AT137" s="52">
        <v>0</v>
      </c>
      <c r="AU137" s="41" t="s">
        <v>349</v>
      </c>
      <c r="AV137" s="41" t="s">
        <v>362</v>
      </c>
      <c r="AW137" s="41" t="s">
        <v>420</v>
      </c>
      <c r="AX137" s="41" t="s">
        <v>410</v>
      </c>
    </row>
    <row r="138" spans="1:50" x14ac:dyDescent="0.2">
      <c r="A138" s="40">
        <v>64525625</v>
      </c>
      <c r="B138" s="41" t="s">
        <v>2804</v>
      </c>
      <c r="C138" s="41" t="s">
        <v>2920</v>
      </c>
      <c r="D138" s="41" t="s">
        <v>460</v>
      </c>
      <c r="E138" s="49">
        <v>3180288</v>
      </c>
      <c r="F138" s="49">
        <v>16647</v>
      </c>
      <c r="G138" s="50">
        <v>3163641</v>
      </c>
      <c r="H138" s="42" t="s">
        <v>2615</v>
      </c>
      <c r="I138" s="42" t="s">
        <v>461</v>
      </c>
      <c r="J138" s="43" t="s">
        <v>351</v>
      </c>
      <c r="K138" s="40">
        <v>1024533099</v>
      </c>
      <c r="L138" s="41" t="s">
        <v>423</v>
      </c>
      <c r="M138" s="41" t="s">
        <v>316</v>
      </c>
      <c r="N138" s="41" t="s">
        <v>317</v>
      </c>
      <c r="O138" s="41" t="s">
        <v>424</v>
      </c>
      <c r="P138" s="41" t="s">
        <v>319</v>
      </c>
      <c r="Q138" s="40">
        <v>860002964</v>
      </c>
      <c r="R138" s="41" t="s">
        <v>419</v>
      </c>
      <c r="S138" s="40">
        <v>923210</v>
      </c>
      <c r="T138" s="41" t="s">
        <v>56</v>
      </c>
      <c r="U138" s="41" t="s">
        <v>29</v>
      </c>
      <c r="V138" s="41" t="s">
        <v>30</v>
      </c>
      <c r="W138" s="42" t="s">
        <v>31</v>
      </c>
      <c r="X138" s="42" t="s">
        <v>32</v>
      </c>
      <c r="Y138" s="42" t="s">
        <v>33</v>
      </c>
      <c r="Z138" s="42" t="s">
        <v>2921</v>
      </c>
      <c r="AA138" s="42" t="s">
        <v>34</v>
      </c>
      <c r="AB138" s="42" t="s">
        <v>34</v>
      </c>
      <c r="AC138" s="42" t="s">
        <v>34</v>
      </c>
      <c r="AD138" s="42" t="s">
        <v>462</v>
      </c>
      <c r="AE138" s="42"/>
      <c r="AF138" s="42"/>
      <c r="AG138" s="42" t="s">
        <v>463</v>
      </c>
      <c r="AH138" s="42"/>
      <c r="AI138" s="44"/>
      <c r="AJ138" s="42"/>
      <c r="AK138" s="44"/>
      <c r="AL138" s="42"/>
      <c r="AM138" s="52">
        <v>1925</v>
      </c>
      <c r="AN138" s="52">
        <v>1925</v>
      </c>
      <c r="AO138" s="52">
        <v>1825</v>
      </c>
      <c r="AP138" s="52">
        <v>0</v>
      </c>
      <c r="AQ138" s="42"/>
      <c r="AR138" s="52">
        <v>14125</v>
      </c>
      <c r="AS138" s="52">
        <v>64525625</v>
      </c>
      <c r="AT138" s="52">
        <v>0</v>
      </c>
      <c r="AU138" s="41" t="s">
        <v>421</v>
      </c>
      <c r="AV138" s="41" t="s">
        <v>362</v>
      </c>
      <c r="AW138" s="41" t="s">
        <v>425</v>
      </c>
      <c r="AX138" s="41" t="s">
        <v>426</v>
      </c>
    </row>
    <row r="139" spans="1:50" x14ac:dyDescent="0.2">
      <c r="A139" s="40">
        <v>64541225</v>
      </c>
      <c r="B139" s="41" t="s">
        <v>2804</v>
      </c>
      <c r="C139" s="41" t="s">
        <v>2923</v>
      </c>
      <c r="D139" s="41" t="s">
        <v>460</v>
      </c>
      <c r="E139" s="49">
        <v>2692045</v>
      </c>
      <c r="F139" s="49">
        <v>13717</v>
      </c>
      <c r="G139" s="50">
        <v>2678328</v>
      </c>
      <c r="H139" s="42" t="s">
        <v>2615</v>
      </c>
      <c r="I139" s="42" t="s">
        <v>461</v>
      </c>
      <c r="J139" s="43" t="s">
        <v>351</v>
      </c>
      <c r="K139" s="40">
        <v>1007695451</v>
      </c>
      <c r="L139" s="41" t="s">
        <v>608</v>
      </c>
      <c r="M139" s="41" t="s">
        <v>316</v>
      </c>
      <c r="N139" s="41" t="s">
        <v>317</v>
      </c>
      <c r="O139" s="41" t="s">
        <v>609</v>
      </c>
      <c r="P139" s="41" t="s">
        <v>319</v>
      </c>
      <c r="Q139" s="40">
        <v>860034313</v>
      </c>
      <c r="R139" s="41" t="s">
        <v>355</v>
      </c>
      <c r="S139" s="40">
        <v>923210</v>
      </c>
      <c r="T139" s="41" t="s">
        <v>56</v>
      </c>
      <c r="U139" s="41" t="s">
        <v>29</v>
      </c>
      <c r="V139" s="41" t="s">
        <v>30</v>
      </c>
      <c r="W139" s="42" t="s">
        <v>31</v>
      </c>
      <c r="X139" s="42" t="s">
        <v>32</v>
      </c>
      <c r="Y139" s="42" t="s">
        <v>33</v>
      </c>
      <c r="Z139" s="42" t="s">
        <v>2924</v>
      </c>
      <c r="AA139" s="42" t="s">
        <v>34</v>
      </c>
      <c r="AB139" s="42" t="s">
        <v>34</v>
      </c>
      <c r="AC139" s="42" t="s">
        <v>34</v>
      </c>
      <c r="AD139" s="42" t="s">
        <v>462</v>
      </c>
      <c r="AE139" s="42"/>
      <c r="AF139" s="42"/>
      <c r="AG139" s="42" t="s">
        <v>463</v>
      </c>
      <c r="AH139" s="42"/>
      <c r="AI139" s="44"/>
      <c r="AJ139" s="42"/>
      <c r="AK139" s="44"/>
      <c r="AL139" s="42"/>
      <c r="AM139" s="52">
        <v>1925</v>
      </c>
      <c r="AN139" s="52">
        <v>1925</v>
      </c>
      <c r="AO139" s="52">
        <v>2225</v>
      </c>
      <c r="AP139" s="52">
        <v>0</v>
      </c>
      <c r="AQ139" s="42"/>
      <c r="AR139" s="52">
        <v>14225</v>
      </c>
      <c r="AS139" s="52">
        <v>64541225</v>
      </c>
      <c r="AT139" s="52">
        <v>0</v>
      </c>
      <c r="AU139" s="41" t="s">
        <v>606</v>
      </c>
      <c r="AV139" s="41" t="s">
        <v>362</v>
      </c>
      <c r="AW139" s="41" t="s">
        <v>610</v>
      </c>
      <c r="AX139" s="41" t="s">
        <v>611</v>
      </c>
    </row>
    <row r="140" spans="1:50" x14ac:dyDescent="0.2">
      <c r="A140" s="40">
        <v>64541325</v>
      </c>
      <c r="B140" s="41" t="s">
        <v>2804</v>
      </c>
      <c r="C140" s="41" t="s">
        <v>2926</v>
      </c>
      <c r="D140" s="41" t="s">
        <v>460</v>
      </c>
      <c r="E140" s="49">
        <v>2300000</v>
      </c>
      <c r="F140" s="49">
        <v>11365</v>
      </c>
      <c r="G140" s="50">
        <v>2288635</v>
      </c>
      <c r="H140" s="42" t="s">
        <v>2615</v>
      </c>
      <c r="I140" s="42" t="s">
        <v>461</v>
      </c>
      <c r="J140" s="43" t="s">
        <v>351</v>
      </c>
      <c r="K140" s="40">
        <v>1073672380</v>
      </c>
      <c r="L140" s="41" t="s">
        <v>613</v>
      </c>
      <c r="M140" s="41" t="s">
        <v>316</v>
      </c>
      <c r="N140" s="41" t="s">
        <v>317</v>
      </c>
      <c r="O140" s="41" t="s">
        <v>614</v>
      </c>
      <c r="P140" s="41" t="s">
        <v>319</v>
      </c>
      <c r="Q140" s="40">
        <v>860007335</v>
      </c>
      <c r="R140" s="41" t="s">
        <v>381</v>
      </c>
      <c r="S140" s="40">
        <v>923210</v>
      </c>
      <c r="T140" s="41" t="s">
        <v>56</v>
      </c>
      <c r="U140" s="41" t="s">
        <v>29</v>
      </c>
      <c r="V140" s="41" t="s">
        <v>30</v>
      </c>
      <c r="W140" s="42" t="s">
        <v>31</v>
      </c>
      <c r="X140" s="42" t="s">
        <v>32</v>
      </c>
      <c r="Y140" s="42" t="s">
        <v>33</v>
      </c>
      <c r="Z140" s="42" t="s">
        <v>2927</v>
      </c>
      <c r="AA140" s="42" t="s">
        <v>34</v>
      </c>
      <c r="AB140" s="42" t="s">
        <v>34</v>
      </c>
      <c r="AC140" s="42" t="s">
        <v>34</v>
      </c>
      <c r="AD140" s="42" t="s">
        <v>462</v>
      </c>
      <c r="AE140" s="42"/>
      <c r="AF140" s="42"/>
      <c r="AG140" s="42" t="s">
        <v>463</v>
      </c>
      <c r="AH140" s="42"/>
      <c r="AI140" s="44"/>
      <c r="AJ140" s="42"/>
      <c r="AK140" s="44"/>
      <c r="AL140" s="42"/>
      <c r="AM140" s="52">
        <v>1925</v>
      </c>
      <c r="AN140" s="52">
        <v>1925</v>
      </c>
      <c r="AO140" s="52">
        <v>2325</v>
      </c>
      <c r="AP140" s="52">
        <v>0</v>
      </c>
      <c r="AQ140" s="42"/>
      <c r="AR140" s="52">
        <v>14325</v>
      </c>
      <c r="AS140" s="52">
        <v>64541325</v>
      </c>
      <c r="AT140" s="52">
        <v>0</v>
      </c>
      <c r="AU140" s="41" t="s">
        <v>606</v>
      </c>
      <c r="AV140" s="41" t="s">
        <v>362</v>
      </c>
      <c r="AW140" s="41" t="s">
        <v>615</v>
      </c>
      <c r="AX140" s="41" t="s">
        <v>616</v>
      </c>
    </row>
    <row r="141" spans="1:50" x14ac:dyDescent="0.2">
      <c r="A141" s="40">
        <v>64541425</v>
      </c>
      <c r="B141" s="41" t="s">
        <v>2804</v>
      </c>
      <c r="C141" s="41" t="s">
        <v>2929</v>
      </c>
      <c r="D141" s="41" t="s">
        <v>460</v>
      </c>
      <c r="E141" s="49">
        <v>2692045</v>
      </c>
      <c r="F141" s="49">
        <v>13717</v>
      </c>
      <c r="G141" s="50">
        <v>2678328</v>
      </c>
      <c r="H141" s="42" t="s">
        <v>2615</v>
      </c>
      <c r="I141" s="42" t="s">
        <v>461</v>
      </c>
      <c r="J141" s="43" t="s">
        <v>351</v>
      </c>
      <c r="K141" s="40">
        <v>1030689405</v>
      </c>
      <c r="L141" s="41" t="s">
        <v>618</v>
      </c>
      <c r="M141" s="41" t="s">
        <v>316</v>
      </c>
      <c r="N141" s="41" t="s">
        <v>317</v>
      </c>
      <c r="O141" s="41" t="s">
        <v>619</v>
      </c>
      <c r="P141" s="41" t="s">
        <v>319</v>
      </c>
      <c r="Q141" s="40">
        <v>890903938</v>
      </c>
      <c r="R141" s="41" t="s">
        <v>342</v>
      </c>
      <c r="S141" s="40">
        <v>923210</v>
      </c>
      <c r="T141" s="41" t="s">
        <v>56</v>
      </c>
      <c r="U141" s="41" t="s">
        <v>29</v>
      </c>
      <c r="V141" s="41" t="s">
        <v>30</v>
      </c>
      <c r="W141" s="42" t="s">
        <v>31</v>
      </c>
      <c r="X141" s="42" t="s">
        <v>32</v>
      </c>
      <c r="Y141" s="42" t="s">
        <v>33</v>
      </c>
      <c r="Z141" s="42" t="s">
        <v>2924</v>
      </c>
      <c r="AA141" s="42" t="s">
        <v>34</v>
      </c>
      <c r="AB141" s="42" t="s">
        <v>34</v>
      </c>
      <c r="AC141" s="42" t="s">
        <v>34</v>
      </c>
      <c r="AD141" s="42" t="s">
        <v>462</v>
      </c>
      <c r="AE141" s="42"/>
      <c r="AF141" s="42"/>
      <c r="AG141" s="42" t="s">
        <v>463</v>
      </c>
      <c r="AH141" s="42"/>
      <c r="AI141" s="44"/>
      <c r="AJ141" s="42"/>
      <c r="AK141" s="44"/>
      <c r="AL141" s="42"/>
      <c r="AM141" s="52">
        <v>1925</v>
      </c>
      <c r="AN141" s="52">
        <v>1925</v>
      </c>
      <c r="AO141" s="52">
        <v>2425</v>
      </c>
      <c r="AP141" s="52">
        <v>0</v>
      </c>
      <c r="AQ141" s="42"/>
      <c r="AR141" s="52">
        <v>14425</v>
      </c>
      <c r="AS141" s="52">
        <v>64541425</v>
      </c>
      <c r="AT141" s="52">
        <v>0</v>
      </c>
      <c r="AU141" s="41" t="s">
        <v>606</v>
      </c>
      <c r="AV141" s="41" t="s">
        <v>362</v>
      </c>
      <c r="AW141" s="41" t="s">
        <v>620</v>
      </c>
      <c r="AX141" s="41" t="s">
        <v>621</v>
      </c>
    </row>
    <row r="142" spans="1:50" x14ac:dyDescent="0.2">
      <c r="A142" s="40">
        <v>64541525</v>
      </c>
      <c r="B142" s="41" t="s">
        <v>2804</v>
      </c>
      <c r="C142" s="41" t="s">
        <v>2931</v>
      </c>
      <c r="D142" s="41" t="s">
        <v>460</v>
      </c>
      <c r="E142" s="49">
        <v>2692045</v>
      </c>
      <c r="F142" s="49">
        <v>13717</v>
      </c>
      <c r="G142" s="50">
        <v>2678328</v>
      </c>
      <c r="H142" s="42" t="s">
        <v>2615</v>
      </c>
      <c r="I142" s="42" t="s">
        <v>461</v>
      </c>
      <c r="J142" s="43" t="s">
        <v>351</v>
      </c>
      <c r="K142" s="40">
        <v>1024473687</v>
      </c>
      <c r="L142" s="41" t="s">
        <v>623</v>
      </c>
      <c r="M142" s="41" t="s">
        <v>316</v>
      </c>
      <c r="N142" s="41" t="s">
        <v>317</v>
      </c>
      <c r="O142" s="41" t="s">
        <v>624</v>
      </c>
      <c r="P142" s="41" t="s">
        <v>319</v>
      </c>
      <c r="Q142" s="40">
        <v>890903938</v>
      </c>
      <c r="R142" s="41" t="s">
        <v>342</v>
      </c>
      <c r="S142" s="40">
        <v>923210</v>
      </c>
      <c r="T142" s="41" t="s">
        <v>56</v>
      </c>
      <c r="U142" s="41" t="s">
        <v>29</v>
      </c>
      <c r="V142" s="41" t="s">
        <v>30</v>
      </c>
      <c r="W142" s="42" t="s">
        <v>31</v>
      </c>
      <c r="X142" s="42" t="s">
        <v>32</v>
      </c>
      <c r="Y142" s="42" t="s">
        <v>33</v>
      </c>
      <c r="Z142" s="42" t="s">
        <v>2924</v>
      </c>
      <c r="AA142" s="42" t="s">
        <v>34</v>
      </c>
      <c r="AB142" s="42" t="s">
        <v>34</v>
      </c>
      <c r="AC142" s="42" t="s">
        <v>34</v>
      </c>
      <c r="AD142" s="42" t="s">
        <v>462</v>
      </c>
      <c r="AE142" s="42"/>
      <c r="AF142" s="42"/>
      <c r="AG142" s="42" t="s">
        <v>463</v>
      </c>
      <c r="AH142" s="42"/>
      <c r="AI142" s="44"/>
      <c r="AJ142" s="42"/>
      <c r="AK142" s="44"/>
      <c r="AL142" s="42"/>
      <c r="AM142" s="52">
        <v>1925</v>
      </c>
      <c r="AN142" s="52">
        <v>1925</v>
      </c>
      <c r="AO142" s="52">
        <v>2525</v>
      </c>
      <c r="AP142" s="52">
        <v>0</v>
      </c>
      <c r="AQ142" s="42"/>
      <c r="AR142" s="52">
        <v>14525</v>
      </c>
      <c r="AS142" s="52">
        <v>64541525</v>
      </c>
      <c r="AT142" s="52">
        <v>0</v>
      </c>
      <c r="AU142" s="41" t="s">
        <v>606</v>
      </c>
      <c r="AV142" s="41" t="s">
        <v>362</v>
      </c>
      <c r="AW142" s="41" t="s">
        <v>625</v>
      </c>
      <c r="AX142" s="41" t="s">
        <v>626</v>
      </c>
    </row>
    <row r="143" spans="1:50" x14ac:dyDescent="0.2">
      <c r="A143" s="40">
        <v>64541625</v>
      </c>
      <c r="B143" s="41" t="s">
        <v>2804</v>
      </c>
      <c r="C143" s="41" t="s">
        <v>2933</v>
      </c>
      <c r="D143" s="41" t="s">
        <v>460</v>
      </c>
      <c r="E143" s="49">
        <v>5333238</v>
      </c>
      <c r="F143" s="49">
        <v>28351</v>
      </c>
      <c r="G143" s="50">
        <v>5304887</v>
      </c>
      <c r="H143" s="42" t="s">
        <v>2615</v>
      </c>
      <c r="I143" s="42" t="s">
        <v>461</v>
      </c>
      <c r="J143" s="43" t="s">
        <v>351</v>
      </c>
      <c r="K143" s="40">
        <v>1069745447</v>
      </c>
      <c r="L143" s="41" t="s">
        <v>628</v>
      </c>
      <c r="M143" s="41" t="s">
        <v>316</v>
      </c>
      <c r="N143" s="41" t="s">
        <v>317</v>
      </c>
      <c r="O143" s="41" t="s">
        <v>629</v>
      </c>
      <c r="P143" s="41" t="s">
        <v>319</v>
      </c>
      <c r="Q143" s="40">
        <v>860034313</v>
      </c>
      <c r="R143" s="41" t="s">
        <v>355</v>
      </c>
      <c r="S143" s="40">
        <v>923210</v>
      </c>
      <c r="T143" s="41" t="s">
        <v>56</v>
      </c>
      <c r="U143" s="41" t="s">
        <v>29</v>
      </c>
      <c r="V143" s="41" t="s">
        <v>30</v>
      </c>
      <c r="W143" s="42" t="s">
        <v>31</v>
      </c>
      <c r="X143" s="42" t="s">
        <v>32</v>
      </c>
      <c r="Y143" s="42" t="s">
        <v>33</v>
      </c>
      <c r="Z143" s="42" t="s">
        <v>2934</v>
      </c>
      <c r="AA143" s="42" t="s">
        <v>34</v>
      </c>
      <c r="AB143" s="42" t="s">
        <v>34</v>
      </c>
      <c r="AC143" s="42" t="s">
        <v>34</v>
      </c>
      <c r="AD143" s="42" t="s">
        <v>462</v>
      </c>
      <c r="AE143" s="42"/>
      <c r="AF143" s="42"/>
      <c r="AG143" s="42" t="s">
        <v>463</v>
      </c>
      <c r="AH143" s="42"/>
      <c r="AI143" s="44"/>
      <c r="AJ143" s="42"/>
      <c r="AK143" s="44"/>
      <c r="AL143" s="42"/>
      <c r="AM143" s="52">
        <v>1925</v>
      </c>
      <c r="AN143" s="52">
        <v>1925</v>
      </c>
      <c r="AO143" s="52">
        <v>2625</v>
      </c>
      <c r="AP143" s="52">
        <v>0</v>
      </c>
      <c r="AQ143" s="42"/>
      <c r="AR143" s="52">
        <v>14625</v>
      </c>
      <c r="AS143" s="52">
        <v>64541625</v>
      </c>
      <c r="AT143" s="52">
        <v>0</v>
      </c>
      <c r="AU143" s="41" t="s">
        <v>606</v>
      </c>
      <c r="AV143" s="41" t="s">
        <v>362</v>
      </c>
      <c r="AW143" s="41" t="s">
        <v>630</v>
      </c>
      <c r="AX143" s="41" t="s">
        <v>631</v>
      </c>
    </row>
    <row r="144" spans="1:50" x14ac:dyDescent="0.2">
      <c r="A144" s="40">
        <v>64541725</v>
      </c>
      <c r="B144" s="41" t="s">
        <v>2804</v>
      </c>
      <c r="C144" s="41" t="s">
        <v>2936</v>
      </c>
      <c r="D144" s="41" t="s">
        <v>460</v>
      </c>
      <c r="E144" s="49">
        <v>3219658</v>
      </c>
      <c r="F144" s="49">
        <v>16883</v>
      </c>
      <c r="G144" s="50">
        <v>3202775</v>
      </c>
      <c r="H144" s="42" t="s">
        <v>2615</v>
      </c>
      <c r="I144" s="42" t="s">
        <v>461</v>
      </c>
      <c r="J144" s="43" t="s">
        <v>351</v>
      </c>
      <c r="K144" s="40">
        <v>10261633</v>
      </c>
      <c r="L144" s="41" t="s">
        <v>641</v>
      </c>
      <c r="M144" s="41" t="s">
        <v>316</v>
      </c>
      <c r="N144" s="41" t="s">
        <v>317</v>
      </c>
      <c r="O144" s="41" t="s">
        <v>642</v>
      </c>
      <c r="P144" s="41" t="s">
        <v>319</v>
      </c>
      <c r="Q144" s="40">
        <v>860007335</v>
      </c>
      <c r="R144" s="41" t="s">
        <v>381</v>
      </c>
      <c r="S144" s="40">
        <v>923211</v>
      </c>
      <c r="T144" s="41" t="s">
        <v>69</v>
      </c>
      <c r="U144" s="41" t="s">
        <v>29</v>
      </c>
      <c r="V144" s="41" t="s">
        <v>30</v>
      </c>
      <c r="W144" s="42" t="s">
        <v>31</v>
      </c>
      <c r="X144" s="42" t="s">
        <v>32</v>
      </c>
      <c r="Y144" s="42" t="s">
        <v>33</v>
      </c>
      <c r="Z144" s="42" t="s">
        <v>2937</v>
      </c>
      <c r="AA144" s="42" t="s">
        <v>34</v>
      </c>
      <c r="AB144" s="42" t="s">
        <v>34</v>
      </c>
      <c r="AC144" s="42" t="s">
        <v>34</v>
      </c>
      <c r="AD144" s="42" t="s">
        <v>462</v>
      </c>
      <c r="AE144" s="42"/>
      <c r="AF144" s="42"/>
      <c r="AG144" s="42" t="s">
        <v>463</v>
      </c>
      <c r="AH144" s="42"/>
      <c r="AI144" s="44"/>
      <c r="AJ144" s="42"/>
      <c r="AK144" s="44"/>
      <c r="AL144" s="42"/>
      <c r="AM144" s="52">
        <v>2125</v>
      </c>
      <c r="AN144" s="52">
        <v>2125</v>
      </c>
      <c r="AO144" s="52">
        <v>2825</v>
      </c>
      <c r="AP144" s="52">
        <v>0</v>
      </c>
      <c r="AQ144" s="42"/>
      <c r="AR144" s="52">
        <v>14725</v>
      </c>
      <c r="AS144" s="52">
        <v>64541725</v>
      </c>
      <c r="AT144" s="52">
        <v>0</v>
      </c>
      <c r="AU144" s="41" t="s">
        <v>639</v>
      </c>
      <c r="AV144" s="41" t="s">
        <v>356</v>
      </c>
      <c r="AW144" s="41" t="s">
        <v>643</v>
      </c>
      <c r="AX144" s="41" t="s">
        <v>644</v>
      </c>
    </row>
    <row r="145" spans="1:50" x14ac:dyDescent="0.2">
      <c r="A145" s="40">
        <v>64541825</v>
      </c>
      <c r="B145" s="41" t="s">
        <v>2804</v>
      </c>
      <c r="C145" s="41" t="s">
        <v>2939</v>
      </c>
      <c r="D145" s="41" t="s">
        <v>460</v>
      </c>
      <c r="E145" s="49">
        <v>3219658</v>
      </c>
      <c r="F145" s="49">
        <v>16883</v>
      </c>
      <c r="G145" s="50">
        <v>3202775</v>
      </c>
      <c r="H145" s="42" t="s">
        <v>2615</v>
      </c>
      <c r="I145" s="42" t="s">
        <v>461</v>
      </c>
      <c r="J145" s="43" t="s">
        <v>351</v>
      </c>
      <c r="K145" s="40">
        <v>38254826</v>
      </c>
      <c r="L145" s="41" t="s">
        <v>646</v>
      </c>
      <c r="M145" s="41" t="s">
        <v>316</v>
      </c>
      <c r="N145" s="41" t="s">
        <v>317</v>
      </c>
      <c r="O145" s="41" t="s">
        <v>647</v>
      </c>
      <c r="P145" s="41" t="s">
        <v>319</v>
      </c>
      <c r="Q145" s="40">
        <v>890903938</v>
      </c>
      <c r="R145" s="41" t="s">
        <v>342</v>
      </c>
      <c r="S145" s="40">
        <v>923211</v>
      </c>
      <c r="T145" s="41" t="s">
        <v>69</v>
      </c>
      <c r="U145" s="41" t="s">
        <v>29</v>
      </c>
      <c r="V145" s="41" t="s">
        <v>30</v>
      </c>
      <c r="W145" s="42" t="s">
        <v>31</v>
      </c>
      <c r="X145" s="42" t="s">
        <v>32</v>
      </c>
      <c r="Y145" s="42" t="s">
        <v>33</v>
      </c>
      <c r="Z145" s="42" t="s">
        <v>2937</v>
      </c>
      <c r="AA145" s="42" t="s">
        <v>34</v>
      </c>
      <c r="AB145" s="42" t="s">
        <v>34</v>
      </c>
      <c r="AC145" s="42" t="s">
        <v>34</v>
      </c>
      <c r="AD145" s="42" t="s">
        <v>462</v>
      </c>
      <c r="AE145" s="42"/>
      <c r="AF145" s="42"/>
      <c r="AG145" s="42" t="s">
        <v>463</v>
      </c>
      <c r="AH145" s="42"/>
      <c r="AI145" s="44"/>
      <c r="AJ145" s="42"/>
      <c r="AK145" s="44"/>
      <c r="AL145" s="42"/>
      <c r="AM145" s="52">
        <v>2125</v>
      </c>
      <c r="AN145" s="52">
        <v>2125</v>
      </c>
      <c r="AO145" s="52">
        <v>2925</v>
      </c>
      <c r="AP145" s="52">
        <v>0</v>
      </c>
      <c r="AQ145" s="42"/>
      <c r="AR145" s="52">
        <v>14825</v>
      </c>
      <c r="AS145" s="52">
        <v>64541825</v>
      </c>
      <c r="AT145" s="52">
        <v>0</v>
      </c>
      <c r="AU145" s="41" t="s">
        <v>639</v>
      </c>
      <c r="AV145" s="41" t="s">
        <v>356</v>
      </c>
      <c r="AW145" s="41" t="s">
        <v>648</v>
      </c>
      <c r="AX145" s="41" t="s">
        <v>644</v>
      </c>
    </row>
    <row r="146" spans="1:50" x14ac:dyDescent="0.2">
      <c r="A146" s="40">
        <v>64541925</v>
      </c>
      <c r="B146" s="41" t="s">
        <v>2804</v>
      </c>
      <c r="C146" s="41" t="s">
        <v>2941</v>
      </c>
      <c r="D146" s="41" t="s">
        <v>460</v>
      </c>
      <c r="E146" s="49">
        <v>3219658</v>
      </c>
      <c r="F146" s="49">
        <v>16883</v>
      </c>
      <c r="G146" s="50">
        <v>3202775</v>
      </c>
      <c r="H146" s="42" t="s">
        <v>2615</v>
      </c>
      <c r="I146" s="42" t="s">
        <v>461</v>
      </c>
      <c r="J146" s="43" t="s">
        <v>351</v>
      </c>
      <c r="K146" s="40">
        <v>39545179</v>
      </c>
      <c r="L146" s="41" t="s">
        <v>650</v>
      </c>
      <c r="M146" s="41" t="s">
        <v>316</v>
      </c>
      <c r="N146" s="41" t="s">
        <v>317</v>
      </c>
      <c r="O146" s="41" t="s">
        <v>651</v>
      </c>
      <c r="P146" s="41" t="s">
        <v>319</v>
      </c>
      <c r="Q146" s="40">
        <v>860035827</v>
      </c>
      <c r="R146" s="41" t="s">
        <v>653</v>
      </c>
      <c r="S146" s="40">
        <v>923211</v>
      </c>
      <c r="T146" s="41" t="s">
        <v>69</v>
      </c>
      <c r="U146" s="41" t="s">
        <v>29</v>
      </c>
      <c r="V146" s="41" t="s">
        <v>30</v>
      </c>
      <c r="W146" s="42" t="s">
        <v>31</v>
      </c>
      <c r="X146" s="42" t="s">
        <v>32</v>
      </c>
      <c r="Y146" s="42" t="s">
        <v>33</v>
      </c>
      <c r="Z146" s="42" t="s">
        <v>2937</v>
      </c>
      <c r="AA146" s="42" t="s">
        <v>34</v>
      </c>
      <c r="AB146" s="42" t="s">
        <v>34</v>
      </c>
      <c r="AC146" s="42" t="s">
        <v>34</v>
      </c>
      <c r="AD146" s="42" t="s">
        <v>462</v>
      </c>
      <c r="AE146" s="42"/>
      <c r="AF146" s="42"/>
      <c r="AG146" s="42" t="s">
        <v>463</v>
      </c>
      <c r="AH146" s="42"/>
      <c r="AI146" s="44"/>
      <c r="AJ146" s="42"/>
      <c r="AK146" s="44"/>
      <c r="AL146" s="42"/>
      <c r="AM146" s="52">
        <v>2125</v>
      </c>
      <c r="AN146" s="52">
        <v>2125</v>
      </c>
      <c r="AO146" s="52">
        <v>3025</v>
      </c>
      <c r="AP146" s="52">
        <v>0</v>
      </c>
      <c r="AQ146" s="42"/>
      <c r="AR146" s="52">
        <v>14925</v>
      </c>
      <c r="AS146" s="52">
        <v>64541925</v>
      </c>
      <c r="AT146" s="52">
        <v>0</v>
      </c>
      <c r="AU146" s="41" t="s">
        <v>639</v>
      </c>
      <c r="AV146" s="41" t="s">
        <v>356</v>
      </c>
      <c r="AW146" s="41" t="s">
        <v>654</v>
      </c>
      <c r="AX146" s="41" t="s">
        <v>655</v>
      </c>
    </row>
    <row r="147" spans="1:50" x14ac:dyDescent="0.2">
      <c r="A147" s="40">
        <v>64542025</v>
      </c>
      <c r="B147" s="41" t="s">
        <v>2804</v>
      </c>
      <c r="C147" s="41" t="s">
        <v>2943</v>
      </c>
      <c r="D147" s="41" t="s">
        <v>460</v>
      </c>
      <c r="E147" s="49">
        <v>3219658</v>
      </c>
      <c r="F147" s="49">
        <v>16883</v>
      </c>
      <c r="G147" s="50">
        <v>3202775</v>
      </c>
      <c r="H147" s="42" t="s">
        <v>2615</v>
      </c>
      <c r="I147" s="42" t="s">
        <v>461</v>
      </c>
      <c r="J147" s="43" t="s">
        <v>351</v>
      </c>
      <c r="K147" s="40">
        <v>93127405</v>
      </c>
      <c r="L147" s="41" t="s">
        <v>657</v>
      </c>
      <c r="M147" s="41" t="s">
        <v>316</v>
      </c>
      <c r="N147" s="41" t="s">
        <v>317</v>
      </c>
      <c r="O147" s="41" t="s">
        <v>658</v>
      </c>
      <c r="P147" s="41" t="s">
        <v>319</v>
      </c>
      <c r="Q147" s="40">
        <v>800037800</v>
      </c>
      <c r="R147" s="41" t="s">
        <v>660</v>
      </c>
      <c r="S147" s="40">
        <v>923211</v>
      </c>
      <c r="T147" s="41" t="s">
        <v>69</v>
      </c>
      <c r="U147" s="41" t="s">
        <v>29</v>
      </c>
      <c r="V147" s="41" t="s">
        <v>30</v>
      </c>
      <c r="W147" s="42" t="s">
        <v>31</v>
      </c>
      <c r="X147" s="42" t="s">
        <v>32</v>
      </c>
      <c r="Y147" s="42" t="s">
        <v>33</v>
      </c>
      <c r="Z147" s="42" t="s">
        <v>2937</v>
      </c>
      <c r="AA147" s="42" t="s">
        <v>34</v>
      </c>
      <c r="AB147" s="42" t="s">
        <v>34</v>
      </c>
      <c r="AC147" s="42" t="s">
        <v>34</v>
      </c>
      <c r="AD147" s="42" t="s">
        <v>462</v>
      </c>
      <c r="AE147" s="42"/>
      <c r="AF147" s="42"/>
      <c r="AG147" s="42" t="s">
        <v>463</v>
      </c>
      <c r="AH147" s="42"/>
      <c r="AI147" s="44"/>
      <c r="AJ147" s="42"/>
      <c r="AK147" s="44"/>
      <c r="AL147" s="42"/>
      <c r="AM147" s="52">
        <v>2125</v>
      </c>
      <c r="AN147" s="52">
        <v>2125</v>
      </c>
      <c r="AO147" s="52">
        <v>3125</v>
      </c>
      <c r="AP147" s="52">
        <v>0</v>
      </c>
      <c r="AQ147" s="42"/>
      <c r="AR147" s="52">
        <v>15025</v>
      </c>
      <c r="AS147" s="52">
        <v>64542025</v>
      </c>
      <c r="AT147" s="52">
        <v>0</v>
      </c>
      <c r="AU147" s="41" t="s">
        <v>639</v>
      </c>
      <c r="AV147" s="41" t="s">
        <v>356</v>
      </c>
      <c r="AW147" s="41" t="s">
        <v>661</v>
      </c>
      <c r="AX147" s="41" t="s">
        <v>644</v>
      </c>
    </row>
    <row r="148" spans="1:50" x14ac:dyDescent="0.2">
      <c r="A148" s="40">
        <v>64542125</v>
      </c>
      <c r="B148" s="41" t="s">
        <v>2804</v>
      </c>
      <c r="C148" s="41" t="s">
        <v>2945</v>
      </c>
      <c r="D148" s="41" t="s">
        <v>460</v>
      </c>
      <c r="E148" s="49">
        <v>3219658</v>
      </c>
      <c r="F148" s="49">
        <v>16883</v>
      </c>
      <c r="G148" s="50">
        <v>3202775</v>
      </c>
      <c r="H148" s="42" t="s">
        <v>2615</v>
      </c>
      <c r="I148" s="42" t="s">
        <v>461</v>
      </c>
      <c r="J148" s="43" t="s">
        <v>351</v>
      </c>
      <c r="K148" s="40">
        <v>18224037</v>
      </c>
      <c r="L148" s="41" t="s">
        <v>663</v>
      </c>
      <c r="M148" s="41" t="s">
        <v>316</v>
      </c>
      <c r="N148" s="41" t="s">
        <v>317</v>
      </c>
      <c r="O148" s="41" t="s">
        <v>664</v>
      </c>
      <c r="P148" s="41" t="s">
        <v>319</v>
      </c>
      <c r="Q148" s="40">
        <v>890903938</v>
      </c>
      <c r="R148" s="41" t="s">
        <v>342</v>
      </c>
      <c r="S148" s="40">
        <v>923211</v>
      </c>
      <c r="T148" s="41" t="s">
        <v>69</v>
      </c>
      <c r="U148" s="41" t="s">
        <v>29</v>
      </c>
      <c r="V148" s="41" t="s">
        <v>30</v>
      </c>
      <c r="W148" s="42" t="s">
        <v>31</v>
      </c>
      <c r="X148" s="42" t="s">
        <v>32</v>
      </c>
      <c r="Y148" s="42" t="s">
        <v>33</v>
      </c>
      <c r="Z148" s="42" t="s">
        <v>2937</v>
      </c>
      <c r="AA148" s="42" t="s">
        <v>34</v>
      </c>
      <c r="AB148" s="42" t="s">
        <v>34</v>
      </c>
      <c r="AC148" s="42" t="s">
        <v>34</v>
      </c>
      <c r="AD148" s="42" t="s">
        <v>462</v>
      </c>
      <c r="AE148" s="42"/>
      <c r="AF148" s="42"/>
      <c r="AG148" s="42" t="s">
        <v>463</v>
      </c>
      <c r="AH148" s="42"/>
      <c r="AI148" s="44"/>
      <c r="AJ148" s="42"/>
      <c r="AK148" s="44"/>
      <c r="AL148" s="42"/>
      <c r="AM148" s="52">
        <v>2125</v>
      </c>
      <c r="AN148" s="52">
        <v>2125</v>
      </c>
      <c r="AO148" s="52">
        <v>3225</v>
      </c>
      <c r="AP148" s="52">
        <v>0</v>
      </c>
      <c r="AQ148" s="42"/>
      <c r="AR148" s="52">
        <v>15125</v>
      </c>
      <c r="AS148" s="52">
        <v>64542125</v>
      </c>
      <c r="AT148" s="52">
        <v>0</v>
      </c>
      <c r="AU148" s="41" t="s">
        <v>639</v>
      </c>
      <c r="AV148" s="41" t="s">
        <v>356</v>
      </c>
      <c r="AW148" s="41" t="s">
        <v>665</v>
      </c>
      <c r="AX148" s="41" t="s">
        <v>644</v>
      </c>
    </row>
    <row r="149" spans="1:50" x14ac:dyDescent="0.2">
      <c r="A149" s="40">
        <v>64542225</v>
      </c>
      <c r="B149" s="41" t="s">
        <v>2804</v>
      </c>
      <c r="C149" s="41" t="s">
        <v>2947</v>
      </c>
      <c r="D149" s="41" t="s">
        <v>460</v>
      </c>
      <c r="E149" s="49">
        <v>3219658</v>
      </c>
      <c r="F149" s="49">
        <v>18101</v>
      </c>
      <c r="G149" s="50">
        <v>3201557</v>
      </c>
      <c r="H149" s="42" t="s">
        <v>2615</v>
      </c>
      <c r="I149" s="42" t="s">
        <v>461</v>
      </c>
      <c r="J149" s="43" t="s">
        <v>351</v>
      </c>
      <c r="K149" s="40">
        <v>71310631</v>
      </c>
      <c r="L149" s="41" t="s">
        <v>667</v>
      </c>
      <c r="M149" s="41" t="s">
        <v>316</v>
      </c>
      <c r="N149" s="41" t="s">
        <v>317</v>
      </c>
      <c r="O149" s="41" t="s">
        <v>668</v>
      </c>
      <c r="P149" s="41" t="s">
        <v>319</v>
      </c>
      <c r="Q149" s="40">
        <v>860034313</v>
      </c>
      <c r="R149" s="41" t="s">
        <v>355</v>
      </c>
      <c r="S149" s="40">
        <v>923211</v>
      </c>
      <c r="T149" s="41" t="s">
        <v>69</v>
      </c>
      <c r="U149" s="41" t="s">
        <v>29</v>
      </c>
      <c r="V149" s="41" t="s">
        <v>30</v>
      </c>
      <c r="W149" s="42" t="s">
        <v>31</v>
      </c>
      <c r="X149" s="42" t="s">
        <v>32</v>
      </c>
      <c r="Y149" s="42" t="s">
        <v>33</v>
      </c>
      <c r="Z149" s="42" t="s">
        <v>2937</v>
      </c>
      <c r="AA149" s="42" t="s">
        <v>34</v>
      </c>
      <c r="AB149" s="42" t="s">
        <v>34</v>
      </c>
      <c r="AC149" s="42" t="s">
        <v>34</v>
      </c>
      <c r="AD149" s="42" t="s">
        <v>462</v>
      </c>
      <c r="AE149" s="42"/>
      <c r="AF149" s="42"/>
      <c r="AG149" s="42" t="s">
        <v>463</v>
      </c>
      <c r="AH149" s="42"/>
      <c r="AI149" s="44"/>
      <c r="AJ149" s="42"/>
      <c r="AK149" s="44"/>
      <c r="AL149" s="42"/>
      <c r="AM149" s="52">
        <v>2125</v>
      </c>
      <c r="AN149" s="52">
        <v>2125</v>
      </c>
      <c r="AO149" s="52">
        <v>3325</v>
      </c>
      <c r="AP149" s="52">
        <v>0</v>
      </c>
      <c r="AQ149" s="42"/>
      <c r="AR149" s="52">
        <v>15225</v>
      </c>
      <c r="AS149" s="52">
        <v>64542225</v>
      </c>
      <c r="AT149" s="52">
        <v>0</v>
      </c>
      <c r="AU149" s="41" t="s">
        <v>639</v>
      </c>
      <c r="AV149" s="41" t="s">
        <v>356</v>
      </c>
      <c r="AW149" s="41" t="s">
        <v>669</v>
      </c>
      <c r="AX149" s="41" t="s">
        <v>644</v>
      </c>
    </row>
    <row r="150" spans="1:50" x14ac:dyDescent="0.2">
      <c r="A150" s="40">
        <v>64542325</v>
      </c>
      <c r="B150" s="41" t="s">
        <v>2804</v>
      </c>
      <c r="C150" s="41" t="s">
        <v>2949</v>
      </c>
      <c r="D150" s="41" t="s">
        <v>460</v>
      </c>
      <c r="E150" s="49">
        <v>4671695</v>
      </c>
      <c r="F150" s="49">
        <v>24835</v>
      </c>
      <c r="G150" s="50">
        <v>4646860</v>
      </c>
      <c r="H150" s="42" t="s">
        <v>2615</v>
      </c>
      <c r="I150" s="42" t="s">
        <v>461</v>
      </c>
      <c r="J150" s="43" t="s">
        <v>351</v>
      </c>
      <c r="K150" s="40">
        <v>11223758</v>
      </c>
      <c r="L150" s="41" t="s">
        <v>671</v>
      </c>
      <c r="M150" s="41" t="s">
        <v>316</v>
      </c>
      <c r="N150" s="41" t="s">
        <v>317</v>
      </c>
      <c r="O150" s="41" t="s">
        <v>672</v>
      </c>
      <c r="P150" s="41" t="s">
        <v>319</v>
      </c>
      <c r="Q150" s="40">
        <v>890903938</v>
      </c>
      <c r="R150" s="41" t="s">
        <v>342</v>
      </c>
      <c r="S150" s="40">
        <v>923211</v>
      </c>
      <c r="T150" s="41" t="s">
        <v>69</v>
      </c>
      <c r="U150" s="41" t="s">
        <v>29</v>
      </c>
      <c r="V150" s="41" t="s">
        <v>30</v>
      </c>
      <c r="W150" s="42" t="s">
        <v>31</v>
      </c>
      <c r="X150" s="42" t="s">
        <v>32</v>
      </c>
      <c r="Y150" s="42" t="s">
        <v>33</v>
      </c>
      <c r="Z150" s="42" t="s">
        <v>2950</v>
      </c>
      <c r="AA150" s="42" t="s">
        <v>34</v>
      </c>
      <c r="AB150" s="42" t="s">
        <v>34</v>
      </c>
      <c r="AC150" s="42" t="s">
        <v>34</v>
      </c>
      <c r="AD150" s="42" t="s">
        <v>462</v>
      </c>
      <c r="AE150" s="42"/>
      <c r="AF150" s="42"/>
      <c r="AG150" s="42" t="s">
        <v>463</v>
      </c>
      <c r="AH150" s="42"/>
      <c r="AI150" s="44"/>
      <c r="AJ150" s="42"/>
      <c r="AK150" s="44"/>
      <c r="AL150" s="42"/>
      <c r="AM150" s="52">
        <v>1125</v>
      </c>
      <c r="AN150" s="52">
        <v>1025</v>
      </c>
      <c r="AO150" s="52">
        <v>3425</v>
      </c>
      <c r="AP150" s="52">
        <v>0</v>
      </c>
      <c r="AQ150" s="42"/>
      <c r="AR150" s="52">
        <v>15325</v>
      </c>
      <c r="AS150" s="52">
        <v>64542325</v>
      </c>
      <c r="AT150" s="52">
        <v>0</v>
      </c>
      <c r="AU150" s="41" t="s">
        <v>639</v>
      </c>
      <c r="AV150" s="41" t="s">
        <v>356</v>
      </c>
      <c r="AW150" s="41" t="s">
        <v>673</v>
      </c>
      <c r="AX150" s="41" t="s">
        <v>674</v>
      </c>
    </row>
    <row r="151" spans="1:50" x14ac:dyDescent="0.2">
      <c r="A151" s="40">
        <v>64542425</v>
      </c>
      <c r="B151" s="41" t="s">
        <v>2804</v>
      </c>
      <c r="C151" s="41" t="s">
        <v>2952</v>
      </c>
      <c r="D151" s="41" t="s">
        <v>460</v>
      </c>
      <c r="E151" s="49">
        <v>3040000</v>
      </c>
      <c r="F151" s="49">
        <v>15805</v>
      </c>
      <c r="G151" s="50">
        <v>3024195</v>
      </c>
      <c r="H151" s="42" t="s">
        <v>2615</v>
      </c>
      <c r="I151" s="42" t="s">
        <v>461</v>
      </c>
      <c r="J151" s="43" t="s">
        <v>351</v>
      </c>
      <c r="K151" s="40">
        <v>1010030940</v>
      </c>
      <c r="L151" s="41" t="s">
        <v>680</v>
      </c>
      <c r="M151" s="41" t="s">
        <v>316</v>
      </c>
      <c r="N151" s="41" t="s">
        <v>317</v>
      </c>
      <c r="O151" s="41" t="s">
        <v>681</v>
      </c>
      <c r="P151" s="41" t="s">
        <v>319</v>
      </c>
      <c r="Q151" s="40">
        <v>860007335</v>
      </c>
      <c r="R151" s="41" t="s">
        <v>381</v>
      </c>
      <c r="S151" s="40">
        <v>923290</v>
      </c>
      <c r="T151" s="41" t="s">
        <v>208</v>
      </c>
      <c r="U151" s="41" t="s">
        <v>29</v>
      </c>
      <c r="V151" s="41" t="s">
        <v>30</v>
      </c>
      <c r="W151" s="42" t="s">
        <v>31</v>
      </c>
      <c r="X151" s="42" t="s">
        <v>32</v>
      </c>
      <c r="Y151" s="42" t="s">
        <v>33</v>
      </c>
      <c r="Z151" s="42" t="s">
        <v>2953</v>
      </c>
      <c r="AA151" s="42" t="s">
        <v>34</v>
      </c>
      <c r="AB151" s="42" t="s">
        <v>34</v>
      </c>
      <c r="AC151" s="42" t="s">
        <v>34</v>
      </c>
      <c r="AD151" s="42" t="s">
        <v>462</v>
      </c>
      <c r="AE151" s="42"/>
      <c r="AF151" s="42"/>
      <c r="AG151" s="42" t="s">
        <v>463</v>
      </c>
      <c r="AH151" s="42"/>
      <c r="AI151" s="44"/>
      <c r="AJ151" s="42"/>
      <c r="AK151" s="44"/>
      <c r="AL151" s="42"/>
      <c r="AM151" s="52">
        <v>5025</v>
      </c>
      <c r="AN151" s="52">
        <v>5025</v>
      </c>
      <c r="AO151" s="52">
        <v>3625</v>
      </c>
      <c r="AP151" s="52">
        <v>0</v>
      </c>
      <c r="AQ151" s="42"/>
      <c r="AR151" s="52">
        <v>15525</v>
      </c>
      <c r="AS151" s="52">
        <v>64542425</v>
      </c>
      <c r="AT151" s="52">
        <v>0</v>
      </c>
      <c r="AU151" s="41" t="s">
        <v>639</v>
      </c>
      <c r="AV151" s="41" t="s">
        <v>362</v>
      </c>
      <c r="AW151" s="41" t="s">
        <v>682</v>
      </c>
      <c r="AX151" s="41" t="s">
        <v>683</v>
      </c>
    </row>
    <row r="152" spans="1:50" x14ac:dyDescent="0.2">
      <c r="A152" s="40">
        <v>64542525</v>
      </c>
      <c r="B152" s="41" t="s">
        <v>2804</v>
      </c>
      <c r="C152" s="41" t="s">
        <v>2955</v>
      </c>
      <c r="D152" s="41" t="s">
        <v>460</v>
      </c>
      <c r="E152" s="49">
        <v>1923999</v>
      </c>
      <c r="F152" s="49">
        <v>9109</v>
      </c>
      <c r="G152" s="50">
        <v>1914890</v>
      </c>
      <c r="H152" s="42" t="s">
        <v>2615</v>
      </c>
      <c r="I152" s="42" t="s">
        <v>461</v>
      </c>
      <c r="J152" s="43" t="s">
        <v>351</v>
      </c>
      <c r="K152" s="40">
        <v>1073720676</v>
      </c>
      <c r="L152" s="41" t="s">
        <v>685</v>
      </c>
      <c r="M152" s="41" t="s">
        <v>316</v>
      </c>
      <c r="N152" s="41" t="s">
        <v>317</v>
      </c>
      <c r="O152" s="41" t="s">
        <v>686</v>
      </c>
      <c r="P152" s="41" t="s">
        <v>319</v>
      </c>
      <c r="Q152" s="40">
        <v>860007335</v>
      </c>
      <c r="R152" s="41" t="s">
        <v>381</v>
      </c>
      <c r="S152" s="40">
        <v>923210</v>
      </c>
      <c r="T152" s="41" t="s">
        <v>56</v>
      </c>
      <c r="U152" s="41" t="s">
        <v>29</v>
      </c>
      <c r="V152" s="41" t="s">
        <v>30</v>
      </c>
      <c r="W152" s="42" t="s">
        <v>31</v>
      </c>
      <c r="X152" s="42" t="s">
        <v>32</v>
      </c>
      <c r="Y152" s="42" t="s">
        <v>33</v>
      </c>
      <c r="Z152" s="42" t="s">
        <v>2956</v>
      </c>
      <c r="AA152" s="42" t="s">
        <v>34</v>
      </c>
      <c r="AB152" s="42" t="s">
        <v>34</v>
      </c>
      <c r="AC152" s="42" t="s">
        <v>34</v>
      </c>
      <c r="AD152" s="42" t="s">
        <v>462</v>
      </c>
      <c r="AE152" s="42"/>
      <c r="AF152" s="42"/>
      <c r="AG152" s="42" t="s">
        <v>463</v>
      </c>
      <c r="AH152" s="42"/>
      <c r="AI152" s="44"/>
      <c r="AJ152" s="42"/>
      <c r="AK152" s="44"/>
      <c r="AL152" s="42"/>
      <c r="AM152" s="52">
        <v>1925</v>
      </c>
      <c r="AN152" s="52">
        <v>1925</v>
      </c>
      <c r="AO152" s="52">
        <v>3725</v>
      </c>
      <c r="AP152" s="52">
        <v>0</v>
      </c>
      <c r="AQ152" s="42"/>
      <c r="AR152" s="52">
        <v>15625</v>
      </c>
      <c r="AS152" s="52">
        <v>64542525</v>
      </c>
      <c r="AT152" s="52">
        <v>0</v>
      </c>
      <c r="AU152" s="41" t="s">
        <v>639</v>
      </c>
      <c r="AV152" s="41" t="s">
        <v>362</v>
      </c>
      <c r="AW152" s="41" t="s">
        <v>687</v>
      </c>
      <c r="AX152" s="41" t="s">
        <v>688</v>
      </c>
    </row>
    <row r="153" spans="1:50" x14ac:dyDescent="0.2">
      <c r="A153" s="40">
        <v>64542625</v>
      </c>
      <c r="B153" s="41" t="s">
        <v>2804</v>
      </c>
      <c r="C153" s="41" t="s">
        <v>2958</v>
      </c>
      <c r="D153" s="41" t="s">
        <v>460</v>
      </c>
      <c r="E153" s="49">
        <v>2050000</v>
      </c>
      <c r="F153" s="49">
        <v>9865</v>
      </c>
      <c r="G153" s="50">
        <v>2040135</v>
      </c>
      <c r="H153" s="42" t="s">
        <v>2615</v>
      </c>
      <c r="I153" s="42" t="s">
        <v>461</v>
      </c>
      <c r="J153" s="43" t="s">
        <v>351</v>
      </c>
      <c r="K153" s="40">
        <v>1073713412</v>
      </c>
      <c r="L153" s="41" t="s">
        <v>690</v>
      </c>
      <c r="M153" s="41" t="s">
        <v>316</v>
      </c>
      <c r="N153" s="41" t="s">
        <v>317</v>
      </c>
      <c r="O153" s="41" t="s">
        <v>691</v>
      </c>
      <c r="P153" s="41" t="s">
        <v>319</v>
      </c>
      <c r="Q153" s="40">
        <v>890903938</v>
      </c>
      <c r="R153" s="41" t="s">
        <v>342</v>
      </c>
      <c r="S153" s="40">
        <v>923210</v>
      </c>
      <c r="T153" s="41" t="s">
        <v>56</v>
      </c>
      <c r="U153" s="41" t="s">
        <v>29</v>
      </c>
      <c r="V153" s="41" t="s">
        <v>30</v>
      </c>
      <c r="W153" s="42" t="s">
        <v>31</v>
      </c>
      <c r="X153" s="42" t="s">
        <v>32</v>
      </c>
      <c r="Y153" s="42" t="s">
        <v>33</v>
      </c>
      <c r="Z153" s="42" t="s">
        <v>2959</v>
      </c>
      <c r="AA153" s="42" t="s">
        <v>34</v>
      </c>
      <c r="AB153" s="42" t="s">
        <v>34</v>
      </c>
      <c r="AC153" s="42" t="s">
        <v>34</v>
      </c>
      <c r="AD153" s="42" t="s">
        <v>462</v>
      </c>
      <c r="AE153" s="42"/>
      <c r="AF153" s="42"/>
      <c r="AG153" s="42" t="s">
        <v>463</v>
      </c>
      <c r="AH153" s="42"/>
      <c r="AI153" s="44"/>
      <c r="AJ153" s="42"/>
      <c r="AK153" s="44"/>
      <c r="AL153" s="42"/>
      <c r="AM153" s="52">
        <v>1925</v>
      </c>
      <c r="AN153" s="52">
        <v>1925</v>
      </c>
      <c r="AO153" s="52">
        <v>3825</v>
      </c>
      <c r="AP153" s="52">
        <v>0</v>
      </c>
      <c r="AQ153" s="42"/>
      <c r="AR153" s="52">
        <v>15725</v>
      </c>
      <c r="AS153" s="52">
        <v>64542625</v>
      </c>
      <c r="AT153" s="52">
        <v>0</v>
      </c>
      <c r="AU153" s="41" t="s">
        <v>639</v>
      </c>
      <c r="AV153" s="41" t="s">
        <v>362</v>
      </c>
      <c r="AW153" s="41" t="s">
        <v>692</v>
      </c>
      <c r="AX153" s="41" t="s">
        <v>693</v>
      </c>
    </row>
    <row r="154" spans="1:50" x14ac:dyDescent="0.2">
      <c r="A154" s="40">
        <v>64542725</v>
      </c>
      <c r="B154" s="41" t="s">
        <v>2804</v>
      </c>
      <c r="C154" s="41" t="s">
        <v>2961</v>
      </c>
      <c r="D154" s="41" t="s">
        <v>460</v>
      </c>
      <c r="E154" s="49">
        <v>2369000</v>
      </c>
      <c r="F154" s="49">
        <v>11779</v>
      </c>
      <c r="G154" s="50">
        <v>2357221</v>
      </c>
      <c r="H154" s="42" t="s">
        <v>2615</v>
      </c>
      <c r="I154" s="42" t="s">
        <v>461</v>
      </c>
      <c r="J154" s="43" t="s">
        <v>351</v>
      </c>
      <c r="K154" s="40">
        <v>80728407</v>
      </c>
      <c r="L154" s="41" t="s">
        <v>695</v>
      </c>
      <c r="M154" s="41" t="s">
        <v>316</v>
      </c>
      <c r="N154" s="41" t="s">
        <v>317</v>
      </c>
      <c r="O154" s="41" t="s">
        <v>696</v>
      </c>
      <c r="P154" s="41" t="s">
        <v>319</v>
      </c>
      <c r="Q154" s="40">
        <v>860002964</v>
      </c>
      <c r="R154" s="41" t="s">
        <v>419</v>
      </c>
      <c r="S154" s="40">
        <v>923210</v>
      </c>
      <c r="T154" s="41" t="s">
        <v>56</v>
      </c>
      <c r="U154" s="41" t="s">
        <v>29</v>
      </c>
      <c r="V154" s="41" t="s">
        <v>30</v>
      </c>
      <c r="W154" s="42" t="s">
        <v>31</v>
      </c>
      <c r="X154" s="42" t="s">
        <v>32</v>
      </c>
      <c r="Y154" s="42" t="s">
        <v>33</v>
      </c>
      <c r="Z154" s="42" t="s">
        <v>2902</v>
      </c>
      <c r="AA154" s="42" t="s">
        <v>34</v>
      </c>
      <c r="AB154" s="42" t="s">
        <v>34</v>
      </c>
      <c r="AC154" s="42" t="s">
        <v>34</v>
      </c>
      <c r="AD154" s="42" t="s">
        <v>462</v>
      </c>
      <c r="AE154" s="42"/>
      <c r="AF154" s="42"/>
      <c r="AG154" s="42" t="s">
        <v>463</v>
      </c>
      <c r="AH154" s="42"/>
      <c r="AI154" s="44"/>
      <c r="AJ154" s="42"/>
      <c r="AK154" s="44"/>
      <c r="AL154" s="42"/>
      <c r="AM154" s="52">
        <v>1925</v>
      </c>
      <c r="AN154" s="52">
        <v>1925</v>
      </c>
      <c r="AO154" s="52">
        <v>3925</v>
      </c>
      <c r="AP154" s="52">
        <v>0</v>
      </c>
      <c r="AQ154" s="42"/>
      <c r="AR154" s="52">
        <v>15825</v>
      </c>
      <c r="AS154" s="52">
        <v>64542725</v>
      </c>
      <c r="AT154" s="52">
        <v>0</v>
      </c>
      <c r="AU154" s="41" t="s">
        <v>639</v>
      </c>
      <c r="AV154" s="41" t="s">
        <v>362</v>
      </c>
      <c r="AW154" s="41" t="s">
        <v>697</v>
      </c>
      <c r="AX154" s="41" t="s">
        <v>698</v>
      </c>
    </row>
    <row r="155" spans="1:50" x14ac:dyDescent="0.2">
      <c r="A155" s="40">
        <v>64542825</v>
      </c>
      <c r="B155" s="41" t="s">
        <v>2804</v>
      </c>
      <c r="C155" s="41" t="s">
        <v>2963</v>
      </c>
      <c r="D155" s="41" t="s">
        <v>460</v>
      </c>
      <c r="E155" s="49">
        <v>2680000</v>
      </c>
      <c r="F155" s="49">
        <v>14213</v>
      </c>
      <c r="G155" s="50">
        <v>2665787</v>
      </c>
      <c r="H155" s="42" t="s">
        <v>2615</v>
      </c>
      <c r="I155" s="42" t="s">
        <v>461</v>
      </c>
      <c r="J155" s="43" t="s">
        <v>351</v>
      </c>
      <c r="K155" s="40">
        <v>1023364186</v>
      </c>
      <c r="L155" s="41" t="s">
        <v>701</v>
      </c>
      <c r="M155" s="41" t="s">
        <v>316</v>
      </c>
      <c r="N155" s="41" t="s">
        <v>317</v>
      </c>
      <c r="O155" s="41" t="s">
        <v>702</v>
      </c>
      <c r="P155" s="41" t="s">
        <v>319</v>
      </c>
      <c r="Q155" s="40">
        <v>890903938</v>
      </c>
      <c r="R155" s="41" t="s">
        <v>342</v>
      </c>
      <c r="S155" s="40">
        <v>923228</v>
      </c>
      <c r="T155" s="41" t="s">
        <v>158</v>
      </c>
      <c r="U155" s="41" t="s">
        <v>159</v>
      </c>
      <c r="V155" s="41" t="s">
        <v>160</v>
      </c>
      <c r="W155" s="42" t="s">
        <v>31</v>
      </c>
      <c r="X155" s="42" t="s">
        <v>32</v>
      </c>
      <c r="Y155" s="42" t="s">
        <v>33</v>
      </c>
      <c r="Z155" s="42" t="s">
        <v>2964</v>
      </c>
      <c r="AA155" s="42" t="s">
        <v>34</v>
      </c>
      <c r="AB155" s="42" t="s">
        <v>34</v>
      </c>
      <c r="AC155" s="42" t="s">
        <v>34</v>
      </c>
      <c r="AD155" s="42" t="s">
        <v>462</v>
      </c>
      <c r="AE155" s="42"/>
      <c r="AF155" s="42"/>
      <c r="AG155" s="42" t="s">
        <v>463</v>
      </c>
      <c r="AH155" s="42"/>
      <c r="AI155" s="44"/>
      <c r="AJ155" s="42"/>
      <c r="AK155" s="44"/>
      <c r="AL155" s="42"/>
      <c r="AM155" s="52">
        <v>3525</v>
      </c>
      <c r="AN155" s="52">
        <v>3525</v>
      </c>
      <c r="AO155" s="52">
        <v>4025</v>
      </c>
      <c r="AP155" s="52">
        <v>0</v>
      </c>
      <c r="AQ155" s="42"/>
      <c r="AR155" s="52">
        <v>15925</v>
      </c>
      <c r="AS155" s="52">
        <v>64542825</v>
      </c>
      <c r="AT155" s="52">
        <v>0</v>
      </c>
      <c r="AU155" s="41" t="s">
        <v>699</v>
      </c>
      <c r="AV155" s="41" t="s">
        <v>362</v>
      </c>
      <c r="AW155" s="41" t="s">
        <v>703</v>
      </c>
      <c r="AX155" s="41" t="s">
        <v>704</v>
      </c>
    </row>
    <row r="156" spans="1:50" x14ac:dyDescent="0.2">
      <c r="A156" s="40">
        <v>64542925</v>
      </c>
      <c r="B156" s="41" t="s">
        <v>2804</v>
      </c>
      <c r="C156" s="41" t="s">
        <v>2966</v>
      </c>
      <c r="D156" s="41" t="s">
        <v>460</v>
      </c>
      <c r="E156" s="49">
        <v>2575000</v>
      </c>
      <c r="F156" s="49">
        <v>13015</v>
      </c>
      <c r="G156" s="50">
        <v>2561985</v>
      </c>
      <c r="H156" s="42" t="s">
        <v>2615</v>
      </c>
      <c r="I156" s="42" t="s">
        <v>461</v>
      </c>
      <c r="J156" s="43" t="s">
        <v>351</v>
      </c>
      <c r="K156" s="40">
        <v>79295238</v>
      </c>
      <c r="L156" s="41" t="s">
        <v>706</v>
      </c>
      <c r="M156" s="41" t="s">
        <v>316</v>
      </c>
      <c r="N156" s="41" t="s">
        <v>317</v>
      </c>
      <c r="O156" s="41" t="s">
        <v>707</v>
      </c>
      <c r="P156" s="41" t="s">
        <v>319</v>
      </c>
      <c r="Q156" s="40">
        <v>900047981</v>
      </c>
      <c r="R156" s="41" t="s">
        <v>399</v>
      </c>
      <c r="S156" s="40">
        <v>923242</v>
      </c>
      <c r="T156" s="41" t="s">
        <v>175</v>
      </c>
      <c r="U156" s="41" t="s">
        <v>29</v>
      </c>
      <c r="V156" s="41" t="s">
        <v>30</v>
      </c>
      <c r="W156" s="42" t="s">
        <v>31</v>
      </c>
      <c r="X156" s="42" t="s">
        <v>32</v>
      </c>
      <c r="Y156" s="42" t="s">
        <v>33</v>
      </c>
      <c r="Z156" s="42" t="s">
        <v>2650</v>
      </c>
      <c r="AA156" s="42" t="s">
        <v>34</v>
      </c>
      <c r="AB156" s="42" t="s">
        <v>34</v>
      </c>
      <c r="AC156" s="42" t="s">
        <v>34</v>
      </c>
      <c r="AD156" s="42" t="s">
        <v>462</v>
      </c>
      <c r="AE156" s="42"/>
      <c r="AF156" s="42"/>
      <c r="AG156" s="42" t="s">
        <v>463</v>
      </c>
      <c r="AH156" s="42"/>
      <c r="AI156" s="44"/>
      <c r="AJ156" s="42"/>
      <c r="AK156" s="44"/>
      <c r="AL156" s="42"/>
      <c r="AM156" s="52">
        <v>3625</v>
      </c>
      <c r="AN156" s="52">
        <v>3625</v>
      </c>
      <c r="AO156" s="52">
        <v>4125</v>
      </c>
      <c r="AP156" s="52">
        <v>0</v>
      </c>
      <c r="AQ156" s="42"/>
      <c r="AR156" s="52">
        <v>16025</v>
      </c>
      <c r="AS156" s="52">
        <v>64542925</v>
      </c>
      <c r="AT156" s="52">
        <v>0</v>
      </c>
      <c r="AU156" s="41" t="s">
        <v>699</v>
      </c>
      <c r="AV156" s="41" t="s">
        <v>362</v>
      </c>
      <c r="AW156" s="41" t="s">
        <v>708</v>
      </c>
      <c r="AX156" s="41" t="s">
        <v>709</v>
      </c>
    </row>
    <row r="157" spans="1:50" x14ac:dyDescent="0.2">
      <c r="A157" s="40">
        <v>64543025</v>
      </c>
      <c r="B157" s="41" t="s">
        <v>2804</v>
      </c>
      <c r="C157" s="41" t="s">
        <v>2968</v>
      </c>
      <c r="D157" s="41" t="s">
        <v>460</v>
      </c>
      <c r="E157" s="49">
        <v>2575000</v>
      </c>
      <c r="F157" s="49">
        <v>13015</v>
      </c>
      <c r="G157" s="50">
        <v>2561985</v>
      </c>
      <c r="H157" s="42" t="s">
        <v>2615</v>
      </c>
      <c r="I157" s="42" t="s">
        <v>461</v>
      </c>
      <c r="J157" s="43" t="s">
        <v>351</v>
      </c>
      <c r="K157" s="40">
        <v>1024548351</v>
      </c>
      <c r="L157" s="41" t="s">
        <v>711</v>
      </c>
      <c r="M157" s="41" t="s">
        <v>316</v>
      </c>
      <c r="N157" s="41" t="s">
        <v>317</v>
      </c>
      <c r="O157" s="41" t="s">
        <v>712</v>
      </c>
      <c r="P157" s="41" t="s">
        <v>319</v>
      </c>
      <c r="Q157" s="40">
        <v>860034313</v>
      </c>
      <c r="R157" s="41" t="s">
        <v>355</v>
      </c>
      <c r="S157" s="40">
        <v>923242</v>
      </c>
      <c r="T157" s="41" t="s">
        <v>175</v>
      </c>
      <c r="U157" s="41" t="s">
        <v>29</v>
      </c>
      <c r="V157" s="41" t="s">
        <v>30</v>
      </c>
      <c r="W157" s="42" t="s">
        <v>31</v>
      </c>
      <c r="X157" s="42" t="s">
        <v>32</v>
      </c>
      <c r="Y157" s="42" t="s">
        <v>33</v>
      </c>
      <c r="Z157" s="42" t="s">
        <v>2650</v>
      </c>
      <c r="AA157" s="42" t="s">
        <v>34</v>
      </c>
      <c r="AB157" s="42" t="s">
        <v>34</v>
      </c>
      <c r="AC157" s="42" t="s">
        <v>34</v>
      </c>
      <c r="AD157" s="42" t="s">
        <v>462</v>
      </c>
      <c r="AE157" s="42"/>
      <c r="AF157" s="42"/>
      <c r="AG157" s="42" t="s">
        <v>463</v>
      </c>
      <c r="AH157" s="42"/>
      <c r="AI157" s="44"/>
      <c r="AJ157" s="42"/>
      <c r="AK157" s="44"/>
      <c r="AL157" s="42"/>
      <c r="AM157" s="52">
        <v>3625</v>
      </c>
      <c r="AN157" s="52">
        <v>3625</v>
      </c>
      <c r="AO157" s="52">
        <v>4225</v>
      </c>
      <c r="AP157" s="52">
        <v>0</v>
      </c>
      <c r="AQ157" s="42"/>
      <c r="AR157" s="52">
        <v>16125</v>
      </c>
      <c r="AS157" s="52">
        <v>64543025</v>
      </c>
      <c r="AT157" s="52">
        <v>0</v>
      </c>
      <c r="AU157" s="41" t="s">
        <v>699</v>
      </c>
      <c r="AV157" s="41" t="s">
        <v>362</v>
      </c>
      <c r="AW157" s="41" t="s">
        <v>713</v>
      </c>
      <c r="AX157" s="41" t="s">
        <v>714</v>
      </c>
    </row>
    <row r="158" spans="1:50" x14ac:dyDescent="0.2">
      <c r="A158" s="40">
        <v>64543125</v>
      </c>
      <c r="B158" s="41" t="s">
        <v>2804</v>
      </c>
      <c r="C158" s="41" t="s">
        <v>2970</v>
      </c>
      <c r="D158" s="41" t="s">
        <v>460</v>
      </c>
      <c r="E158" s="49">
        <v>2575000</v>
      </c>
      <c r="F158" s="49">
        <v>14382</v>
      </c>
      <c r="G158" s="50">
        <v>2560618</v>
      </c>
      <c r="H158" s="42" t="s">
        <v>2615</v>
      </c>
      <c r="I158" s="42" t="s">
        <v>461</v>
      </c>
      <c r="J158" s="43" t="s">
        <v>351</v>
      </c>
      <c r="K158" s="40">
        <v>20939549</v>
      </c>
      <c r="L158" s="41" t="s">
        <v>716</v>
      </c>
      <c r="M158" s="41" t="s">
        <v>316</v>
      </c>
      <c r="N158" s="41" t="s">
        <v>317</v>
      </c>
      <c r="O158" s="41" t="s">
        <v>717</v>
      </c>
      <c r="P158" s="41" t="s">
        <v>319</v>
      </c>
      <c r="Q158" s="40">
        <v>860007335</v>
      </c>
      <c r="R158" s="41" t="s">
        <v>381</v>
      </c>
      <c r="S158" s="40">
        <v>923242</v>
      </c>
      <c r="T158" s="41" t="s">
        <v>175</v>
      </c>
      <c r="U158" s="41" t="s">
        <v>29</v>
      </c>
      <c r="V158" s="41" t="s">
        <v>30</v>
      </c>
      <c r="W158" s="42" t="s">
        <v>31</v>
      </c>
      <c r="X158" s="42" t="s">
        <v>32</v>
      </c>
      <c r="Y158" s="42" t="s">
        <v>33</v>
      </c>
      <c r="Z158" s="42" t="s">
        <v>2650</v>
      </c>
      <c r="AA158" s="42" t="s">
        <v>34</v>
      </c>
      <c r="AB158" s="42" t="s">
        <v>34</v>
      </c>
      <c r="AC158" s="42" t="s">
        <v>34</v>
      </c>
      <c r="AD158" s="42" t="s">
        <v>462</v>
      </c>
      <c r="AE158" s="42"/>
      <c r="AF158" s="42"/>
      <c r="AG158" s="42" t="s">
        <v>463</v>
      </c>
      <c r="AH158" s="42"/>
      <c r="AI158" s="44"/>
      <c r="AJ158" s="42"/>
      <c r="AK158" s="44"/>
      <c r="AL158" s="42"/>
      <c r="AM158" s="52">
        <v>3625</v>
      </c>
      <c r="AN158" s="52">
        <v>3625</v>
      </c>
      <c r="AO158" s="52">
        <v>4325</v>
      </c>
      <c r="AP158" s="52">
        <v>0</v>
      </c>
      <c r="AQ158" s="42"/>
      <c r="AR158" s="52">
        <v>16225</v>
      </c>
      <c r="AS158" s="52">
        <v>64543125</v>
      </c>
      <c r="AT158" s="52">
        <v>0</v>
      </c>
      <c r="AU158" s="41" t="s">
        <v>699</v>
      </c>
      <c r="AV158" s="41" t="s">
        <v>362</v>
      </c>
      <c r="AW158" s="41" t="s">
        <v>718</v>
      </c>
      <c r="AX158" s="41" t="s">
        <v>719</v>
      </c>
    </row>
    <row r="159" spans="1:50" x14ac:dyDescent="0.2">
      <c r="A159" s="40">
        <v>64543225</v>
      </c>
      <c r="B159" s="41" t="s">
        <v>2804</v>
      </c>
      <c r="C159" s="41" t="s">
        <v>2972</v>
      </c>
      <c r="D159" s="41" t="s">
        <v>460</v>
      </c>
      <c r="E159" s="49">
        <v>4292876</v>
      </c>
      <c r="F159" s="49">
        <v>22820</v>
      </c>
      <c r="G159" s="50">
        <v>4270056</v>
      </c>
      <c r="H159" s="42" t="s">
        <v>2615</v>
      </c>
      <c r="I159" s="42" t="s">
        <v>461</v>
      </c>
      <c r="J159" s="43" t="s">
        <v>351</v>
      </c>
      <c r="K159" s="40">
        <v>1073669268</v>
      </c>
      <c r="L159" s="41" t="s">
        <v>721</v>
      </c>
      <c r="M159" s="41" t="s">
        <v>316</v>
      </c>
      <c r="N159" s="41" t="s">
        <v>317</v>
      </c>
      <c r="O159" s="41" t="s">
        <v>722</v>
      </c>
      <c r="P159" s="41" t="s">
        <v>319</v>
      </c>
      <c r="Q159" s="40">
        <v>890903938</v>
      </c>
      <c r="R159" s="41" t="s">
        <v>342</v>
      </c>
      <c r="S159" s="40">
        <v>923245</v>
      </c>
      <c r="T159" s="41" t="s">
        <v>180</v>
      </c>
      <c r="U159" s="41" t="s">
        <v>29</v>
      </c>
      <c r="V159" s="41" t="s">
        <v>30</v>
      </c>
      <c r="W159" s="42" t="s">
        <v>31</v>
      </c>
      <c r="X159" s="42" t="s">
        <v>32</v>
      </c>
      <c r="Y159" s="42" t="s">
        <v>33</v>
      </c>
      <c r="Z159" s="42" t="s">
        <v>2806</v>
      </c>
      <c r="AA159" s="42" t="s">
        <v>34</v>
      </c>
      <c r="AB159" s="42" t="s">
        <v>34</v>
      </c>
      <c r="AC159" s="42" t="s">
        <v>34</v>
      </c>
      <c r="AD159" s="42" t="s">
        <v>462</v>
      </c>
      <c r="AE159" s="42"/>
      <c r="AF159" s="42"/>
      <c r="AG159" s="42" t="s">
        <v>463</v>
      </c>
      <c r="AH159" s="42"/>
      <c r="AI159" s="44"/>
      <c r="AJ159" s="42"/>
      <c r="AK159" s="44"/>
      <c r="AL159" s="42"/>
      <c r="AM159" s="52">
        <v>3825</v>
      </c>
      <c r="AN159" s="52">
        <v>3825</v>
      </c>
      <c r="AO159" s="52">
        <v>4425</v>
      </c>
      <c r="AP159" s="52">
        <v>0</v>
      </c>
      <c r="AQ159" s="42"/>
      <c r="AR159" s="52">
        <v>16325</v>
      </c>
      <c r="AS159" s="52">
        <v>64543225</v>
      </c>
      <c r="AT159" s="52">
        <v>0</v>
      </c>
      <c r="AU159" s="41" t="s">
        <v>699</v>
      </c>
      <c r="AV159" s="41" t="s">
        <v>356</v>
      </c>
      <c r="AW159" s="41" t="s">
        <v>723</v>
      </c>
      <c r="AX159" s="41" t="s">
        <v>724</v>
      </c>
    </row>
    <row r="160" spans="1:50" x14ac:dyDescent="0.2">
      <c r="A160" s="40">
        <v>64543325</v>
      </c>
      <c r="B160" s="41" t="s">
        <v>2804</v>
      </c>
      <c r="C160" s="41" t="s">
        <v>2974</v>
      </c>
      <c r="D160" s="41" t="s">
        <v>460</v>
      </c>
      <c r="E160" s="49">
        <v>3986243</v>
      </c>
      <c r="F160" s="49">
        <v>21190</v>
      </c>
      <c r="G160" s="50">
        <v>3965053</v>
      </c>
      <c r="H160" s="42" t="s">
        <v>2615</v>
      </c>
      <c r="I160" s="42" t="s">
        <v>461</v>
      </c>
      <c r="J160" s="43" t="s">
        <v>351</v>
      </c>
      <c r="K160" s="40">
        <v>79645434</v>
      </c>
      <c r="L160" s="41" t="s">
        <v>978</v>
      </c>
      <c r="M160" s="41" t="s">
        <v>316</v>
      </c>
      <c r="N160" s="41" t="s">
        <v>317</v>
      </c>
      <c r="O160" s="41" t="s">
        <v>979</v>
      </c>
      <c r="P160" s="41" t="s">
        <v>319</v>
      </c>
      <c r="Q160" s="40">
        <v>860050750</v>
      </c>
      <c r="R160" s="41" t="s">
        <v>321</v>
      </c>
      <c r="S160" s="40">
        <v>923245</v>
      </c>
      <c r="T160" s="41" t="s">
        <v>180</v>
      </c>
      <c r="U160" s="41" t="s">
        <v>29</v>
      </c>
      <c r="V160" s="41" t="s">
        <v>30</v>
      </c>
      <c r="W160" s="42" t="s">
        <v>31</v>
      </c>
      <c r="X160" s="42" t="s">
        <v>32</v>
      </c>
      <c r="Y160" s="42" t="s">
        <v>33</v>
      </c>
      <c r="Z160" s="42" t="s">
        <v>2816</v>
      </c>
      <c r="AA160" s="42" t="s">
        <v>34</v>
      </c>
      <c r="AB160" s="42" t="s">
        <v>34</v>
      </c>
      <c r="AC160" s="42" t="s">
        <v>34</v>
      </c>
      <c r="AD160" s="42" t="s">
        <v>462</v>
      </c>
      <c r="AE160" s="42"/>
      <c r="AF160" s="42"/>
      <c r="AG160" s="42" t="s">
        <v>463</v>
      </c>
      <c r="AH160" s="42"/>
      <c r="AI160" s="44"/>
      <c r="AJ160" s="42"/>
      <c r="AK160" s="44"/>
      <c r="AL160" s="42"/>
      <c r="AM160" s="52">
        <v>3825</v>
      </c>
      <c r="AN160" s="52">
        <v>3825</v>
      </c>
      <c r="AO160" s="52">
        <v>9925</v>
      </c>
      <c r="AP160" s="52">
        <v>0</v>
      </c>
      <c r="AQ160" s="42"/>
      <c r="AR160" s="52">
        <v>16425</v>
      </c>
      <c r="AS160" s="52">
        <v>64543325</v>
      </c>
      <c r="AT160" s="52">
        <v>0</v>
      </c>
      <c r="AU160" s="41" t="s">
        <v>786</v>
      </c>
      <c r="AV160" s="41" t="s">
        <v>356</v>
      </c>
      <c r="AW160" s="41" t="s">
        <v>981</v>
      </c>
      <c r="AX160" s="41" t="s">
        <v>748</v>
      </c>
    </row>
    <row r="161" spans="1:50" x14ac:dyDescent="0.2">
      <c r="A161" s="40">
        <v>64543425</v>
      </c>
      <c r="B161" s="41" t="s">
        <v>2804</v>
      </c>
      <c r="C161" s="41" t="s">
        <v>2825</v>
      </c>
      <c r="D161" s="41" t="s">
        <v>460</v>
      </c>
      <c r="E161" s="49">
        <v>3986243</v>
      </c>
      <c r="F161" s="49">
        <v>21190</v>
      </c>
      <c r="G161" s="50">
        <v>3965053</v>
      </c>
      <c r="H161" s="42" t="s">
        <v>2615</v>
      </c>
      <c r="I161" s="42" t="s">
        <v>461</v>
      </c>
      <c r="J161" s="43" t="s">
        <v>351</v>
      </c>
      <c r="K161" s="40">
        <v>79431510</v>
      </c>
      <c r="L161" s="41" t="s">
        <v>983</v>
      </c>
      <c r="M161" s="41" t="s">
        <v>316</v>
      </c>
      <c r="N161" s="41" t="s">
        <v>317</v>
      </c>
      <c r="O161" s="41" t="s">
        <v>984</v>
      </c>
      <c r="P161" s="41" t="s">
        <v>319</v>
      </c>
      <c r="Q161" s="40">
        <v>860002964</v>
      </c>
      <c r="R161" s="41" t="s">
        <v>419</v>
      </c>
      <c r="S161" s="40">
        <v>923245</v>
      </c>
      <c r="T161" s="41" t="s">
        <v>180</v>
      </c>
      <c r="U161" s="41" t="s">
        <v>29</v>
      </c>
      <c r="V161" s="41" t="s">
        <v>30</v>
      </c>
      <c r="W161" s="42" t="s">
        <v>31</v>
      </c>
      <c r="X161" s="42" t="s">
        <v>32</v>
      </c>
      <c r="Y161" s="42" t="s">
        <v>33</v>
      </c>
      <c r="Z161" s="42" t="s">
        <v>2816</v>
      </c>
      <c r="AA161" s="42" t="s">
        <v>34</v>
      </c>
      <c r="AB161" s="42" t="s">
        <v>34</v>
      </c>
      <c r="AC161" s="42" t="s">
        <v>34</v>
      </c>
      <c r="AD161" s="42" t="s">
        <v>462</v>
      </c>
      <c r="AE161" s="42"/>
      <c r="AF161" s="42"/>
      <c r="AG161" s="42" t="s">
        <v>463</v>
      </c>
      <c r="AH161" s="42"/>
      <c r="AI161" s="44"/>
      <c r="AJ161" s="42"/>
      <c r="AK161" s="44"/>
      <c r="AL161" s="42"/>
      <c r="AM161" s="52">
        <v>3825</v>
      </c>
      <c r="AN161" s="52">
        <v>3825</v>
      </c>
      <c r="AO161" s="52">
        <v>10025</v>
      </c>
      <c r="AP161" s="52">
        <v>0</v>
      </c>
      <c r="AQ161" s="42"/>
      <c r="AR161" s="52">
        <v>16525</v>
      </c>
      <c r="AS161" s="52">
        <v>64543425</v>
      </c>
      <c r="AT161" s="52">
        <v>0</v>
      </c>
      <c r="AU161" s="41" t="s">
        <v>786</v>
      </c>
      <c r="AV161" s="41" t="s">
        <v>356</v>
      </c>
      <c r="AW161" s="41" t="s">
        <v>986</v>
      </c>
      <c r="AX161" s="41" t="s">
        <v>748</v>
      </c>
    </row>
    <row r="162" spans="1:50" x14ac:dyDescent="0.2">
      <c r="A162" s="40">
        <v>64543525</v>
      </c>
      <c r="B162" s="41" t="s">
        <v>2804</v>
      </c>
      <c r="C162" s="41" t="s">
        <v>2977</v>
      </c>
      <c r="D162" s="41" t="s">
        <v>460</v>
      </c>
      <c r="E162" s="49">
        <v>3986243</v>
      </c>
      <c r="F162" s="49">
        <v>21190</v>
      </c>
      <c r="G162" s="50">
        <v>3965053</v>
      </c>
      <c r="H162" s="42" t="s">
        <v>2615</v>
      </c>
      <c r="I162" s="42" t="s">
        <v>461</v>
      </c>
      <c r="J162" s="43" t="s">
        <v>351</v>
      </c>
      <c r="K162" s="40">
        <v>53041779</v>
      </c>
      <c r="L162" s="41" t="s">
        <v>988</v>
      </c>
      <c r="M162" s="41" t="s">
        <v>316</v>
      </c>
      <c r="N162" s="41" t="s">
        <v>317</v>
      </c>
      <c r="O162" s="41" t="s">
        <v>989</v>
      </c>
      <c r="P162" s="41" t="s">
        <v>319</v>
      </c>
      <c r="Q162" s="40">
        <v>860034313</v>
      </c>
      <c r="R162" s="41" t="s">
        <v>355</v>
      </c>
      <c r="S162" s="40">
        <v>923245</v>
      </c>
      <c r="T162" s="41" t="s">
        <v>180</v>
      </c>
      <c r="U162" s="41" t="s">
        <v>29</v>
      </c>
      <c r="V162" s="41" t="s">
        <v>30</v>
      </c>
      <c r="W162" s="42" t="s">
        <v>31</v>
      </c>
      <c r="X162" s="42" t="s">
        <v>32</v>
      </c>
      <c r="Y162" s="42" t="s">
        <v>33</v>
      </c>
      <c r="Z162" s="42" t="s">
        <v>2816</v>
      </c>
      <c r="AA162" s="42" t="s">
        <v>34</v>
      </c>
      <c r="AB162" s="42" t="s">
        <v>34</v>
      </c>
      <c r="AC162" s="42" t="s">
        <v>34</v>
      </c>
      <c r="AD162" s="42" t="s">
        <v>462</v>
      </c>
      <c r="AE162" s="42"/>
      <c r="AF162" s="42"/>
      <c r="AG162" s="42" t="s">
        <v>463</v>
      </c>
      <c r="AH162" s="42"/>
      <c r="AI162" s="44"/>
      <c r="AJ162" s="42"/>
      <c r="AK162" s="44"/>
      <c r="AL162" s="42"/>
      <c r="AM162" s="52">
        <v>3825</v>
      </c>
      <c r="AN162" s="52">
        <v>3825</v>
      </c>
      <c r="AO162" s="52">
        <v>10125</v>
      </c>
      <c r="AP162" s="52">
        <v>0</v>
      </c>
      <c r="AQ162" s="42"/>
      <c r="AR162" s="52">
        <v>16625</v>
      </c>
      <c r="AS162" s="52">
        <v>64543525</v>
      </c>
      <c r="AT162" s="52">
        <v>0</v>
      </c>
      <c r="AU162" s="41" t="s">
        <v>786</v>
      </c>
      <c r="AV162" s="41" t="s">
        <v>356</v>
      </c>
      <c r="AW162" s="41" t="s">
        <v>991</v>
      </c>
      <c r="AX162" s="41" t="s">
        <v>748</v>
      </c>
    </row>
    <row r="163" spans="1:50" x14ac:dyDescent="0.2">
      <c r="A163" s="40">
        <v>64543625</v>
      </c>
      <c r="B163" s="41" t="s">
        <v>2804</v>
      </c>
      <c r="C163" s="41" t="s">
        <v>2979</v>
      </c>
      <c r="D163" s="41" t="s">
        <v>460</v>
      </c>
      <c r="E163" s="49">
        <v>3986243</v>
      </c>
      <c r="F163" s="49">
        <v>21190</v>
      </c>
      <c r="G163" s="50">
        <v>3965053</v>
      </c>
      <c r="H163" s="42" t="s">
        <v>2615</v>
      </c>
      <c r="I163" s="42" t="s">
        <v>461</v>
      </c>
      <c r="J163" s="43" t="s">
        <v>351</v>
      </c>
      <c r="K163" s="40">
        <v>9396182</v>
      </c>
      <c r="L163" s="41" t="s">
        <v>993</v>
      </c>
      <c r="M163" s="41" t="s">
        <v>316</v>
      </c>
      <c r="N163" s="41" t="s">
        <v>317</v>
      </c>
      <c r="O163" s="41" t="s">
        <v>994</v>
      </c>
      <c r="P163" s="41" t="s">
        <v>319</v>
      </c>
      <c r="Q163" s="40">
        <v>890903938</v>
      </c>
      <c r="R163" s="41" t="s">
        <v>342</v>
      </c>
      <c r="S163" s="40">
        <v>923245</v>
      </c>
      <c r="T163" s="41" t="s">
        <v>180</v>
      </c>
      <c r="U163" s="41" t="s">
        <v>29</v>
      </c>
      <c r="V163" s="41" t="s">
        <v>30</v>
      </c>
      <c r="W163" s="42" t="s">
        <v>31</v>
      </c>
      <c r="X163" s="42" t="s">
        <v>32</v>
      </c>
      <c r="Y163" s="42" t="s">
        <v>33</v>
      </c>
      <c r="Z163" s="42" t="s">
        <v>2816</v>
      </c>
      <c r="AA163" s="42" t="s">
        <v>34</v>
      </c>
      <c r="AB163" s="42" t="s">
        <v>34</v>
      </c>
      <c r="AC163" s="42" t="s">
        <v>34</v>
      </c>
      <c r="AD163" s="42" t="s">
        <v>462</v>
      </c>
      <c r="AE163" s="42"/>
      <c r="AF163" s="42"/>
      <c r="AG163" s="42" t="s">
        <v>463</v>
      </c>
      <c r="AH163" s="42"/>
      <c r="AI163" s="44"/>
      <c r="AJ163" s="42"/>
      <c r="AK163" s="44"/>
      <c r="AL163" s="42"/>
      <c r="AM163" s="52">
        <v>3825</v>
      </c>
      <c r="AN163" s="52">
        <v>3825</v>
      </c>
      <c r="AO163" s="52">
        <v>10225</v>
      </c>
      <c r="AP163" s="52">
        <v>0</v>
      </c>
      <c r="AQ163" s="42"/>
      <c r="AR163" s="52">
        <v>16725</v>
      </c>
      <c r="AS163" s="52">
        <v>64543625</v>
      </c>
      <c r="AT163" s="52">
        <v>0</v>
      </c>
      <c r="AU163" s="41" t="s">
        <v>786</v>
      </c>
      <c r="AV163" s="41" t="s">
        <v>356</v>
      </c>
      <c r="AW163" s="41" t="s">
        <v>996</v>
      </c>
      <c r="AX163" s="41" t="s">
        <v>748</v>
      </c>
    </row>
    <row r="164" spans="1:50" x14ac:dyDescent="0.2">
      <c r="A164" s="40">
        <v>64543725</v>
      </c>
      <c r="B164" s="41" t="s">
        <v>2804</v>
      </c>
      <c r="C164" s="41" t="s">
        <v>2845</v>
      </c>
      <c r="D164" s="41" t="s">
        <v>460</v>
      </c>
      <c r="E164" s="49">
        <v>3986243</v>
      </c>
      <c r="F164" s="49">
        <v>21190</v>
      </c>
      <c r="G164" s="50">
        <v>3965053</v>
      </c>
      <c r="H164" s="42" t="s">
        <v>2615</v>
      </c>
      <c r="I164" s="42" t="s">
        <v>461</v>
      </c>
      <c r="J164" s="43" t="s">
        <v>351</v>
      </c>
      <c r="K164" s="40">
        <v>21135366</v>
      </c>
      <c r="L164" s="41" t="s">
        <v>998</v>
      </c>
      <c r="M164" s="41" t="s">
        <v>316</v>
      </c>
      <c r="N164" s="41" t="s">
        <v>317</v>
      </c>
      <c r="O164" s="41" t="s">
        <v>999</v>
      </c>
      <c r="P164" s="41" t="s">
        <v>319</v>
      </c>
      <c r="Q164" s="40">
        <v>860034313</v>
      </c>
      <c r="R164" s="41" t="s">
        <v>355</v>
      </c>
      <c r="S164" s="40">
        <v>923245</v>
      </c>
      <c r="T164" s="41" t="s">
        <v>180</v>
      </c>
      <c r="U164" s="41" t="s">
        <v>29</v>
      </c>
      <c r="V164" s="41" t="s">
        <v>30</v>
      </c>
      <c r="W164" s="42" t="s">
        <v>31</v>
      </c>
      <c r="X164" s="42" t="s">
        <v>32</v>
      </c>
      <c r="Y164" s="42" t="s">
        <v>33</v>
      </c>
      <c r="Z164" s="42" t="s">
        <v>2816</v>
      </c>
      <c r="AA164" s="42" t="s">
        <v>34</v>
      </c>
      <c r="AB164" s="42" t="s">
        <v>34</v>
      </c>
      <c r="AC164" s="42" t="s">
        <v>34</v>
      </c>
      <c r="AD164" s="42" t="s">
        <v>462</v>
      </c>
      <c r="AE164" s="42"/>
      <c r="AF164" s="42"/>
      <c r="AG164" s="42" t="s">
        <v>463</v>
      </c>
      <c r="AH164" s="42"/>
      <c r="AI164" s="44"/>
      <c r="AJ164" s="42"/>
      <c r="AK164" s="44"/>
      <c r="AL164" s="42"/>
      <c r="AM164" s="52">
        <v>3825</v>
      </c>
      <c r="AN164" s="52">
        <v>3825</v>
      </c>
      <c r="AO164" s="52">
        <v>10325</v>
      </c>
      <c r="AP164" s="52">
        <v>0</v>
      </c>
      <c r="AQ164" s="42"/>
      <c r="AR164" s="52">
        <v>16825</v>
      </c>
      <c r="AS164" s="52">
        <v>64543725</v>
      </c>
      <c r="AT164" s="52">
        <v>0</v>
      </c>
      <c r="AU164" s="41" t="s">
        <v>786</v>
      </c>
      <c r="AV164" s="41" t="s">
        <v>356</v>
      </c>
      <c r="AW164" s="41" t="s">
        <v>1001</v>
      </c>
      <c r="AX164" s="41" t="s">
        <v>748</v>
      </c>
    </row>
    <row r="165" spans="1:50" x14ac:dyDescent="0.2">
      <c r="A165" s="40">
        <v>64543825</v>
      </c>
      <c r="B165" s="41" t="s">
        <v>2804</v>
      </c>
      <c r="C165" s="41" t="s">
        <v>2855</v>
      </c>
      <c r="D165" s="41" t="s">
        <v>460</v>
      </c>
      <c r="E165" s="49">
        <v>3986243</v>
      </c>
      <c r="F165" s="49">
        <v>21190</v>
      </c>
      <c r="G165" s="50">
        <v>3965053</v>
      </c>
      <c r="H165" s="42" t="s">
        <v>2615</v>
      </c>
      <c r="I165" s="42" t="s">
        <v>461</v>
      </c>
      <c r="J165" s="43" t="s">
        <v>351</v>
      </c>
      <c r="K165" s="40">
        <v>53070532</v>
      </c>
      <c r="L165" s="41" t="s">
        <v>1003</v>
      </c>
      <c r="M165" s="41" t="s">
        <v>316</v>
      </c>
      <c r="N165" s="41" t="s">
        <v>317</v>
      </c>
      <c r="O165" s="41" t="s">
        <v>1004</v>
      </c>
      <c r="P165" s="41" t="s">
        <v>319</v>
      </c>
      <c r="Q165" s="40">
        <v>860007335</v>
      </c>
      <c r="R165" s="41" t="s">
        <v>381</v>
      </c>
      <c r="S165" s="40">
        <v>923245</v>
      </c>
      <c r="T165" s="41" t="s">
        <v>180</v>
      </c>
      <c r="U165" s="41" t="s">
        <v>29</v>
      </c>
      <c r="V165" s="41" t="s">
        <v>30</v>
      </c>
      <c r="W165" s="42" t="s">
        <v>31</v>
      </c>
      <c r="X165" s="42" t="s">
        <v>32</v>
      </c>
      <c r="Y165" s="42" t="s">
        <v>33</v>
      </c>
      <c r="Z165" s="42" t="s">
        <v>2816</v>
      </c>
      <c r="AA165" s="42" t="s">
        <v>34</v>
      </c>
      <c r="AB165" s="42" t="s">
        <v>34</v>
      </c>
      <c r="AC165" s="42" t="s">
        <v>34</v>
      </c>
      <c r="AD165" s="42" t="s">
        <v>462</v>
      </c>
      <c r="AE165" s="42"/>
      <c r="AF165" s="42"/>
      <c r="AG165" s="42" t="s">
        <v>463</v>
      </c>
      <c r="AH165" s="42"/>
      <c r="AI165" s="44"/>
      <c r="AJ165" s="42"/>
      <c r="AK165" s="44"/>
      <c r="AL165" s="42"/>
      <c r="AM165" s="52">
        <v>3825</v>
      </c>
      <c r="AN165" s="52">
        <v>3825</v>
      </c>
      <c r="AO165" s="52">
        <v>10425</v>
      </c>
      <c r="AP165" s="52">
        <v>0</v>
      </c>
      <c r="AQ165" s="42"/>
      <c r="AR165" s="52">
        <v>16925</v>
      </c>
      <c r="AS165" s="52">
        <v>64543825</v>
      </c>
      <c r="AT165" s="52">
        <v>0</v>
      </c>
      <c r="AU165" s="41" t="s">
        <v>786</v>
      </c>
      <c r="AV165" s="41" t="s">
        <v>356</v>
      </c>
      <c r="AW165" s="41" t="s">
        <v>1006</v>
      </c>
      <c r="AX165" s="41" t="s">
        <v>748</v>
      </c>
    </row>
    <row r="166" spans="1:50" x14ac:dyDescent="0.2">
      <c r="A166" s="40">
        <v>64543925</v>
      </c>
      <c r="B166" s="41" t="s">
        <v>2804</v>
      </c>
      <c r="C166" s="41" t="s">
        <v>2983</v>
      </c>
      <c r="D166" s="41" t="s">
        <v>460</v>
      </c>
      <c r="E166" s="49">
        <v>3986243</v>
      </c>
      <c r="F166" s="49">
        <v>21190</v>
      </c>
      <c r="G166" s="50">
        <v>3965053</v>
      </c>
      <c r="H166" s="42" t="s">
        <v>2615</v>
      </c>
      <c r="I166" s="42" t="s">
        <v>461</v>
      </c>
      <c r="J166" s="43" t="s">
        <v>351</v>
      </c>
      <c r="K166" s="40">
        <v>51877430</v>
      </c>
      <c r="L166" s="41" t="s">
        <v>1008</v>
      </c>
      <c r="M166" s="41" t="s">
        <v>316</v>
      </c>
      <c r="N166" s="41" t="s">
        <v>317</v>
      </c>
      <c r="O166" s="41" t="s">
        <v>1009</v>
      </c>
      <c r="P166" s="41" t="s">
        <v>319</v>
      </c>
      <c r="Q166" s="40">
        <v>890903938</v>
      </c>
      <c r="R166" s="41" t="s">
        <v>342</v>
      </c>
      <c r="S166" s="40">
        <v>923245</v>
      </c>
      <c r="T166" s="41" t="s">
        <v>180</v>
      </c>
      <c r="U166" s="41" t="s">
        <v>29</v>
      </c>
      <c r="V166" s="41" t="s">
        <v>30</v>
      </c>
      <c r="W166" s="42" t="s">
        <v>31</v>
      </c>
      <c r="X166" s="42" t="s">
        <v>32</v>
      </c>
      <c r="Y166" s="42" t="s">
        <v>33</v>
      </c>
      <c r="Z166" s="42" t="s">
        <v>2816</v>
      </c>
      <c r="AA166" s="42" t="s">
        <v>34</v>
      </c>
      <c r="AB166" s="42" t="s">
        <v>34</v>
      </c>
      <c r="AC166" s="42" t="s">
        <v>34</v>
      </c>
      <c r="AD166" s="42" t="s">
        <v>462</v>
      </c>
      <c r="AE166" s="42"/>
      <c r="AF166" s="42"/>
      <c r="AG166" s="42" t="s">
        <v>463</v>
      </c>
      <c r="AH166" s="42"/>
      <c r="AI166" s="44"/>
      <c r="AJ166" s="42"/>
      <c r="AK166" s="44"/>
      <c r="AL166" s="42"/>
      <c r="AM166" s="52">
        <v>3825</v>
      </c>
      <c r="AN166" s="52">
        <v>3825</v>
      </c>
      <c r="AO166" s="52">
        <v>10525</v>
      </c>
      <c r="AP166" s="52">
        <v>0</v>
      </c>
      <c r="AQ166" s="42"/>
      <c r="AR166" s="52">
        <v>17025</v>
      </c>
      <c r="AS166" s="52">
        <v>64543925</v>
      </c>
      <c r="AT166" s="52">
        <v>0</v>
      </c>
      <c r="AU166" s="41" t="s">
        <v>786</v>
      </c>
      <c r="AV166" s="41" t="s">
        <v>356</v>
      </c>
      <c r="AW166" s="41" t="s">
        <v>1011</v>
      </c>
      <c r="AX166" s="41" t="s">
        <v>748</v>
      </c>
    </row>
    <row r="167" spans="1:50" x14ac:dyDescent="0.2">
      <c r="A167" s="40">
        <v>64544025</v>
      </c>
      <c r="B167" s="41" t="s">
        <v>2804</v>
      </c>
      <c r="C167" s="41" t="s">
        <v>2825</v>
      </c>
      <c r="D167" s="41" t="s">
        <v>460</v>
      </c>
      <c r="E167" s="49">
        <v>3986243</v>
      </c>
      <c r="F167" s="49">
        <v>21190</v>
      </c>
      <c r="G167" s="50">
        <v>3965053</v>
      </c>
      <c r="H167" s="42" t="s">
        <v>2615</v>
      </c>
      <c r="I167" s="42" t="s">
        <v>461</v>
      </c>
      <c r="J167" s="43" t="s">
        <v>351</v>
      </c>
      <c r="K167" s="40">
        <v>11379483</v>
      </c>
      <c r="L167" s="41" t="s">
        <v>1013</v>
      </c>
      <c r="M167" s="41" t="s">
        <v>316</v>
      </c>
      <c r="N167" s="41" t="s">
        <v>317</v>
      </c>
      <c r="O167" s="41" t="s">
        <v>1014</v>
      </c>
      <c r="P167" s="41" t="s">
        <v>319</v>
      </c>
      <c r="Q167" s="40">
        <v>860002964</v>
      </c>
      <c r="R167" s="41" t="s">
        <v>419</v>
      </c>
      <c r="S167" s="40">
        <v>923245</v>
      </c>
      <c r="T167" s="41" t="s">
        <v>180</v>
      </c>
      <c r="U167" s="41" t="s">
        <v>29</v>
      </c>
      <c r="V167" s="41" t="s">
        <v>30</v>
      </c>
      <c r="W167" s="42" t="s">
        <v>31</v>
      </c>
      <c r="X167" s="42" t="s">
        <v>32</v>
      </c>
      <c r="Y167" s="42" t="s">
        <v>33</v>
      </c>
      <c r="Z167" s="42" t="s">
        <v>2816</v>
      </c>
      <c r="AA167" s="42" t="s">
        <v>34</v>
      </c>
      <c r="AB167" s="42" t="s">
        <v>34</v>
      </c>
      <c r="AC167" s="42" t="s">
        <v>34</v>
      </c>
      <c r="AD167" s="42" t="s">
        <v>462</v>
      </c>
      <c r="AE167" s="42"/>
      <c r="AF167" s="42"/>
      <c r="AG167" s="42" t="s">
        <v>463</v>
      </c>
      <c r="AH167" s="42"/>
      <c r="AI167" s="44"/>
      <c r="AJ167" s="42"/>
      <c r="AK167" s="44"/>
      <c r="AL167" s="42"/>
      <c r="AM167" s="52">
        <v>3825</v>
      </c>
      <c r="AN167" s="52">
        <v>3825</v>
      </c>
      <c r="AO167" s="52">
        <v>10625</v>
      </c>
      <c r="AP167" s="52">
        <v>0</v>
      </c>
      <c r="AQ167" s="42"/>
      <c r="AR167" s="52">
        <v>17125</v>
      </c>
      <c r="AS167" s="52">
        <v>64544025</v>
      </c>
      <c r="AT167" s="52">
        <v>0</v>
      </c>
      <c r="AU167" s="41" t="s">
        <v>786</v>
      </c>
      <c r="AV167" s="41" t="s">
        <v>356</v>
      </c>
      <c r="AW167" s="41" t="s">
        <v>1016</v>
      </c>
      <c r="AX167" s="41" t="s">
        <v>748</v>
      </c>
    </row>
    <row r="168" spans="1:50" x14ac:dyDescent="0.2">
      <c r="A168" s="40">
        <v>64544125</v>
      </c>
      <c r="B168" s="41" t="s">
        <v>2804</v>
      </c>
      <c r="C168" s="41" t="s">
        <v>2983</v>
      </c>
      <c r="D168" s="41" t="s">
        <v>460</v>
      </c>
      <c r="E168" s="49">
        <v>3986243</v>
      </c>
      <c r="F168" s="49">
        <v>21190</v>
      </c>
      <c r="G168" s="50">
        <v>3965053</v>
      </c>
      <c r="H168" s="42" t="s">
        <v>2615</v>
      </c>
      <c r="I168" s="42" t="s">
        <v>461</v>
      </c>
      <c r="J168" s="43" t="s">
        <v>351</v>
      </c>
      <c r="K168" s="40">
        <v>1006862905</v>
      </c>
      <c r="L168" s="41" t="s">
        <v>1018</v>
      </c>
      <c r="M168" s="41" t="s">
        <v>316</v>
      </c>
      <c r="N168" s="41" t="s">
        <v>317</v>
      </c>
      <c r="O168" s="41" t="s">
        <v>1019</v>
      </c>
      <c r="P168" s="41" t="s">
        <v>319</v>
      </c>
      <c r="Q168" s="40">
        <v>890903938</v>
      </c>
      <c r="R168" s="41" t="s">
        <v>342</v>
      </c>
      <c r="S168" s="40">
        <v>923245</v>
      </c>
      <c r="T168" s="41" t="s">
        <v>180</v>
      </c>
      <c r="U168" s="41" t="s">
        <v>29</v>
      </c>
      <c r="V168" s="41" t="s">
        <v>30</v>
      </c>
      <c r="W168" s="42" t="s">
        <v>31</v>
      </c>
      <c r="X168" s="42" t="s">
        <v>32</v>
      </c>
      <c r="Y168" s="42" t="s">
        <v>33</v>
      </c>
      <c r="Z168" s="42" t="s">
        <v>2816</v>
      </c>
      <c r="AA168" s="42" t="s">
        <v>34</v>
      </c>
      <c r="AB168" s="42" t="s">
        <v>34</v>
      </c>
      <c r="AC168" s="42" t="s">
        <v>34</v>
      </c>
      <c r="AD168" s="42" t="s">
        <v>462</v>
      </c>
      <c r="AE168" s="42"/>
      <c r="AF168" s="42"/>
      <c r="AG168" s="42" t="s">
        <v>463</v>
      </c>
      <c r="AH168" s="42"/>
      <c r="AI168" s="44"/>
      <c r="AJ168" s="42"/>
      <c r="AK168" s="44"/>
      <c r="AL168" s="42"/>
      <c r="AM168" s="52">
        <v>3825</v>
      </c>
      <c r="AN168" s="52">
        <v>3825</v>
      </c>
      <c r="AO168" s="52">
        <v>10725</v>
      </c>
      <c r="AP168" s="52">
        <v>0</v>
      </c>
      <c r="AQ168" s="42"/>
      <c r="AR168" s="52">
        <v>17225</v>
      </c>
      <c r="AS168" s="52">
        <v>64544125</v>
      </c>
      <c r="AT168" s="52">
        <v>0</v>
      </c>
      <c r="AU168" s="41" t="s">
        <v>786</v>
      </c>
      <c r="AV168" s="41" t="s">
        <v>356</v>
      </c>
      <c r="AW168" s="41" t="s">
        <v>1021</v>
      </c>
      <c r="AX168" s="41" t="s">
        <v>748</v>
      </c>
    </row>
    <row r="169" spans="1:50" x14ac:dyDescent="0.2">
      <c r="A169" s="40">
        <v>64544225</v>
      </c>
      <c r="B169" s="41" t="s">
        <v>2804</v>
      </c>
      <c r="C169" s="41" t="s">
        <v>2987</v>
      </c>
      <c r="D169" s="41" t="s">
        <v>460</v>
      </c>
      <c r="E169" s="49">
        <v>3986243</v>
      </c>
      <c r="F169" s="49">
        <v>21190</v>
      </c>
      <c r="G169" s="50">
        <v>3965053</v>
      </c>
      <c r="H169" s="42" t="s">
        <v>2615</v>
      </c>
      <c r="I169" s="42" t="s">
        <v>461</v>
      </c>
      <c r="J169" s="43" t="s">
        <v>351</v>
      </c>
      <c r="K169" s="40">
        <v>11298110</v>
      </c>
      <c r="L169" s="41" t="s">
        <v>1024</v>
      </c>
      <c r="M169" s="41" t="s">
        <v>316</v>
      </c>
      <c r="N169" s="41" t="s">
        <v>317</v>
      </c>
      <c r="O169" s="41" t="s">
        <v>1025</v>
      </c>
      <c r="P169" s="41" t="s">
        <v>319</v>
      </c>
      <c r="Q169" s="40">
        <v>860034313</v>
      </c>
      <c r="R169" s="41" t="s">
        <v>355</v>
      </c>
      <c r="S169" s="40">
        <v>923245</v>
      </c>
      <c r="T169" s="41" t="s">
        <v>180</v>
      </c>
      <c r="U169" s="41" t="s">
        <v>29</v>
      </c>
      <c r="V169" s="41" t="s">
        <v>30</v>
      </c>
      <c r="W169" s="42" t="s">
        <v>31</v>
      </c>
      <c r="X169" s="42" t="s">
        <v>32</v>
      </c>
      <c r="Y169" s="42" t="s">
        <v>33</v>
      </c>
      <c r="Z169" s="42" t="s">
        <v>2816</v>
      </c>
      <c r="AA169" s="42" t="s">
        <v>34</v>
      </c>
      <c r="AB169" s="42" t="s">
        <v>34</v>
      </c>
      <c r="AC169" s="42" t="s">
        <v>34</v>
      </c>
      <c r="AD169" s="42" t="s">
        <v>462</v>
      </c>
      <c r="AE169" s="42"/>
      <c r="AF169" s="42"/>
      <c r="AG169" s="42" t="s">
        <v>463</v>
      </c>
      <c r="AH169" s="42"/>
      <c r="AI169" s="44"/>
      <c r="AJ169" s="42"/>
      <c r="AK169" s="44"/>
      <c r="AL169" s="42"/>
      <c r="AM169" s="52">
        <v>3825</v>
      </c>
      <c r="AN169" s="52">
        <v>3825</v>
      </c>
      <c r="AO169" s="52">
        <v>10825</v>
      </c>
      <c r="AP169" s="52">
        <v>0</v>
      </c>
      <c r="AQ169" s="42"/>
      <c r="AR169" s="52">
        <v>17325</v>
      </c>
      <c r="AS169" s="52">
        <v>64544225</v>
      </c>
      <c r="AT169" s="52">
        <v>0</v>
      </c>
      <c r="AU169" s="41" t="s">
        <v>1022</v>
      </c>
      <c r="AV169" s="41" t="s">
        <v>356</v>
      </c>
      <c r="AW169" s="41" t="s">
        <v>1027</v>
      </c>
      <c r="AX169" s="41" t="s">
        <v>748</v>
      </c>
    </row>
    <row r="170" spans="1:50" x14ac:dyDescent="0.2">
      <c r="A170" s="40">
        <v>64544325</v>
      </c>
      <c r="B170" s="41" t="s">
        <v>2804</v>
      </c>
      <c r="C170" s="41" t="s">
        <v>2989</v>
      </c>
      <c r="D170" s="41" t="s">
        <v>460</v>
      </c>
      <c r="E170" s="49">
        <v>3081756</v>
      </c>
      <c r="F170" s="49">
        <v>16056</v>
      </c>
      <c r="G170" s="50">
        <v>3065700</v>
      </c>
      <c r="H170" s="42" t="s">
        <v>2615</v>
      </c>
      <c r="I170" s="42" t="s">
        <v>461</v>
      </c>
      <c r="J170" s="43" t="s">
        <v>351</v>
      </c>
      <c r="K170" s="40">
        <v>52971648</v>
      </c>
      <c r="L170" s="41" t="s">
        <v>1029</v>
      </c>
      <c r="M170" s="41" t="s">
        <v>316</v>
      </c>
      <c r="N170" s="41" t="s">
        <v>317</v>
      </c>
      <c r="O170" s="41" t="s">
        <v>1030</v>
      </c>
      <c r="P170" s="41" t="s">
        <v>319</v>
      </c>
      <c r="Q170" s="40">
        <v>890903938</v>
      </c>
      <c r="R170" s="41" t="s">
        <v>342</v>
      </c>
      <c r="S170" s="40">
        <v>923245</v>
      </c>
      <c r="T170" s="41" t="s">
        <v>180</v>
      </c>
      <c r="U170" s="41" t="s">
        <v>29</v>
      </c>
      <c r="V170" s="41" t="s">
        <v>30</v>
      </c>
      <c r="W170" s="42" t="s">
        <v>31</v>
      </c>
      <c r="X170" s="42" t="s">
        <v>32</v>
      </c>
      <c r="Y170" s="42" t="s">
        <v>33</v>
      </c>
      <c r="Z170" s="42" t="s">
        <v>2893</v>
      </c>
      <c r="AA170" s="42" t="s">
        <v>34</v>
      </c>
      <c r="AB170" s="42" t="s">
        <v>34</v>
      </c>
      <c r="AC170" s="42" t="s">
        <v>34</v>
      </c>
      <c r="AD170" s="42" t="s">
        <v>462</v>
      </c>
      <c r="AE170" s="42"/>
      <c r="AF170" s="42"/>
      <c r="AG170" s="42" t="s">
        <v>463</v>
      </c>
      <c r="AH170" s="42"/>
      <c r="AI170" s="44"/>
      <c r="AJ170" s="42"/>
      <c r="AK170" s="44"/>
      <c r="AL170" s="42"/>
      <c r="AM170" s="52">
        <v>3825</v>
      </c>
      <c r="AN170" s="52">
        <v>3825</v>
      </c>
      <c r="AO170" s="52">
        <v>10925</v>
      </c>
      <c r="AP170" s="52">
        <v>0</v>
      </c>
      <c r="AQ170" s="42"/>
      <c r="AR170" s="52">
        <v>17425</v>
      </c>
      <c r="AS170" s="52">
        <v>64544325</v>
      </c>
      <c r="AT170" s="52">
        <v>0</v>
      </c>
      <c r="AU170" s="41" t="s">
        <v>1022</v>
      </c>
      <c r="AV170" s="41" t="s">
        <v>356</v>
      </c>
      <c r="AW170" s="41" t="s">
        <v>1032</v>
      </c>
      <c r="AX170" s="41" t="s">
        <v>748</v>
      </c>
    </row>
    <row r="171" spans="1:50" x14ac:dyDescent="0.2">
      <c r="A171" s="40">
        <v>64544525</v>
      </c>
      <c r="B171" s="41" t="s">
        <v>2804</v>
      </c>
      <c r="C171" s="41" t="s">
        <v>2874</v>
      </c>
      <c r="D171" s="41" t="s">
        <v>460</v>
      </c>
      <c r="E171" s="49">
        <v>3986243</v>
      </c>
      <c r="F171" s="49">
        <v>21190</v>
      </c>
      <c r="G171" s="50">
        <v>3965053</v>
      </c>
      <c r="H171" s="42" t="s">
        <v>2615</v>
      </c>
      <c r="I171" s="42" t="s">
        <v>461</v>
      </c>
      <c r="J171" s="43" t="s">
        <v>351</v>
      </c>
      <c r="K171" s="40">
        <v>79649154</v>
      </c>
      <c r="L171" s="41" t="s">
        <v>1034</v>
      </c>
      <c r="M171" s="41" t="s">
        <v>316</v>
      </c>
      <c r="N171" s="41" t="s">
        <v>317</v>
      </c>
      <c r="O171" s="41" t="s">
        <v>1035</v>
      </c>
      <c r="P171" s="41" t="s">
        <v>319</v>
      </c>
      <c r="Q171" s="40">
        <v>860034313</v>
      </c>
      <c r="R171" s="41" t="s">
        <v>355</v>
      </c>
      <c r="S171" s="40">
        <v>923245</v>
      </c>
      <c r="T171" s="41" t="s">
        <v>180</v>
      </c>
      <c r="U171" s="41" t="s">
        <v>29</v>
      </c>
      <c r="V171" s="41" t="s">
        <v>30</v>
      </c>
      <c r="W171" s="42" t="s">
        <v>31</v>
      </c>
      <c r="X171" s="42" t="s">
        <v>32</v>
      </c>
      <c r="Y171" s="42" t="s">
        <v>33</v>
      </c>
      <c r="Z171" s="42" t="s">
        <v>2816</v>
      </c>
      <c r="AA171" s="42" t="s">
        <v>34</v>
      </c>
      <c r="AB171" s="42" t="s">
        <v>34</v>
      </c>
      <c r="AC171" s="42" t="s">
        <v>34</v>
      </c>
      <c r="AD171" s="42" t="s">
        <v>462</v>
      </c>
      <c r="AE171" s="42"/>
      <c r="AF171" s="42"/>
      <c r="AG171" s="42" t="s">
        <v>463</v>
      </c>
      <c r="AH171" s="42"/>
      <c r="AI171" s="44"/>
      <c r="AJ171" s="42"/>
      <c r="AK171" s="44"/>
      <c r="AL171" s="42"/>
      <c r="AM171" s="52">
        <v>3825</v>
      </c>
      <c r="AN171" s="52">
        <v>3825</v>
      </c>
      <c r="AO171" s="52">
        <v>11025</v>
      </c>
      <c r="AP171" s="52">
        <v>0</v>
      </c>
      <c r="AQ171" s="42"/>
      <c r="AR171" s="52">
        <v>17525</v>
      </c>
      <c r="AS171" s="52">
        <v>64544525</v>
      </c>
      <c r="AT171" s="52">
        <v>0</v>
      </c>
      <c r="AU171" s="41" t="s">
        <v>1022</v>
      </c>
      <c r="AV171" s="41" t="s">
        <v>356</v>
      </c>
      <c r="AW171" s="41" t="s">
        <v>1037</v>
      </c>
      <c r="AX171" s="41" t="s">
        <v>748</v>
      </c>
    </row>
    <row r="172" spans="1:50" x14ac:dyDescent="0.2">
      <c r="A172" s="40">
        <v>64544625</v>
      </c>
      <c r="B172" s="41" t="s">
        <v>2804</v>
      </c>
      <c r="C172" s="41" t="s">
        <v>2992</v>
      </c>
      <c r="D172" s="41" t="s">
        <v>460</v>
      </c>
      <c r="E172" s="49">
        <v>3986243</v>
      </c>
      <c r="F172" s="49">
        <v>21190</v>
      </c>
      <c r="G172" s="50">
        <v>3965053</v>
      </c>
      <c r="H172" s="42" t="s">
        <v>2615</v>
      </c>
      <c r="I172" s="42" t="s">
        <v>461</v>
      </c>
      <c r="J172" s="43" t="s">
        <v>351</v>
      </c>
      <c r="K172" s="40">
        <v>80256718</v>
      </c>
      <c r="L172" s="41" t="s">
        <v>1039</v>
      </c>
      <c r="M172" s="41" t="s">
        <v>316</v>
      </c>
      <c r="N172" s="41" t="s">
        <v>317</v>
      </c>
      <c r="O172" s="41" t="s">
        <v>1040</v>
      </c>
      <c r="P172" s="41" t="s">
        <v>319</v>
      </c>
      <c r="Q172" s="40">
        <v>860007335</v>
      </c>
      <c r="R172" s="41" t="s">
        <v>381</v>
      </c>
      <c r="S172" s="40">
        <v>923245</v>
      </c>
      <c r="T172" s="41" t="s">
        <v>180</v>
      </c>
      <c r="U172" s="41" t="s">
        <v>29</v>
      </c>
      <c r="V172" s="41" t="s">
        <v>30</v>
      </c>
      <c r="W172" s="42" t="s">
        <v>31</v>
      </c>
      <c r="X172" s="42" t="s">
        <v>32</v>
      </c>
      <c r="Y172" s="42" t="s">
        <v>33</v>
      </c>
      <c r="Z172" s="42" t="s">
        <v>2816</v>
      </c>
      <c r="AA172" s="42" t="s">
        <v>34</v>
      </c>
      <c r="AB172" s="42" t="s">
        <v>34</v>
      </c>
      <c r="AC172" s="42" t="s">
        <v>34</v>
      </c>
      <c r="AD172" s="42" t="s">
        <v>462</v>
      </c>
      <c r="AE172" s="42"/>
      <c r="AF172" s="42"/>
      <c r="AG172" s="42" t="s">
        <v>463</v>
      </c>
      <c r="AH172" s="42"/>
      <c r="AI172" s="44"/>
      <c r="AJ172" s="42"/>
      <c r="AK172" s="44"/>
      <c r="AL172" s="42"/>
      <c r="AM172" s="52">
        <v>3825</v>
      </c>
      <c r="AN172" s="52">
        <v>3825</v>
      </c>
      <c r="AO172" s="52">
        <v>11125</v>
      </c>
      <c r="AP172" s="52">
        <v>0</v>
      </c>
      <c r="AQ172" s="42"/>
      <c r="AR172" s="52">
        <v>17625</v>
      </c>
      <c r="AS172" s="52">
        <v>64544625</v>
      </c>
      <c r="AT172" s="52">
        <v>0</v>
      </c>
      <c r="AU172" s="41" t="s">
        <v>1022</v>
      </c>
      <c r="AV172" s="41" t="s">
        <v>356</v>
      </c>
      <c r="AW172" s="41" t="s">
        <v>1042</v>
      </c>
      <c r="AX172" s="41" t="s">
        <v>748</v>
      </c>
    </row>
    <row r="173" spans="1:50" x14ac:dyDescent="0.2">
      <c r="A173" s="40">
        <v>64544725</v>
      </c>
      <c r="B173" s="41" t="s">
        <v>2804</v>
      </c>
      <c r="C173" s="41" t="s">
        <v>2994</v>
      </c>
      <c r="D173" s="41" t="s">
        <v>460</v>
      </c>
      <c r="E173" s="49">
        <v>3986243</v>
      </c>
      <c r="F173" s="49">
        <v>21190</v>
      </c>
      <c r="G173" s="50">
        <v>3965053</v>
      </c>
      <c r="H173" s="42" t="s">
        <v>2615</v>
      </c>
      <c r="I173" s="42" t="s">
        <v>461</v>
      </c>
      <c r="J173" s="43" t="s">
        <v>351</v>
      </c>
      <c r="K173" s="40">
        <v>79646599</v>
      </c>
      <c r="L173" s="41" t="s">
        <v>1044</v>
      </c>
      <c r="M173" s="41" t="s">
        <v>316</v>
      </c>
      <c r="N173" s="41" t="s">
        <v>317</v>
      </c>
      <c r="O173" s="41" t="s">
        <v>1045</v>
      </c>
      <c r="P173" s="41" t="s">
        <v>319</v>
      </c>
      <c r="Q173" s="40">
        <v>890903937</v>
      </c>
      <c r="R173" s="41" t="s">
        <v>1046</v>
      </c>
      <c r="S173" s="40">
        <v>923245</v>
      </c>
      <c r="T173" s="41" t="s">
        <v>180</v>
      </c>
      <c r="U173" s="41" t="s">
        <v>29</v>
      </c>
      <c r="V173" s="41" t="s">
        <v>30</v>
      </c>
      <c r="W173" s="42" t="s">
        <v>31</v>
      </c>
      <c r="X173" s="42" t="s">
        <v>32</v>
      </c>
      <c r="Y173" s="42" t="s">
        <v>33</v>
      </c>
      <c r="Z173" s="42" t="s">
        <v>2816</v>
      </c>
      <c r="AA173" s="42" t="s">
        <v>34</v>
      </c>
      <c r="AB173" s="42" t="s">
        <v>34</v>
      </c>
      <c r="AC173" s="42" t="s">
        <v>34</v>
      </c>
      <c r="AD173" s="42" t="s">
        <v>462</v>
      </c>
      <c r="AE173" s="42"/>
      <c r="AF173" s="42"/>
      <c r="AG173" s="42" t="s">
        <v>463</v>
      </c>
      <c r="AH173" s="42"/>
      <c r="AI173" s="44"/>
      <c r="AJ173" s="42"/>
      <c r="AK173" s="44"/>
      <c r="AL173" s="42"/>
      <c r="AM173" s="52">
        <v>3825</v>
      </c>
      <c r="AN173" s="52">
        <v>3825</v>
      </c>
      <c r="AO173" s="52">
        <v>11225</v>
      </c>
      <c r="AP173" s="52">
        <v>0</v>
      </c>
      <c r="AQ173" s="42"/>
      <c r="AR173" s="52">
        <v>17725</v>
      </c>
      <c r="AS173" s="52">
        <v>64544725</v>
      </c>
      <c r="AT173" s="52">
        <v>0</v>
      </c>
      <c r="AU173" s="41" t="s">
        <v>1022</v>
      </c>
      <c r="AV173" s="41" t="s">
        <v>356</v>
      </c>
      <c r="AW173" s="41" t="s">
        <v>1048</v>
      </c>
      <c r="AX173" s="41" t="s">
        <v>748</v>
      </c>
    </row>
    <row r="174" spans="1:50" x14ac:dyDescent="0.2">
      <c r="A174" s="40">
        <v>64548625</v>
      </c>
      <c r="B174" s="41" t="s">
        <v>2804</v>
      </c>
      <c r="C174" s="41" t="s">
        <v>2996</v>
      </c>
      <c r="D174" s="41" t="s">
        <v>460</v>
      </c>
      <c r="E174" s="49">
        <v>3986243</v>
      </c>
      <c r="F174" s="49">
        <v>21190</v>
      </c>
      <c r="G174" s="50">
        <v>3965053</v>
      </c>
      <c r="H174" s="42" t="s">
        <v>2615</v>
      </c>
      <c r="I174" s="42" t="s">
        <v>461</v>
      </c>
      <c r="J174" s="43" t="s">
        <v>351</v>
      </c>
      <c r="K174" s="40">
        <v>79216079</v>
      </c>
      <c r="L174" s="41" t="s">
        <v>1050</v>
      </c>
      <c r="M174" s="41" t="s">
        <v>316</v>
      </c>
      <c r="N174" s="41" t="s">
        <v>317</v>
      </c>
      <c r="O174" s="41" t="s">
        <v>1051</v>
      </c>
      <c r="P174" s="41" t="s">
        <v>319</v>
      </c>
      <c r="Q174" s="40">
        <v>890903938</v>
      </c>
      <c r="R174" s="41" t="s">
        <v>342</v>
      </c>
      <c r="S174" s="40">
        <v>923245</v>
      </c>
      <c r="T174" s="41" t="s">
        <v>180</v>
      </c>
      <c r="U174" s="41" t="s">
        <v>29</v>
      </c>
      <c r="V174" s="41" t="s">
        <v>30</v>
      </c>
      <c r="W174" s="42" t="s">
        <v>31</v>
      </c>
      <c r="X174" s="42" t="s">
        <v>32</v>
      </c>
      <c r="Y174" s="42" t="s">
        <v>33</v>
      </c>
      <c r="Z174" s="42" t="s">
        <v>2816</v>
      </c>
      <c r="AA174" s="42" t="s">
        <v>34</v>
      </c>
      <c r="AB174" s="42" t="s">
        <v>34</v>
      </c>
      <c r="AC174" s="42" t="s">
        <v>34</v>
      </c>
      <c r="AD174" s="42" t="s">
        <v>462</v>
      </c>
      <c r="AE174" s="42"/>
      <c r="AF174" s="42"/>
      <c r="AG174" s="42" t="s">
        <v>463</v>
      </c>
      <c r="AH174" s="42"/>
      <c r="AI174" s="44"/>
      <c r="AJ174" s="42"/>
      <c r="AK174" s="44"/>
      <c r="AL174" s="42"/>
      <c r="AM174" s="52">
        <v>3825</v>
      </c>
      <c r="AN174" s="52">
        <v>3825</v>
      </c>
      <c r="AO174" s="52">
        <v>11325</v>
      </c>
      <c r="AP174" s="52">
        <v>0</v>
      </c>
      <c r="AQ174" s="42"/>
      <c r="AR174" s="52">
        <v>17825</v>
      </c>
      <c r="AS174" s="52">
        <v>64548625</v>
      </c>
      <c r="AT174" s="52">
        <v>0</v>
      </c>
      <c r="AU174" s="41" t="s">
        <v>1022</v>
      </c>
      <c r="AV174" s="41" t="s">
        <v>356</v>
      </c>
      <c r="AW174" s="41" t="s">
        <v>1053</v>
      </c>
      <c r="AX174" s="41" t="s">
        <v>748</v>
      </c>
    </row>
    <row r="175" spans="1:50" x14ac:dyDescent="0.2">
      <c r="A175" s="40">
        <v>64549825</v>
      </c>
      <c r="B175" s="41" t="s">
        <v>2804</v>
      </c>
      <c r="C175" s="41" t="s">
        <v>2998</v>
      </c>
      <c r="D175" s="41" t="s">
        <v>460</v>
      </c>
      <c r="E175" s="49">
        <v>3986243</v>
      </c>
      <c r="F175" s="49">
        <v>23190</v>
      </c>
      <c r="G175" s="50">
        <v>3963053</v>
      </c>
      <c r="H175" s="42" t="s">
        <v>2615</v>
      </c>
      <c r="I175" s="42" t="s">
        <v>461</v>
      </c>
      <c r="J175" s="43" t="s">
        <v>351</v>
      </c>
      <c r="K175" s="40">
        <v>1012439964</v>
      </c>
      <c r="L175" s="41" t="s">
        <v>1055</v>
      </c>
      <c r="M175" s="41" t="s">
        <v>316</v>
      </c>
      <c r="N175" s="41" t="s">
        <v>317</v>
      </c>
      <c r="O175" s="41" t="s">
        <v>1056</v>
      </c>
      <c r="P175" s="41" t="s">
        <v>319</v>
      </c>
      <c r="Q175" s="40">
        <v>890903938</v>
      </c>
      <c r="R175" s="41" t="s">
        <v>342</v>
      </c>
      <c r="S175" s="40">
        <v>923245</v>
      </c>
      <c r="T175" s="41" t="s">
        <v>180</v>
      </c>
      <c r="U175" s="41" t="s">
        <v>29</v>
      </c>
      <c r="V175" s="41" t="s">
        <v>30</v>
      </c>
      <c r="W175" s="42" t="s">
        <v>31</v>
      </c>
      <c r="X175" s="42" t="s">
        <v>32</v>
      </c>
      <c r="Y175" s="42" t="s">
        <v>33</v>
      </c>
      <c r="Z175" s="42" t="s">
        <v>2816</v>
      </c>
      <c r="AA175" s="42" t="s">
        <v>34</v>
      </c>
      <c r="AB175" s="42" t="s">
        <v>34</v>
      </c>
      <c r="AC175" s="42" t="s">
        <v>34</v>
      </c>
      <c r="AD175" s="42" t="s">
        <v>462</v>
      </c>
      <c r="AE175" s="42"/>
      <c r="AF175" s="42"/>
      <c r="AG175" s="42" t="s">
        <v>463</v>
      </c>
      <c r="AH175" s="42"/>
      <c r="AI175" s="44"/>
      <c r="AJ175" s="42"/>
      <c r="AK175" s="44"/>
      <c r="AL175" s="42"/>
      <c r="AM175" s="52">
        <v>3825</v>
      </c>
      <c r="AN175" s="52">
        <v>3825</v>
      </c>
      <c r="AO175" s="52">
        <v>11425</v>
      </c>
      <c r="AP175" s="52">
        <v>0</v>
      </c>
      <c r="AQ175" s="42"/>
      <c r="AR175" s="52">
        <v>17925</v>
      </c>
      <c r="AS175" s="52">
        <v>64549825</v>
      </c>
      <c r="AT175" s="52">
        <v>0</v>
      </c>
      <c r="AU175" s="41" t="s">
        <v>1022</v>
      </c>
      <c r="AV175" s="41" t="s">
        <v>356</v>
      </c>
      <c r="AW175" s="41" t="s">
        <v>1058</v>
      </c>
      <c r="AX175" s="41" t="s">
        <v>748</v>
      </c>
    </row>
    <row r="176" spans="1:50" x14ac:dyDescent="0.2">
      <c r="A176" s="40">
        <v>64549925</v>
      </c>
      <c r="B176" s="41" t="s">
        <v>2804</v>
      </c>
      <c r="C176" s="41" t="s">
        <v>3000</v>
      </c>
      <c r="D176" s="41" t="s">
        <v>460</v>
      </c>
      <c r="E176" s="49">
        <v>3986243</v>
      </c>
      <c r="F176" s="49">
        <v>21190</v>
      </c>
      <c r="G176" s="50">
        <v>3965053</v>
      </c>
      <c r="H176" s="42" t="s">
        <v>2615</v>
      </c>
      <c r="I176" s="42" t="s">
        <v>461</v>
      </c>
      <c r="J176" s="43" t="s">
        <v>351</v>
      </c>
      <c r="K176" s="40">
        <v>79221542</v>
      </c>
      <c r="L176" s="41" t="s">
        <v>1060</v>
      </c>
      <c r="M176" s="41" t="s">
        <v>316</v>
      </c>
      <c r="N176" s="41" t="s">
        <v>317</v>
      </c>
      <c r="O176" s="41" t="s">
        <v>1061</v>
      </c>
      <c r="P176" s="41" t="s">
        <v>319</v>
      </c>
      <c r="Q176" s="40">
        <v>860007335</v>
      </c>
      <c r="R176" s="41" t="s">
        <v>381</v>
      </c>
      <c r="S176" s="40">
        <v>923245</v>
      </c>
      <c r="T176" s="41" t="s">
        <v>180</v>
      </c>
      <c r="U176" s="41" t="s">
        <v>29</v>
      </c>
      <c r="V176" s="41" t="s">
        <v>30</v>
      </c>
      <c r="W176" s="42" t="s">
        <v>31</v>
      </c>
      <c r="X176" s="42" t="s">
        <v>32</v>
      </c>
      <c r="Y176" s="42" t="s">
        <v>33</v>
      </c>
      <c r="Z176" s="42" t="s">
        <v>2816</v>
      </c>
      <c r="AA176" s="42" t="s">
        <v>34</v>
      </c>
      <c r="AB176" s="42" t="s">
        <v>34</v>
      </c>
      <c r="AC176" s="42" t="s">
        <v>34</v>
      </c>
      <c r="AD176" s="42" t="s">
        <v>462</v>
      </c>
      <c r="AE176" s="42"/>
      <c r="AF176" s="42"/>
      <c r="AG176" s="42" t="s">
        <v>463</v>
      </c>
      <c r="AH176" s="42"/>
      <c r="AI176" s="44"/>
      <c r="AJ176" s="42"/>
      <c r="AK176" s="44"/>
      <c r="AL176" s="42"/>
      <c r="AM176" s="52">
        <v>3825</v>
      </c>
      <c r="AN176" s="52">
        <v>3825</v>
      </c>
      <c r="AO176" s="52">
        <v>11525</v>
      </c>
      <c r="AP176" s="52">
        <v>0</v>
      </c>
      <c r="AQ176" s="42"/>
      <c r="AR176" s="52">
        <v>18025</v>
      </c>
      <c r="AS176" s="52">
        <v>64549925</v>
      </c>
      <c r="AT176" s="52">
        <v>0</v>
      </c>
      <c r="AU176" s="41" t="s">
        <v>1022</v>
      </c>
      <c r="AV176" s="41" t="s">
        <v>356</v>
      </c>
      <c r="AW176" s="41" t="s">
        <v>1063</v>
      </c>
      <c r="AX176" s="41" t="s">
        <v>748</v>
      </c>
    </row>
    <row r="177" spans="1:50" x14ac:dyDescent="0.2">
      <c r="A177" s="40">
        <v>64550025</v>
      </c>
      <c r="B177" s="41" t="s">
        <v>2804</v>
      </c>
      <c r="C177" s="41" t="s">
        <v>3002</v>
      </c>
      <c r="D177" s="41" t="s">
        <v>460</v>
      </c>
      <c r="E177" s="49">
        <v>3986243</v>
      </c>
      <c r="F177" s="49">
        <v>21190</v>
      </c>
      <c r="G177" s="50">
        <v>3965053</v>
      </c>
      <c r="H177" s="42" t="s">
        <v>2615</v>
      </c>
      <c r="I177" s="42" t="s">
        <v>461</v>
      </c>
      <c r="J177" s="43" t="s">
        <v>351</v>
      </c>
      <c r="K177" s="40">
        <v>1032360333</v>
      </c>
      <c r="L177" s="41" t="s">
        <v>1065</v>
      </c>
      <c r="M177" s="41" t="s">
        <v>316</v>
      </c>
      <c r="N177" s="41" t="s">
        <v>317</v>
      </c>
      <c r="O177" s="41" t="s">
        <v>1066</v>
      </c>
      <c r="P177" s="41" t="s">
        <v>319</v>
      </c>
      <c r="Q177" s="40">
        <v>890903938</v>
      </c>
      <c r="R177" s="41" t="s">
        <v>342</v>
      </c>
      <c r="S177" s="40">
        <v>923245</v>
      </c>
      <c r="T177" s="41" t="s">
        <v>180</v>
      </c>
      <c r="U177" s="41" t="s">
        <v>29</v>
      </c>
      <c r="V177" s="41" t="s">
        <v>30</v>
      </c>
      <c r="W177" s="42" t="s">
        <v>31</v>
      </c>
      <c r="X177" s="42" t="s">
        <v>32</v>
      </c>
      <c r="Y177" s="42" t="s">
        <v>33</v>
      </c>
      <c r="Z177" s="42" t="s">
        <v>2816</v>
      </c>
      <c r="AA177" s="42" t="s">
        <v>34</v>
      </c>
      <c r="AB177" s="42" t="s">
        <v>34</v>
      </c>
      <c r="AC177" s="42" t="s">
        <v>34</v>
      </c>
      <c r="AD177" s="42" t="s">
        <v>462</v>
      </c>
      <c r="AE177" s="42"/>
      <c r="AF177" s="42"/>
      <c r="AG177" s="42" t="s">
        <v>463</v>
      </c>
      <c r="AH177" s="42"/>
      <c r="AI177" s="44"/>
      <c r="AJ177" s="42"/>
      <c r="AK177" s="44"/>
      <c r="AL177" s="42"/>
      <c r="AM177" s="52">
        <v>3825</v>
      </c>
      <c r="AN177" s="52">
        <v>3825</v>
      </c>
      <c r="AO177" s="52">
        <v>11625</v>
      </c>
      <c r="AP177" s="52">
        <v>0</v>
      </c>
      <c r="AQ177" s="42"/>
      <c r="AR177" s="52">
        <v>18125</v>
      </c>
      <c r="AS177" s="52">
        <v>64550025</v>
      </c>
      <c r="AT177" s="52">
        <v>0</v>
      </c>
      <c r="AU177" s="41" t="s">
        <v>1022</v>
      </c>
      <c r="AV177" s="41" t="s">
        <v>356</v>
      </c>
      <c r="AW177" s="41" t="s">
        <v>1068</v>
      </c>
      <c r="AX177" s="41" t="s">
        <v>748</v>
      </c>
    </row>
    <row r="178" spans="1:50" x14ac:dyDescent="0.2">
      <c r="A178" s="40">
        <v>64550125</v>
      </c>
      <c r="B178" s="41" t="s">
        <v>2804</v>
      </c>
      <c r="C178" s="41" t="s">
        <v>3004</v>
      </c>
      <c r="D178" s="41" t="s">
        <v>460</v>
      </c>
      <c r="E178" s="49">
        <v>3986243</v>
      </c>
      <c r="F178" s="49">
        <v>21190</v>
      </c>
      <c r="G178" s="50">
        <v>3965053</v>
      </c>
      <c r="H178" s="42" t="s">
        <v>2615</v>
      </c>
      <c r="I178" s="42" t="s">
        <v>461</v>
      </c>
      <c r="J178" s="43" t="s">
        <v>351</v>
      </c>
      <c r="K178" s="40">
        <v>79938816</v>
      </c>
      <c r="L178" s="41" t="s">
        <v>1070</v>
      </c>
      <c r="M178" s="41" t="s">
        <v>316</v>
      </c>
      <c r="N178" s="41" t="s">
        <v>317</v>
      </c>
      <c r="O178" s="41" t="s">
        <v>1071</v>
      </c>
      <c r="P178" s="41" t="s">
        <v>319</v>
      </c>
      <c r="Q178" s="40">
        <v>860034594</v>
      </c>
      <c r="R178" s="41" t="s">
        <v>374</v>
      </c>
      <c r="S178" s="40">
        <v>923245</v>
      </c>
      <c r="T178" s="41" t="s">
        <v>180</v>
      </c>
      <c r="U178" s="41" t="s">
        <v>29</v>
      </c>
      <c r="V178" s="41" t="s">
        <v>30</v>
      </c>
      <c r="W178" s="42" t="s">
        <v>31</v>
      </c>
      <c r="X178" s="42" t="s">
        <v>32</v>
      </c>
      <c r="Y178" s="42" t="s">
        <v>33</v>
      </c>
      <c r="Z178" s="42" t="s">
        <v>2816</v>
      </c>
      <c r="AA178" s="42" t="s">
        <v>34</v>
      </c>
      <c r="AB178" s="42" t="s">
        <v>34</v>
      </c>
      <c r="AC178" s="42" t="s">
        <v>34</v>
      </c>
      <c r="AD178" s="42" t="s">
        <v>462</v>
      </c>
      <c r="AE178" s="42"/>
      <c r="AF178" s="42"/>
      <c r="AG178" s="42" t="s">
        <v>463</v>
      </c>
      <c r="AH178" s="42"/>
      <c r="AI178" s="44"/>
      <c r="AJ178" s="42"/>
      <c r="AK178" s="44"/>
      <c r="AL178" s="42"/>
      <c r="AM178" s="52">
        <v>3825</v>
      </c>
      <c r="AN178" s="52">
        <v>3825</v>
      </c>
      <c r="AO178" s="52">
        <v>11725</v>
      </c>
      <c r="AP178" s="52">
        <v>0</v>
      </c>
      <c r="AQ178" s="42"/>
      <c r="AR178" s="52">
        <v>18225</v>
      </c>
      <c r="AS178" s="52">
        <v>64550125</v>
      </c>
      <c r="AT178" s="52">
        <v>0</v>
      </c>
      <c r="AU178" s="41" t="s">
        <v>1022</v>
      </c>
      <c r="AV178" s="41" t="s">
        <v>356</v>
      </c>
      <c r="AW178" s="41" t="s">
        <v>1073</v>
      </c>
      <c r="AX178" s="41" t="s">
        <v>748</v>
      </c>
    </row>
    <row r="179" spans="1:50" x14ac:dyDescent="0.2">
      <c r="A179" s="40">
        <v>64550325</v>
      </c>
      <c r="B179" s="41" t="s">
        <v>2804</v>
      </c>
      <c r="C179" s="41" t="s">
        <v>3006</v>
      </c>
      <c r="D179" s="41" t="s">
        <v>460</v>
      </c>
      <c r="E179" s="49">
        <v>3986243</v>
      </c>
      <c r="F179" s="49">
        <v>21190</v>
      </c>
      <c r="G179" s="50">
        <v>3965053</v>
      </c>
      <c r="H179" s="42" t="s">
        <v>2615</v>
      </c>
      <c r="I179" s="42" t="s">
        <v>461</v>
      </c>
      <c r="J179" s="43" t="s">
        <v>351</v>
      </c>
      <c r="K179" s="40">
        <v>52529189</v>
      </c>
      <c r="L179" s="41" t="s">
        <v>1075</v>
      </c>
      <c r="M179" s="41" t="s">
        <v>316</v>
      </c>
      <c r="N179" s="41" t="s">
        <v>317</v>
      </c>
      <c r="O179" s="41" t="s">
        <v>1076</v>
      </c>
      <c r="P179" s="41" t="s">
        <v>319</v>
      </c>
      <c r="Q179" s="40">
        <v>890903938</v>
      </c>
      <c r="R179" s="41" t="s">
        <v>342</v>
      </c>
      <c r="S179" s="40">
        <v>923245</v>
      </c>
      <c r="T179" s="41" t="s">
        <v>180</v>
      </c>
      <c r="U179" s="41" t="s">
        <v>29</v>
      </c>
      <c r="V179" s="41" t="s">
        <v>30</v>
      </c>
      <c r="W179" s="42" t="s">
        <v>31</v>
      </c>
      <c r="X179" s="42" t="s">
        <v>32</v>
      </c>
      <c r="Y179" s="42" t="s">
        <v>33</v>
      </c>
      <c r="Z179" s="42" t="s">
        <v>2816</v>
      </c>
      <c r="AA179" s="42" t="s">
        <v>34</v>
      </c>
      <c r="AB179" s="42" t="s">
        <v>34</v>
      </c>
      <c r="AC179" s="42" t="s">
        <v>34</v>
      </c>
      <c r="AD179" s="42" t="s">
        <v>462</v>
      </c>
      <c r="AE179" s="42"/>
      <c r="AF179" s="42"/>
      <c r="AG179" s="42" t="s">
        <v>463</v>
      </c>
      <c r="AH179" s="42"/>
      <c r="AI179" s="44"/>
      <c r="AJ179" s="42"/>
      <c r="AK179" s="44"/>
      <c r="AL179" s="42"/>
      <c r="AM179" s="52">
        <v>3825</v>
      </c>
      <c r="AN179" s="52">
        <v>3825</v>
      </c>
      <c r="AO179" s="52">
        <v>11825</v>
      </c>
      <c r="AP179" s="52">
        <v>0</v>
      </c>
      <c r="AQ179" s="42"/>
      <c r="AR179" s="52">
        <v>18325</v>
      </c>
      <c r="AS179" s="52">
        <v>64550325</v>
      </c>
      <c r="AT179" s="52">
        <v>0</v>
      </c>
      <c r="AU179" s="41" t="s">
        <v>1022</v>
      </c>
      <c r="AV179" s="41" t="s">
        <v>356</v>
      </c>
      <c r="AW179" s="41" t="s">
        <v>1078</v>
      </c>
      <c r="AX179" s="41" t="s">
        <v>748</v>
      </c>
    </row>
    <row r="180" spans="1:50" x14ac:dyDescent="0.2">
      <c r="A180" s="40">
        <v>64550425</v>
      </c>
      <c r="B180" s="41" t="s">
        <v>2804</v>
      </c>
      <c r="C180" s="41" t="s">
        <v>2842</v>
      </c>
      <c r="D180" s="41" t="s">
        <v>460</v>
      </c>
      <c r="E180" s="49">
        <v>3986243</v>
      </c>
      <c r="F180" s="49">
        <v>21190</v>
      </c>
      <c r="G180" s="50">
        <v>3965053</v>
      </c>
      <c r="H180" s="42" t="s">
        <v>2615</v>
      </c>
      <c r="I180" s="42" t="s">
        <v>461</v>
      </c>
      <c r="J180" s="43" t="s">
        <v>351</v>
      </c>
      <c r="K180" s="40">
        <v>52542737</v>
      </c>
      <c r="L180" s="41" t="s">
        <v>1080</v>
      </c>
      <c r="M180" s="41" t="s">
        <v>316</v>
      </c>
      <c r="N180" s="41" t="s">
        <v>317</v>
      </c>
      <c r="O180" s="41" t="s">
        <v>1081</v>
      </c>
      <c r="P180" s="41" t="s">
        <v>319</v>
      </c>
      <c r="Q180" s="40">
        <v>860035827</v>
      </c>
      <c r="R180" s="41" t="s">
        <v>653</v>
      </c>
      <c r="S180" s="40">
        <v>923245</v>
      </c>
      <c r="T180" s="41" t="s">
        <v>180</v>
      </c>
      <c r="U180" s="41" t="s">
        <v>29</v>
      </c>
      <c r="V180" s="41" t="s">
        <v>30</v>
      </c>
      <c r="W180" s="42" t="s">
        <v>31</v>
      </c>
      <c r="X180" s="42" t="s">
        <v>32</v>
      </c>
      <c r="Y180" s="42" t="s">
        <v>33</v>
      </c>
      <c r="Z180" s="42" t="s">
        <v>2816</v>
      </c>
      <c r="AA180" s="42" t="s">
        <v>34</v>
      </c>
      <c r="AB180" s="42" t="s">
        <v>34</v>
      </c>
      <c r="AC180" s="42" t="s">
        <v>34</v>
      </c>
      <c r="AD180" s="42" t="s">
        <v>462</v>
      </c>
      <c r="AE180" s="42"/>
      <c r="AF180" s="42"/>
      <c r="AG180" s="42" t="s">
        <v>463</v>
      </c>
      <c r="AH180" s="42"/>
      <c r="AI180" s="44"/>
      <c r="AJ180" s="42"/>
      <c r="AK180" s="44"/>
      <c r="AL180" s="42"/>
      <c r="AM180" s="52">
        <v>3825</v>
      </c>
      <c r="AN180" s="52">
        <v>3825</v>
      </c>
      <c r="AO180" s="52">
        <v>11925</v>
      </c>
      <c r="AP180" s="52">
        <v>0</v>
      </c>
      <c r="AQ180" s="42"/>
      <c r="AR180" s="52">
        <v>18425</v>
      </c>
      <c r="AS180" s="52">
        <v>64550425</v>
      </c>
      <c r="AT180" s="52">
        <v>0</v>
      </c>
      <c r="AU180" s="41" t="s">
        <v>1022</v>
      </c>
      <c r="AV180" s="41" t="s">
        <v>356</v>
      </c>
      <c r="AW180" s="41" t="s">
        <v>1083</v>
      </c>
      <c r="AX180" s="41" t="s">
        <v>748</v>
      </c>
    </row>
    <row r="181" spans="1:50" x14ac:dyDescent="0.2">
      <c r="A181" s="40">
        <v>64550525</v>
      </c>
      <c r="B181" s="41" t="s">
        <v>2804</v>
      </c>
      <c r="C181" s="41" t="s">
        <v>3000</v>
      </c>
      <c r="D181" s="41" t="s">
        <v>460</v>
      </c>
      <c r="E181" s="49">
        <v>3986243</v>
      </c>
      <c r="F181" s="49">
        <v>21190</v>
      </c>
      <c r="G181" s="50">
        <v>3965053</v>
      </c>
      <c r="H181" s="42" t="s">
        <v>2615</v>
      </c>
      <c r="I181" s="42" t="s">
        <v>461</v>
      </c>
      <c r="J181" s="43" t="s">
        <v>351</v>
      </c>
      <c r="K181" s="40">
        <v>52545500</v>
      </c>
      <c r="L181" s="41" t="s">
        <v>1085</v>
      </c>
      <c r="M181" s="41" t="s">
        <v>316</v>
      </c>
      <c r="N181" s="41" t="s">
        <v>317</v>
      </c>
      <c r="O181" s="41" t="s">
        <v>1086</v>
      </c>
      <c r="P181" s="41" t="s">
        <v>319</v>
      </c>
      <c r="Q181" s="40">
        <v>860007335</v>
      </c>
      <c r="R181" s="41" t="s">
        <v>381</v>
      </c>
      <c r="S181" s="40">
        <v>923245</v>
      </c>
      <c r="T181" s="41" t="s">
        <v>180</v>
      </c>
      <c r="U181" s="41" t="s">
        <v>29</v>
      </c>
      <c r="V181" s="41" t="s">
        <v>30</v>
      </c>
      <c r="W181" s="42" t="s">
        <v>31</v>
      </c>
      <c r="X181" s="42" t="s">
        <v>32</v>
      </c>
      <c r="Y181" s="42" t="s">
        <v>33</v>
      </c>
      <c r="Z181" s="42" t="s">
        <v>2816</v>
      </c>
      <c r="AA181" s="42" t="s">
        <v>34</v>
      </c>
      <c r="AB181" s="42" t="s">
        <v>34</v>
      </c>
      <c r="AC181" s="42" t="s">
        <v>34</v>
      </c>
      <c r="AD181" s="42" t="s">
        <v>462</v>
      </c>
      <c r="AE181" s="42"/>
      <c r="AF181" s="42"/>
      <c r="AG181" s="42" t="s">
        <v>463</v>
      </c>
      <c r="AH181" s="42"/>
      <c r="AI181" s="44"/>
      <c r="AJ181" s="42"/>
      <c r="AK181" s="44"/>
      <c r="AL181" s="42"/>
      <c r="AM181" s="52">
        <v>3825</v>
      </c>
      <c r="AN181" s="52">
        <v>3825</v>
      </c>
      <c r="AO181" s="52">
        <v>12025</v>
      </c>
      <c r="AP181" s="52">
        <v>0</v>
      </c>
      <c r="AQ181" s="42"/>
      <c r="AR181" s="52">
        <v>18525</v>
      </c>
      <c r="AS181" s="52">
        <v>64550525</v>
      </c>
      <c r="AT181" s="52">
        <v>0</v>
      </c>
      <c r="AU181" s="41" t="s">
        <v>1022</v>
      </c>
      <c r="AV181" s="41" t="s">
        <v>356</v>
      </c>
      <c r="AW181" s="41" t="s">
        <v>1088</v>
      </c>
      <c r="AX181" s="41" t="s">
        <v>748</v>
      </c>
    </row>
    <row r="182" spans="1:50" x14ac:dyDescent="0.2">
      <c r="A182" s="40">
        <v>64550625</v>
      </c>
      <c r="B182" s="41" t="s">
        <v>2804</v>
      </c>
      <c r="C182" s="41" t="s">
        <v>2857</v>
      </c>
      <c r="D182" s="41" t="s">
        <v>460</v>
      </c>
      <c r="E182" s="49">
        <v>3986243</v>
      </c>
      <c r="F182" s="49">
        <v>21190</v>
      </c>
      <c r="G182" s="50">
        <v>3965053</v>
      </c>
      <c r="H182" s="42" t="s">
        <v>2615</v>
      </c>
      <c r="I182" s="42" t="s">
        <v>461</v>
      </c>
      <c r="J182" s="43" t="s">
        <v>351</v>
      </c>
      <c r="K182" s="40">
        <v>52823268</v>
      </c>
      <c r="L182" s="41" t="s">
        <v>1090</v>
      </c>
      <c r="M182" s="41" t="s">
        <v>316</v>
      </c>
      <c r="N182" s="41" t="s">
        <v>317</v>
      </c>
      <c r="O182" s="41" t="s">
        <v>1091</v>
      </c>
      <c r="P182" s="41" t="s">
        <v>319</v>
      </c>
      <c r="Q182" s="40">
        <v>860007335</v>
      </c>
      <c r="R182" s="41" t="s">
        <v>381</v>
      </c>
      <c r="S182" s="40">
        <v>923245</v>
      </c>
      <c r="T182" s="41" t="s">
        <v>180</v>
      </c>
      <c r="U182" s="41" t="s">
        <v>29</v>
      </c>
      <c r="V182" s="41" t="s">
        <v>30</v>
      </c>
      <c r="W182" s="42" t="s">
        <v>31</v>
      </c>
      <c r="X182" s="42" t="s">
        <v>32</v>
      </c>
      <c r="Y182" s="42" t="s">
        <v>33</v>
      </c>
      <c r="Z182" s="42" t="s">
        <v>2816</v>
      </c>
      <c r="AA182" s="42" t="s">
        <v>34</v>
      </c>
      <c r="AB182" s="42" t="s">
        <v>34</v>
      </c>
      <c r="AC182" s="42" t="s">
        <v>34</v>
      </c>
      <c r="AD182" s="42" t="s">
        <v>462</v>
      </c>
      <c r="AE182" s="42"/>
      <c r="AF182" s="42"/>
      <c r="AG182" s="42" t="s">
        <v>463</v>
      </c>
      <c r="AH182" s="42"/>
      <c r="AI182" s="44"/>
      <c r="AJ182" s="42"/>
      <c r="AK182" s="44"/>
      <c r="AL182" s="42"/>
      <c r="AM182" s="52">
        <v>3825</v>
      </c>
      <c r="AN182" s="52">
        <v>3825</v>
      </c>
      <c r="AO182" s="52">
        <v>12125</v>
      </c>
      <c r="AP182" s="52">
        <v>0</v>
      </c>
      <c r="AQ182" s="42"/>
      <c r="AR182" s="52">
        <v>18625</v>
      </c>
      <c r="AS182" s="52">
        <v>64550625</v>
      </c>
      <c r="AT182" s="52">
        <v>0</v>
      </c>
      <c r="AU182" s="41" t="s">
        <v>1022</v>
      </c>
      <c r="AV182" s="41" t="s">
        <v>356</v>
      </c>
      <c r="AW182" s="41" t="s">
        <v>1093</v>
      </c>
      <c r="AX182" s="41" t="s">
        <v>748</v>
      </c>
    </row>
    <row r="183" spans="1:50" x14ac:dyDescent="0.2">
      <c r="A183" s="40">
        <v>64550725</v>
      </c>
      <c r="B183" s="41" t="s">
        <v>2804</v>
      </c>
      <c r="C183" s="41" t="s">
        <v>2979</v>
      </c>
      <c r="D183" s="41" t="s">
        <v>460</v>
      </c>
      <c r="E183" s="49">
        <v>3986243</v>
      </c>
      <c r="F183" s="49">
        <v>21190</v>
      </c>
      <c r="G183" s="50">
        <v>3965053</v>
      </c>
      <c r="H183" s="42" t="s">
        <v>2615</v>
      </c>
      <c r="I183" s="42" t="s">
        <v>461</v>
      </c>
      <c r="J183" s="43" t="s">
        <v>351</v>
      </c>
      <c r="K183" s="40">
        <v>20996655</v>
      </c>
      <c r="L183" s="41" t="s">
        <v>1095</v>
      </c>
      <c r="M183" s="41" t="s">
        <v>316</v>
      </c>
      <c r="N183" s="41" t="s">
        <v>317</v>
      </c>
      <c r="O183" s="41" t="s">
        <v>1096</v>
      </c>
      <c r="P183" s="41" t="s">
        <v>319</v>
      </c>
      <c r="Q183" s="40">
        <v>890903938</v>
      </c>
      <c r="R183" s="41" t="s">
        <v>342</v>
      </c>
      <c r="S183" s="40">
        <v>923245</v>
      </c>
      <c r="T183" s="41" t="s">
        <v>180</v>
      </c>
      <c r="U183" s="41" t="s">
        <v>29</v>
      </c>
      <c r="V183" s="41" t="s">
        <v>30</v>
      </c>
      <c r="W183" s="42" t="s">
        <v>31</v>
      </c>
      <c r="X183" s="42" t="s">
        <v>32</v>
      </c>
      <c r="Y183" s="42" t="s">
        <v>33</v>
      </c>
      <c r="Z183" s="42" t="s">
        <v>2816</v>
      </c>
      <c r="AA183" s="42" t="s">
        <v>34</v>
      </c>
      <c r="AB183" s="42" t="s">
        <v>34</v>
      </c>
      <c r="AC183" s="42" t="s">
        <v>34</v>
      </c>
      <c r="AD183" s="42" t="s">
        <v>462</v>
      </c>
      <c r="AE183" s="42"/>
      <c r="AF183" s="42"/>
      <c r="AG183" s="42" t="s">
        <v>463</v>
      </c>
      <c r="AH183" s="42"/>
      <c r="AI183" s="44"/>
      <c r="AJ183" s="42"/>
      <c r="AK183" s="44"/>
      <c r="AL183" s="42"/>
      <c r="AM183" s="52">
        <v>3825</v>
      </c>
      <c r="AN183" s="52">
        <v>3825</v>
      </c>
      <c r="AO183" s="52">
        <v>12225</v>
      </c>
      <c r="AP183" s="52">
        <v>0</v>
      </c>
      <c r="AQ183" s="42"/>
      <c r="AR183" s="52">
        <v>18725</v>
      </c>
      <c r="AS183" s="52">
        <v>64550725</v>
      </c>
      <c r="AT183" s="52">
        <v>0</v>
      </c>
      <c r="AU183" s="41" t="s">
        <v>1022</v>
      </c>
      <c r="AV183" s="41" t="s">
        <v>356</v>
      </c>
      <c r="AW183" s="41" t="s">
        <v>1098</v>
      </c>
      <c r="AX183" s="41" t="s">
        <v>748</v>
      </c>
    </row>
    <row r="184" spans="1:50" x14ac:dyDescent="0.2">
      <c r="A184" s="40">
        <v>64550825</v>
      </c>
      <c r="B184" s="41" t="s">
        <v>2804</v>
      </c>
      <c r="C184" s="41" t="s">
        <v>3004</v>
      </c>
      <c r="D184" s="41" t="s">
        <v>460</v>
      </c>
      <c r="E184" s="49">
        <v>3986243</v>
      </c>
      <c r="F184" s="49">
        <v>21190</v>
      </c>
      <c r="G184" s="50">
        <v>3965053</v>
      </c>
      <c r="H184" s="42" t="s">
        <v>2615</v>
      </c>
      <c r="I184" s="42" t="s">
        <v>461</v>
      </c>
      <c r="J184" s="43" t="s">
        <v>351</v>
      </c>
      <c r="K184" s="40">
        <v>34990465</v>
      </c>
      <c r="L184" s="41" t="s">
        <v>1100</v>
      </c>
      <c r="M184" s="41" t="s">
        <v>316</v>
      </c>
      <c r="N184" s="41" t="s">
        <v>317</v>
      </c>
      <c r="O184" s="41" t="s">
        <v>1101</v>
      </c>
      <c r="P184" s="41" t="s">
        <v>319</v>
      </c>
      <c r="Q184" s="40">
        <v>860034594</v>
      </c>
      <c r="R184" s="41" t="s">
        <v>374</v>
      </c>
      <c r="S184" s="40">
        <v>923245</v>
      </c>
      <c r="T184" s="41" t="s">
        <v>180</v>
      </c>
      <c r="U184" s="41" t="s">
        <v>29</v>
      </c>
      <c r="V184" s="41" t="s">
        <v>30</v>
      </c>
      <c r="W184" s="42" t="s">
        <v>31</v>
      </c>
      <c r="X184" s="42" t="s">
        <v>32</v>
      </c>
      <c r="Y184" s="42" t="s">
        <v>33</v>
      </c>
      <c r="Z184" s="42" t="s">
        <v>2816</v>
      </c>
      <c r="AA184" s="42" t="s">
        <v>34</v>
      </c>
      <c r="AB184" s="42" t="s">
        <v>34</v>
      </c>
      <c r="AC184" s="42" t="s">
        <v>34</v>
      </c>
      <c r="AD184" s="42" t="s">
        <v>462</v>
      </c>
      <c r="AE184" s="42"/>
      <c r="AF184" s="42"/>
      <c r="AG184" s="42" t="s">
        <v>463</v>
      </c>
      <c r="AH184" s="42"/>
      <c r="AI184" s="44"/>
      <c r="AJ184" s="42"/>
      <c r="AK184" s="44"/>
      <c r="AL184" s="42"/>
      <c r="AM184" s="52">
        <v>3825</v>
      </c>
      <c r="AN184" s="52">
        <v>3825</v>
      </c>
      <c r="AO184" s="52">
        <v>12325</v>
      </c>
      <c r="AP184" s="52">
        <v>0</v>
      </c>
      <c r="AQ184" s="42"/>
      <c r="AR184" s="52">
        <v>18825</v>
      </c>
      <c r="AS184" s="52">
        <v>64550825</v>
      </c>
      <c r="AT184" s="52">
        <v>0</v>
      </c>
      <c r="AU184" s="41" t="s">
        <v>1022</v>
      </c>
      <c r="AV184" s="41" t="s">
        <v>356</v>
      </c>
      <c r="AW184" s="41" t="s">
        <v>1103</v>
      </c>
      <c r="AX184" s="41" t="s">
        <v>748</v>
      </c>
    </row>
    <row r="185" spans="1:50" x14ac:dyDescent="0.2">
      <c r="A185" s="40">
        <v>64550925</v>
      </c>
      <c r="B185" s="41" t="s">
        <v>2804</v>
      </c>
      <c r="C185" s="41" t="s">
        <v>3013</v>
      </c>
      <c r="D185" s="41" t="s">
        <v>460</v>
      </c>
      <c r="E185" s="49">
        <v>3986243</v>
      </c>
      <c r="F185" s="49">
        <v>21190</v>
      </c>
      <c r="G185" s="50">
        <v>3965053</v>
      </c>
      <c r="H185" s="42" t="s">
        <v>2615</v>
      </c>
      <c r="I185" s="42" t="s">
        <v>461</v>
      </c>
      <c r="J185" s="43" t="s">
        <v>351</v>
      </c>
      <c r="K185" s="40">
        <v>93370817</v>
      </c>
      <c r="L185" s="41" t="s">
        <v>1105</v>
      </c>
      <c r="M185" s="41" t="s">
        <v>316</v>
      </c>
      <c r="N185" s="41" t="s">
        <v>317</v>
      </c>
      <c r="O185" s="41" t="s">
        <v>1106</v>
      </c>
      <c r="P185" s="41" t="s">
        <v>319</v>
      </c>
      <c r="Q185" s="40">
        <v>860034313</v>
      </c>
      <c r="R185" s="41" t="s">
        <v>355</v>
      </c>
      <c r="S185" s="40">
        <v>923245</v>
      </c>
      <c r="T185" s="41" t="s">
        <v>180</v>
      </c>
      <c r="U185" s="41" t="s">
        <v>29</v>
      </c>
      <c r="V185" s="41" t="s">
        <v>30</v>
      </c>
      <c r="W185" s="42" t="s">
        <v>31</v>
      </c>
      <c r="X185" s="42" t="s">
        <v>32</v>
      </c>
      <c r="Y185" s="42" t="s">
        <v>33</v>
      </c>
      <c r="Z185" s="42" t="s">
        <v>2816</v>
      </c>
      <c r="AA185" s="42" t="s">
        <v>34</v>
      </c>
      <c r="AB185" s="42" t="s">
        <v>34</v>
      </c>
      <c r="AC185" s="42" t="s">
        <v>34</v>
      </c>
      <c r="AD185" s="42" t="s">
        <v>462</v>
      </c>
      <c r="AE185" s="42"/>
      <c r="AF185" s="42"/>
      <c r="AG185" s="42" t="s">
        <v>463</v>
      </c>
      <c r="AH185" s="42"/>
      <c r="AI185" s="44"/>
      <c r="AJ185" s="42"/>
      <c r="AK185" s="44"/>
      <c r="AL185" s="42"/>
      <c r="AM185" s="52">
        <v>3825</v>
      </c>
      <c r="AN185" s="52">
        <v>3825</v>
      </c>
      <c r="AO185" s="52">
        <v>12425</v>
      </c>
      <c r="AP185" s="52">
        <v>0</v>
      </c>
      <c r="AQ185" s="42"/>
      <c r="AR185" s="52">
        <v>18925</v>
      </c>
      <c r="AS185" s="52">
        <v>64550925</v>
      </c>
      <c r="AT185" s="52">
        <v>0</v>
      </c>
      <c r="AU185" s="41" t="s">
        <v>1022</v>
      </c>
      <c r="AV185" s="41" t="s">
        <v>356</v>
      </c>
      <c r="AW185" s="41" t="s">
        <v>1108</v>
      </c>
      <c r="AX185" s="41" t="s">
        <v>748</v>
      </c>
    </row>
    <row r="186" spans="1:50" x14ac:dyDescent="0.2">
      <c r="A186" s="40">
        <v>64551025</v>
      </c>
      <c r="B186" s="41" t="s">
        <v>2804</v>
      </c>
      <c r="C186" s="41" t="s">
        <v>2979</v>
      </c>
      <c r="D186" s="41" t="s">
        <v>460</v>
      </c>
      <c r="E186" s="49">
        <v>3986243</v>
      </c>
      <c r="F186" s="49">
        <v>21190</v>
      </c>
      <c r="G186" s="50">
        <v>3965053</v>
      </c>
      <c r="H186" s="42" t="s">
        <v>2615</v>
      </c>
      <c r="I186" s="42" t="s">
        <v>461</v>
      </c>
      <c r="J186" s="43" t="s">
        <v>351</v>
      </c>
      <c r="K186" s="40">
        <v>79643322</v>
      </c>
      <c r="L186" s="41" t="s">
        <v>1110</v>
      </c>
      <c r="M186" s="41" t="s">
        <v>316</v>
      </c>
      <c r="N186" s="41" t="s">
        <v>317</v>
      </c>
      <c r="O186" s="41" t="s">
        <v>1111</v>
      </c>
      <c r="P186" s="41" t="s">
        <v>319</v>
      </c>
      <c r="Q186" s="40">
        <v>890903938</v>
      </c>
      <c r="R186" s="41" t="s">
        <v>342</v>
      </c>
      <c r="S186" s="40">
        <v>923245</v>
      </c>
      <c r="T186" s="41" t="s">
        <v>180</v>
      </c>
      <c r="U186" s="41" t="s">
        <v>29</v>
      </c>
      <c r="V186" s="41" t="s">
        <v>30</v>
      </c>
      <c r="W186" s="42" t="s">
        <v>31</v>
      </c>
      <c r="X186" s="42" t="s">
        <v>32</v>
      </c>
      <c r="Y186" s="42" t="s">
        <v>33</v>
      </c>
      <c r="Z186" s="42" t="s">
        <v>2816</v>
      </c>
      <c r="AA186" s="42" t="s">
        <v>34</v>
      </c>
      <c r="AB186" s="42" t="s">
        <v>34</v>
      </c>
      <c r="AC186" s="42" t="s">
        <v>34</v>
      </c>
      <c r="AD186" s="42" t="s">
        <v>462</v>
      </c>
      <c r="AE186" s="42"/>
      <c r="AF186" s="42"/>
      <c r="AG186" s="42" t="s">
        <v>463</v>
      </c>
      <c r="AH186" s="42"/>
      <c r="AI186" s="44"/>
      <c r="AJ186" s="42"/>
      <c r="AK186" s="44"/>
      <c r="AL186" s="42"/>
      <c r="AM186" s="52">
        <v>3825</v>
      </c>
      <c r="AN186" s="52">
        <v>3825</v>
      </c>
      <c r="AO186" s="52">
        <v>12525</v>
      </c>
      <c r="AP186" s="52">
        <v>0</v>
      </c>
      <c r="AQ186" s="42"/>
      <c r="AR186" s="52">
        <v>19025</v>
      </c>
      <c r="AS186" s="52">
        <v>64551025</v>
      </c>
      <c r="AT186" s="52">
        <v>0</v>
      </c>
      <c r="AU186" s="41" t="s">
        <v>1022</v>
      </c>
      <c r="AV186" s="41" t="s">
        <v>356</v>
      </c>
      <c r="AW186" s="41" t="s">
        <v>1113</v>
      </c>
      <c r="AX186" s="41" t="s">
        <v>748</v>
      </c>
    </row>
    <row r="187" spans="1:50" x14ac:dyDescent="0.2">
      <c r="A187" s="40">
        <v>64551125</v>
      </c>
      <c r="B187" s="41" t="s">
        <v>2804</v>
      </c>
      <c r="C187" s="41" t="s">
        <v>3006</v>
      </c>
      <c r="D187" s="41" t="s">
        <v>460</v>
      </c>
      <c r="E187" s="49">
        <v>3986243</v>
      </c>
      <c r="F187" s="49">
        <v>21190</v>
      </c>
      <c r="G187" s="50">
        <v>3965053</v>
      </c>
      <c r="H187" s="42" t="s">
        <v>2615</v>
      </c>
      <c r="I187" s="42" t="s">
        <v>461</v>
      </c>
      <c r="J187" s="43" t="s">
        <v>351</v>
      </c>
      <c r="K187" s="40">
        <v>35250064</v>
      </c>
      <c r="L187" s="41" t="s">
        <v>1115</v>
      </c>
      <c r="M187" s="41" t="s">
        <v>316</v>
      </c>
      <c r="N187" s="41" t="s">
        <v>317</v>
      </c>
      <c r="O187" s="41" t="s">
        <v>1116</v>
      </c>
      <c r="P187" s="41" t="s">
        <v>319</v>
      </c>
      <c r="Q187" s="40">
        <v>890903938</v>
      </c>
      <c r="R187" s="41" t="s">
        <v>342</v>
      </c>
      <c r="S187" s="40">
        <v>923245</v>
      </c>
      <c r="T187" s="41" t="s">
        <v>180</v>
      </c>
      <c r="U187" s="41" t="s">
        <v>29</v>
      </c>
      <c r="V187" s="41" t="s">
        <v>30</v>
      </c>
      <c r="W187" s="42" t="s">
        <v>31</v>
      </c>
      <c r="X187" s="42" t="s">
        <v>32</v>
      </c>
      <c r="Y187" s="42" t="s">
        <v>33</v>
      </c>
      <c r="Z187" s="42" t="s">
        <v>2816</v>
      </c>
      <c r="AA187" s="42" t="s">
        <v>34</v>
      </c>
      <c r="AB187" s="42" t="s">
        <v>34</v>
      </c>
      <c r="AC187" s="42" t="s">
        <v>34</v>
      </c>
      <c r="AD187" s="42" t="s">
        <v>462</v>
      </c>
      <c r="AE187" s="42"/>
      <c r="AF187" s="42"/>
      <c r="AG187" s="42" t="s">
        <v>463</v>
      </c>
      <c r="AH187" s="42"/>
      <c r="AI187" s="44"/>
      <c r="AJ187" s="42"/>
      <c r="AK187" s="44"/>
      <c r="AL187" s="42"/>
      <c r="AM187" s="52">
        <v>3825</v>
      </c>
      <c r="AN187" s="52">
        <v>3825</v>
      </c>
      <c r="AO187" s="52">
        <v>12625</v>
      </c>
      <c r="AP187" s="52">
        <v>0</v>
      </c>
      <c r="AQ187" s="42"/>
      <c r="AR187" s="52">
        <v>19125</v>
      </c>
      <c r="AS187" s="52">
        <v>64551125</v>
      </c>
      <c r="AT187" s="52">
        <v>0</v>
      </c>
      <c r="AU187" s="41" t="s">
        <v>1022</v>
      </c>
      <c r="AV187" s="41" t="s">
        <v>356</v>
      </c>
      <c r="AW187" s="41" t="s">
        <v>1118</v>
      </c>
      <c r="AX187" s="41" t="s">
        <v>748</v>
      </c>
    </row>
    <row r="188" spans="1:50" x14ac:dyDescent="0.2">
      <c r="A188" s="40">
        <v>64551225</v>
      </c>
      <c r="B188" s="41" t="s">
        <v>2804</v>
      </c>
      <c r="C188" s="41" t="s">
        <v>2822</v>
      </c>
      <c r="D188" s="41" t="s">
        <v>460</v>
      </c>
      <c r="E188" s="49">
        <v>3986243</v>
      </c>
      <c r="F188" s="49">
        <v>21190</v>
      </c>
      <c r="G188" s="50">
        <v>3965053</v>
      </c>
      <c r="H188" s="42" t="s">
        <v>2615</v>
      </c>
      <c r="I188" s="42" t="s">
        <v>461</v>
      </c>
      <c r="J188" s="43" t="s">
        <v>351</v>
      </c>
      <c r="K188" s="40">
        <v>22519753</v>
      </c>
      <c r="L188" s="41" t="s">
        <v>1120</v>
      </c>
      <c r="M188" s="41" t="s">
        <v>316</v>
      </c>
      <c r="N188" s="41" t="s">
        <v>317</v>
      </c>
      <c r="O188" s="41" t="s">
        <v>1121</v>
      </c>
      <c r="P188" s="41" t="s">
        <v>319</v>
      </c>
      <c r="Q188" s="40">
        <v>860034313</v>
      </c>
      <c r="R188" s="41" t="s">
        <v>355</v>
      </c>
      <c r="S188" s="40">
        <v>923245</v>
      </c>
      <c r="T188" s="41" t="s">
        <v>180</v>
      </c>
      <c r="U188" s="41" t="s">
        <v>29</v>
      </c>
      <c r="V188" s="41" t="s">
        <v>30</v>
      </c>
      <c r="W188" s="42" t="s">
        <v>31</v>
      </c>
      <c r="X188" s="42" t="s">
        <v>32</v>
      </c>
      <c r="Y188" s="42" t="s">
        <v>33</v>
      </c>
      <c r="Z188" s="42" t="s">
        <v>2816</v>
      </c>
      <c r="AA188" s="42" t="s">
        <v>34</v>
      </c>
      <c r="AB188" s="42" t="s">
        <v>34</v>
      </c>
      <c r="AC188" s="42" t="s">
        <v>34</v>
      </c>
      <c r="AD188" s="42" t="s">
        <v>462</v>
      </c>
      <c r="AE188" s="42"/>
      <c r="AF188" s="42"/>
      <c r="AG188" s="42" t="s">
        <v>463</v>
      </c>
      <c r="AH188" s="42"/>
      <c r="AI188" s="44"/>
      <c r="AJ188" s="42"/>
      <c r="AK188" s="44"/>
      <c r="AL188" s="42"/>
      <c r="AM188" s="52">
        <v>3825</v>
      </c>
      <c r="AN188" s="52">
        <v>3825</v>
      </c>
      <c r="AO188" s="52">
        <v>12725</v>
      </c>
      <c r="AP188" s="52">
        <v>0</v>
      </c>
      <c r="AQ188" s="42"/>
      <c r="AR188" s="52">
        <v>19225</v>
      </c>
      <c r="AS188" s="52">
        <v>64551225</v>
      </c>
      <c r="AT188" s="52">
        <v>0</v>
      </c>
      <c r="AU188" s="41" t="s">
        <v>1022</v>
      </c>
      <c r="AV188" s="41" t="s">
        <v>356</v>
      </c>
      <c r="AW188" s="41" t="s">
        <v>1123</v>
      </c>
      <c r="AX188" s="41" t="s">
        <v>748</v>
      </c>
    </row>
    <row r="189" spans="1:50" x14ac:dyDescent="0.2">
      <c r="A189" s="40">
        <v>64551325</v>
      </c>
      <c r="B189" s="41" t="s">
        <v>2804</v>
      </c>
      <c r="C189" s="41" t="s">
        <v>2977</v>
      </c>
      <c r="D189" s="41" t="s">
        <v>460</v>
      </c>
      <c r="E189" s="49">
        <v>3986243</v>
      </c>
      <c r="F189" s="49">
        <v>21190</v>
      </c>
      <c r="G189" s="50">
        <v>3965053</v>
      </c>
      <c r="H189" s="42" t="s">
        <v>2615</v>
      </c>
      <c r="I189" s="42" t="s">
        <v>461</v>
      </c>
      <c r="J189" s="43" t="s">
        <v>351</v>
      </c>
      <c r="K189" s="40">
        <v>51782526</v>
      </c>
      <c r="L189" s="41" t="s">
        <v>1125</v>
      </c>
      <c r="M189" s="41" t="s">
        <v>316</v>
      </c>
      <c r="N189" s="41" t="s">
        <v>317</v>
      </c>
      <c r="O189" s="41" t="s">
        <v>1126</v>
      </c>
      <c r="P189" s="41" t="s">
        <v>319</v>
      </c>
      <c r="Q189" s="40">
        <v>860034313</v>
      </c>
      <c r="R189" s="41" t="s">
        <v>355</v>
      </c>
      <c r="S189" s="40">
        <v>923245</v>
      </c>
      <c r="T189" s="41" t="s">
        <v>180</v>
      </c>
      <c r="U189" s="41" t="s">
        <v>29</v>
      </c>
      <c r="V189" s="41" t="s">
        <v>30</v>
      </c>
      <c r="W189" s="42" t="s">
        <v>31</v>
      </c>
      <c r="X189" s="42" t="s">
        <v>32</v>
      </c>
      <c r="Y189" s="42" t="s">
        <v>33</v>
      </c>
      <c r="Z189" s="42" t="s">
        <v>2816</v>
      </c>
      <c r="AA189" s="42" t="s">
        <v>34</v>
      </c>
      <c r="AB189" s="42" t="s">
        <v>34</v>
      </c>
      <c r="AC189" s="42" t="s">
        <v>34</v>
      </c>
      <c r="AD189" s="42" t="s">
        <v>462</v>
      </c>
      <c r="AE189" s="42"/>
      <c r="AF189" s="42"/>
      <c r="AG189" s="42" t="s">
        <v>463</v>
      </c>
      <c r="AH189" s="42"/>
      <c r="AI189" s="44"/>
      <c r="AJ189" s="42"/>
      <c r="AK189" s="44"/>
      <c r="AL189" s="42"/>
      <c r="AM189" s="52">
        <v>3825</v>
      </c>
      <c r="AN189" s="52">
        <v>3825</v>
      </c>
      <c r="AO189" s="52">
        <v>12825</v>
      </c>
      <c r="AP189" s="52">
        <v>0</v>
      </c>
      <c r="AQ189" s="42"/>
      <c r="AR189" s="52">
        <v>19325</v>
      </c>
      <c r="AS189" s="52">
        <v>64551325</v>
      </c>
      <c r="AT189" s="52">
        <v>0</v>
      </c>
      <c r="AU189" s="41" t="s">
        <v>1022</v>
      </c>
      <c r="AV189" s="41" t="s">
        <v>356</v>
      </c>
      <c r="AW189" s="41" t="s">
        <v>1128</v>
      </c>
      <c r="AX189" s="41" t="s">
        <v>748</v>
      </c>
    </row>
    <row r="190" spans="1:50" x14ac:dyDescent="0.2">
      <c r="A190" s="40">
        <v>64551425</v>
      </c>
      <c r="B190" s="41" t="s">
        <v>2804</v>
      </c>
      <c r="C190" s="41" t="s">
        <v>2992</v>
      </c>
      <c r="D190" s="41" t="s">
        <v>460</v>
      </c>
      <c r="E190" s="49">
        <v>3986243</v>
      </c>
      <c r="F190" s="49">
        <v>21190</v>
      </c>
      <c r="G190" s="50">
        <v>3965053</v>
      </c>
      <c r="H190" s="42" t="s">
        <v>2615</v>
      </c>
      <c r="I190" s="42" t="s">
        <v>461</v>
      </c>
      <c r="J190" s="43" t="s">
        <v>351</v>
      </c>
      <c r="K190" s="40">
        <v>79470462</v>
      </c>
      <c r="L190" s="41" t="s">
        <v>1129</v>
      </c>
      <c r="M190" s="41" t="s">
        <v>316</v>
      </c>
      <c r="N190" s="41" t="s">
        <v>317</v>
      </c>
      <c r="O190" s="41" t="s">
        <v>1130</v>
      </c>
      <c r="P190" s="41" t="s">
        <v>319</v>
      </c>
      <c r="Q190" s="40">
        <v>860007335</v>
      </c>
      <c r="R190" s="41" t="s">
        <v>381</v>
      </c>
      <c r="S190" s="40">
        <v>923245</v>
      </c>
      <c r="T190" s="41" t="s">
        <v>180</v>
      </c>
      <c r="U190" s="41" t="s">
        <v>29</v>
      </c>
      <c r="V190" s="41" t="s">
        <v>30</v>
      </c>
      <c r="W190" s="42" t="s">
        <v>31</v>
      </c>
      <c r="X190" s="42" t="s">
        <v>32</v>
      </c>
      <c r="Y190" s="42" t="s">
        <v>33</v>
      </c>
      <c r="Z190" s="42" t="s">
        <v>2816</v>
      </c>
      <c r="AA190" s="42" t="s">
        <v>34</v>
      </c>
      <c r="AB190" s="42" t="s">
        <v>34</v>
      </c>
      <c r="AC190" s="42" t="s">
        <v>34</v>
      </c>
      <c r="AD190" s="42" t="s">
        <v>462</v>
      </c>
      <c r="AE190" s="42"/>
      <c r="AF190" s="42"/>
      <c r="AG190" s="42" t="s">
        <v>463</v>
      </c>
      <c r="AH190" s="42"/>
      <c r="AI190" s="44"/>
      <c r="AJ190" s="42"/>
      <c r="AK190" s="44"/>
      <c r="AL190" s="42"/>
      <c r="AM190" s="52">
        <v>3825</v>
      </c>
      <c r="AN190" s="52">
        <v>3825</v>
      </c>
      <c r="AO190" s="52">
        <v>12925</v>
      </c>
      <c r="AP190" s="52">
        <v>0</v>
      </c>
      <c r="AQ190" s="42"/>
      <c r="AR190" s="52">
        <v>19425</v>
      </c>
      <c r="AS190" s="52">
        <v>64551425</v>
      </c>
      <c r="AT190" s="52">
        <v>0</v>
      </c>
      <c r="AU190" s="41" t="s">
        <v>1022</v>
      </c>
      <c r="AV190" s="41" t="s">
        <v>356</v>
      </c>
      <c r="AW190" s="41" t="s">
        <v>1131</v>
      </c>
      <c r="AX190" s="41" t="s">
        <v>748</v>
      </c>
    </row>
    <row r="191" spans="1:50" x14ac:dyDescent="0.2">
      <c r="A191" s="40">
        <v>64551525</v>
      </c>
      <c r="B191" s="41" t="s">
        <v>2804</v>
      </c>
      <c r="C191" s="41" t="s">
        <v>3020</v>
      </c>
      <c r="D191" s="41" t="s">
        <v>460</v>
      </c>
      <c r="E191" s="49">
        <v>3986243</v>
      </c>
      <c r="F191" s="49">
        <v>21190</v>
      </c>
      <c r="G191" s="50">
        <v>3965053</v>
      </c>
      <c r="H191" s="42" t="s">
        <v>2615</v>
      </c>
      <c r="I191" s="42" t="s">
        <v>461</v>
      </c>
      <c r="J191" s="43" t="s">
        <v>351</v>
      </c>
      <c r="K191" s="40">
        <v>19498591</v>
      </c>
      <c r="L191" s="41" t="s">
        <v>1133</v>
      </c>
      <c r="M191" s="41" t="s">
        <v>316</v>
      </c>
      <c r="N191" s="41" t="s">
        <v>317</v>
      </c>
      <c r="O191" s="41" t="s">
        <v>1134</v>
      </c>
      <c r="P191" s="41" t="s">
        <v>319</v>
      </c>
      <c r="Q191" s="40">
        <v>860003020</v>
      </c>
      <c r="R191" s="41" t="s">
        <v>393</v>
      </c>
      <c r="S191" s="40">
        <v>923245</v>
      </c>
      <c r="T191" s="41" t="s">
        <v>180</v>
      </c>
      <c r="U191" s="41" t="s">
        <v>29</v>
      </c>
      <c r="V191" s="41" t="s">
        <v>30</v>
      </c>
      <c r="W191" s="42" t="s">
        <v>31</v>
      </c>
      <c r="X191" s="42" t="s">
        <v>32</v>
      </c>
      <c r="Y191" s="42" t="s">
        <v>33</v>
      </c>
      <c r="Z191" s="42" t="s">
        <v>2816</v>
      </c>
      <c r="AA191" s="42" t="s">
        <v>34</v>
      </c>
      <c r="AB191" s="42" t="s">
        <v>34</v>
      </c>
      <c r="AC191" s="42" t="s">
        <v>34</v>
      </c>
      <c r="AD191" s="42" t="s">
        <v>462</v>
      </c>
      <c r="AE191" s="42"/>
      <c r="AF191" s="42"/>
      <c r="AG191" s="42" t="s">
        <v>463</v>
      </c>
      <c r="AH191" s="42"/>
      <c r="AI191" s="44"/>
      <c r="AJ191" s="42"/>
      <c r="AK191" s="44"/>
      <c r="AL191" s="42"/>
      <c r="AM191" s="52">
        <v>3825</v>
      </c>
      <c r="AN191" s="52">
        <v>3825</v>
      </c>
      <c r="AO191" s="52">
        <v>13025</v>
      </c>
      <c r="AP191" s="52">
        <v>0</v>
      </c>
      <c r="AQ191" s="42"/>
      <c r="AR191" s="52">
        <v>19525</v>
      </c>
      <c r="AS191" s="52">
        <v>64551525</v>
      </c>
      <c r="AT191" s="52">
        <v>0</v>
      </c>
      <c r="AU191" s="41" t="s">
        <v>1022</v>
      </c>
      <c r="AV191" s="41" t="s">
        <v>356</v>
      </c>
      <c r="AW191" s="41" t="s">
        <v>1135</v>
      </c>
      <c r="AX191" s="41" t="s">
        <v>748</v>
      </c>
    </row>
    <row r="192" spans="1:50" x14ac:dyDescent="0.2">
      <c r="A192" s="40">
        <v>64551625</v>
      </c>
      <c r="B192" s="41" t="s">
        <v>2804</v>
      </c>
      <c r="C192" s="41" t="s">
        <v>3022</v>
      </c>
      <c r="D192" s="41" t="s">
        <v>460</v>
      </c>
      <c r="E192" s="49">
        <v>3986243</v>
      </c>
      <c r="F192" s="49">
        <v>23553</v>
      </c>
      <c r="G192" s="50">
        <v>3962690</v>
      </c>
      <c r="H192" s="42" t="s">
        <v>2615</v>
      </c>
      <c r="I192" s="42" t="s">
        <v>461</v>
      </c>
      <c r="J192" s="43" t="s">
        <v>351</v>
      </c>
      <c r="K192" s="40">
        <v>52365942</v>
      </c>
      <c r="L192" s="41" t="s">
        <v>1137</v>
      </c>
      <c r="M192" s="41" t="s">
        <v>316</v>
      </c>
      <c r="N192" s="41" t="s">
        <v>317</v>
      </c>
      <c r="O192" s="41" t="s">
        <v>1138</v>
      </c>
      <c r="P192" s="41" t="s">
        <v>319</v>
      </c>
      <c r="Q192" s="40">
        <v>890903938</v>
      </c>
      <c r="R192" s="41" t="s">
        <v>342</v>
      </c>
      <c r="S192" s="40">
        <v>923245</v>
      </c>
      <c r="T192" s="41" t="s">
        <v>180</v>
      </c>
      <c r="U192" s="41" t="s">
        <v>29</v>
      </c>
      <c r="V192" s="41" t="s">
        <v>30</v>
      </c>
      <c r="W192" s="42" t="s">
        <v>31</v>
      </c>
      <c r="X192" s="42" t="s">
        <v>32</v>
      </c>
      <c r="Y192" s="42" t="s">
        <v>33</v>
      </c>
      <c r="Z192" s="42" t="s">
        <v>2816</v>
      </c>
      <c r="AA192" s="42" t="s">
        <v>34</v>
      </c>
      <c r="AB192" s="42" t="s">
        <v>34</v>
      </c>
      <c r="AC192" s="42" t="s">
        <v>34</v>
      </c>
      <c r="AD192" s="42" t="s">
        <v>462</v>
      </c>
      <c r="AE192" s="42"/>
      <c r="AF192" s="42"/>
      <c r="AG192" s="42" t="s">
        <v>463</v>
      </c>
      <c r="AH192" s="42"/>
      <c r="AI192" s="44"/>
      <c r="AJ192" s="42"/>
      <c r="AK192" s="44"/>
      <c r="AL192" s="42"/>
      <c r="AM192" s="52">
        <v>3825</v>
      </c>
      <c r="AN192" s="52">
        <v>3825</v>
      </c>
      <c r="AO192" s="52">
        <v>13125</v>
      </c>
      <c r="AP192" s="52">
        <v>0</v>
      </c>
      <c r="AQ192" s="42"/>
      <c r="AR192" s="52">
        <v>19625</v>
      </c>
      <c r="AS192" s="52">
        <v>64551625</v>
      </c>
      <c r="AT192" s="52">
        <v>0</v>
      </c>
      <c r="AU192" s="41" t="s">
        <v>1022</v>
      </c>
      <c r="AV192" s="41" t="s">
        <v>356</v>
      </c>
      <c r="AW192" s="41" t="s">
        <v>1139</v>
      </c>
      <c r="AX192" s="41" t="s">
        <v>748</v>
      </c>
    </row>
    <row r="193" spans="1:50" x14ac:dyDescent="0.2">
      <c r="A193" s="40">
        <v>64551725</v>
      </c>
      <c r="B193" s="41" t="s">
        <v>2804</v>
      </c>
      <c r="C193" s="41" t="s">
        <v>2996</v>
      </c>
      <c r="D193" s="41" t="s">
        <v>460</v>
      </c>
      <c r="E193" s="49">
        <v>3986243</v>
      </c>
      <c r="F193" s="49">
        <v>21190</v>
      </c>
      <c r="G193" s="50">
        <v>3965053</v>
      </c>
      <c r="H193" s="42" t="s">
        <v>2615</v>
      </c>
      <c r="I193" s="42" t="s">
        <v>461</v>
      </c>
      <c r="J193" s="43" t="s">
        <v>351</v>
      </c>
      <c r="K193" s="40">
        <v>35252659</v>
      </c>
      <c r="L193" s="41" t="s">
        <v>1141</v>
      </c>
      <c r="M193" s="41" t="s">
        <v>316</v>
      </c>
      <c r="N193" s="41" t="s">
        <v>317</v>
      </c>
      <c r="O193" s="41" t="s">
        <v>1142</v>
      </c>
      <c r="P193" s="41" t="s">
        <v>319</v>
      </c>
      <c r="Q193" s="40">
        <v>890903938</v>
      </c>
      <c r="R193" s="41" t="s">
        <v>342</v>
      </c>
      <c r="S193" s="40">
        <v>923245</v>
      </c>
      <c r="T193" s="41" t="s">
        <v>180</v>
      </c>
      <c r="U193" s="41" t="s">
        <v>29</v>
      </c>
      <c r="V193" s="41" t="s">
        <v>30</v>
      </c>
      <c r="W193" s="42" t="s">
        <v>31</v>
      </c>
      <c r="X193" s="42" t="s">
        <v>32</v>
      </c>
      <c r="Y193" s="42" t="s">
        <v>33</v>
      </c>
      <c r="Z193" s="42" t="s">
        <v>2816</v>
      </c>
      <c r="AA193" s="42" t="s">
        <v>34</v>
      </c>
      <c r="AB193" s="42" t="s">
        <v>34</v>
      </c>
      <c r="AC193" s="42" t="s">
        <v>34</v>
      </c>
      <c r="AD193" s="42" t="s">
        <v>462</v>
      </c>
      <c r="AE193" s="42"/>
      <c r="AF193" s="42"/>
      <c r="AG193" s="42" t="s">
        <v>463</v>
      </c>
      <c r="AH193" s="42"/>
      <c r="AI193" s="44"/>
      <c r="AJ193" s="42"/>
      <c r="AK193" s="44"/>
      <c r="AL193" s="42"/>
      <c r="AM193" s="52">
        <v>3825</v>
      </c>
      <c r="AN193" s="52">
        <v>3825</v>
      </c>
      <c r="AO193" s="52">
        <v>13225</v>
      </c>
      <c r="AP193" s="52">
        <v>0</v>
      </c>
      <c r="AQ193" s="42"/>
      <c r="AR193" s="52">
        <v>19725</v>
      </c>
      <c r="AS193" s="52">
        <v>64551725</v>
      </c>
      <c r="AT193" s="52">
        <v>0</v>
      </c>
      <c r="AU193" s="41" t="s">
        <v>1022</v>
      </c>
      <c r="AV193" s="41" t="s">
        <v>356</v>
      </c>
      <c r="AW193" s="41" t="s">
        <v>1143</v>
      </c>
      <c r="AX193" s="41" t="s">
        <v>748</v>
      </c>
    </row>
    <row r="194" spans="1:50" x14ac:dyDescent="0.2">
      <c r="A194" s="40">
        <v>64551825</v>
      </c>
      <c r="B194" s="41" t="s">
        <v>2804</v>
      </c>
      <c r="C194" s="41" t="s">
        <v>2936</v>
      </c>
      <c r="D194" s="41" t="s">
        <v>460</v>
      </c>
      <c r="E194" s="49">
        <v>3219658</v>
      </c>
      <c r="F194" s="49">
        <v>16883</v>
      </c>
      <c r="G194" s="50">
        <v>3202775</v>
      </c>
      <c r="H194" s="42" t="s">
        <v>2615</v>
      </c>
      <c r="I194" s="42" t="s">
        <v>461</v>
      </c>
      <c r="J194" s="43" t="s">
        <v>351</v>
      </c>
      <c r="K194" s="40">
        <v>52187775</v>
      </c>
      <c r="L194" s="41" t="s">
        <v>1155</v>
      </c>
      <c r="M194" s="41" t="s">
        <v>316</v>
      </c>
      <c r="N194" s="41" t="s">
        <v>317</v>
      </c>
      <c r="O194" s="41" t="s">
        <v>1156</v>
      </c>
      <c r="P194" s="41" t="s">
        <v>319</v>
      </c>
      <c r="Q194" s="40">
        <v>860007335</v>
      </c>
      <c r="R194" s="41" t="s">
        <v>381</v>
      </c>
      <c r="S194" s="40">
        <v>923211</v>
      </c>
      <c r="T194" s="41" t="s">
        <v>69</v>
      </c>
      <c r="U194" s="41" t="s">
        <v>29</v>
      </c>
      <c r="V194" s="41" t="s">
        <v>30</v>
      </c>
      <c r="W194" s="42" t="s">
        <v>31</v>
      </c>
      <c r="X194" s="42" t="s">
        <v>32</v>
      </c>
      <c r="Y194" s="42" t="s">
        <v>33</v>
      </c>
      <c r="Z194" s="42" t="s">
        <v>2937</v>
      </c>
      <c r="AA194" s="42" t="s">
        <v>34</v>
      </c>
      <c r="AB194" s="42" t="s">
        <v>34</v>
      </c>
      <c r="AC194" s="42" t="s">
        <v>34</v>
      </c>
      <c r="AD194" s="42" t="s">
        <v>462</v>
      </c>
      <c r="AE194" s="42"/>
      <c r="AF194" s="42"/>
      <c r="AG194" s="42" t="s">
        <v>463</v>
      </c>
      <c r="AH194" s="42"/>
      <c r="AI194" s="44"/>
      <c r="AJ194" s="42"/>
      <c r="AK194" s="44"/>
      <c r="AL194" s="42"/>
      <c r="AM194" s="52">
        <v>2125</v>
      </c>
      <c r="AN194" s="52">
        <v>2125</v>
      </c>
      <c r="AO194" s="52">
        <v>13525</v>
      </c>
      <c r="AP194" s="52">
        <v>0</v>
      </c>
      <c r="AQ194" s="42"/>
      <c r="AR194" s="52">
        <v>19825</v>
      </c>
      <c r="AS194" s="52">
        <v>64551825</v>
      </c>
      <c r="AT194" s="52">
        <v>0</v>
      </c>
      <c r="AU194" s="41" t="s">
        <v>578</v>
      </c>
      <c r="AV194" s="41" t="s">
        <v>356</v>
      </c>
      <c r="AW194" s="41" t="s">
        <v>1157</v>
      </c>
      <c r="AX194" s="41" t="s">
        <v>1158</v>
      </c>
    </row>
    <row r="195" spans="1:50" x14ac:dyDescent="0.2">
      <c r="A195" s="40">
        <v>64551925</v>
      </c>
      <c r="B195" s="41" t="s">
        <v>2804</v>
      </c>
      <c r="C195" s="41" t="s">
        <v>3026</v>
      </c>
      <c r="D195" s="41" t="s">
        <v>460</v>
      </c>
      <c r="E195" s="49">
        <v>3219658</v>
      </c>
      <c r="F195" s="49">
        <v>16883</v>
      </c>
      <c r="G195" s="50">
        <v>3202775</v>
      </c>
      <c r="H195" s="42" t="s">
        <v>2615</v>
      </c>
      <c r="I195" s="42" t="s">
        <v>461</v>
      </c>
      <c r="J195" s="43" t="s">
        <v>351</v>
      </c>
      <c r="K195" s="40">
        <v>80436995</v>
      </c>
      <c r="L195" s="41" t="s">
        <v>1160</v>
      </c>
      <c r="M195" s="41" t="s">
        <v>316</v>
      </c>
      <c r="N195" s="41" t="s">
        <v>317</v>
      </c>
      <c r="O195" s="41" t="s">
        <v>1161</v>
      </c>
      <c r="P195" s="41" t="s">
        <v>319</v>
      </c>
      <c r="Q195" s="40">
        <v>860007335</v>
      </c>
      <c r="R195" s="41" t="s">
        <v>381</v>
      </c>
      <c r="S195" s="40">
        <v>923211</v>
      </c>
      <c r="T195" s="41" t="s">
        <v>69</v>
      </c>
      <c r="U195" s="41" t="s">
        <v>29</v>
      </c>
      <c r="V195" s="41" t="s">
        <v>30</v>
      </c>
      <c r="W195" s="42" t="s">
        <v>31</v>
      </c>
      <c r="X195" s="42" t="s">
        <v>32</v>
      </c>
      <c r="Y195" s="42" t="s">
        <v>33</v>
      </c>
      <c r="Z195" s="42" t="s">
        <v>2937</v>
      </c>
      <c r="AA195" s="42" t="s">
        <v>34</v>
      </c>
      <c r="AB195" s="42" t="s">
        <v>34</v>
      </c>
      <c r="AC195" s="42" t="s">
        <v>34</v>
      </c>
      <c r="AD195" s="42" t="s">
        <v>462</v>
      </c>
      <c r="AE195" s="42"/>
      <c r="AF195" s="42"/>
      <c r="AG195" s="42" t="s">
        <v>463</v>
      </c>
      <c r="AH195" s="42"/>
      <c r="AI195" s="44"/>
      <c r="AJ195" s="42"/>
      <c r="AK195" s="44"/>
      <c r="AL195" s="42"/>
      <c r="AM195" s="52">
        <v>2125</v>
      </c>
      <c r="AN195" s="52">
        <v>2125</v>
      </c>
      <c r="AO195" s="52">
        <v>13625</v>
      </c>
      <c r="AP195" s="52">
        <v>0</v>
      </c>
      <c r="AQ195" s="42"/>
      <c r="AR195" s="52">
        <v>19925</v>
      </c>
      <c r="AS195" s="52">
        <v>64551925</v>
      </c>
      <c r="AT195" s="52">
        <v>0</v>
      </c>
      <c r="AU195" s="41" t="s">
        <v>578</v>
      </c>
      <c r="AV195" s="41" t="s">
        <v>356</v>
      </c>
      <c r="AW195" s="41" t="s">
        <v>1162</v>
      </c>
      <c r="AX195" s="41" t="s">
        <v>1158</v>
      </c>
    </row>
    <row r="196" spans="1:50" x14ac:dyDescent="0.2">
      <c r="A196" s="40">
        <v>64552025</v>
      </c>
      <c r="B196" s="41" t="s">
        <v>2804</v>
      </c>
      <c r="C196" s="41" t="s">
        <v>3028</v>
      </c>
      <c r="D196" s="41" t="s">
        <v>460</v>
      </c>
      <c r="E196" s="49">
        <v>3219658</v>
      </c>
      <c r="F196" s="49">
        <v>16883</v>
      </c>
      <c r="G196" s="50">
        <v>3202775</v>
      </c>
      <c r="H196" s="42" t="s">
        <v>2615</v>
      </c>
      <c r="I196" s="42" t="s">
        <v>461</v>
      </c>
      <c r="J196" s="43" t="s">
        <v>351</v>
      </c>
      <c r="K196" s="40">
        <v>1032434209</v>
      </c>
      <c r="L196" s="41" t="s">
        <v>1164</v>
      </c>
      <c r="M196" s="41" t="s">
        <v>316</v>
      </c>
      <c r="N196" s="41" t="s">
        <v>317</v>
      </c>
      <c r="O196" s="41" t="s">
        <v>1165</v>
      </c>
      <c r="P196" s="41" t="s">
        <v>319</v>
      </c>
      <c r="Q196" s="40">
        <v>890903938</v>
      </c>
      <c r="R196" s="41" t="s">
        <v>342</v>
      </c>
      <c r="S196" s="40">
        <v>923211</v>
      </c>
      <c r="T196" s="41" t="s">
        <v>69</v>
      </c>
      <c r="U196" s="41" t="s">
        <v>29</v>
      </c>
      <c r="V196" s="41" t="s">
        <v>30</v>
      </c>
      <c r="W196" s="42" t="s">
        <v>31</v>
      </c>
      <c r="X196" s="42" t="s">
        <v>32</v>
      </c>
      <c r="Y196" s="42" t="s">
        <v>33</v>
      </c>
      <c r="Z196" s="42" t="s">
        <v>2937</v>
      </c>
      <c r="AA196" s="42" t="s">
        <v>34</v>
      </c>
      <c r="AB196" s="42" t="s">
        <v>34</v>
      </c>
      <c r="AC196" s="42" t="s">
        <v>34</v>
      </c>
      <c r="AD196" s="42" t="s">
        <v>462</v>
      </c>
      <c r="AE196" s="42"/>
      <c r="AF196" s="42"/>
      <c r="AG196" s="42" t="s">
        <v>463</v>
      </c>
      <c r="AH196" s="42"/>
      <c r="AI196" s="44"/>
      <c r="AJ196" s="42"/>
      <c r="AK196" s="44"/>
      <c r="AL196" s="42"/>
      <c r="AM196" s="52">
        <v>2125</v>
      </c>
      <c r="AN196" s="52">
        <v>2125</v>
      </c>
      <c r="AO196" s="52">
        <v>13725</v>
      </c>
      <c r="AP196" s="52">
        <v>0</v>
      </c>
      <c r="AQ196" s="42"/>
      <c r="AR196" s="52">
        <v>20025</v>
      </c>
      <c r="AS196" s="52">
        <v>64552025</v>
      </c>
      <c r="AT196" s="52">
        <v>0</v>
      </c>
      <c r="AU196" s="41" t="s">
        <v>578</v>
      </c>
      <c r="AV196" s="41" t="s">
        <v>356</v>
      </c>
      <c r="AW196" s="41" t="s">
        <v>1166</v>
      </c>
      <c r="AX196" s="41" t="s">
        <v>1158</v>
      </c>
    </row>
    <row r="197" spans="1:50" x14ac:dyDescent="0.2">
      <c r="A197" s="40">
        <v>64552125</v>
      </c>
      <c r="B197" s="41" t="s">
        <v>2804</v>
      </c>
      <c r="C197" s="41" t="s">
        <v>3030</v>
      </c>
      <c r="D197" s="41" t="s">
        <v>460</v>
      </c>
      <c r="E197" s="49">
        <v>3219658</v>
      </c>
      <c r="F197" s="49">
        <v>16883</v>
      </c>
      <c r="G197" s="50">
        <v>3202775</v>
      </c>
      <c r="H197" s="42" t="s">
        <v>2615</v>
      </c>
      <c r="I197" s="42" t="s">
        <v>461</v>
      </c>
      <c r="J197" s="43" t="s">
        <v>351</v>
      </c>
      <c r="K197" s="40">
        <v>35534775</v>
      </c>
      <c r="L197" s="41" t="s">
        <v>1168</v>
      </c>
      <c r="M197" s="41" t="s">
        <v>316</v>
      </c>
      <c r="N197" s="41" t="s">
        <v>317</v>
      </c>
      <c r="O197" s="41" t="s">
        <v>1169</v>
      </c>
      <c r="P197" s="41" t="s">
        <v>319</v>
      </c>
      <c r="Q197" s="40">
        <v>860034313</v>
      </c>
      <c r="R197" s="41" t="s">
        <v>355</v>
      </c>
      <c r="S197" s="40">
        <v>923211</v>
      </c>
      <c r="T197" s="41" t="s">
        <v>69</v>
      </c>
      <c r="U197" s="41" t="s">
        <v>29</v>
      </c>
      <c r="V197" s="41" t="s">
        <v>30</v>
      </c>
      <c r="W197" s="42" t="s">
        <v>31</v>
      </c>
      <c r="X197" s="42" t="s">
        <v>32</v>
      </c>
      <c r="Y197" s="42" t="s">
        <v>33</v>
      </c>
      <c r="Z197" s="42" t="s">
        <v>2937</v>
      </c>
      <c r="AA197" s="42" t="s">
        <v>34</v>
      </c>
      <c r="AB197" s="42" t="s">
        <v>34</v>
      </c>
      <c r="AC197" s="42" t="s">
        <v>34</v>
      </c>
      <c r="AD197" s="42" t="s">
        <v>462</v>
      </c>
      <c r="AE197" s="42"/>
      <c r="AF197" s="42"/>
      <c r="AG197" s="42" t="s">
        <v>463</v>
      </c>
      <c r="AH197" s="42"/>
      <c r="AI197" s="44"/>
      <c r="AJ197" s="42"/>
      <c r="AK197" s="44"/>
      <c r="AL197" s="42"/>
      <c r="AM197" s="52">
        <v>2125</v>
      </c>
      <c r="AN197" s="52">
        <v>2125</v>
      </c>
      <c r="AO197" s="52">
        <v>13825</v>
      </c>
      <c r="AP197" s="52">
        <v>0</v>
      </c>
      <c r="AQ197" s="42"/>
      <c r="AR197" s="52">
        <v>20125</v>
      </c>
      <c r="AS197" s="52">
        <v>64552125</v>
      </c>
      <c r="AT197" s="52">
        <v>0</v>
      </c>
      <c r="AU197" s="41" t="s">
        <v>578</v>
      </c>
      <c r="AV197" s="41" t="s">
        <v>356</v>
      </c>
      <c r="AW197" s="41" t="s">
        <v>1170</v>
      </c>
      <c r="AX197" s="41" t="s">
        <v>1158</v>
      </c>
    </row>
    <row r="198" spans="1:50" x14ac:dyDescent="0.2">
      <c r="A198" s="40">
        <v>64552225</v>
      </c>
      <c r="B198" s="41" t="s">
        <v>2804</v>
      </c>
      <c r="C198" s="41" t="s">
        <v>3028</v>
      </c>
      <c r="D198" s="41" t="s">
        <v>460</v>
      </c>
      <c r="E198" s="49">
        <v>3219658</v>
      </c>
      <c r="F198" s="49">
        <v>16883</v>
      </c>
      <c r="G198" s="50">
        <v>3202775</v>
      </c>
      <c r="H198" s="42" t="s">
        <v>2615</v>
      </c>
      <c r="I198" s="42" t="s">
        <v>461</v>
      </c>
      <c r="J198" s="43" t="s">
        <v>351</v>
      </c>
      <c r="K198" s="40">
        <v>25560681</v>
      </c>
      <c r="L198" s="41" t="s">
        <v>1172</v>
      </c>
      <c r="M198" s="41" t="s">
        <v>316</v>
      </c>
      <c r="N198" s="41" t="s">
        <v>317</v>
      </c>
      <c r="O198" s="41" t="s">
        <v>1173</v>
      </c>
      <c r="P198" s="41" t="s">
        <v>319</v>
      </c>
      <c r="Q198" s="40">
        <v>890903938</v>
      </c>
      <c r="R198" s="41" t="s">
        <v>342</v>
      </c>
      <c r="S198" s="40">
        <v>923211</v>
      </c>
      <c r="T198" s="41" t="s">
        <v>69</v>
      </c>
      <c r="U198" s="41" t="s">
        <v>29</v>
      </c>
      <c r="V198" s="41" t="s">
        <v>30</v>
      </c>
      <c r="W198" s="42" t="s">
        <v>31</v>
      </c>
      <c r="X198" s="42" t="s">
        <v>32</v>
      </c>
      <c r="Y198" s="42" t="s">
        <v>33</v>
      </c>
      <c r="Z198" s="42" t="s">
        <v>2937</v>
      </c>
      <c r="AA198" s="42" t="s">
        <v>34</v>
      </c>
      <c r="AB198" s="42" t="s">
        <v>34</v>
      </c>
      <c r="AC198" s="42" t="s">
        <v>34</v>
      </c>
      <c r="AD198" s="42" t="s">
        <v>462</v>
      </c>
      <c r="AE198" s="42"/>
      <c r="AF198" s="42"/>
      <c r="AG198" s="42" t="s">
        <v>463</v>
      </c>
      <c r="AH198" s="42"/>
      <c r="AI198" s="44"/>
      <c r="AJ198" s="42"/>
      <c r="AK198" s="44"/>
      <c r="AL198" s="42"/>
      <c r="AM198" s="52">
        <v>2125</v>
      </c>
      <c r="AN198" s="52">
        <v>2125</v>
      </c>
      <c r="AO198" s="52">
        <v>13925</v>
      </c>
      <c r="AP198" s="52">
        <v>0</v>
      </c>
      <c r="AQ198" s="42"/>
      <c r="AR198" s="52">
        <v>20225</v>
      </c>
      <c r="AS198" s="52">
        <v>64552225</v>
      </c>
      <c r="AT198" s="52">
        <v>0</v>
      </c>
      <c r="AU198" s="41" t="s">
        <v>578</v>
      </c>
      <c r="AV198" s="41" t="s">
        <v>356</v>
      </c>
      <c r="AW198" s="41" t="s">
        <v>1174</v>
      </c>
      <c r="AX198" s="41" t="s">
        <v>1158</v>
      </c>
    </row>
    <row r="199" spans="1:50" x14ac:dyDescent="0.2">
      <c r="A199" s="40">
        <v>64552325</v>
      </c>
      <c r="B199" s="41" t="s">
        <v>2804</v>
      </c>
      <c r="C199" s="41" t="s">
        <v>3033</v>
      </c>
      <c r="D199" s="41" t="s">
        <v>460</v>
      </c>
      <c r="E199" s="49">
        <v>3219658</v>
      </c>
      <c r="F199" s="49">
        <v>16883</v>
      </c>
      <c r="G199" s="50">
        <v>3202775</v>
      </c>
      <c r="H199" s="42" t="s">
        <v>2615</v>
      </c>
      <c r="I199" s="42" t="s">
        <v>461</v>
      </c>
      <c r="J199" s="43" t="s">
        <v>351</v>
      </c>
      <c r="K199" s="40">
        <v>33368355</v>
      </c>
      <c r="L199" s="41" t="s">
        <v>1176</v>
      </c>
      <c r="M199" s="41" t="s">
        <v>316</v>
      </c>
      <c r="N199" s="41" t="s">
        <v>317</v>
      </c>
      <c r="O199" s="41" t="s">
        <v>1177</v>
      </c>
      <c r="P199" s="41" t="s">
        <v>319</v>
      </c>
      <c r="Q199" s="40">
        <v>890903938</v>
      </c>
      <c r="R199" s="41" t="s">
        <v>342</v>
      </c>
      <c r="S199" s="40">
        <v>923211</v>
      </c>
      <c r="T199" s="41" t="s">
        <v>69</v>
      </c>
      <c r="U199" s="41" t="s">
        <v>29</v>
      </c>
      <c r="V199" s="41" t="s">
        <v>30</v>
      </c>
      <c r="W199" s="42" t="s">
        <v>31</v>
      </c>
      <c r="X199" s="42" t="s">
        <v>32</v>
      </c>
      <c r="Y199" s="42" t="s">
        <v>33</v>
      </c>
      <c r="Z199" s="42" t="s">
        <v>2937</v>
      </c>
      <c r="AA199" s="42" t="s">
        <v>34</v>
      </c>
      <c r="AB199" s="42" t="s">
        <v>34</v>
      </c>
      <c r="AC199" s="42" t="s">
        <v>34</v>
      </c>
      <c r="AD199" s="42" t="s">
        <v>462</v>
      </c>
      <c r="AE199" s="42"/>
      <c r="AF199" s="42"/>
      <c r="AG199" s="42" t="s">
        <v>463</v>
      </c>
      <c r="AH199" s="42"/>
      <c r="AI199" s="44"/>
      <c r="AJ199" s="42"/>
      <c r="AK199" s="44"/>
      <c r="AL199" s="42"/>
      <c r="AM199" s="52">
        <v>2125</v>
      </c>
      <c r="AN199" s="52">
        <v>2125</v>
      </c>
      <c r="AO199" s="52">
        <v>14025</v>
      </c>
      <c r="AP199" s="52">
        <v>0</v>
      </c>
      <c r="AQ199" s="42"/>
      <c r="AR199" s="52">
        <v>20325</v>
      </c>
      <c r="AS199" s="52">
        <v>64552325</v>
      </c>
      <c r="AT199" s="52">
        <v>0</v>
      </c>
      <c r="AU199" s="41" t="s">
        <v>578</v>
      </c>
      <c r="AV199" s="41" t="s">
        <v>356</v>
      </c>
      <c r="AW199" s="41" t="s">
        <v>1178</v>
      </c>
      <c r="AX199" s="41" t="s">
        <v>1158</v>
      </c>
    </row>
    <row r="200" spans="1:50" x14ac:dyDescent="0.2">
      <c r="A200" s="40">
        <v>64552425</v>
      </c>
      <c r="B200" s="41" t="s">
        <v>2804</v>
      </c>
      <c r="C200" s="41" t="s">
        <v>2936</v>
      </c>
      <c r="D200" s="41" t="s">
        <v>460</v>
      </c>
      <c r="E200" s="49">
        <v>3219658</v>
      </c>
      <c r="F200" s="49">
        <v>16883</v>
      </c>
      <c r="G200" s="50">
        <v>3202775</v>
      </c>
      <c r="H200" s="42" t="s">
        <v>2615</v>
      </c>
      <c r="I200" s="42" t="s">
        <v>461</v>
      </c>
      <c r="J200" s="43" t="s">
        <v>351</v>
      </c>
      <c r="K200" s="40">
        <v>37724921</v>
      </c>
      <c r="L200" s="41" t="s">
        <v>1180</v>
      </c>
      <c r="M200" s="41" t="s">
        <v>316</v>
      </c>
      <c r="N200" s="41" t="s">
        <v>317</v>
      </c>
      <c r="O200" s="41" t="s">
        <v>1181</v>
      </c>
      <c r="P200" s="41" t="s">
        <v>319</v>
      </c>
      <c r="Q200" s="40">
        <v>860007335</v>
      </c>
      <c r="R200" s="41" t="s">
        <v>381</v>
      </c>
      <c r="S200" s="40">
        <v>923211</v>
      </c>
      <c r="T200" s="41" t="s">
        <v>69</v>
      </c>
      <c r="U200" s="41" t="s">
        <v>29</v>
      </c>
      <c r="V200" s="41" t="s">
        <v>30</v>
      </c>
      <c r="W200" s="42" t="s">
        <v>31</v>
      </c>
      <c r="X200" s="42" t="s">
        <v>32</v>
      </c>
      <c r="Y200" s="42" t="s">
        <v>33</v>
      </c>
      <c r="Z200" s="42" t="s">
        <v>2937</v>
      </c>
      <c r="AA200" s="42" t="s">
        <v>34</v>
      </c>
      <c r="AB200" s="42" t="s">
        <v>34</v>
      </c>
      <c r="AC200" s="42" t="s">
        <v>34</v>
      </c>
      <c r="AD200" s="42" t="s">
        <v>462</v>
      </c>
      <c r="AE200" s="42"/>
      <c r="AF200" s="42"/>
      <c r="AG200" s="42" t="s">
        <v>463</v>
      </c>
      <c r="AH200" s="42"/>
      <c r="AI200" s="44"/>
      <c r="AJ200" s="42"/>
      <c r="AK200" s="44"/>
      <c r="AL200" s="42"/>
      <c r="AM200" s="52">
        <v>2125</v>
      </c>
      <c r="AN200" s="52">
        <v>2125</v>
      </c>
      <c r="AO200" s="52">
        <v>14125</v>
      </c>
      <c r="AP200" s="52">
        <v>0</v>
      </c>
      <c r="AQ200" s="42"/>
      <c r="AR200" s="52">
        <v>20425</v>
      </c>
      <c r="AS200" s="52">
        <v>64552425</v>
      </c>
      <c r="AT200" s="52">
        <v>0</v>
      </c>
      <c r="AU200" s="41" t="s">
        <v>578</v>
      </c>
      <c r="AV200" s="41" t="s">
        <v>356</v>
      </c>
      <c r="AW200" s="41" t="s">
        <v>1182</v>
      </c>
      <c r="AX200" s="41" t="s">
        <v>1158</v>
      </c>
    </row>
    <row r="201" spans="1:50" x14ac:dyDescent="0.2">
      <c r="A201" s="40">
        <v>64552525</v>
      </c>
      <c r="B201" s="41" t="s">
        <v>2804</v>
      </c>
      <c r="C201" s="41" t="s">
        <v>3036</v>
      </c>
      <c r="D201" s="41" t="s">
        <v>460</v>
      </c>
      <c r="E201" s="49">
        <v>3219658</v>
      </c>
      <c r="F201" s="49">
        <v>16883</v>
      </c>
      <c r="G201" s="50">
        <v>3202775</v>
      </c>
      <c r="H201" s="42" t="s">
        <v>2615</v>
      </c>
      <c r="I201" s="42" t="s">
        <v>461</v>
      </c>
      <c r="J201" s="43" t="s">
        <v>351</v>
      </c>
      <c r="K201" s="40">
        <v>52023447</v>
      </c>
      <c r="L201" s="41" t="s">
        <v>1184</v>
      </c>
      <c r="M201" s="41" t="s">
        <v>316</v>
      </c>
      <c r="N201" s="41" t="s">
        <v>317</v>
      </c>
      <c r="O201" s="41" t="s">
        <v>1185</v>
      </c>
      <c r="P201" s="41" t="s">
        <v>319</v>
      </c>
      <c r="Q201" s="40">
        <v>860034313</v>
      </c>
      <c r="R201" s="41" t="s">
        <v>355</v>
      </c>
      <c r="S201" s="40">
        <v>923211</v>
      </c>
      <c r="T201" s="41" t="s">
        <v>69</v>
      </c>
      <c r="U201" s="41" t="s">
        <v>29</v>
      </c>
      <c r="V201" s="41" t="s">
        <v>30</v>
      </c>
      <c r="W201" s="42" t="s">
        <v>31</v>
      </c>
      <c r="X201" s="42" t="s">
        <v>32</v>
      </c>
      <c r="Y201" s="42" t="s">
        <v>33</v>
      </c>
      <c r="Z201" s="42" t="s">
        <v>2937</v>
      </c>
      <c r="AA201" s="42" t="s">
        <v>34</v>
      </c>
      <c r="AB201" s="42" t="s">
        <v>34</v>
      </c>
      <c r="AC201" s="42" t="s">
        <v>34</v>
      </c>
      <c r="AD201" s="42" t="s">
        <v>462</v>
      </c>
      <c r="AE201" s="42"/>
      <c r="AF201" s="42"/>
      <c r="AG201" s="42" t="s">
        <v>463</v>
      </c>
      <c r="AH201" s="42"/>
      <c r="AI201" s="44"/>
      <c r="AJ201" s="42"/>
      <c r="AK201" s="44"/>
      <c r="AL201" s="42"/>
      <c r="AM201" s="52">
        <v>2125</v>
      </c>
      <c r="AN201" s="52">
        <v>2125</v>
      </c>
      <c r="AO201" s="52">
        <v>14225</v>
      </c>
      <c r="AP201" s="52">
        <v>0</v>
      </c>
      <c r="AQ201" s="42"/>
      <c r="AR201" s="52">
        <v>20525</v>
      </c>
      <c r="AS201" s="52">
        <v>64552525</v>
      </c>
      <c r="AT201" s="52">
        <v>0</v>
      </c>
      <c r="AU201" s="41" t="s">
        <v>578</v>
      </c>
      <c r="AV201" s="41" t="s">
        <v>356</v>
      </c>
      <c r="AW201" s="41" t="s">
        <v>1187</v>
      </c>
      <c r="AX201" s="41" t="s">
        <v>1158</v>
      </c>
    </row>
    <row r="202" spans="1:50" x14ac:dyDescent="0.2">
      <c r="A202" s="40">
        <v>64552625</v>
      </c>
      <c r="B202" s="41" t="s">
        <v>2804</v>
      </c>
      <c r="C202" s="41" t="s">
        <v>3038</v>
      </c>
      <c r="D202" s="41" t="s">
        <v>460</v>
      </c>
      <c r="E202" s="49">
        <v>3219658</v>
      </c>
      <c r="F202" s="49">
        <v>16883</v>
      </c>
      <c r="G202" s="50">
        <v>3202775</v>
      </c>
      <c r="H202" s="42" t="s">
        <v>2615</v>
      </c>
      <c r="I202" s="42" t="s">
        <v>461</v>
      </c>
      <c r="J202" s="43" t="s">
        <v>351</v>
      </c>
      <c r="K202" s="40">
        <v>52375951</v>
      </c>
      <c r="L202" s="41" t="s">
        <v>1189</v>
      </c>
      <c r="M202" s="41" t="s">
        <v>316</v>
      </c>
      <c r="N202" s="41" t="s">
        <v>317</v>
      </c>
      <c r="O202" s="41" t="s">
        <v>1190</v>
      </c>
      <c r="P202" s="41" t="s">
        <v>319</v>
      </c>
      <c r="Q202" s="40">
        <v>890903938</v>
      </c>
      <c r="R202" s="41" t="s">
        <v>342</v>
      </c>
      <c r="S202" s="40">
        <v>923211</v>
      </c>
      <c r="T202" s="41" t="s">
        <v>69</v>
      </c>
      <c r="U202" s="41" t="s">
        <v>29</v>
      </c>
      <c r="V202" s="41" t="s">
        <v>30</v>
      </c>
      <c r="W202" s="42" t="s">
        <v>31</v>
      </c>
      <c r="X202" s="42" t="s">
        <v>32</v>
      </c>
      <c r="Y202" s="42" t="s">
        <v>33</v>
      </c>
      <c r="Z202" s="42" t="s">
        <v>2937</v>
      </c>
      <c r="AA202" s="42" t="s">
        <v>34</v>
      </c>
      <c r="AB202" s="42" t="s">
        <v>34</v>
      </c>
      <c r="AC202" s="42" t="s">
        <v>34</v>
      </c>
      <c r="AD202" s="42" t="s">
        <v>462</v>
      </c>
      <c r="AE202" s="42"/>
      <c r="AF202" s="42"/>
      <c r="AG202" s="42" t="s">
        <v>463</v>
      </c>
      <c r="AH202" s="42"/>
      <c r="AI202" s="44"/>
      <c r="AJ202" s="42"/>
      <c r="AK202" s="44"/>
      <c r="AL202" s="42"/>
      <c r="AM202" s="52">
        <v>2125</v>
      </c>
      <c r="AN202" s="52">
        <v>2125</v>
      </c>
      <c r="AO202" s="52">
        <v>14325</v>
      </c>
      <c r="AP202" s="52">
        <v>0</v>
      </c>
      <c r="AQ202" s="42"/>
      <c r="AR202" s="52">
        <v>20625</v>
      </c>
      <c r="AS202" s="52">
        <v>64552625</v>
      </c>
      <c r="AT202" s="52">
        <v>0</v>
      </c>
      <c r="AU202" s="41" t="s">
        <v>578</v>
      </c>
      <c r="AV202" s="41" t="s">
        <v>356</v>
      </c>
      <c r="AW202" s="41" t="s">
        <v>1192</v>
      </c>
      <c r="AX202" s="41" t="s">
        <v>1158</v>
      </c>
    </row>
    <row r="203" spans="1:50" x14ac:dyDescent="0.2">
      <c r="A203" s="40">
        <v>64552825</v>
      </c>
      <c r="B203" s="41" t="s">
        <v>2804</v>
      </c>
      <c r="C203" s="41" t="s">
        <v>3040</v>
      </c>
      <c r="D203" s="41" t="s">
        <v>460</v>
      </c>
      <c r="E203" s="49">
        <v>3219658</v>
      </c>
      <c r="F203" s="49">
        <v>17613</v>
      </c>
      <c r="G203" s="50">
        <v>3202045</v>
      </c>
      <c r="H203" s="42" t="s">
        <v>2615</v>
      </c>
      <c r="I203" s="42" t="s">
        <v>461</v>
      </c>
      <c r="J203" s="43" t="s">
        <v>351</v>
      </c>
      <c r="K203" s="40">
        <v>53021282</v>
      </c>
      <c r="L203" s="41" t="s">
        <v>1194</v>
      </c>
      <c r="M203" s="41" t="s">
        <v>316</v>
      </c>
      <c r="N203" s="41" t="s">
        <v>317</v>
      </c>
      <c r="O203" s="41" t="s">
        <v>1195</v>
      </c>
      <c r="P203" s="41" t="s">
        <v>319</v>
      </c>
      <c r="Q203" s="40">
        <v>890903938</v>
      </c>
      <c r="R203" s="41" t="s">
        <v>342</v>
      </c>
      <c r="S203" s="40">
        <v>923211</v>
      </c>
      <c r="T203" s="41" t="s">
        <v>69</v>
      </c>
      <c r="U203" s="41" t="s">
        <v>29</v>
      </c>
      <c r="V203" s="41" t="s">
        <v>30</v>
      </c>
      <c r="W203" s="42" t="s">
        <v>31</v>
      </c>
      <c r="X203" s="42" t="s">
        <v>32</v>
      </c>
      <c r="Y203" s="42" t="s">
        <v>33</v>
      </c>
      <c r="Z203" s="42" t="s">
        <v>2937</v>
      </c>
      <c r="AA203" s="42" t="s">
        <v>34</v>
      </c>
      <c r="AB203" s="42" t="s">
        <v>34</v>
      </c>
      <c r="AC203" s="42" t="s">
        <v>34</v>
      </c>
      <c r="AD203" s="42" t="s">
        <v>462</v>
      </c>
      <c r="AE203" s="42"/>
      <c r="AF203" s="42"/>
      <c r="AG203" s="42" t="s">
        <v>463</v>
      </c>
      <c r="AH203" s="42"/>
      <c r="AI203" s="44"/>
      <c r="AJ203" s="42"/>
      <c r="AK203" s="44"/>
      <c r="AL203" s="42"/>
      <c r="AM203" s="52">
        <v>2125</v>
      </c>
      <c r="AN203" s="52">
        <v>2125</v>
      </c>
      <c r="AO203" s="52">
        <v>14425</v>
      </c>
      <c r="AP203" s="52">
        <v>0</v>
      </c>
      <c r="AQ203" s="42"/>
      <c r="AR203" s="52">
        <v>20725</v>
      </c>
      <c r="AS203" s="52">
        <v>64552825</v>
      </c>
      <c r="AT203" s="52">
        <v>0</v>
      </c>
      <c r="AU203" s="41" t="s">
        <v>578</v>
      </c>
      <c r="AV203" s="41" t="s">
        <v>356</v>
      </c>
      <c r="AW203" s="41" t="s">
        <v>1197</v>
      </c>
      <c r="AX203" s="41" t="s">
        <v>1158</v>
      </c>
    </row>
    <row r="204" spans="1:50" x14ac:dyDescent="0.2">
      <c r="A204" s="40">
        <v>64568525</v>
      </c>
      <c r="B204" s="41" t="s">
        <v>2804</v>
      </c>
      <c r="C204" s="41" t="s">
        <v>3042</v>
      </c>
      <c r="D204" s="41" t="s">
        <v>460</v>
      </c>
      <c r="E204" s="49">
        <v>3219658</v>
      </c>
      <c r="F204" s="49">
        <v>16883</v>
      </c>
      <c r="G204" s="50">
        <v>3202775</v>
      </c>
      <c r="H204" s="42" t="s">
        <v>2615</v>
      </c>
      <c r="I204" s="42" t="s">
        <v>461</v>
      </c>
      <c r="J204" s="43" t="s">
        <v>351</v>
      </c>
      <c r="K204" s="40">
        <v>53089812</v>
      </c>
      <c r="L204" s="41" t="s">
        <v>1199</v>
      </c>
      <c r="M204" s="41" t="s">
        <v>316</v>
      </c>
      <c r="N204" s="41" t="s">
        <v>317</v>
      </c>
      <c r="O204" s="41" t="s">
        <v>1200</v>
      </c>
      <c r="P204" s="41" t="s">
        <v>319</v>
      </c>
      <c r="Q204" s="40">
        <v>860034313</v>
      </c>
      <c r="R204" s="41" t="s">
        <v>355</v>
      </c>
      <c r="S204" s="40">
        <v>923211</v>
      </c>
      <c r="T204" s="41" t="s">
        <v>69</v>
      </c>
      <c r="U204" s="41" t="s">
        <v>29</v>
      </c>
      <c r="V204" s="41" t="s">
        <v>30</v>
      </c>
      <c r="W204" s="42" t="s">
        <v>31</v>
      </c>
      <c r="X204" s="42" t="s">
        <v>32</v>
      </c>
      <c r="Y204" s="42" t="s">
        <v>33</v>
      </c>
      <c r="Z204" s="42" t="s">
        <v>2937</v>
      </c>
      <c r="AA204" s="42" t="s">
        <v>34</v>
      </c>
      <c r="AB204" s="42" t="s">
        <v>34</v>
      </c>
      <c r="AC204" s="42" t="s">
        <v>34</v>
      </c>
      <c r="AD204" s="42" t="s">
        <v>462</v>
      </c>
      <c r="AE204" s="42"/>
      <c r="AF204" s="42"/>
      <c r="AG204" s="42" t="s">
        <v>463</v>
      </c>
      <c r="AH204" s="42"/>
      <c r="AI204" s="44"/>
      <c r="AJ204" s="42"/>
      <c r="AK204" s="44"/>
      <c r="AL204" s="42"/>
      <c r="AM204" s="52">
        <v>2125</v>
      </c>
      <c r="AN204" s="52">
        <v>2125</v>
      </c>
      <c r="AO204" s="52">
        <v>14525</v>
      </c>
      <c r="AP204" s="52">
        <v>0</v>
      </c>
      <c r="AQ204" s="42"/>
      <c r="AR204" s="52">
        <v>20825</v>
      </c>
      <c r="AS204" s="52">
        <v>64568525</v>
      </c>
      <c r="AT204" s="52">
        <v>0</v>
      </c>
      <c r="AU204" s="41" t="s">
        <v>578</v>
      </c>
      <c r="AV204" s="41" t="s">
        <v>356</v>
      </c>
      <c r="AW204" s="41" t="s">
        <v>1202</v>
      </c>
      <c r="AX204" s="41" t="s">
        <v>1158</v>
      </c>
    </row>
    <row r="205" spans="1:50" x14ac:dyDescent="0.2">
      <c r="A205" s="40">
        <v>64568625</v>
      </c>
      <c r="B205" s="41" t="s">
        <v>2804</v>
      </c>
      <c r="C205" s="41" t="s">
        <v>3044</v>
      </c>
      <c r="D205" s="41" t="s">
        <v>460</v>
      </c>
      <c r="E205" s="49">
        <v>3219658</v>
      </c>
      <c r="F205" s="49">
        <v>16883</v>
      </c>
      <c r="G205" s="50">
        <v>3202775</v>
      </c>
      <c r="H205" s="42" t="s">
        <v>2615</v>
      </c>
      <c r="I205" s="42" t="s">
        <v>461</v>
      </c>
      <c r="J205" s="43" t="s">
        <v>351</v>
      </c>
      <c r="K205" s="40">
        <v>53931238</v>
      </c>
      <c r="L205" s="41" t="s">
        <v>1203</v>
      </c>
      <c r="M205" s="41" t="s">
        <v>316</v>
      </c>
      <c r="N205" s="41" t="s">
        <v>317</v>
      </c>
      <c r="O205" s="41" t="s">
        <v>1204</v>
      </c>
      <c r="P205" s="41" t="s">
        <v>319</v>
      </c>
      <c r="Q205" s="40">
        <v>860034313</v>
      </c>
      <c r="R205" s="41" t="s">
        <v>355</v>
      </c>
      <c r="S205" s="40">
        <v>923211</v>
      </c>
      <c r="T205" s="41" t="s">
        <v>69</v>
      </c>
      <c r="U205" s="41" t="s">
        <v>29</v>
      </c>
      <c r="V205" s="41" t="s">
        <v>30</v>
      </c>
      <c r="W205" s="42" t="s">
        <v>31</v>
      </c>
      <c r="X205" s="42" t="s">
        <v>32</v>
      </c>
      <c r="Y205" s="42" t="s">
        <v>33</v>
      </c>
      <c r="Z205" s="42" t="s">
        <v>2937</v>
      </c>
      <c r="AA205" s="42" t="s">
        <v>34</v>
      </c>
      <c r="AB205" s="42" t="s">
        <v>34</v>
      </c>
      <c r="AC205" s="42" t="s">
        <v>34</v>
      </c>
      <c r="AD205" s="42" t="s">
        <v>462</v>
      </c>
      <c r="AE205" s="42"/>
      <c r="AF205" s="42"/>
      <c r="AG205" s="42" t="s">
        <v>463</v>
      </c>
      <c r="AH205" s="42"/>
      <c r="AI205" s="44"/>
      <c r="AJ205" s="42"/>
      <c r="AK205" s="44"/>
      <c r="AL205" s="42"/>
      <c r="AM205" s="52">
        <v>2125</v>
      </c>
      <c r="AN205" s="52">
        <v>2125</v>
      </c>
      <c r="AO205" s="52">
        <v>14625</v>
      </c>
      <c r="AP205" s="52">
        <v>0</v>
      </c>
      <c r="AQ205" s="42"/>
      <c r="AR205" s="52">
        <v>20925</v>
      </c>
      <c r="AS205" s="52">
        <v>64568625</v>
      </c>
      <c r="AT205" s="52">
        <v>0</v>
      </c>
      <c r="AU205" s="41" t="s">
        <v>578</v>
      </c>
      <c r="AV205" s="41" t="s">
        <v>356</v>
      </c>
      <c r="AW205" s="41" t="s">
        <v>1206</v>
      </c>
      <c r="AX205" s="41" t="s">
        <v>1158</v>
      </c>
    </row>
    <row r="206" spans="1:50" x14ac:dyDescent="0.2">
      <c r="A206" s="40">
        <v>64568725</v>
      </c>
      <c r="B206" s="41" t="s">
        <v>2804</v>
      </c>
      <c r="C206" s="41" t="s">
        <v>3044</v>
      </c>
      <c r="D206" s="41" t="s">
        <v>460</v>
      </c>
      <c r="E206" s="49">
        <v>3219658</v>
      </c>
      <c r="F206" s="49">
        <v>16883</v>
      </c>
      <c r="G206" s="50">
        <v>3202775</v>
      </c>
      <c r="H206" s="42" t="s">
        <v>2615</v>
      </c>
      <c r="I206" s="42" t="s">
        <v>461</v>
      </c>
      <c r="J206" s="43" t="s">
        <v>351</v>
      </c>
      <c r="K206" s="40">
        <v>79469155</v>
      </c>
      <c r="L206" s="41" t="s">
        <v>1208</v>
      </c>
      <c r="M206" s="41" t="s">
        <v>316</v>
      </c>
      <c r="N206" s="41" t="s">
        <v>317</v>
      </c>
      <c r="O206" s="41" t="s">
        <v>1209</v>
      </c>
      <c r="P206" s="41" t="s">
        <v>319</v>
      </c>
      <c r="Q206" s="40">
        <v>860034313</v>
      </c>
      <c r="R206" s="41" t="s">
        <v>355</v>
      </c>
      <c r="S206" s="40">
        <v>923211</v>
      </c>
      <c r="T206" s="41" t="s">
        <v>69</v>
      </c>
      <c r="U206" s="41" t="s">
        <v>29</v>
      </c>
      <c r="V206" s="41" t="s">
        <v>30</v>
      </c>
      <c r="W206" s="42" t="s">
        <v>31</v>
      </c>
      <c r="X206" s="42" t="s">
        <v>32</v>
      </c>
      <c r="Y206" s="42" t="s">
        <v>33</v>
      </c>
      <c r="Z206" s="42" t="s">
        <v>2937</v>
      </c>
      <c r="AA206" s="42" t="s">
        <v>34</v>
      </c>
      <c r="AB206" s="42" t="s">
        <v>34</v>
      </c>
      <c r="AC206" s="42" t="s">
        <v>34</v>
      </c>
      <c r="AD206" s="42" t="s">
        <v>462</v>
      </c>
      <c r="AE206" s="42"/>
      <c r="AF206" s="42"/>
      <c r="AG206" s="42" t="s">
        <v>463</v>
      </c>
      <c r="AH206" s="42"/>
      <c r="AI206" s="44"/>
      <c r="AJ206" s="42"/>
      <c r="AK206" s="44"/>
      <c r="AL206" s="42"/>
      <c r="AM206" s="52">
        <v>2125</v>
      </c>
      <c r="AN206" s="52">
        <v>2125</v>
      </c>
      <c r="AO206" s="52">
        <v>14725</v>
      </c>
      <c r="AP206" s="52">
        <v>0</v>
      </c>
      <c r="AQ206" s="42"/>
      <c r="AR206" s="52">
        <v>21025</v>
      </c>
      <c r="AS206" s="52">
        <v>64568725</v>
      </c>
      <c r="AT206" s="52">
        <v>0</v>
      </c>
      <c r="AU206" s="41" t="s">
        <v>578</v>
      </c>
      <c r="AV206" s="41" t="s">
        <v>356</v>
      </c>
      <c r="AW206" s="41" t="s">
        <v>1211</v>
      </c>
      <c r="AX206" s="41" t="s">
        <v>1158</v>
      </c>
    </row>
    <row r="207" spans="1:50" x14ac:dyDescent="0.2">
      <c r="A207" s="40">
        <v>64568825</v>
      </c>
      <c r="B207" s="41" t="s">
        <v>2804</v>
      </c>
      <c r="C207" s="41" t="s">
        <v>3047</v>
      </c>
      <c r="D207" s="41" t="s">
        <v>460</v>
      </c>
      <c r="E207" s="49">
        <v>3219658</v>
      </c>
      <c r="F207" s="49">
        <v>16883</v>
      </c>
      <c r="G207" s="50">
        <v>3202775</v>
      </c>
      <c r="H207" s="42" t="s">
        <v>2615</v>
      </c>
      <c r="I207" s="42" t="s">
        <v>461</v>
      </c>
      <c r="J207" s="43" t="s">
        <v>351</v>
      </c>
      <c r="K207" s="40">
        <v>1032373822</v>
      </c>
      <c r="L207" s="41" t="s">
        <v>1213</v>
      </c>
      <c r="M207" s="41" t="s">
        <v>316</v>
      </c>
      <c r="N207" s="41" t="s">
        <v>317</v>
      </c>
      <c r="O207" s="41" t="s">
        <v>1214</v>
      </c>
      <c r="P207" s="41" t="s">
        <v>319</v>
      </c>
      <c r="Q207" s="40">
        <v>860002964</v>
      </c>
      <c r="R207" s="41" t="s">
        <v>419</v>
      </c>
      <c r="S207" s="40">
        <v>923211</v>
      </c>
      <c r="T207" s="41" t="s">
        <v>69</v>
      </c>
      <c r="U207" s="41" t="s">
        <v>29</v>
      </c>
      <c r="V207" s="41" t="s">
        <v>30</v>
      </c>
      <c r="W207" s="42" t="s">
        <v>31</v>
      </c>
      <c r="X207" s="42" t="s">
        <v>32</v>
      </c>
      <c r="Y207" s="42" t="s">
        <v>33</v>
      </c>
      <c r="Z207" s="42" t="s">
        <v>2937</v>
      </c>
      <c r="AA207" s="42" t="s">
        <v>34</v>
      </c>
      <c r="AB207" s="42" t="s">
        <v>34</v>
      </c>
      <c r="AC207" s="42" t="s">
        <v>34</v>
      </c>
      <c r="AD207" s="42" t="s">
        <v>462</v>
      </c>
      <c r="AE207" s="42"/>
      <c r="AF207" s="42"/>
      <c r="AG207" s="42" t="s">
        <v>463</v>
      </c>
      <c r="AH207" s="42"/>
      <c r="AI207" s="44"/>
      <c r="AJ207" s="42"/>
      <c r="AK207" s="44"/>
      <c r="AL207" s="42"/>
      <c r="AM207" s="52">
        <v>2125</v>
      </c>
      <c r="AN207" s="52">
        <v>2125</v>
      </c>
      <c r="AO207" s="52">
        <v>14825</v>
      </c>
      <c r="AP207" s="52">
        <v>0</v>
      </c>
      <c r="AQ207" s="42"/>
      <c r="AR207" s="52">
        <v>21125</v>
      </c>
      <c r="AS207" s="52">
        <v>64568825</v>
      </c>
      <c r="AT207" s="52">
        <v>0</v>
      </c>
      <c r="AU207" s="41" t="s">
        <v>578</v>
      </c>
      <c r="AV207" s="41" t="s">
        <v>356</v>
      </c>
      <c r="AW207" s="41" t="s">
        <v>1216</v>
      </c>
      <c r="AX207" s="41" t="s">
        <v>1158</v>
      </c>
    </row>
    <row r="208" spans="1:50" x14ac:dyDescent="0.2">
      <c r="A208" s="40">
        <v>64568925</v>
      </c>
      <c r="B208" s="41" t="s">
        <v>2804</v>
      </c>
      <c r="C208" s="41" t="s">
        <v>3049</v>
      </c>
      <c r="D208" s="41" t="s">
        <v>460</v>
      </c>
      <c r="E208" s="49">
        <v>3219658</v>
      </c>
      <c r="F208" s="49">
        <v>16883</v>
      </c>
      <c r="G208" s="50">
        <v>3202775</v>
      </c>
      <c r="H208" s="42" t="s">
        <v>2615</v>
      </c>
      <c r="I208" s="42" t="s">
        <v>461</v>
      </c>
      <c r="J208" s="43" t="s">
        <v>351</v>
      </c>
      <c r="K208" s="40">
        <v>1032377506</v>
      </c>
      <c r="L208" s="41" t="s">
        <v>1218</v>
      </c>
      <c r="M208" s="41" t="s">
        <v>316</v>
      </c>
      <c r="N208" s="41" t="s">
        <v>317</v>
      </c>
      <c r="O208" s="41" t="s">
        <v>1219</v>
      </c>
      <c r="P208" s="41" t="s">
        <v>319</v>
      </c>
      <c r="Q208" s="40">
        <v>860034313</v>
      </c>
      <c r="R208" s="41" t="s">
        <v>355</v>
      </c>
      <c r="S208" s="40">
        <v>923211</v>
      </c>
      <c r="T208" s="41" t="s">
        <v>69</v>
      </c>
      <c r="U208" s="41" t="s">
        <v>29</v>
      </c>
      <c r="V208" s="41" t="s">
        <v>30</v>
      </c>
      <c r="W208" s="42" t="s">
        <v>31</v>
      </c>
      <c r="X208" s="42" t="s">
        <v>32</v>
      </c>
      <c r="Y208" s="42" t="s">
        <v>33</v>
      </c>
      <c r="Z208" s="42" t="s">
        <v>2937</v>
      </c>
      <c r="AA208" s="42" t="s">
        <v>34</v>
      </c>
      <c r="AB208" s="42" t="s">
        <v>34</v>
      </c>
      <c r="AC208" s="42" t="s">
        <v>34</v>
      </c>
      <c r="AD208" s="42" t="s">
        <v>462</v>
      </c>
      <c r="AE208" s="42"/>
      <c r="AF208" s="42"/>
      <c r="AG208" s="42" t="s">
        <v>463</v>
      </c>
      <c r="AH208" s="42"/>
      <c r="AI208" s="44"/>
      <c r="AJ208" s="42"/>
      <c r="AK208" s="44"/>
      <c r="AL208" s="42"/>
      <c r="AM208" s="52">
        <v>2125</v>
      </c>
      <c r="AN208" s="52">
        <v>2125</v>
      </c>
      <c r="AO208" s="52">
        <v>14925</v>
      </c>
      <c r="AP208" s="52">
        <v>0</v>
      </c>
      <c r="AQ208" s="42"/>
      <c r="AR208" s="52">
        <v>21225</v>
      </c>
      <c r="AS208" s="52">
        <v>64568925</v>
      </c>
      <c r="AT208" s="52">
        <v>0</v>
      </c>
      <c r="AU208" s="41" t="s">
        <v>578</v>
      </c>
      <c r="AV208" s="41" t="s">
        <v>356</v>
      </c>
      <c r="AW208" s="41" t="s">
        <v>1221</v>
      </c>
      <c r="AX208" s="41" t="s">
        <v>1158</v>
      </c>
    </row>
    <row r="209" spans="1:50" x14ac:dyDescent="0.2">
      <c r="A209" s="40">
        <v>64569025</v>
      </c>
      <c r="B209" s="41" t="s">
        <v>2804</v>
      </c>
      <c r="C209" s="41" t="s">
        <v>2941</v>
      </c>
      <c r="D209" s="41" t="s">
        <v>460</v>
      </c>
      <c r="E209" s="49">
        <v>3219658</v>
      </c>
      <c r="F209" s="49">
        <v>16883</v>
      </c>
      <c r="G209" s="50">
        <v>3202775</v>
      </c>
      <c r="H209" s="42" t="s">
        <v>2615</v>
      </c>
      <c r="I209" s="42" t="s">
        <v>461</v>
      </c>
      <c r="J209" s="43" t="s">
        <v>351</v>
      </c>
      <c r="K209" s="40">
        <v>52714850</v>
      </c>
      <c r="L209" s="41" t="s">
        <v>1223</v>
      </c>
      <c r="M209" s="41" t="s">
        <v>316</v>
      </c>
      <c r="N209" s="41" t="s">
        <v>317</v>
      </c>
      <c r="O209" s="41" t="s">
        <v>1224</v>
      </c>
      <c r="P209" s="41" t="s">
        <v>319</v>
      </c>
      <c r="Q209" s="40">
        <v>860035827</v>
      </c>
      <c r="R209" s="41" t="s">
        <v>653</v>
      </c>
      <c r="S209" s="40">
        <v>923211</v>
      </c>
      <c r="T209" s="41" t="s">
        <v>69</v>
      </c>
      <c r="U209" s="41" t="s">
        <v>29</v>
      </c>
      <c r="V209" s="41" t="s">
        <v>30</v>
      </c>
      <c r="W209" s="42" t="s">
        <v>31</v>
      </c>
      <c r="X209" s="42" t="s">
        <v>32</v>
      </c>
      <c r="Y209" s="42" t="s">
        <v>33</v>
      </c>
      <c r="Z209" s="42" t="s">
        <v>2937</v>
      </c>
      <c r="AA209" s="42" t="s">
        <v>34</v>
      </c>
      <c r="AB209" s="42" t="s">
        <v>34</v>
      </c>
      <c r="AC209" s="42" t="s">
        <v>34</v>
      </c>
      <c r="AD209" s="42" t="s">
        <v>462</v>
      </c>
      <c r="AE209" s="42"/>
      <c r="AF209" s="42"/>
      <c r="AG209" s="42" t="s">
        <v>463</v>
      </c>
      <c r="AH209" s="42"/>
      <c r="AI209" s="44"/>
      <c r="AJ209" s="42"/>
      <c r="AK209" s="44"/>
      <c r="AL209" s="42"/>
      <c r="AM209" s="52">
        <v>2125</v>
      </c>
      <c r="AN209" s="52">
        <v>2125</v>
      </c>
      <c r="AO209" s="52">
        <v>15025</v>
      </c>
      <c r="AP209" s="52">
        <v>0</v>
      </c>
      <c r="AQ209" s="42"/>
      <c r="AR209" s="52">
        <v>21325</v>
      </c>
      <c r="AS209" s="52">
        <v>64569025</v>
      </c>
      <c r="AT209" s="52">
        <v>0</v>
      </c>
      <c r="AU209" s="41" t="s">
        <v>578</v>
      </c>
      <c r="AV209" s="41" t="s">
        <v>356</v>
      </c>
      <c r="AW209" s="41" t="s">
        <v>1226</v>
      </c>
      <c r="AX209" s="41" t="s">
        <v>1158</v>
      </c>
    </row>
    <row r="210" spans="1:50" x14ac:dyDescent="0.2">
      <c r="A210" s="40">
        <v>64569125</v>
      </c>
      <c r="B210" s="41" t="s">
        <v>2804</v>
      </c>
      <c r="C210" s="41" t="s">
        <v>3052</v>
      </c>
      <c r="D210" s="41" t="s">
        <v>460</v>
      </c>
      <c r="E210" s="49">
        <v>3219658</v>
      </c>
      <c r="F210" s="49">
        <v>17613</v>
      </c>
      <c r="G210" s="50">
        <v>3202045</v>
      </c>
      <c r="H210" s="42" t="s">
        <v>2615</v>
      </c>
      <c r="I210" s="42" t="s">
        <v>461</v>
      </c>
      <c r="J210" s="43" t="s">
        <v>351</v>
      </c>
      <c r="K210" s="40">
        <v>1010215433</v>
      </c>
      <c r="L210" s="41" t="s">
        <v>1228</v>
      </c>
      <c r="M210" s="41" t="s">
        <v>316</v>
      </c>
      <c r="N210" s="41" t="s">
        <v>317</v>
      </c>
      <c r="O210" s="41" t="s">
        <v>1229</v>
      </c>
      <c r="P210" s="41" t="s">
        <v>319</v>
      </c>
      <c r="Q210" s="40">
        <v>860034313</v>
      </c>
      <c r="R210" s="41" t="s">
        <v>355</v>
      </c>
      <c r="S210" s="40">
        <v>923211</v>
      </c>
      <c r="T210" s="41" t="s">
        <v>69</v>
      </c>
      <c r="U210" s="41" t="s">
        <v>29</v>
      </c>
      <c r="V210" s="41" t="s">
        <v>30</v>
      </c>
      <c r="W210" s="42" t="s">
        <v>31</v>
      </c>
      <c r="X210" s="42" t="s">
        <v>32</v>
      </c>
      <c r="Y210" s="42" t="s">
        <v>33</v>
      </c>
      <c r="Z210" s="42" t="s">
        <v>2937</v>
      </c>
      <c r="AA210" s="42" t="s">
        <v>34</v>
      </c>
      <c r="AB210" s="42" t="s">
        <v>34</v>
      </c>
      <c r="AC210" s="42" t="s">
        <v>34</v>
      </c>
      <c r="AD210" s="42" t="s">
        <v>462</v>
      </c>
      <c r="AE210" s="42"/>
      <c r="AF210" s="42"/>
      <c r="AG210" s="42" t="s">
        <v>463</v>
      </c>
      <c r="AH210" s="42"/>
      <c r="AI210" s="44"/>
      <c r="AJ210" s="42"/>
      <c r="AK210" s="44"/>
      <c r="AL210" s="42"/>
      <c r="AM210" s="52">
        <v>2125</v>
      </c>
      <c r="AN210" s="52">
        <v>2125</v>
      </c>
      <c r="AO210" s="52">
        <v>15125</v>
      </c>
      <c r="AP210" s="52">
        <v>0</v>
      </c>
      <c r="AQ210" s="42"/>
      <c r="AR210" s="52">
        <v>21425</v>
      </c>
      <c r="AS210" s="52">
        <v>64569125</v>
      </c>
      <c r="AT210" s="52">
        <v>0</v>
      </c>
      <c r="AU210" s="41" t="s">
        <v>578</v>
      </c>
      <c r="AV210" s="41" t="s">
        <v>356</v>
      </c>
      <c r="AW210" s="41" t="s">
        <v>1231</v>
      </c>
      <c r="AX210" s="41" t="s">
        <v>1158</v>
      </c>
    </row>
    <row r="211" spans="1:50" x14ac:dyDescent="0.2">
      <c r="A211" s="40">
        <v>64569225</v>
      </c>
      <c r="B211" s="41" t="s">
        <v>2804</v>
      </c>
      <c r="C211" s="41" t="s">
        <v>3054</v>
      </c>
      <c r="D211" s="41" t="s">
        <v>460</v>
      </c>
      <c r="E211" s="49">
        <v>3219658</v>
      </c>
      <c r="F211" s="49">
        <v>16883</v>
      </c>
      <c r="G211" s="50">
        <v>3202775</v>
      </c>
      <c r="H211" s="42" t="s">
        <v>2615</v>
      </c>
      <c r="I211" s="42" t="s">
        <v>461</v>
      </c>
      <c r="J211" s="43" t="s">
        <v>351</v>
      </c>
      <c r="K211" s="40">
        <v>51964904</v>
      </c>
      <c r="L211" s="41" t="s">
        <v>1233</v>
      </c>
      <c r="M211" s="41" t="s">
        <v>316</v>
      </c>
      <c r="N211" s="41" t="s">
        <v>317</v>
      </c>
      <c r="O211" s="41" t="s">
        <v>1234</v>
      </c>
      <c r="P211" s="41" t="s">
        <v>319</v>
      </c>
      <c r="Q211" s="40">
        <v>890903938</v>
      </c>
      <c r="R211" s="41" t="s">
        <v>342</v>
      </c>
      <c r="S211" s="40">
        <v>923211</v>
      </c>
      <c r="T211" s="41" t="s">
        <v>69</v>
      </c>
      <c r="U211" s="41" t="s">
        <v>29</v>
      </c>
      <c r="V211" s="41" t="s">
        <v>30</v>
      </c>
      <c r="W211" s="42" t="s">
        <v>31</v>
      </c>
      <c r="X211" s="42" t="s">
        <v>32</v>
      </c>
      <c r="Y211" s="42" t="s">
        <v>33</v>
      </c>
      <c r="Z211" s="42" t="s">
        <v>2937</v>
      </c>
      <c r="AA211" s="42" t="s">
        <v>34</v>
      </c>
      <c r="AB211" s="42" t="s">
        <v>34</v>
      </c>
      <c r="AC211" s="42" t="s">
        <v>34</v>
      </c>
      <c r="AD211" s="42" t="s">
        <v>462</v>
      </c>
      <c r="AE211" s="42"/>
      <c r="AF211" s="42"/>
      <c r="AG211" s="42" t="s">
        <v>463</v>
      </c>
      <c r="AH211" s="42"/>
      <c r="AI211" s="44"/>
      <c r="AJ211" s="42"/>
      <c r="AK211" s="44"/>
      <c r="AL211" s="42"/>
      <c r="AM211" s="52">
        <v>2125</v>
      </c>
      <c r="AN211" s="52">
        <v>2125</v>
      </c>
      <c r="AO211" s="52">
        <v>15225</v>
      </c>
      <c r="AP211" s="52">
        <v>0</v>
      </c>
      <c r="AQ211" s="42"/>
      <c r="AR211" s="52">
        <v>21525</v>
      </c>
      <c r="AS211" s="52">
        <v>64569225</v>
      </c>
      <c r="AT211" s="52">
        <v>0</v>
      </c>
      <c r="AU211" s="41" t="s">
        <v>578</v>
      </c>
      <c r="AV211" s="41" t="s">
        <v>356</v>
      </c>
      <c r="AW211" s="41" t="s">
        <v>1236</v>
      </c>
      <c r="AX211" s="41" t="s">
        <v>1237</v>
      </c>
    </row>
    <row r="212" spans="1:50" x14ac:dyDescent="0.2">
      <c r="A212" s="40">
        <v>64569325</v>
      </c>
      <c r="B212" s="41" t="s">
        <v>2804</v>
      </c>
      <c r="C212" s="41" t="s">
        <v>3030</v>
      </c>
      <c r="D212" s="41" t="s">
        <v>460</v>
      </c>
      <c r="E212" s="49">
        <v>3219658</v>
      </c>
      <c r="F212" s="49">
        <v>16883</v>
      </c>
      <c r="G212" s="50">
        <v>3202775</v>
      </c>
      <c r="H212" s="42" t="s">
        <v>2615</v>
      </c>
      <c r="I212" s="42" t="s">
        <v>461</v>
      </c>
      <c r="J212" s="43" t="s">
        <v>351</v>
      </c>
      <c r="K212" s="40">
        <v>52323375</v>
      </c>
      <c r="L212" s="41" t="s">
        <v>1239</v>
      </c>
      <c r="M212" s="41" t="s">
        <v>316</v>
      </c>
      <c r="N212" s="41" t="s">
        <v>317</v>
      </c>
      <c r="O212" s="41" t="s">
        <v>1240</v>
      </c>
      <c r="P212" s="41" t="s">
        <v>319</v>
      </c>
      <c r="Q212" s="40">
        <v>860034313</v>
      </c>
      <c r="R212" s="41" t="s">
        <v>355</v>
      </c>
      <c r="S212" s="40">
        <v>923211</v>
      </c>
      <c r="T212" s="41" t="s">
        <v>69</v>
      </c>
      <c r="U212" s="41" t="s">
        <v>29</v>
      </c>
      <c r="V212" s="41" t="s">
        <v>30</v>
      </c>
      <c r="W212" s="42" t="s">
        <v>31</v>
      </c>
      <c r="X212" s="42" t="s">
        <v>32</v>
      </c>
      <c r="Y212" s="42" t="s">
        <v>33</v>
      </c>
      <c r="Z212" s="42" t="s">
        <v>2937</v>
      </c>
      <c r="AA212" s="42" t="s">
        <v>34</v>
      </c>
      <c r="AB212" s="42" t="s">
        <v>34</v>
      </c>
      <c r="AC212" s="42" t="s">
        <v>34</v>
      </c>
      <c r="AD212" s="42" t="s">
        <v>462</v>
      </c>
      <c r="AE212" s="42"/>
      <c r="AF212" s="42"/>
      <c r="AG212" s="42" t="s">
        <v>463</v>
      </c>
      <c r="AH212" s="42"/>
      <c r="AI212" s="44"/>
      <c r="AJ212" s="42"/>
      <c r="AK212" s="44"/>
      <c r="AL212" s="42"/>
      <c r="AM212" s="52">
        <v>2125</v>
      </c>
      <c r="AN212" s="52">
        <v>2125</v>
      </c>
      <c r="AO212" s="52">
        <v>15325</v>
      </c>
      <c r="AP212" s="52">
        <v>0</v>
      </c>
      <c r="AQ212" s="42"/>
      <c r="AR212" s="52">
        <v>21625</v>
      </c>
      <c r="AS212" s="52">
        <v>64569325</v>
      </c>
      <c r="AT212" s="52">
        <v>0</v>
      </c>
      <c r="AU212" s="41" t="s">
        <v>578</v>
      </c>
      <c r="AV212" s="41" t="s">
        <v>356</v>
      </c>
      <c r="AW212" s="41" t="s">
        <v>1242</v>
      </c>
      <c r="AX212" s="41" t="s">
        <v>1158</v>
      </c>
    </row>
    <row r="213" spans="1:50" x14ac:dyDescent="0.2">
      <c r="A213" s="40">
        <v>64569425</v>
      </c>
      <c r="B213" s="41" t="s">
        <v>2804</v>
      </c>
      <c r="C213" s="41" t="s">
        <v>3057</v>
      </c>
      <c r="D213" s="41" t="s">
        <v>460</v>
      </c>
      <c r="E213" s="49">
        <v>3219658</v>
      </c>
      <c r="F213" s="49">
        <v>16883</v>
      </c>
      <c r="G213" s="50">
        <v>3202775</v>
      </c>
      <c r="H213" s="42" t="s">
        <v>2615</v>
      </c>
      <c r="I213" s="42" t="s">
        <v>461</v>
      </c>
      <c r="J213" s="43" t="s">
        <v>351</v>
      </c>
      <c r="K213" s="40">
        <v>52766732</v>
      </c>
      <c r="L213" s="41" t="s">
        <v>1244</v>
      </c>
      <c r="M213" s="41" t="s">
        <v>316</v>
      </c>
      <c r="N213" s="41" t="s">
        <v>317</v>
      </c>
      <c r="O213" s="41" t="s">
        <v>1245</v>
      </c>
      <c r="P213" s="41" t="s">
        <v>319</v>
      </c>
      <c r="Q213" s="40">
        <v>860003020</v>
      </c>
      <c r="R213" s="41" t="s">
        <v>393</v>
      </c>
      <c r="S213" s="40">
        <v>923211</v>
      </c>
      <c r="T213" s="41" t="s">
        <v>69</v>
      </c>
      <c r="U213" s="41" t="s">
        <v>29</v>
      </c>
      <c r="V213" s="41" t="s">
        <v>30</v>
      </c>
      <c r="W213" s="42" t="s">
        <v>31</v>
      </c>
      <c r="X213" s="42" t="s">
        <v>32</v>
      </c>
      <c r="Y213" s="42" t="s">
        <v>33</v>
      </c>
      <c r="Z213" s="42" t="s">
        <v>2937</v>
      </c>
      <c r="AA213" s="42" t="s">
        <v>34</v>
      </c>
      <c r="AB213" s="42" t="s">
        <v>34</v>
      </c>
      <c r="AC213" s="42" t="s">
        <v>34</v>
      </c>
      <c r="AD213" s="42" t="s">
        <v>462</v>
      </c>
      <c r="AE213" s="42"/>
      <c r="AF213" s="42"/>
      <c r="AG213" s="42" t="s">
        <v>463</v>
      </c>
      <c r="AH213" s="42"/>
      <c r="AI213" s="44"/>
      <c r="AJ213" s="42"/>
      <c r="AK213" s="44"/>
      <c r="AL213" s="42"/>
      <c r="AM213" s="52">
        <v>2125</v>
      </c>
      <c r="AN213" s="52">
        <v>2125</v>
      </c>
      <c r="AO213" s="52">
        <v>15425</v>
      </c>
      <c r="AP213" s="52">
        <v>0</v>
      </c>
      <c r="AQ213" s="42"/>
      <c r="AR213" s="52">
        <v>21725</v>
      </c>
      <c r="AS213" s="52">
        <v>64569425</v>
      </c>
      <c r="AT213" s="52">
        <v>0</v>
      </c>
      <c r="AU213" s="41" t="s">
        <v>578</v>
      </c>
      <c r="AV213" s="41" t="s">
        <v>356</v>
      </c>
      <c r="AW213" s="41" t="s">
        <v>1247</v>
      </c>
      <c r="AX213" s="41" t="s">
        <v>1158</v>
      </c>
    </row>
    <row r="214" spans="1:50" x14ac:dyDescent="0.2">
      <c r="A214" s="40">
        <v>64569525</v>
      </c>
      <c r="B214" s="41" t="s">
        <v>2804</v>
      </c>
      <c r="C214" s="41" t="s">
        <v>3030</v>
      </c>
      <c r="D214" s="41" t="s">
        <v>460</v>
      </c>
      <c r="E214" s="49">
        <v>3219658</v>
      </c>
      <c r="F214" s="49">
        <v>16883</v>
      </c>
      <c r="G214" s="50">
        <v>3202775</v>
      </c>
      <c r="H214" s="42" t="s">
        <v>2615</v>
      </c>
      <c r="I214" s="42" t="s">
        <v>461</v>
      </c>
      <c r="J214" s="43" t="s">
        <v>351</v>
      </c>
      <c r="K214" s="40">
        <v>52787846</v>
      </c>
      <c r="L214" s="41" t="s">
        <v>1249</v>
      </c>
      <c r="M214" s="41" t="s">
        <v>316</v>
      </c>
      <c r="N214" s="41" t="s">
        <v>317</v>
      </c>
      <c r="O214" s="41" t="s">
        <v>1250</v>
      </c>
      <c r="P214" s="41" t="s">
        <v>319</v>
      </c>
      <c r="Q214" s="40">
        <v>860034313</v>
      </c>
      <c r="R214" s="41" t="s">
        <v>355</v>
      </c>
      <c r="S214" s="40">
        <v>923211</v>
      </c>
      <c r="T214" s="41" t="s">
        <v>69</v>
      </c>
      <c r="U214" s="41" t="s">
        <v>29</v>
      </c>
      <c r="V214" s="41" t="s">
        <v>30</v>
      </c>
      <c r="W214" s="42" t="s">
        <v>31</v>
      </c>
      <c r="X214" s="42" t="s">
        <v>32</v>
      </c>
      <c r="Y214" s="42" t="s">
        <v>33</v>
      </c>
      <c r="Z214" s="42" t="s">
        <v>2937</v>
      </c>
      <c r="AA214" s="42" t="s">
        <v>34</v>
      </c>
      <c r="AB214" s="42" t="s">
        <v>34</v>
      </c>
      <c r="AC214" s="42" t="s">
        <v>34</v>
      </c>
      <c r="AD214" s="42" t="s">
        <v>462</v>
      </c>
      <c r="AE214" s="42"/>
      <c r="AF214" s="42"/>
      <c r="AG214" s="42" t="s">
        <v>463</v>
      </c>
      <c r="AH214" s="42"/>
      <c r="AI214" s="44"/>
      <c r="AJ214" s="42"/>
      <c r="AK214" s="44"/>
      <c r="AL214" s="42"/>
      <c r="AM214" s="52">
        <v>2125</v>
      </c>
      <c r="AN214" s="52">
        <v>2125</v>
      </c>
      <c r="AO214" s="52">
        <v>15525</v>
      </c>
      <c r="AP214" s="52">
        <v>0</v>
      </c>
      <c r="AQ214" s="42"/>
      <c r="AR214" s="52">
        <v>21825</v>
      </c>
      <c r="AS214" s="52">
        <v>64569525</v>
      </c>
      <c r="AT214" s="52">
        <v>0</v>
      </c>
      <c r="AU214" s="41" t="s">
        <v>578</v>
      </c>
      <c r="AV214" s="41" t="s">
        <v>356</v>
      </c>
      <c r="AW214" s="41" t="s">
        <v>1252</v>
      </c>
      <c r="AX214" s="41" t="s">
        <v>1158</v>
      </c>
    </row>
    <row r="215" spans="1:50" x14ac:dyDescent="0.2">
      <c r="A215" s="40">
        <v>64569625</v>
      </c>
      <c r="B215" s="41" t="s">
        <v>2804</v>
      </c>
      <c r="C215" s="41" t="s">
        <v>3049</v>
      </c>
      <c r="D215" s="41" t="s">
        <v>460</v>
      </c>
      <c r="E215" s="49">
        <v>3219658</v>
      </c>
      <c r="F215" s="49">
        <v>16883</v>
      </c>
      <c r="G215" s="50">
        <v>3202775</v>
      </c>
      <c r="H215" s="42" t="s">
        <v>2615</v>
      </c>
      <c r="I215" s="42" t="s">
        <v>461</v>
      </c>
      <c r="J215" s="43" t="s">
        <v>351</v>
      </c>
      <c r="K215" s="40">
        <v>79207422</v>
      </c>
      <c r="L215" s="41" t="s">
        <v>1254</v>
      </c>
      <c r="M215" s="41" t="s">
        <v>316</v>
      </c>
      <c r="N215" s="41" t="s">
        <v>317</v>
      </c>
      <c r="O215" s="41" t="s">
        <v>1255</v>
      </c>
      <c r="P215" s="41" t="s">
        <v>319</v>
      </c>
      <c r="Q215" s="40">
        <v>860034313</v>
      </c>
      <c r="R215" s="41" t="s">
        <v>355</v>
      </c>
      <c r="S215" s="40">
        <v>923211</v>
      </c>
      <c r="T215" s="41" t="s">
        <v>69</v>
      </c>
      <c r="U215" s="41" t="s">
        <v>29</v>
      </c>
      <c r="V215" s="41" t="s">
        <v>30</v>
      </c>
      <c r="W215" s="42" t="s">
        <v>31</v>
      </c>
      <c r="X215" s="42" t="s">
        <v>32</v>
      </c>
      <c r="Y215" s="42" t="s">
        <v>33</v>
      </c>
      <c r="Z215" s="42" t="s">
        <v>2937</v>
      </c>
      <c r="AA215" s="42" t="s">
        <v>34</v>
      </c>
      <c r="AB215" s="42" t="s">
        <v>34</v>
      </c>
      <c r="AC215" s="42" t="s">
        <v>34</v>
      </c>
      <c r="AD215" s="42" t="s">
        <v>462</v>
      </c>
      <c r="AE215" s="42"/>
      <c r="AF215" s="42"/>
      <c r="AG215" s="42" t="s">
        <v>463</v>
      </c>
      <c r="AH215" s="42"/>
      <c r="AI215" s="44"/>
      <c r="AJ215" s="42"/>
      <c r="AK215" s="44"/>
      <c r="AL215" s="42"/>
      <c r="AM215" s="52">
        <v>2125</v>
      </c>
      <c r="AN215" s="52">
        <v>2125</v>
      </c>
      <c r="AO215" s="52">
        <v>15625</v>
      </c>
      <c r="AP215" s="52">
        <v>0</v>
      </c>
      <c r="AQ215" s="42"/>
      <c r="AR215" s="52">
        <v>21925</v>
      </c>
      <c r="AS215" s="52">
        <v>64569625</v>
      </c>
      <c r="AT215" s="52">
        <v>0</v>
      </c>
      <c r="AU215" s="41" t="s">
        <v>578</v>
      </c>
      <c r="AV215" s="41" t="s">
        <v>356</v>
      </c>
      <c r="AW215" s="41" t="s">
        <v>1257</v>
      </c>
      <c r="AX215" s="41" t="s">
        <v>1158</v>
      </c>
    </row>
    <row r="216" spans="1:50" x14ac:dyDescent="0.2">
      <c r="A216" s="40">
        <v>64569725</v>
      </c>
      <c r="B216" s="41" t="s">
        <v>2804</v>
      </c>
      <c r="C216" s="41" t="s">
        <v>3047</v>
      </c>
      <c r="D216" s="41" t="s">
        <v>460</v>
      </c>
      <c r="E216" s="49">
        <v>3219658</v>
      </c>
      <c r="F216" s="49">
        <v>16883</v>
      </c>
      <c r="G216" s="50">
        <v>3202775</v>
      </c>
      <c r="H216" s="42" t="s">
        <v>2615</v>
      </c>
      <c r="I216" s="42" t="s">
        <v>461</v>
      </c>
      <c r="J216" s="43" t="s">
        <v>351</v>
      </c>
      <c r="K216" s="40">
        <v>79507598</v>
      </c>
      <c r="L216" s="41" t="s">
        <v>1259</v>
      </c>
      <c r="M216" s="41" t="s">
        <v>316</v>
      </c>
      <c r="N216" s="41" t="s">
        <v>317</v>
      </c>
      <c r="O216" s="41" t="s">
        <v>1260</v>
      </c>
      <c r="P216" s="41" t="s">
        <v>319</v>
      </c>
      <c r="Q216" s="40">
        <v>860002964</v>
      </c>
      <c r="R216" s="41" t="s">
        <v>419</v>
      </c>
      <c r="S216" s="40">
        <v>923211</v>
      </c>
      <c r="T216" s="41" t="s">
        <v>69</v>
      </c>
      <c r="U216" s="41" t="s">
        <v>29</v>
      </c>
      <c r="V216" s="41" t="s">
        <v>30</v>
      </c>
      <c r="W216" s="42" t="s">
        <v>31</v>
      </c>
      <c r="X216" s="42" t="s">
        <v>32</v>
      </c>
      <c r="Y216" s="42" t="s">
        <v>33</v>
      </c>
      <c r="Z216" s="42" t="s">
        <v>2937</v>
      </c>
      <c r="AA216" s="42" t="s">
        <v>34</v>
      </c>
      <c r="AB216" s="42" t="s">
        <v>34</v>
      </c>
      <c r="AC216" s="42" t="s">
        <v>34</v>
      </c>
      <c r="AD216" s="42" t="s">
        <v>462</v>
      </c>
      <c r="AE216" s="42"/>
      <c r="AF216" s="42"/>
      <c r="AG216" s="42" t="s">
        <v>463</v>
      </c>
      <c r="AH216" s="42"/>
      <c r="AI216" s="44"/>
      <c r="AJ216" s="42"/>
      <c r="AK216" s="44"/>
      <c r="AL216" s="42"/>
      <c r="AM216" s="52">
        <v>2125</v>
      </c>
      <c r="AN216" s="52">
        <v>2125</v>
      </c>
      <c r="AO216" s="52">
        <v>15725</v>
      </c>
      <c r="AP216" s="52">
        <v>0</v>
      </c>
      <c r="AQ216" s="42"/>
      <c r="AR216" s="52">
        <v>22025</v>
      </c>
      <c r="AS216" s="52">
        <v>64569725</v>
      </c>
      <c r="AT216" s="52">
        <v>0</v>
      </c>
      <c r="AU216" s="41" t="s">
        <v>578</v>
      </c>
      <c r="AV216" s="41" t="s">
        <v>356</v>
      </c>
      <c r="AW216" s="41" t="s">
        <v>1262</v>
      </c>
      <c r="AX216" s="41" t="s">
        <v>1158</v>
      </c>
    </row>
    <row r="217" spans="1:50" x14ac:dyDescent="0.2">
      <c r="A217" s="40">
        <v>64569825</v>
      </c>
      <c r="B217" s="41" t="s">
        <v>2804</v>
      </c>
      <c r="C217" s="41" t="s">
        <v>3062</v>
      </c>
      <c r="D217" s="41" t="s">
        <v>460</v>
      </c>
      <c r="E217" s="49">
        <v>3219658</v>
      </c>
      <c r="F217" s="49">
        <v>16883</v>
      </c>
      <c r="G217" s="50">
        <v>3202775</v>
      </c>
      <c r="H217" s="42" t="s">
        <v>2615</v>
      </c>
      <c r="I217" s="42" t="s">
        <v>461</v>
      </c>
      <c r="J217" s="43" t="s">
        <v>351</v>
      </c>
      <c r="K217" s="40">
        <v>79750460</v>
      </c>
      <c r="L217" s="41" t="s">
        <v>1264</v>
      </c>
      <c r="M217" s="41" t="s">
        <v>316</v>
      </c>
      <c r="N217" s="41" t="s">
        <v>317</v>
      </c>
      <c r="O217" s="41" t="s">
        <v>1265</v>
      </c>
      <c r="P217" s="41" t="s">
        <v>319</v>
      </c>
      <c r="Q217" s="40">
        <v>890903938</v>
      </c>
      <c r="R217" s="41" t="s">
        <v>342</v>
      </c>
      <c r="S217" s="40">
        <v>923211</v>
      </c>
      <c r="T217" s="41" t="s">
        <v>69</v>
      </c>
      <c r="U217" s="41" t="s">
        <v>29</v>
      </c>
      <c r="V217" s="41" t="s">
        <v>30</v>
      </c>
      <c r="W217" s="42" t="s">
        <v>31</v>
      </c>
      <c r="X217" s="42" t="s">
        <v>32</v>
      </c>
      <c r="Y217" s="42" t="s">
        <v>33</v>
      </c>
      <c r="Z217" s="42" t="s">
        <v>2937</v>
      </c>
      <c r="AA217" s="42" t="s">
        <v>34</v>
      </c>
      <c r="AB217" s="42" t="s">
        <v>34</v>
      </c>
      <c r="AC217" s="42" t="s">
        <v>34</v>
      </c>
      <c r="AD217" s="42" t="s">
        <v>462</v>
      </c>
      <c r="AE217" s="42"/>
      <c r="AF217" s="42"/>
      <c r="AG217" s="42" t="s">
        <v>463</v>
      </c>
      <c r="AH217" s="42"/>
      <c r="AI217" s="44"/>
      <c r="AJ217" s="42"/>
      <c r="AK217" s="44"/>
      <c r="AL217" s="42"/>
      <c r="AM217" s="52">
        <v>2125</v>
      </c>
      <c r="AN217" s="52">
        <v>2125</v>
      </c>
      <c r="AO217" s="52">
        <v>15825</v>
      </c>
      <c r="AP217" s="52">
        <v>0</v>
      </c>
      <c r="AQ217" s="42"/>
      <c r="AR217" s="52">
        <v>22125</v>
      </c>
      <c r="AS217" s="52">
        <v>64569825</v>
      </c>
      <c r="AT217" s="52">
        <v>0</v>
      </c>
      <c r="AU217" s="41" t="s">
        <v>578</v>
      </c>
      <c r="AV217" s="41" t="s">
        <v>356</v>
      </c>
      <c r="AW217" s="41" t="s">
        <v>1267</v>
      </c>
      <c r="AX217" s="41" t="s">
        <v>1158</v>
      </c>
    </row>
    <row r="218" spans="1:50" x14ac:dyDescent="0.2">
      <c r="A218" s="40">
        <v>64569925</v>
      </c>
      <c r="B218" s="41" t="s">
        <v>2804</v>
      </c>
      <c r="C218" s="41" t="s">
        <v>3049</v>
      </c>
      <c r="D218" s="41" t="s">
        <v>460</v>
      </c>
      <c r="E218" s="49">
        <v>3219658</v>
      </c>
      <c r="F218" s="49">
        <v>16883</v>
      </c>
      <c r="G218" s="50">
        <v>3202775</v>
      </c>
      <c r="H218" s="42" t="s">
        <v>2615</v>
      </c>
      <c r="I218" s="42" t="s">
        <v>461</v>
      </c>
      <c r="J218" s="43" t="s">
        <v>351</v>
      </c>
      <c r="K218" s="40">
        <v>1024554710</v>
      </c>
      <c r="L218" s="41" t="s">
        <v>1268</v>
      </c>
      <c r="M218" s="41" t="s">
        <v>316</v>
      </c>
      <c r="N218" s="41" t="s">
        <v>317</v>
      </c>
      <c r="O218" s="41" t="s">
        <v>1269</v>
      </c>
      <c r="P218" s="41" t="s">
        <v>319</v>
      </c>
      <c r="Q218" s="40">
        <v>860034313</v>
      </c>
      <c r="R218" s="41" t="s">
        <v>355</v>
      </c>
      <c r="S218" s="40">
        <v>923211</v>
      </c>
      <c r="T218" s="41" t="s">
        <v>69</v>
      </c>
      <c r="U218" s="41" t="s">
        <v>29</v>
      </c>
      <c r="V218" s="41" t="s">
        <v>30</v>
      </c>
      <c r="W218" s="42" t="s">
        <v>31</v>
      </c>
      <c r="X218" s="42" t="s">
        <v>32</v>
      </c>
      <c r="Y218" s="42" t="s">
        <v>33</v>
      </c>
      <c r="Z218" s="42" t="s">
        <v>2937</v>
      </c>
      <c r="AA218" s="42" t="s">
        <v>34</v>
      </c>
      <c r="AB218" s="42" t="s">
        <v>34</v>
      </c>
      <c r="AC218" s="42" t="s">
        <v>34</v>
      </c>
      <c r="AD218" s="42" t="s">
        <v>462</v>
      </c>
      <c r="AE218" s="42"/>
      <c r="AF218" s="42"/>
      <c r="AG218" s="42" t="s">
        <v>463</v>
      </c>
      <c r="AH218" s="42"/>
      <c r="AI218" s="44"/>
      <c r="AJ218" s="42"/>
      <c r="AK218" s="44"/>
      <c r="AL218" s="42"/>
      <c r="AM218" s="52">
        <v>2125</v>
      </c>
      <c r="AN218" s="52">
        <v>2125</v>
      </c>
      <c r="AO218" s="52">
        <v>15925</v>
      </c>
      <c r="AP218" s="52">
        <v>0</v>
      </c>
      <c r="AQ218" s="42"/>
      <c r="AR218" s="52">
        <v>22225</v>
      </c>
      <c r="AS218" s="52">
        <v>64569925</v>
      </c>
      <c r="AT218" s="52">
        <v>0</v>
      </c>
      <c r="AU218" s="41" t="s">
        <v>578</v>
      </c>
      <c r="AV218" s="41" t="s">
        <v>356</v>
      </c>
      <c r="AW218" s="41" t="s">
        <v>1271</v>
      </c>
      <c r="AX218" s="41" t="s">
        <v>1158</v>
      </c>
    </row>
    <row r="219" spans="1:50" x14ac:dyDescent="0.2">
      <c r="A219" s="40">
        <v>64570025</v>
      </c>
      <c r="B219" s="41" t="s">
        <v>2804</v>
      </c>
      <c r="C219" s="41" t="s">
        <v>3054</v>
      </c>
      <c r="D219" s="41" t="s">
        <v>460</v>
      </c>
      <c r="E219" s="49">
        <v>3219658</v>
      </c>
      <c r="F219" s="49">
        <v>16883</v>
      </c>
      <c r="G219" s="50">
        <v>3202775</v>
      </c>
      <c r="H219" s="42" t="s">
        <v>2615</v>
      </c>
      <c r="I219" s="42" t="s">
        <v>461</v>
      </c>
      <c r="J219" s="43" t="s">
        <v>351</v>
      </c>
      <c r="K219" s="40">
        <v>3836898</v>
      </c>
      <c r="L219" s="41" t="s">
        <v>1273</v>
      </c>
      <c r="M219" s="41" t="s">
        <v>316</v>
      </c>
      <c r="N219" s="41" t="s">
        <v>317</v>
      </c>
      <c r="O219" s="41" t="s">
        <v>1274</v>
      </c>
      <c r="P219" s="41" t="s">
        <v>319</v>
      </c>
      <c r="Q219" s="40">
        <v>890903938</v>
      </c>
      <c r="R219" s="41" t="s">
        <v>342</v>
      </c>
      <c r="S219" s="40">
        <v>923211</v>
      </c>
      <c r="T219" s="41" t="s">
        <v>69</v>
      </c>
      <c r="U219" s="41" t="s">
        <v>29</v>
      </c>
      <c r="V219" s="41" t="s">
        <v>30</v>
      </c>
      <c r="W219" s="42" t="s">
        <v>31</v>
      </c>
      <c r="X219" s="42" t="s">
        <v>32</v>
      </c>
      <c r="Y219" s="42" t="s">
        <v>33</v>
      </c>
      <c r="Z219" s="42" t="s">
        <v>2937</v>
      </c>
      <c r="AA219" s="42" t="s">
        <v>34</v>
      </c>
      <c r="AB219" s="42" t="s">
        <v>34</v>
      </c>
      <c r="AC219" s="42" t="s">
        <v>34</v>
      </c>
      <c r="AD219" s="42" t="s">
        <v>462</v>
      </c>
      <c r="AE219" s="42"/>
      <c r="AF219" s="42"/>
      <c r="AG219" s="42" t="s">
        <v>463</v>
      </c>
      <c r="AH219" s="42"/>
      <c r="AI219" s="44"/>
      <c r="AJ219" s="42"/>
      <c r="AK219" s="44"/>
      <c r="AL219" s="42"/>
      <c r="AM219" s="52">
        <v>2125</v>
      </c>
      <c r="AN219" s="52">
        <v>2125</v>
      </c>
      <c r="AO219" s="52">
        <v>16025</v>
      </c>
      <c r="AP219" s="52">
        <v>0</v>
      </c>
      <c r="AQ219" s="42"/>
      <c r="AR219" s="52">
        <v>22325</v>
      </c>
      <c r="AS219" s="52">
        <v>64570025</v>
      </c>
      <c r="AT219" s="52">
        <v>0</v>
      </c>
      <c r="AU219" s="41" t="s">
        <v>578</v>
      </c>
      <c r="AV219" s="41" t="s">
        <v>356</v>
      </c>
      <c r="AW219" s="41" t="s">
        <v>1276</v>
      </c>
      <c r="AX219" s="41" t="s">
        <v>1158</v>
      </c>
    </row>
    <row r="220" spans="1:50" x14ac:dyDescent="0.2">
      <c r="A220" s="40">
        <v>64570125</v>
      </c>
      <c r="B220" s="41" t="s">
        <v>2804</v>
      </c>
      <c r="C220" s="41" t="s">
        <v>3066</v>
      </c>
      <c r="D220" s="41" t="s">
        <v>460</v>
      </c>
      <c r="E220" s="49">
        <v>3219658</v>
      </c>
      <c r="F220" s="49">
        <v>16883</v>
      </c>
      <c r="G220" s="50">
        <v>3202775</v>
      </c>
      <c r="H220" s="42" t="s">
        <v>2615</v>
      </c>
      <c r="I220" s="42" t="s">
        <v>461</v>
      </c>
      <c r="J220" s="43" t="s">
        <v>351</v>
      </c>
      <c r="K220" s="40">
        <v>7182568</v>
      </c>
      <c r="L220" s="41" t="s">
        <v>1278</v>
      </c>
      <c r="M220" s="41" t="s">
        <v>316</v>
      </c>
      <c r="N220" s="41" t="s">
        <v>317</v>
      </c>
      <c r="O220" s="41" t="s">
        <v>1279</v>
      </c>
      <c r="P220" s="41" t="s">
        <v>319</v>
      </c>
      <c r="Q220" s="40">
        <v>860003020</v>
      </c>
      <c r="R220" s="41" t="s">
        <v>393</v>
      </c>
      <c r="S220" s="40">
        <v>923211</v>
      </c>
      <c r="T220" s="41" t="s">
        <v>69</v>
      </c>
      <c r="U220" s="41" t="s">
        <v>29</v>
      </c>
      <c r="V220" s="41" t="s">
        <v>30</v>
      </c>
      <c r="W220" s="42" t="s">
        <v>31</v>
      </c>
      <c r="X220" s="42" t="s">
        <v>32</v>
      </c>
      <c r="Y220" s="42" t="s">
        <v>33</v>
      </c>
      <c r="Z220" s="42" t="s">
        <v>2937</v>
      </c>
      <c r="AA220" s="42" t="s">
        <v>34</v>
      </c>
      <c r="AB220" s="42" t="s">
        <v>34</v>
      </c>
      <c r="AC220" s="42" t="s">
        <v>34</v>
      </c>
      <c r="AD220" s="42" t="s">
        <v>462</v>
      </c>
      <c r="AE220" s="42"/>
      <c r="AF220" s="42"/>
      <c r="AG220" s="42" t="s">
        <v>463</v>
      </c>
      <c r="AH220" s="42"/>
      <c r="AI220" s="44"/>
      <c r="AJ220" s="42"/>
      <c r="AK220" s="44"/>
      <c r="AL220" s="42"/>
      <c r="AM220" s="52">
        <v>2125</v>
      </c>
      <c r="AN220" s="52">
        <v>2125</v>
      </c>
      <c r="AO220" s="52">
        <v>16125</v>
      </c>
      <c r="AP220" s="52">
        <v>0</v>
      </c>
      <c r="AQ220" s="42"/>
      <c r="AR220" s="52">
        <v>22425</v>
      </c>
      <c r="AS220" s="52">
        <v>64570125</v>
      </c>
      <c r="AT220" s="52">
        <v>0</v>
      </c>
      <c r="AU220" s="41" t="s">
        <v>578</v>
      </c>
      <c r="AV220" s="41" t="s">
        <v>356</v>
      </c>
      <c r="AW220" s="41" t="s">
        <v>1281</v>
      </c>
      <c r="AX220" s="41" t="s">
        <v>1158</v>
      </c>
    </row>
    <row r="221" spans="1:50" x14ac:dyDescent="0.2">
      <c r="A221" s="40">
        <v>64570225</v>
      </c>
      <c r="B221" s="41" t="s">
        <v>2804</v>
      </c>
      <c r="C221" s="41" t="s">
        <v>3068</v>
      </c>
      <c r="D221" s="41" t="s">
        <v>460</v>
      </c>
      <c r="E221" s="49">
        <v>3219658</v>
      </c>
      <c r="F221" s="49">
        <v>16883</v>
      </c>
      <c r="G221" s="50">
        <v>3202775</v>
      </c>
      <c r="H221" s="42" t="s">
        <v>2615</v>
      </c>
      <c r="I221" s="42" t="s">
        <v>461</v>
      </c>
      <c r="J221" s="43" t="s">
        <v>351</v>
      </c>
      <c r="K221" s="40">
        <v>79137299</v>
      </c>
      <c r="L221" s="41" t="s">
        <v>1283</v>
      </c>
      <c r="M221" s="41" t="s">
        <v>316</v>
      </c>
      <c r="N221" s="41" t="s">
        <v>317</v>
      </c>
      <c r="O221" s="41" t="s">
        <v>3069</v>
      </c>
      <c r="P221" s="41" t="s">
        <v>319</v>
      </c>
      <c r="Q221" s="40">
        <v>860007335</v>
      </c>
      <c r="R221" s="41" t="s">
        <v>381</v>
      </c>
      <c r="S221" s="40">
        <v>923211</v>
      </c>
      <c r="T221" s="41" t="s">
        <v>69</v>
      </c>
      <c r="U221" s="41" t="s">
        <v>29</v>
      </c>
      <c r="V221" s="41" t="s">
        <v>30</v>
      </c>
      <c r="W221" s="42" t="s">
        <v>31</v>
      </c>
      <c r="X221" s="42" t="s">
        <v>32</v>
      </c>
      <c r="Y221" s="42" t="s">
        <v>33</v>
      </c>
      <c r="Z221" s="42" t="s">
        <v>2937</v>
      </c>
      <c r="AA221" s="42" t="s">
        <v>34</v>
      </c>
      <c r="AB221" s="42" t="s">
        <v>34</v>
      </c>
      <c r="AC221" s="42" t="s">
        <v>34</v>
      </c>
      <c r="AD221" s="42" t="s">
        <v>462</v>
      </c>
      <c r="AE221" s="42"/>
      <c r="AF221" s="42"/>
      <c r="AG221" s="42" t="s">
        <v>463</v>
      </c>
      <c r="AH221" s="42"/>
      <c r="AI221" s="44"/>
      <c r="AJ221" s="42"/>
      <c r="AK221" s="44"/>
      <c r="AL221" s="42"/>
      <c r="AM221" s="52">
        <v>2125</v>
      </c>
      <c r="AN221" s="52">
        <v>2125</v>
      </c>
      <c r="AO221" s="52">
        <v>16225</v>
      </c>
      <c r="AP221" s="52">
        <v>0</v>
      </c>
      <c r="AQ221" s="42"/>
      <c r="AR221" s="52">
        <v>22525</v>
      </c>
      <c r="AS221" s="52">
        <v>64570225</v>
      </c>
      <c r="AT221" s="52">
        <v>0</v>
      </c>
      <c r="AU221" s="41" t="s">
        <v>578</v>
      </c>
      <c r="AV221" s="41" t="s">
        <v>356</v>
      </c>
      <c r="AW221" s="41" t="s">
        <v>1285</v>
      </c>
      <c r="AX221" s="41" t="s">
        <v>1158</v>
      </c>
    </row>
    <row r="222" spans="1:50" x14ac:dyDescent="0.2">
      <c r="A222" s="40">
        <v>64570325</v>
      </c>
      <c r="B222" s="41" t="s">
        <v>2804</v>
      </c>
      <c r="C222" s="41" t="s">
        <v>3071</v>
      </c>
      <c r="D222" s="41" t="s">
        <v>460</v>
      </c>
      <c r="E222" s="49">
        <v>3219658</v>
      </c>
      <c r="F222" s="49">
        <v>16883</v>
      </c>
      <c r="G222" s="50">
        <v>3202775</v>
      </c>
      <c r="H222" s="42" t="s">
        <v>2615</v>
      </c>
      <c r="I222" s="42" t="s">
        <v>461</v>
      </c>
      <c r="J222" s="43" t="s">
        <v>351</v>
      </c>
      <c r="K222" s="40">
        <v>79536962</v>
      </c>
      <c r="L222" s="41" t="s">
        <v>1287</v>
      </c>
      <c r="M222" s="41" t="s">
        <v>316</v>
      </c>
      <c r="N222" s="41" t="s">
        <v>317</v>
      </c>
      <c r="O222" s="41" t="s">
        <v>1288</v>
      </c>
      <c r="P222" s="41" t="s">
        <v>319</v>
      </c>
      <c r="Q222" s="40">
        <v>860034313</v>
      </c>
      <c r="R222" s="41" t="s">
        <v>355</v>
      </c>
      <c r="S222" s="40">
        <v>923211</v>
      </c>
      <c r="T222" s="41" t="s">
        <v>69</v>
      </c>
      <c r="U222" s="41" t="s">
        <v>29</v>
      </c>
      <c r="V222" s="41" t="s">
        <v>30</v>
      </c>
      <c r="W222" s="42" t="s">
        <v>31</v>
      </c>
      <c r="X222" s="42" t="s">
        <v>32</v>
      </c>
      <c r="Y222" s="42" t="s">
        <v>33</v>
      </c>
      <c r="Z222" s="42" t="s">
        <v>2937</v>
      </c>
      <c r="AA222" s="42" t="s">
        <v>34</v>
      </c>
      <c r="AB222" s="42" t="s">
        <v>34</v>
      </c>
      <c r="AC222" s="42" t="s">
        <v>34</v>
      </c>
      <c r="AD222" s="42" t="s">
        <v>462</v>
      </c>
      <c r="AE222" s="42"/>
      <c r="AF222" s="42"/>
      <c r="AG222" s="42" t="s">
        <v>463</v>
      </c>
      <c r="AH222" s="42"/>
      <c r="AI222" s="44"/>
      <c r="AJ222" s="42"/>
      <c r="AK222" s="44"/>
      <c r="AL222" s="42"/>
      <c r="AM222" s="52">
        <v>2125</v>
      </c>
      <c r="AN222" s="52">
        <v>2125</v>
      </c>
      <c r="AO222" s="52">
        <v>16325</v>
      </c>
      <c r="AP222" s="52">
        <v>0</v>
      </c>
      <c r="AQ222" s="42"/>
      <c r="AR222" s="52">
        <v>22625</v>
      </c>
      <c r="AS222" s="52">
        <v>64570325</v>
      </c>
      <c r="AT222" s="52">
        <v>0</v>
      </c>
      <c r="AU222" s="41" t="s">
        <v>578</v>
      </c>
      <c r="AV222" s="41" t="s">
        <v>356</v>
      </c>
      <c r="AW222" s="41" t="s">
        <v>1290</v>
      </c>
      <c r="AX222" s="41" t="s">
        <v>1158</v>
      </c>
    </row>
    <row r="223" spans="1:50" x14ac:dyDescent="0.2">
      <c r="A223" s="40">
        <v>64570425</v>
      </c>
      <c r="B223" s="41" t="s">
        <v>2804</v>
      </c>
      <c r="C223" s="41" t="s">
        <v>3073</v>
      </c>
      <c r="D223" s="41" t="s">
        <v>460</v>
      </c>
      <c r="E223" s="49">
        <v>3219658</v>
      </c>
      <c r="F223" s="49">
        <v>16883</v>
      </c>
      <c r="G223" s="50">
        <v>3202775</v>
      </c>
      <c r="H223" s="42" t="s">
        <v>2615</v>
      </c>
      <c r="I223" s="42" t="s">
        <v>461</v>
      </c>
      <c r="J223" s="43" t="s">
        <v>351</v>
      </c>
      <c r="K223" s="40">
        <v>80830255</v>
      </c>
      <c r="L223" s="41" t="s">
        <v>1292</v>
      </c>
      <c r="M223" s="41" t="s">
        <v>316</v>
      </c>
      <c r="N223" s="41" t="s">
        <v>317</v>
      </c>
      <c r="O223" s="41" t="s">
        <v>1293</v>
      </c>
      <c r="P223" s="41" t="s">
        <v>319</v>
      </c>
      <c r="Q223" s="40">
        <v>890903938</v>
      </c>
      <c r="R223" s="41" t="s">
        <v>342</v>
      </c>
      <c r="S223" s="40">
        <v>923211</v>
      </c>
      <c r="T223" s="41" t="s">
        <v>69</v>
      </c>
      <c r="U223" s="41" t="s">
        <v>29</v>
      </c>
      <c r="V223" s="41" t="s">
        <v>30</v>
      </c>
      <c r="W223" s="42" t="s">
        <v>31</v>
      </c>
      <c r="X223" s="42" t="s">
        <v>32</v>
      </c>
      <c r="Y223" s="42" t="s">
        <v>33</v>
      </c>
      <c r="Z223" s="42" t="s">
        <v>2937</v>
      </c>
      <c r="AA223" s="42" t="s">
        <v>34</v>
      </c>
      <c r="AB223" s="42" t="s">
        <v>34</v>
      </c>
      <c r="AC223" s="42" t="s">
        <v>34</v>
      </c>
      <c r="AD223" s="42" t="s">
        <v>462</v>
      </c>
      <c r="AE223" s="42"/>
      <c r="AF223" s="42"/>
      <c r="AG223" s="42" t="s">
        <v>463</v>
      </c>
      <c r="AH223" s="42"/>
      <c r="AI223" s="44"/>
      <c r="AJ223" s="42"/>
      <c r="AK223" s="44"/>
      <c r="AL223" s="42"/>
      <c r="AM223" s="52">
        <v>2125</v>
      </c>
      <c r="AN223" s="52">
        <v>2125</v>
      </c>
      <c r="AO223" s="52">
        <v>16425</v>
      </c>
      <c r="AP223" s="52">
        <v>0</v>
      </c>
      <c r="AQ223" s="42"/>
      <c r="AR223" s="52">
        <v>22725</v>
      </c>
      <c r="AS223" s="52">
        <v>64570425</v>
      </c>
      <c r="AT223" s="52">
        <v>0</v>
      </c>
      <c r="AU223" s="41" t="s">
        <v>578</v>
      </c>
      <c r="AV223" s="41" t="s">
        <v>356</v>
      </c>
      <c r="AW223" s="41" t="s">
        <v>1295</v>
      </c>
      <c r="AX223" s="41" t="s">
        <v>1158</v>
      </c>
    </row>
    <row r="224" spans="1:50" x14ac:dyDescent="0.2">
      <c r="A224" s="40">
        <v>64570525</v>
      </c>
      <c r="B224" s="41" t="s">
        <v>2804</v>
      </c>
      <c r="C224" s="41" t="s">
        <v>3068</v>
      </c>
      <c r="D224" s="41" t="s">
        <v>460</v>
      </c>
      <c r="E224" s="49">
        <v>3219658</v>
      </c>
      <c r="F224" s="49">
        <v>16883</v>
      </c>
      <c r="G224" s="50">
        <v>3202775</v>
      </c>
      <c r="H224" s="42" t="s">
        <v>2615</v>
      </c>
      <c r="I224" s="42" t="s">
        <v>461</v>
      </c>
      <c r="J224" s="43" t="s">
        <v>351</v>
      </c>
      <c r="K224" s="40">
        <v>93300406</v>
      </c>
      <c r="L224" s="41" t="s">
        <v>1297</v>
      </c>
      <c r="M224" s="41" t="s">
        <v>316</v>
      </c>
      <c r="N224" s="41" t="s">
        <v>317</v>
      </c>
      <c r="O224" s="41" t="s">
        <v>1298</v>
      </c>
      <c r="P224" s="41" t="s">
        <v>319</v>
      </c>
      <c r="Q224" s="40">
        <v>860007335</v>
      </c>
      <c r="R224" s="41" t="s">
        <v>381</v>
      </c>
      <c r="S224" s="40">
        <v>923211</v>
      </c>
      <c r="T224" s="41" t="s">
        <v>69</v>
      </c>
      <c r="U224" s="41" t="s">
        <v>29</v>
      </c>
      <c r="V224" s="41" t="s">
        <v>30</v>
      </c>
      <c r="W224" s="42" t="s">
        <v>31</v>
      </c>
      <c r="X224" s="42" t="s">
        <v>32</v>
      </c>
      <c r="Y224" s="42" t="s">
        <v>33</v>
      </c>
      <c r="Z224" s="42" t="s">
        <v>2937</v>
      </c>
      <c r="AA224" s="42" t="s">
        <v>34</v>
      </c>
      <c r="AB224" s="42" t="s">
        <v>34</v>
      </c>
      <c r="AC224" s="42" t="s">
        <v>34</v>
      </c>
      <c r="AD224" s="42" t="s">
        <v>462</v>
      </c>
      <c r="AE224" s="42"/>
      <c r="AF224" s="42"/>
      <c r="AG224" s="42" t="s">
        <v>463</v>
      </c>
      <c r="AH224" s="42"/>
      <c r="AI224" s="44"/>
      <c r="AJ224" s="42"/>
      <c r="AK224" s="44"/>
      <c r="AL224" s="42"/>
      <c r="AM224" s="52">
        <v>2125</v>
      </c>
      <c r="AN224" s="52">
        <v>2125</v>
      </c>
      <c r="AO224" s="52">
        <v>16525</v>
      </c>
      <c r="AP224" s="52">
        <v>0</v>
      </c>
      <c r="AQ224" s="42"/>
      <c r="AR224" s="52">
        <v>22825</v>
      </c>
      <c r="AS224" s="52">
        <v>64570525</v>
      </c>
      <c r="AT224" s="52">
        <v>0</v>
      </c>
      <c r="AU224" s="41" t="s">
        <v>578</v>
      </c>
      <c r="AV224" s="41" t="s">
        <v>356</v>
      </c>
      <c r="AW224" s="41" t="s">
        <v>1300</v>
      </c>
      <c r="AX224" s="41" t="s">
        <v>1158</v>
      </c>
    </row>
    <row r="225" spans="1:50" x14ac:dyDescent="0.2">
      <c r="A225" s="40">
        <v>64570625</v>
      </c>
      <c r="B225" s="41" t="s">
        <v>2804</v>
      </c>
      <c r="C225" s="41" t="s">
        <v>3076</v>
      </c>
      <c r="D225" s="41" t="s">
        <v>460</v>
      </c>
      <c r="E225" s="49">
        <v>3219658</v>
      </c>
      <c r="F225" s="49">
        <v>18250</v>
      </c>
      <c r="G225" s="50">
        <v>3201408</v>
      </c>
      <c r="H225" s="42" t="s">
        <v>2615</v>
      </c>
      <c r="I225" s="42" t="s">
        <v>461</v>
      </c>
      <c r="J225" s="43" t="s">
        <v>351</v>
      </c>
      <c r="K225" s="40">
        <v>19445585</v>
      </c>
      <c r="L225" s="41" t="s">
        <v>1302</v>
      </c>
      <c r="M225" s="41" t="s">
        <v>316</v>
      </c>
      <c r="N225" s="41" t="s">
        <v>317</v>
      </c>
      <c r="O225" s="41" t="s">
        <v>1303</v>
      </c>
      <c r="P225" s="41" t="s">
        <v>319</v>
      </c>
      <c r="Q225" s="40">
        <v>860034313</v>
      </c>
      <c r="R225" s="41" t="s">
        <v>355</v>
      </c>
      <c r="S225" s="40">
        <v>923211</v>
      </c>
      <c r="T225" s="41" t="s">
        <v>69</v>
      </c>
      <c r="U225" s="41" t="s">
        <v>29</v>
      </c>
      <c r="V225" s="41" t="s">
        <v>30</v>
      </c>
      <c r="W225" s="42" t="s">
        <v>31</v>
      </c>
      <c r="X225" s="42" t="s">
        <v>32</v>
      </c>
      <c r="Y225" s="42" t="s">
        <v>33</v>
      </c>
      <c r="Z225" s="42" t="s">
        <v>2937</v>
      </c>
      <c r="AA225" s="42" t="s">
        <v>34</v>
      </c>
      <c r="AB225" s="42" t="s">
        <v>34</v>
      </c>
      <c r="AC225" s="42" t="s">
        <v>34</v>
      </c>
      <c r="AD225" s="42" t="s">
        <v>462</v>
      </c>
      <c r="AE225" s="42"/>
      <c r="AF225" s="42"/>
      <c r="AG225" s="42" t="s">
        <v>463</v>
      </c>
      <c r="AH225" s="42"/>
      <c r="AI225" s="44"/>
      <c r="AJ225" s="42"/>
      <c r="AK225" s="44"/>
      <c r="AL225" s="42"/>
      <c r="AM225" s="52">
        <v>2125</v>
      </c>
      <c r="AN225" s="52">
        <v>2125</v>
      </c>
      <c r="AO225" s="52">
        <v>16625</v>
      </c>
      <c r="AP225" s="52">
        <v>0</v>
      </c>
      <c r="AQ225" s="42"/>
      <c r="AR225" s="52">
        <v>22925</v>
      </c>
      <c r="AS225" s="52">
        <v>64570625</v>
      </c>
      <c r="AT225" s="52">
        <v>0</v>
      </c>
      <c r="AU225" s="41" t="s">
        <v>578</v>
      </c>
      <c r="AV225" s="41" t="s">
        <v>356</v>
      </c>
      <c r="AW225" s="41" t="s">
        <v>1305</v>
      </c>
      <c r="AX225" s="41" t="s">
        <v>1158</v>
      </c>
    </row>
    <row r="226" spans="1:50" x14ac:dyDescent="0.2">
      <c r="A226" s="40">
        <v>64570825</v>
      </c>
      <c r="B226" s="41" t="s">
        <v>2804</v>
      </c>
      <c r="C226" s="41" t="s">
        <v>3078</v>
      </c>
      <c r="D226" s="41" t="s">
        <v>460</v>
      </c>
      <c r="E226" s="49">
        <v>3219658</v>
      </c>
      <c r="F226" s="49">
        <v>16883</v>
      </c>
      <c r="G226" s="50">
        <v>3202775</v>
      </c>
      <c r="H226" s="42" t="s">
        <v>2615</v>
      </c>
      <c r="I226" s="42" t="s">
        <v>461</v>
      </c>
      <c r="J226" s="43" t="s">
        <v>351</v>
      </c>
      <c r="K226" s="40">
        <v>1022333460</v>
      </c>
      <c r="L226" s="41" t="s">
        <v>1307</v>
      </c>
      <c r="M226" s="41" t="s">
        <v>316</v>
      </c>
      <c r="N226" s="41" t="s">
        <v>317</v>
      </c>
      <c r="O226" s="41" t="s">
        <v>1308</v>
      </c>
      <c r="P226" s="41" t="s">
        <v>319</v>
      </c>
      <c r="Q226" s="40">
        <v>890903938</v>
      </c>
      <c r="R226" s="41" t="s">
        <v>342</v>
      </c>
      <c r="S226" s="40">
        <v>923211</v>
      </c>
      <c r="T226" s="41" t="s">
        <v>69</v>
      </c>
      <c r="U226" s="41" t="s">
        <v>29</v>
      </c>
      <c r="V226" s="41" t="s">
        <v>30</v>
      </c>
      <c r="W226" s="42" t="s">
        <v>31</v>
      </c>
      <c r="X226" s="42" t="s">
        <v>32</v>
      </c>
      <c r="Y226" s="42" t="s">
        <v>33</v>
      </c>
      <c r="Z226" s="42" t="s">
        <v>2937</v>
      </c>
      <c r="AA226" s="42" t="s">
        <v>34</v>
      </c>
      <c r="AB226" s="42" t="s">
        <v>34</v>
      </c>
      <c r="AC226" s="42" t="s">
        <v>34</v>
      </c>
      <c r="AD226" s="42" t="s">
        <v>462</v>
      </c>
      <c r="AE226" s="42"/>
      <c r="AF226" s="42"/>
      <c r="AG226" s="42" t="s">
        <v>463</v>
      </c>
      <c r="AH226" s="42"/>
      <c r="AI226" s="44"/>
      <c r="AJ226" s="42"/>
      <c r="AK226" s="44"/>
      <c r="AL226" s="42"/>
      <c r="AM226" s="52">
        <v>2125</v>
      </c>
      <c r="AN226" s="52">
        <v>2125</v>
      </c>
      <c r="AO226" s="52">
        <v>16725</v>
      </c>
      <c r="AP226" s="52">
        <v>0</v>
      </c>
      <c r="AQ226" s="42"/>
      <c r="AR226" s="52">
        <v>23025</v>
      </c>
      <c r="AS226" s="52">
        <v>64570825</v>
      </c>
      <c r="AT226" s="52">
        <v>0</v>
      </c>
      <c r="AU226" s="41" t="s">
        <v>578</v>
      </c>
      <c r="AV226" s="41" t="s">
        <v>356</v>
      </c>
      <c r="AW226" s="41" t="s">
        <v>1310</v>
      </c>
      <c r="AX226" s="41" t="s">
        <v>1158</v>
      </c>
    </row>
    <row r="227" spans="1:50" x14ac:dyDescent="0.2">
      <c r="A227" s="40">
        <v>64570925</v>
      </c>
      <c r="B227" s="41" t="s">
        <v>2804</v>
      </c>
      <c r="C227" s="41" t="s">
        <v>3066</v>
      </c>
      <c r="D227" s="41" t="s">
        <v>460</v>
      </c>
      <c r="E227" s="49">
        <v>3219658</v>
      </c>
      <c r="F227" s="49">
        <v>16883</v>
      </c>
      <c r="G227" s="50">
        <v>3202775</v>
      </c>
      <c r="H227" s="42" t="s">
        <v>2615</v>
      </c>
      <c r="I227" s="42" t="s">
        <v>461</v>
      </c>
      <c r="J227" s="43" t="s">
        <v>351</v>
      </c>
      <c r="K227" s="40">
        <v>1043004376</v>
      </c>
      <c r="L227" s="41" t="s">
        <v>1312</v>
      </c>
      <c r="M227" s="41" t="s">
        <v>316</v>
      </c>
      <c r="N227" s="41" t="s">
        <v>317</v>
      </c>
      <c r="O227" s="41" t="s">
        <v>1313</v>
      </c>
      <c r="P227" s="41" t="s">
        <v>319</v>
      </c>
      <c r="Q227" s="40">
        <v>860003020</v>
      </c>
      <c r="R227" s="41" t="s">
        <v>393</v>
      </c>
      <c r="S227" s="40">
        <v>923211</v>
      </c>
      <c r="T227" s="41" t="s">
        <v>69</v>
      </c>
      <c r="U227" s="41" t="s">
        <v>29</v>
      </c>
      <c r="V227" s="41" t="s">
        <v>30</v>
      </c>
      <c r="W227" s="42" t="s">
        <v>31</v>
      </c>
      <c r="X227" s="42" t="s">
        <v>32</v>
      </c>
      <c r="Y227" s="42" t="s">
        <v>33</v>
      </c>
      <c r="Z227" s="42" t="s">
        <v>2937</v>
      </c>
      <c r="AA227" s="42" t="s">
        <v>34</v>
      </c>
      <c r="AB227" s="42" t="s">
        <v>34</v>
      </c>
      <c r="AC227" s="42" t="s">
        <v>34</v>
      </c>
      <c r="AD227" s="42" t="s">
        <v>462</v>
      </c>
      <c r="AE227" s="42"/>
      <c r="AF227" s="42"/>
      <c r="AG227" s="42" t="s">
        <v>463</v>
      </c>
      <c r="AH227" s="42"/>
      <c r="AI227" s="44"/>
      <c r="AJ227" s="42"/>
      <c r="AK227" s="44"/>
      <c r="AL227" s="42"/>
      <c r="AM227" s="52">
        <v>2125</v>
      </c>
      <c r="AN227" s="52">
        <v>2125</v>
      </c>
      <c r="AO227" s="52">
        <v>16825</v>
      </c>
      <c r="AP227" s="52">
        <v>0</v>
      </c>
      <c r="AQ227" s="42"/>
      <c r="AR227" s="52">
        <v>23125</v>
      </c>
      <c r="AS227" s="52">
        <v>64570925</v>
      </c>
      <c r="AT227" s="52">
        <v>0</v>
      </c>
      <c r="AU227" s="41" t="s">
        <v>578</v>
      </c>
      <c r="AV227" s="41" t="s">
        <v>356</v>
      </c>
      <c r="AW227" s="41" t="s">
        <v>1315</v>
      </c>
      <c r="AX227" s="41" t="s">
        <v>1158</v>
      </c>
    </row>
    <row r="228" spans="1:50" x14ac:dyDescent="0.2">
      <c r="A228" s="40">
        <v>64571025</v>
      </c>
      <c r="B228" s="41" t="s">
        <v>2804</v>
      </c>
      <c r="C228" s="41" t="s">
        <v>3078</v>
      </c>
      <c r="D228" s="41" t="s">
        <v>460</v>
      </c>
      <c r="E228" s="49">
        <v>3219658</v>
      </c>
      <c r="F228" s="49">
        <v>16883</v>
      </c>
      <c r="G228" s="50">
        <v>3202775</v>
      </c>
      <c r="H228" s="42" t="s">
        <v>2615</v>
      </c>
      <c r="I228" s="42" t="s">
        <v>461</v>
      </c>
      <c r="J228" s="43" t="s">
        <v>351</v>
      </c>
      <c r="K228" s="40">
        <v>80779140</v>
      </c>
      <c r="L228" s="41" t="s">
        <v>1317</v>
      </c>
      <c r="M228" s="41" t="s">
        <v>316</v>
      </c>
      <c r="N228" s="41" t="s">
        <v>317</v>
      </c>
      <c r="O228" s="41" t="s">
        <v>1318</v>
      </c>
      <c r="P228" s="41" t="s">
        <v>319</v>
      </c>
      <c r="Q228" s="40">
        <v>890903938</v>
      </c>
      <c r="R228" s="41" t="s">
        <v>342</v>
      </c>
      <c r="S228" s="40">
        <v>923211</v>
      </c>
      <c r="T228" s="41" t="s">
        <v>69</v>
      </c>
      <c r="U228" s="41" t="s">
        <v>29</v>
      </c>
      <c r="V228" s="41" t="s">
        <v>30</v>
      </c>
      <c r="W228" s="42" t="s">
        <v>31</v>
      </c>
      <c r="X228" s="42" t="s">
        <v>32</v>
      </c>
      <c r="Y228" s="42" t="s">
        <v>33</v>
      </c>
      <c r="Z228" s="42" t="s">
        <v>2937</v>
      </c>
      <c r="AA228" s="42" t="s">
        <v>34</v>
      </c>
      <c r="AB228" s="42" t="s">
        <v>34</v>
      </c>
      <c r="AC228" s="42" t="s">
        <v>34</v>
      </c>
      <c r="AD228" s="42" t="s">
        <v>462</v>
      </c>
      <c r="AE228" s="42"/>
      <c r="AF228" s="42"/>
      <c r="AG228" s="42" t="s">
        <v>463</v>
      </c>
      <c r="AH228" s="42"/>
      <c r="AI228" s="44"/>
      <c r="AJ228" s="42"/>
      <c r="AK228" s="44"/>
      <c r="AL228" s="42"/>
      <c r="AM228" s="52">
        <v>2125</v>
      </c>
      <c r="AN228" s="52">
        <v>2125</v>
      </c>
      <c r="AO228" s="52">
        <v>16925</v>
      </c>
      <c r="AP228" s="52">
        <v>0</v>
      </c>
      <c r="AQ228" s="42"/>
      <c r="AR228" s="52">
        <v>23225</v>
      </c>
      <c r="AS228" s="52">
        <v>64571025</v>
      </c>
      <c r="AT228" s="52">
        <v>0</v>
      </c>
      <c r="AU228" s="41" t="s">
        <v>578</v>
      </c>
      <c r="AV228" s="41" t="s">
        <v>356</v>
      </c>
      <c r="AW228" s="41" t="s">
        <v>1320</v>
      </c>
      <c r="AX228" s="41" t="s">
        <v>1158</v>
      </c>
    </row>
    <row r="229" spans="1:50" x14ac:dyDescent="0.2">
      <c r="A229" s="40">
        <v>64571125</v>
      </c>
      <c r="B229" s="41" t="s">
        <v>2804</v>
      </c>
      <c r="C229" s="41" t="s">
        <v>3082</v>
      </c>
      <c r="D229" s="41" t="s">
        <v>460</v>
      </c>
      <c r="E229" s="49">
        <v>3219658</v>
      </c>
      <c r="F229" s="49">
        <v>16883</v>
      </c>
      <c r="G229" s="50">
        <v>3202775</v>
      </c>
      <c r="H229" s="42" t="s">
        <v>2615</v>
      </c>
      <c r="I229" s="42" t="s">
        <v>461</v>
      </c>
      <c r="J229" s="43" t="s">
        <v>351</v>
      </c>
      <c r="K229" s="40">
        <v>1072191632</v>
      </c>
      <c r="L229" s="41" t="s">
        <v>1322</v>
      </c>
      <c r="M229" s="41" t="s">
        <v>316</v>
      </c>
      <c r="N229" s="41" t="s">
        <v>317</v>
      </c>
      <c r="O229" s="41" t="s">
        <v>1323</v>
      </c>
      <c r="P229" s="41" t="s">
        <v>319</v>
      </c>
      <c r="Q229" s="40">
        <v>860034313</v>
      </c>
      <c r="R229" s="41" t="s">
        <v>355</v>
      </c>
      <c r="S229" s="40">
        <v>923211</v>
      </c>
      <c r="T229" s="41" t="s">
        <v>69</v>
      </c>
      <c r="U229" s="41" t="s">
        <v>29</v>
      </c>
      <c r="V229" s="41" t="s">
        <v>30</v>
      </c>
      <c r="W229" s="42" t="s">
        <v>31</v>
      </c>
      <c r="X229" s="42" t="s">
        <v>32</v>
      </c>
      <c r="Y229" s="42" t="s">
        <v>33</v>
      </c>
      <c r="Z229" s="42" t="s">
        <v>2937</v>
      </c>
      <c r="AA229" s="42" t="s">
        <v>34</v>
      </c>
      <c r="AB229" s="42" t="s">
        <v>34</v>
      </c>
      <c r="AC229" s="42" t="s">
        <v>34</v>
      </c>
      <c r="AD229" s="42" t="s">
        <v>462</v>
      </c>
      <c r="AE229" s="42"/>
      <c r="AF229" s="42"/>
      <c r="AG229" s="42" t="s">
        <v>463</v>
      </c>
      <c r="AH229" s="42"/>
      <c r="AI229" s="44"/>
      <c r="AJ229" s="42"/>
      <c r="AK229" s="44"/>
      <c r="AL229" s="42"/>
      <c r="AM229" s="52">
        <v>2125</v>
      </c>
      <c r="AN229" s="52">
        <v>2125</v>
      </c>
      <c r="AO229" s="52">
        <v>17025</v>
      </c>
      <c r="AP229" s="52">
        <v>0</v>
      </c>
      <c r="AQ229" s="42"/>
      <c r="AR229" s="52">
        <v>23325</v>
      </c>
      <c r="AS229" s="52">
        <v>64571125</v>
      </c>
      <c r="AT229" s="52">
        <v>0</v>
      </c>
      <c r="AU229" s="41" t="s">
        <v>578</v>
      </c>
      <c r="AV229" s="41" t="s">
        <v>356</v>
      </c>
      <c r="AW229" s="41" t="s">
        <v>1325</v>
      </c>
      <c r="AX229" s="41" t="s">
        <v>1158</v>
      </c>
    </row>
    <row r="230" spans="1:50" x14ac:dyDescent="0.2">
      <c r="A230" s="40">
        <v>64571225</v>
      </c>
      <c r="B230" s="41" t="s">
        <v>2804</v>
      </c>
      <c r="C230" s="41" t="s">
        <v>3084</v>
      </c>
      <c r="D230" s="41" t="s">
        <v>460</v>
      </c>
      <c r="E230" s="49">
        <v>2489112</v>
      </c>
      <c r="F230" s="49">
        <v>13867</v>
      </c>
      <c r="G230" s="50">
        <v>2475245</v>
      </c>
      <c r="H230" s="42" t="s">
        <v>2615</v>
      </c>
      <c r="I230" s="42" t="s">
        <v>461</v>
      </c>
      <c r="J230" s="43" t="s">
        <v>351</v>
      </c>
      <c r="K230" s="40">
        <v>30343319</v>
      </c>
      <c r="L230" s="41" t="s">
        <v>1328</v>
      </c>
      <c r="M230" s="41" t="s">
        <v>316</v>
      </c>
      <c r="N230" s="41" t="s">
        <v>317</v>
      </c>
      <c r="O230" s="41" t="s">
        <v>1329</v>
      </c>
      <c r="P230" s="41" t="s">
        <v>319</v>
      </c>
      <c r="Q230" s="40">
        <v>860007738</v>
      </c>
      <c r="R230" s="41" t="s">
        <v>784</v>
      </c>
      <c r="S230" s="40">
        <v>923245</v>
      </c>
      <c r="T230" s="41" t="s">
        <v>180</v>
      </c>
      <c r="U230" s="41" t="s">
        <v>29</v>
      </c>
      <c r="V230" s="41" t="s">
        <v>30</v>
      </c>
      <c r="W230" s="42" t="s">
        <v>31</v>
      </c>
      <c r="X230" s="42" t="s">
        <v>32</v>
      </c>
      <c r="Y230" s="42" t="s">
        <v>33</v>
      </c>
      <c r="Z230" s="42" t="s">
        <v>3085</v>
      </c>
      <c r="AA230" s="42" t="s">
        <v>34</v>
      </c>
      <c r="AB230" s="42" t="s">
        <v>34</v>
      </c>
      <c r="AC230" s="42" t="s">
        <v>34</v>
      </c>
      <c r="AD230" s="42" t="s">
        <v>462</v>
      </c>
      <c r="AE230" s="42"/>
      <c r="AF230" s="42"/>
      <c r="AG230" s="42" t="s">
        <v>463</v>
      </c>
      <c r="AH230" s="42"/>
      <c r="AI230" s="44"/>
      <c r="AJ230" s="42"/>
      <c r="AK230" s="44"/>
      <c r="AL230" s="42"/>
      <c r="AM230" s="52">
        <v>3825</v>
      </c>
      <c r="AN230" s="52">
        <v>3825</v>
      </c>
      <c r="AO230" s="52">
        <v>17125</v>
      </c>
      <c r="AP230" s="52">
        <v>0</v>
      </c>
      <c r="AQ230" s="42"/>
      <c r="AR230" s="52">
        <v>23425</v>
      </c>
      <c r="AS230" s="52">
        <v>64571225</v>
      </c>
      <c r="AT230" s="52">
        <v>0</v>
      </c>
      <c r="AU230" s="41" t="s">
        <v>1326</v>
      </c>
      <c r="AV230" s="41" t="s">
        <v>356</v>
      </c>
      <c r="AW230" s="41" t="s">
        <v>1331</v>
      </c>
      <c r="AX230" s="41" t="s">
        <v>1332</v>
      </c>
    </row>
    <row r="231" spans="1:50" x14ac:dyDescent="0.2">
      <c r="A231" s="40">
        <v>64571325</v>
      </c>
      <c r="B231" s="41" t="s">
        <v>2804</v>
      </c>
      <c r="C231" s="41" t="s">
        <v>3071</v>
      </c>
      <c r="D231" s="41" t="s">
        <v>460</v>
      </c>
      <c r="E231" s="49">
        <v>3219658</v>
      </c>
      <c r="F231" s="49">
        <v>16883</v>
      </c>
      <c r="G231" s="50">
        <v>3202775</v>
      </c>
      <c r="H231" s="42" t="s">
        <v>2615</v>
      </c>
      <c r="I231" s="42" t="s">
        <v>461</v>
      </c>
      <c r="J231" s="43" t="s">
        <v>351</v>
      </c>
      <c r="K231" s="40">
        <v>3170613</v>
      </c>
      <c r="L231" s="41" t="s">
        <v>1334</v>
      </c>
      <c r="M231" s="41" t="s">
        <v>316</v>
      </c>
      <c r="N231" s="41" t="s">
        <v>317</v>
      </c>
      <c r="O231" s="41" t="s">
        <v>1335</v>
      </c>
      <c r="P231" s="41" t="s">
        <v>319</v>
      </c>
      <c r="Q231" s="40">
        <v>860034313</v>
      </c>
      <c r="R231" s="41" t="s">
        <v>355</v>
      </c>
      <c r="S231" s="40">
        <v>923245</v>
      </c>
      <c r="T231" s="41" t="s">
        <v>180</v>
      </c>
      <c r="U231" s="41" t="s">
        <v>29</v>
      </c>
      <c r="V231" s="41" t="s">
        <v>30</v>
      </c>
      <c r="W231" s="42" t="s">
        <v>31</v>
      </c>
      <c r="X231" s="42" t="s">
        <v>32</v>
      </c>
      <c r="Y231" s="42" t="s">
        <v>33</v>
      </c>
      <c r="Z231" s="42" t="s">
        <v>2937</v>
      </c>
      <c r="AA231" s="42" t="s">
        <v>34</v>
      </c>
      <c r="AB231" s="42" t="s">
        <v>34</v>
      </c>
      <c r="AC231" s="42" t="s">
        <v>34</v>
      </c>
      <c r="AD231" s="42" t="s">
        <v>462</v>
      </c>
      <c r="AE231" s="42"/>
      <c r="AF231" s="42"/>
      <c r="AG231" s="42" t="s">
        <v>463</v>
      </c>
      <c r="AH231" s="42"/>
      <c r="AI231" s="44"/>
      <c r="AJ231" s="42"/>
      <c r="AK231" s="44"/>
      <c r="AL231" s="42"/>
      <c r="AM231" s="52">
        <v>3825</v>
      </c>
      <c r="AN231" s="52">
        <v>3825</v>
      </c>
      <c r="AO231" s="52">
        <v>17225</v>
      </c>
      <c r="AP231" s="52">
        <v>0</v>
      </c>
      <c r="AQ231" s="42"/>
      <c r="AR231" s="52">
        <v>23525</v>
      </c>
      <c r="AS231" s="52">
        <v>64571325</v>
      </c>
      <c r="AT231" s="52">
        <v>0</v>
      </c>
      <c r="AU231" s="41" t="s">
        <v>1326</v>
      </c>
      <c r="AV231" s="41" t="s">
        <v>356</v>
      </c>
      <c r="AW231" s="41" t="s">
        <v>1337</v>
      </c>
      <c r="AX231" s="41" t="s">
        <v>1332</v>
      </c>
    </row>
    <row r="232" spans="1:50" x14ac:dyDescent="0.2">
      <c r="A232" s="40">
        <v>64571425</v>
      </c>
      <c r="B232" s="41" t="s">
        <v>2804</v>
      </c>
      <c r="C232" s="41" t="s">
        <v>3073</v>
      </c>
      <c r="D232" s="41" t="s">
        <v>460</v>
      </c>
      <c r="E232" s="49">
        <v>3219658</v>
      </c>
      <c r="F232" s="49">
        <v>16883</v>
      </c>
      <c r="G232" s="50">
        <v>3202775</v>
      </c>
      <c r="H232" s="42" t="s">
        <v>2615</v>
      </c>
      <c r="I232" s="42" t="s">
        <v>461</v>
      </c>
      <c r="J232" s="43" t="s">
        <v>351</v>
      </c>
      <c r="K232" s="40">
        <v>39788424</v>
      </c>
      <c r="L232" s="41" t="s">
        <v>1339</v>
      </c>
      <c r="M232" s="41" t="s">
        <v>316</v>
      </c>
      <c r="N232" s="41" t="s">
        <v>317</v>
      </c>
      <c r="O232" s="41" t="s">
        <v>1340</v>
      </c>
      <c r="P232" s="41" t="s">
        <v>319</v>
      </c>
      <c r="Q232" s="40">
        <v>890903938</v>
      </c>
      <c r="R232" s="41" t="s">
        <v>342</v>
      </c>
      <c r="S232" s="40">
        <v>923245</v>
      </c>
      <c r="T232" s="41" t="s">
        <v>180</v>
      </c>
      <c r="U232" s="41" t="s">
        <v>29</v>
      </c>
      <c r="V232" s="41" t="s">
        <v>30</v>
      </c>
      <c r="W232" s="42" t="s">
        <v>31</v>
      </c>
      <c r="X232" s="42" t="s">
        <v>32</v>
      </c>
      <c r="Y232" s="42" t="s">
        <v>33</v>
      </c>
      <c r="Z232" s="42" t="s">
        <v>2937</v>
      </c>
      <c r="AA232" s="42" t="s">
        <v>34</v>
      </c>
      <c r="AB232" s="42" t="s">
        <v>34</v>
      </c>
      <c r="AC232" s="42" t="s">
        <v>34</v>
      </c>
      <c r="AD232" s="42" t="s">
        <v>462</v>
      </c>
      <c r="AE232" s="42"/>
      <c r="AF232" s="42"/>
      <c r="AG232" s="42" t="s">
        <v>463</v>
      </c>
      <c r="AH232" s="42"/>
      <c r="AI232" s="44"/>
      <c r="AJ232" s="42"/>
      <c r="AK232" s="44"/>
      <c r="AL232" s="42"/>
      <c r="AM232" s="52">
        <v>3825</v>
      </c>
      <c r="AN232" s="52">
        <v>3825</v>
      </c>
      <c r="AO232" s="52">
        <v>17325</v>
      </c>
      <c r="AP232" s="52">
        <v>0</v>
      </c>
      <c r="AQ232" s="42"/>
      <c r="AR232" s="52">
        <v>23625</v>
      </c>
      <c r="AS232" s="52">
        <v>64571425</v>
      </c>
      <c r="AT232" s="52">
        <v>0</v>
      </c>
      <c r="AU232" s="41" t="s">
        <v>1326</v>
      </c>
      <c r="AV232" s="41" t="s">
        <v>356</v>
      </c>
      <c r="AW232" s="41" t="s">
        <v>1342</v>
      </c>
      <c r="AX232" s="41" t="s">
        <v>1332</v>
      </c>
    </row>
    <row r="233" spans="1:50" x14ac:dyDescent="0.2">
      <c r="A233" s="40">
        <v>64571525</v>
      </c>
      <c r="B233" s="41" t="s">
        <v>2804</v>
      </c>
      <c r="C233" s="41" t="s">
        <v>3089</v>
      </c>
      <c r="D233" s="41" t="s">
        <v>460</v>
      </c>
      <c r="E233" s="49">
        <v>3219658</v>
      </c>
      <c r="F233" s="49">
        <v>16883</v>
      </c>
      <c r="G233" s="50">
        <v>3202775</v>
      </c>
      <c r="H233" s="42" t="s">
        <v>2615</v>
      </c>
      <c r="I233" s="42" t="s">
        <v>461</v>
      </c>
      <c r="J233" s="43" t="s">
        <v>351</v>
      </c>
      <c r="K233" s="40">
        <v>52808720</v>
      </c>
      <c r="L233" s="41" t="s">
        <v>1343</v>
      </c>
      <c r="M233" s="41" t="s">
        <v>316</v>
      </c>
      <c r="N233" s="41" t="s">
        <v>317</v>
      </c>
      <c r="O233" s="41" t="s">
        <v>1344</v>
      </c>
      <c r="P233" s="41" t="s">
        <v>319</v>
      </c>
      <c r="Q233" s="40">
        <v>860003020</v>
      </c>
      <c r="R233" s="41" t="s">
        <v>393</v>
      </c>
      <c r="S233" s="40">
        <v>923245</v>
      </c>
      <c r="T233" s="41" t="s">
        <v>180</v>
      </c>
      <c r="U233" s="41" t="s">
        <v>29</v>
      </c>
      <c r="V233" s="41" t="s">
        <v>30</v>
      </c>
      <c r="W233" s="42" t="s">
        <v>31</v>
      </c>
      <c r="X233" s="42" t="s">
        <v>32</v>
      </c>
      <c r="Y233" s="42" t="s">
        <v>33</v>
      </c>
      <c r="Z233" s="42" t="s">
        <v>2937</v>
      </c>
      <c r="AA233" s="42" t="s">
        <v>34</v>
      </c>
      <c r="AB233" s="42" t="s">
        <v>34</v>
      </c>
      <c r="AC233" s="42" t="s">
        <v>34</v>
      </c>
      <c r="AD233" s="42" t="s">
        <v>462</v>
      </c>
      <c r="AE233" s="42"/>
      <c r="AF233" s="42"/>
      <c r="AG233" s="42" t="s">
        <v>463</v>
      </c>
      <c r="AH233" s="42"/>
      <c r="AI233" s="44"/>
      <c r="AJ233" s="42"/>
      <c r="AK233" s="44"/>
      <c r="AL233" s="42"/>
      <c r="AM233" s="52">
        <v>3825</v>
      </c>
      <c r="AN233" s="52">
        <v>3825</v>
      </c>
      <c r="AO233" s="52">
        <v>17425</v>
      </c>
      <c r="AP233" s="52">
        <v>0</v>
      </c>
      <c r="AQ233" s="42"/>
      <c r="AR233" s="52">
        <v>23725</v>
      </c>
      <c r="AS233" s="52">
        <v>64571525</v>
      </c>
      <c r="AT233" s="52">
        <v>0</v>
      </c>
      <c r="AU233" s="41" t="s">
        <v>1326</v>
      </c>
      <c r="AV233" s="41" t="s">
        <v>356</v>
      </c>
      <c r="AW233" s="41" t="s">
        <v>1346</v>
      </c>
      <c r="AX233" s="41" t="s">
        <v>1347</v>
      </c>
    </row>
    <row r="234" spans="1:50" x14ac:dyDescent="0.2">
      <c r="A234" s="40">
        <v>64571625</v>
      </c>
      <c r="B234" s="41" t="s">
        <v>2804</v>
      </c>
      <c r="C234" s="41" t="s">
        <v>3091</v>
      </c>
      <c r="D234" s="41" t="s">
        <v>460</v>
      </c>
      <c r="E234" s="49">
        <v>3219658</v>
      </c>
      <c r="F234" s="49">
        <v>16883</v>
      </c>
      <c r="G234" s="50">
        <v>3202775</v>
      </c>
      <c r="H234" s="42" t="s">
        <v>2615</v>
      </c>
      <c r="I234" s="42" t="s">
        <v>461</v>
      </c>
      <c r="J234" s="43" t="s">
        <v>351</v>
      </c>
      <c r="K234" s="40">
        <v>12190447</v>
      </c>
      <c r="L234" s="41" t="s">
        <v>1349</v>
      </c>
      <c r="M234" s="41" t="s">
        <v>316</v>
      </c>
      <c r="N234" s="41" t="s">
        <v>317</v>
      </c>
      <c r="O234" s="41" t="s">
        <v>1350</v>
      </c>
      <c r="P234" s="41" t="s">
        <v>319</v>
      </c>
      <c r="Q234" s="40">
        <v>890903938</v>
      </c>
      <c r="R234" s="41" t="s">
        <v>342</v>
      </c>
      <c r="S234" s="40">
        <v>923245</v>
      </c>
      <c r="T234" s="41" t="s">
        <v>180</v>
      </c>
      <c r="U234" s="41" t="s">
        <v>29</v>
      </c>
      <c r="V234" s="41" t="s">
        <v>30</v>
      </c>
      <c r="W234" s="42" t="s">
        <v>31</v>
      </c>
      <c r="X234" s="42" t="s">
        <v>32</v>
      </c>
      <c r="Y234" s="42" t="s">
        <v>33</v>
      </c>
      <c r="Z234" s="42" t="s">
        <v>2937</v>
      </c>
      <c r="AA234" s="42" t="s">
        <v>34</v>
      </c>
      <c r="AB234" s="42" t="s">
        <v>34</v>
      </c>
      <c r="AC234" s="42" t="s">
        <v>34</v>
      </c>
      <c r="AD234" s="42" t="s">
        <v>462</v>
      </c>
      <c r="AE234" s="42"/>
      <c r="AF234" s="42"/>
      <c r="AG234" s="42" t="s">
        <v>463</v>
      </c>
      <c r="AH234" s="42"/>
      <c r="AI234" s="44"/>
      <c r="AJ234" s="42"/>
      <c r="AK234" s="44"/>
      <c r="AL234" s="42"/>
      <c r="AM234" s="52">
        <v>3825</v>
      </c>
      <c r="AN234" s="52">
        <v>3825</v>
      </c>
      <c r="AO234" s="52">
        <v>17525</v>
      </c>
      <c r="AP234" s="52">
        <v>0</v>
      </c>
      <c r="AQ234" s="42"/>
      <c r="AR234" s="52">
        <v>23825</v>
      </c>
      <c r="AS234" s="52">
        <v>64571625</v>
      </c>
      <c r="AT234" s="52">
        <v>0</v>
      </c>
      <c r="AU234" s="41" t="s">
        <v>1326</v>
      </c>
      <c r="AV234" s="41" t="s">
        <v>356</v>
      </c>
      <c r="AW234" s="41" t="s">
        <v>1352</v>
      </c>
      <c r="AX234" s="41" t="s">
        <v>1332</v>
      </c>
    </row>
    <row r="235" spans="1:50" x14ac:dyDescent="0.2">
      <c r="A235" s="40">
        <v>64571725</v>
      </c>
      <c r="B235" s="41" t="s">
        <v>2804</v>
      </c>
      <c r="C235" s="41" t="s">
        <v>3093</v>
      </c>
      <c r="D235" s="41" t="s">
        <v>460</v>
      </c>
      <c r="E235" s="49">
        <v>3219658</v>
      </c>
      <c r="F235" s="49">
        <v>16883</v>
      </c>
      <c r="G235" s="50">
        <v>3202775</v>
      </c>
      <c r="H235" s="42" t="s">
        <v>2615</v>
      </c>
      <c r="I235" s="42" t="s">
        <v>461</v>
      </c>
      <c r="J235" s="43" t="s">
        <v>351</v>
      </c>
      <c r="K235" s="40">
        <v>1030570938</v>
      </c>
      <c r="L235" s="41" t="s">
        <v>1354</v>
      </c>
      <c r="M235" s="41" t="s">
        <v>316</v>
      </c>
      <c r="N235" s="41" t="s">
        <v>317</v>
      </c>
      <c r="O235" s="41" t="s">
        <v>1355</v>
      </c>
      <c r="P235" s="41" t="s">
        <v>319</v>
      </c>
      <c r="Q235" s="40">
        <v>860007335</v>
      </c>
      <c r="R235" s="41" t="s">
        <v>381</v>
      </c>
      <c r="S235" s="40">
        <v>923245</v>
      </c>
      <c r="T235" s="41" t="s">
        <v>180</v>
      </c>
      <c r="U235" s="41" t="s">
        <v>29</v>
      </c>
      <c r="V235" s="41" t="s">
        <v>30</v>
      </c>
      <c r="W235" s="42" t="s">
        <v>31</v>
      </c>
      <c r="X235" s="42" t="s">
        <v>32</v>
      </c>
      <c r="Y235" s="42" t="s">
        <v>33</v>
      </c>
      <c r="Z235" s="42" t="s">
        <v>2937</v>
      </c>
      <c r="AA235" s="42" t="s">
        <v>34</v>
      </c>
      <c r="AB235" s="42" t="s">
        <v>34</v>
      </c>
      <c r="AC235" s="42" t="s">
        <v>34</v>
      </c>
      <c r="AD235" s="42" t="s">
        <v>462</v>
      </c>
      <c r="AE235" s="42"/>
      <c r="AF235" s="42"/>
      <c r="AG235" s="42" t="s">
        <v>463</v>
      </c>
      <c r="AH235" s="42"/>
      <c r="AI235" s="44"/>
      <c r="AJ235" s="42"/>
      <c r="AK235" s="44"/>
      <c r="AL235" s="42"/>
      <c r="AM235" s="52">
        <v>3825</v>
      </c>
      <c r="AN235" s="52">
        <v>3825</v>
      </c>
      <c r="AO235" s="52">
        <v>17625</v>
      </c>
      <c r="AP235" s="52">
        <v>0</v>
      </c>
      <c r="AQ235" s="42"/>
      <c r="AR235" s="52">
        <v>23925</v>
      </c>
      <c r="AS235" s="52">
        <v>64571725</v>
      </c>
      <c r="AT235" s="52">
        <v>0</v>
      </c>
      <c r="AU235" s="41" t="s">
        <v>1326</v>
      </c>
      <c r="AV235" s="41" t="s">
        <v>356</v>
      </c>
      <c r="AW235" s="41" t="s">
        <v>1357</v>
      </c>
      <c r="AX235" s="41" t="s">
        <v>1332</v>
      </c>
    </row>
    <row r="236" spans="1:50" x14ac:dyDescent="0.2">
      <c r="A236" s="40">
        <v>64571825</v>
      </c>
      <c r="B236" s="41" t="s">
        <v>2804</v>
      </c>
      <c r="C236" s="41" t="s">
        <v>3071</v>
      </c>
      <c r="D236" s="41" t="s">
        <v>460</v>
      </c>
      <c r="E236" s="49">
        <v>3219658</v>
      </c>
      <c r="F236" s="49">
        <v>16883</v>
      </c>
      <c r="G236" s="50">
        <v>3202775</v>
      </c>
      <c r="H236" s="42" t="s">
        <v>2615</v>
      </c>
      <c r="I236" s="42" t="s">
        <v>461</v>
      </c>
      <c r="J236" s="43" t="s">
        <v>351</v>
      </c>
      <c r="K236" s="40">
        <v>38288733</v>
      </c>
      <c r="L236" s="41" t="s">
        <v>1359</v>
      </c>
      <c r="M236" s="41" t="s">
        <v>316</v>
      </c>
      <c r="N236" s="41" t="s">
        <v>317</v>
      </c>
      <c r="O236" s="41" t="s">
        <v>1360</v>
      </c>
      <c r="P236" s="41" t="s">
        <v>319</v>
      </c>
      <c r="Q236" s="40">
        <v>860034313</v>
      </c>
      <c r="R236" s="41" t="s">
        <v>355</v>
      </c>
      <c r="S236" s="40">
        <v>923245</v>
      </c>
      <c r="T236" s="41" t="s">
        <v>180</v>
      </c>
      <c r="U236" s="41" t="s">
        <v>29</v>
      </c>
      <c r="V236" s="41" t="s">
        <v>30</v>
      </c>
      <c r="W236" s="42" t="s">
        <v>31</v>
      </c>
      <c r="X236" s="42" t="s">
        <v>32</v>
      </c>
      <c r="Y236" s="42" t="s">
        <v>33</v>
      </c>
      <c r="Z236" s="42" t="s">
        <v>2937</v>
      </c>
      <c r="AA236" s="42" t="s">
        <v>34</v>
      </c>
      <c r="AB236" s="42" t="s">
        <v>34</v>
      </c>
      <c r="AC236" s="42" t="s">
        <v>34</v>
      </c>
      <c r="AD236" s="42" t="s">
        <v>462</v>
      </c>
      <c r="AE236" s="42"/>
      <c r="AF236" s="42"/>
      <c r="AG236" s="42" t="s">
        <v>463</v>
      </c>
      <c r="AH236" s="42"/>
      <c r="AI236" s="44"/>
      <c r="AJ236" s="42"/>
      <c r="AK236" s="44"/>
      <c r="AL236" s="42"/>
      <c r="AM236" s="52">
        <v>3825</v>
      </c>
      <c r="AN236" s="52">
        <v>3825</v>
      </c>
      <c r="AO236" s="52">
        <v>17725</v>
      </c>
      <c r="AP236" s="52">
        <v>0</v>
      </c>
      <c r="AQ236" s="42"/>
      <c r="AR236" s="52">
        <v>24025</v>
      </c>
      <c r="AS236" s="52">
        <v>64571825</v>
      </c>
      <c r="AT236" s="52">
        <v>0</v>
      </c>
      <c r="AU236" s="41" t="s">
        <v>1326</v>
      </c>
      <c r="AV236" s="41" t="s">
        <v>356</v>
      </c>
      <c r="AW236" s="41" t="s">
        <v>1362</v>
      </c>
      <c r="AX236" s="41" t="s">
        <v>1332</v>
      </c>
    </row>
    <row r="237" spans="1:50" x14ac:dyDescent="0.2">
      <c r="A237" s="40">
        <v>64571925</v>
      </c>
      <c r="B237" s="41" t="s">
        <v>2804</v>
      </c>
      <c r="C237" s="41" t="s">
        <v>3096</v>
      </c>
      <c r="D237" s="41" t="s">
        <v>460</v>
      </c>
      <c r="E237" s="49">
        <v>3219658</v>
      </c>
      <c r="F237" s="49">
        <v>16883</v>
      </c>
      <c r="G237" s="50">
        <v>3202775</v>
      </c>
      <c r="H237" s="42" t="s">
        <v>2615</v>
      </c>
      <c r="I237" s="42" t="s">
        <v>461</v>
      </c>
      <c r="J237" s="43" t="s">
        <v>351</v>
      </c>
      <c r="K237" s="40">
        <v>52743620</v>
      </c>
      <c r="L237" s="41" t="s">
        <v>1364</v>
      </c>
      <c r="M237" s="41" t="s">
        <v>316</v>
      </c>
      <c r="N237" s="41" t="s">
        <v>317</v>
      </c>
      <c r="O237" s="41" t="s">
        <v>3097</v>
      </c>
      <c r="P237" s="41" t="s">
        <v>319</v>
      </c>
      <c r="Q237" s="40">
        <v>860007335</v>
      </c>
      <c r="R237" s="41" t="s">
        <v>381</v>
      </c>
      <c r="S237" s="40">
        <v>923245</v>
      </c>
      <c r="T237" s="41" t="s">
        <v>180</v>
      </c>
      <c r="U237" s="41" t="s">
        <v>29</v>
      </c>
      <c r="V237" s="41" t="s">
        <v>30</v>
      </c>
      <c r="W237" s="42" t="s">
        <v>31</v>
      </c>
      <c r="X237" s="42" t="s">
        <v>32</v>
      </c>
      <c r="Y237" s="42" t="s">
        <v>33</v>
      </c>
      <c r="Z237" s="42" t="s">
        <v>2937</v>
      </c>
      <c r="AA237" s="42" t="s">
        <v>34</v>
      </c>
      <c r="AB237" s="42" t="s">
        <v>34</v>
      </c>
      <c r="AC237" s="42" t="s">
        <v>34</v>
      </c>
      <c r="AD237" s="42" t="s">
        <v>462</v>
      </c>
      <c r="AE237" s="42"/>
      <c r="AF237" s="42"/>
      <c r="AG237" s="42" t="s">
        <v>463</v>
      </c>
      <c r="AH237" s="42"/>
      <c r="AI237" s="44"/>
      <c r="AJ237" s="42"/>
      <c r="AK237" s="44"/>
      <c r="AL237" s="42"/>
      <c r="AM237" s="52">
        <v>3825</v>
      </c>
      <c r="AN237" s="52">
        <v>3825</v>
      </c>
      <c r="AO237" s="52">
        <v>17825</v>
      </c>
      <c r="AP237" s="52">
        <v>0</v>
      </c>
      <c r="AQ237" s="42"/>
      <c r="AR237" s="52">
        <v>24125</v>
      </c>
      <c r="AS237" s="52">
        <v>64571925</v>
      </c>
      <c r="AT237" s="52">
        <v>0</v>
      </c>
      <c r="AU237" s="41" t="s">
        <v>1326</v>
      </c>
      <c r="AV237" s="41" t="s">
        <v>356</v>
      </c>
      <c r="AW237" s="41" t="s">
        <v>1366</v>
      </c>
      <c r="AX237" s="41" t="s">
        <v>1332</v>
      </c>
    </row>
    <row r="238" spans="1:50" x14ac:dyDescent="0.2">
      <c r="A238" s="40">
        <v>64572025</v>
      </c>
      <c r="B238" s="41" t="s">
        <v>2804</v>
      </c>
      <c r="C238" s="41" t="s">
        <v>3033</v>
      </c>
      <c r="D238" s="41" t="s">
        <v>460</v>
      </c>
      <c r="E238" s="49">
        <v>3219658</v>
      </c>
      <c r="F238" s="49">
        <v>16883</v>
      </c>
      <c r="G238" s="50">
        <v>3202775</v>
      </c>
      <c r="H238" s="42" t="s">
        <v>2615</v>
      </c>
      <c r="I238" s="42" t="s">
        <v>461</v>
      </c>
      <c r="J238" s="43" t="s">
        <v>351</v>
      </c>
      <c r="K238" s="40">
        <v>39725297</v>
      </c>
      <c r="L238" s="41" t="s">
        <v>1368</v>
      </c>
      <c r="M238" s="41" t="s">
        <v>316</v>
      </c>
      <c r="N238" s="41" t="s">
        <v>317</v>
      </c>
      <c r="O238" s="41" t="s">
        <v>1369</v>
      </c>
      <c r="P238" s="41" t="s">
        <v>319</v>
      </c>
      <c r="Q238" s="40">
        <v>890903938</v>
      </c>
      <c r="R238" s="41" t="s">
        <v>342</v>
      </c>
      <c r="S238" s="40">
        <v>923245</v>
      </c>
      <c r="T238" s="41" t="s">
        <v>180</v>
      </c>
      <c r="U238" s="41" t="s">
        <v>29</v>
      </c>
      <c r="V238" s="41" t="s">
        <v>30</v>
      </c>
      <c r="W238" s="42" t="s">
        <v>31</v>
      </c>
      <c r="X238" s="42" t="s">
        <v>32</v>
      </c>
      <c r="Y238" s="42" t="s">
        <v>33</v>
      </c>
      <c r="Z238" s="42" t="s">
        <v>2937</v>
      </c>
      <c r="AA238" s="42" t="s">
        <v>34</v>
      </c>
      <c r="AB238" s="42" t="s">
        <v>34</v>
      </c>
      <c r="AC238" s="42" t="s">
        <v>34</v>
      </c>
      <c r="AD238" s="42" t="s">
        <v>462</v>
      </c>
      <c r="AE238" s="42"/>
      <c r="AF238" s="42"/>
      <c r="AG238" s="42" t="s">
        <v>463</v>
      </c>
      <c r="AH238" s="42"/>
      <c r="AI238" s="44"/>
      <c r="AJ238" s="42"/>
      <c r="AK238" s="44"/>
      <c r="AL238" s="42"/>
      <c r="AM238" s="52">
        <v>3825</v>
      </c>
      <c r="AN238" s="52">
        <v>3825</v>
      </c>
      <c r="AO238" s="52">
        <v>17925</v>
      </c>
      <c r="AP238" s="52">
        <v>0</v>
      </c>
      <c r="AQ238" s="42"/>
      <c r="AR238" s="52">
        <v>24225</v>
      </c>
      <c r="AS238" s="52">
        <v>64572025</v>
      </c>
      <c r="AT238" s="52">
        <v>0</v>
      </c>
      <c r="AU238" s="41" t="s">
        <v>1326</v>
      </c>
      <c r="AV238" s="41" t="s">
        <v>356</v>
      </c>
      <c r="AW238" s="41" t="s">
        <v>1371</v>
      </c>
      <c r="AX238" s="41" t="s">
        <v>1332</v>
      </c>
    </row>
    <row r="239" spans="1:50" x14ac:dyDescent="0.2">
      <c r="A239" s="40">
        <v>64572125</v>
      </c>
      <c r="B239" s="41" t="s">
        <v>2804</v>
      </c>
      <c r="C239" s="41" t="s">
        <v>3100</v>
      </c>
      <c r="D239" s="41" t="s">
        <v>460</v>
      </c>
      <c r="E239" s="49">
        <v>3219658</v>
      </c>
      <c r="F239" s="49">
        <v>16883</v>
      </c>
      <c r="G239" s="50">
        <v>3202775</v>
      </c>
      <c r="H239" s="42" t="s">
        <v>2615</v>
      </c>
      <c r="I239" s="42" t="s">
        <v>461</v>
      </c>
      <c r="J239" s="43" t="s">
        <v>351</v>
      </c>
      <c r="K239" s="40">
        <v>51628565</v>
      </c>
      <c r="L239" s="41" t="s">
        <v>1373</v>
      </c>
      <c r="M239" s="41" t="s">
        <v>316</v>
      </c>
      <c r="N239" s="41" t="s">
        <v>317</v>
      </c>
      <c r="O239" s="41" t="s">
        <v>1374</v>
      </c>
      <c r="P239" s="41" t="s">
        <v>319</v>
      </c>
      <c r="Q239" s="40">
        <v>860003020</v>
      </c>
      <c r="R239" s="41" t="s">
        <v>393</v>
      </c>
      <c r="S239" s="40">
        <v>923245</v>
      </c>
      <c r="T239" s="41" t="s">
        <v>180</v>
      </c>
      <c r="U239" s="41" t="s">
        <v>29</v>
      </c>
      <c r="V239" s="41" t="s">
        <v>30</v>
      </c>
      <c r="W239" s="42" t="s">
        <v>31</v>
      </c>
      <c r="X239" s="42" t="s">
        <v>32</v>
      </c>
      <c r="Y239" s="42" t="s">
        <v>33</v>
      </c>
      <c r="Z239" s="42" t="s">
        <v>2937</v>
      </c>
      <c r="AA239" s="42" t="s">
        <v>34</v>
      </c>
      <c r="AB239" s="42" t="s">
        <v>34</v>
      </c>
      <c r="AC239" s="42" t="s">
        <v>34</v>
      </c>
      <c r="AD239" s="42" t="s">
        <v>462</v>
      </c>
      <c r="AE239" s="42"/>
      <c r="AF239" s="42"/>
      <c r="AG239" s="42" t="s">
        <v>463</v>
      </c>
      <c r="AH239" s="42"/>
      <c r="AI239" s="44"/>
      <c r="AJ239" s="42"/>
      <c r="AK239" s="44"/>
      <c r="AL239" s="42"/>
      <c r="AM239" s="52">
        <v>3825</v>
      </c>
      <c r="AN239" s="52">
        <v>3825</v>
      </c>
      <c r="AO239" s="52">
        <v>18025</v>
      </c>
      <c r="AP239" s="52">
        <v>0</v>
      </c>
      <c r="AQ239" s="42"/>
      <c r="AR239" s="52">
        <v>24325</v>
      </c>
      <c r="AS239" s="52">
        <v>64572125</v>
      </c>
      <c r="AT239" s="52">
        <v>0</v>
      </c>
      <c r="AU239" s="41" t="s">
        <v>1326</v>
      </c>
      <c r="AV239" s="41" t="s">
        <v>356</v>
      </c>
      <c r="AW239" s="41" t="s">
        <v>1376</v>
      </c>
      <c r="AX239" s="41" t="s">
        <v>1332</v>
      </c>
    </row>
    <row r="240" spans="1:50" x14ac:dyDescent="0.2">
      <c r="A240" s="40">
        <v>64572225</v>
      </c>
      <c r="B240" s="41" t="s">
        <v>2804</v>
      </c>
      <c r="C240" s="41" t="s">
        <v>3102</v>
      </c>
      <c r="D240" s="41" t="s">
        <v>460</v>
      </c>
      <c r="E240" s="49">
        <v>3219658</v>
      </c>
      <c r="F240" s="49">
        <v>16883</v>
      </c>
      <c r="G240" s="50">
        <v>3202775</v>
      </c>
      <c r="H240" s="42" t="s">
        <v>2615</v>
      </c>
      <c r="I240" s="42" t="s">
        <v>461</v>
      </c>
      <c r="J240" s="43" t="s">
        <v>351</v>
      </c>
      <c r="K240" s="40">
        <v>52294893</v>
      </c>
      <c r="L240" s="41" t="s">
        <v>1378</v>
      </c>
      <c r="M240" s="41" t="s">
        <v>316</v>
      </c>
      <c r="N240" s="41" t="s">
        <v>317</v>
      </c>
      <c r="O240" s="41" t="s">
        <v>1379</v>
      </c>
      <c r="P240" s="41" t="s">
        <v>319</v>
      </c>
      <c r="Q240" s="40">
        <v>890903938</v>
      </c>
      <c r="R240" s="41" t="s">
        <v>342</v>
      </c>
      <c r="S240" s="40">
        <v>923245</v>
      </c>
      <c r="T240" s="41" t="s">
        <v>180</v>
      </c>
      <c r="U240" s="41" t="s">
        <v>29</v>
      </c>
      <c r="V240" s="41" t="s">
        <v>30</v>
      </c>
      <c r="W240" s="42" t="s">
        <v>31</v>
      </c>
      <c r="X240" s="42" t="s">
        <v>32</v>
      </c>
      <c r="Y240" s="42" t="s">
        <v>33</v>
      </c>
      <c r="Z240" s="42" t="s">
        <v>2937</v>
      </c>
      <c r="AA240" s="42" t="s">
        <v>34</v>
      </c>
      <c r="AB240" s="42" t="s">
        <v>34</v>
      </c>
      <c r="AC240" s="42" t="s">
        <v>34</v>
      </c>
      <c r="AD240" s="42" t="s">
        <v>462</v>
      </c>
      <c r="AE240" s="42"/>
      <c r="AF240" s="42"/>
      <c r="AG240" s="42" t="s">
        <v>463</v>
      </c>
      <c r="AH240" s="42"/>
      <c r="AI240" s="44"/>
      <c r="AJ240" s="42"/>
      <c r="AK240" s="44"/>
      <c r="AL240" s="42"/>
      <c r="AM240" s="52">
        <v>3825</v>
      </c>
      <c r="AN240" s="52">
        <v>3825</v>
      </c>
      <c r="AO240" s="52">
        <v>18125</v>
      </c>
      <c r="AP240" s="52">
        <v>0</v>
      </c>
      <c r="AQ240" s="42"/>
      <c r="AR240" s="52">
        <v>24425</v>
      </c>
      <c r="AS240" s="52">
        <v>64572225</v>
      </c>
      <c r="AT240" s="52">
        <v>0</v>
      </c>
      <c r="AU240" s="41" t="s">
        <v>1326</v>
      </c>
      <c r="AV240" s="41" t="s">
        <v>356</v>
      </c>
      <c r="AW240" s="41" t="s">
        <v>1381</v>
      </c>
      <c r="AX240" s="41" t="s">
        <v>1332</v>
      </c>
    </row>
    <row r="241" spans="1:50" x14ac:dyDescent="0.2">
      <c r="A241" s="40">
        <v>64572325</v>
      </c>
      <c r="B241" s="41" t="s">
        <v>2804</v>
      </c>
      <c r="C241" s="41" t="s">
        <v>3091</v>
      </c>
      <c r="D241" s="41" t="s">
        <v>460</v>
      </c>
      <c r="E241" s="49">
        <v>3219658</v>
      </c>
      <c r="F241" s="49">
        <v>16883</v>
      </c>
      <c r="G241" s="50">
        <v>3202775</v>
      </c>
      <c r="H241" s="42" t="s">
        <v>2615</v>
      </c>
      <c r="I241" s="42" t="s">
        <v>461</v>
      </c>
      <c r="J241" s="43" t="s">
        <v>351</v>
      </c>
      <c r="K241" s="40">
        <v>52441656</v>
      </c>
      <c r="L241" s="41" t="s">
        <v>1382</v>
      </c>
      <c r="M241" s="41" t="s">
        <v>316</v>
      </c>
      <c r="N241" s="41" t="s">
        <v>317</v>
      </c>
      <c r="O241" s="41" t="s">
        <v>1383</v>
      </c>
      <c r="P241" s="41" t="s">
        <v>319</v>
      </c>
      <c r="Q241" s="40">
        <v>890903938</v>
      </c>
      <c r="R241" s="41" t="s">
        <v>342</v>
      </c>
      <c r="S241" s="40">
        <v>923245</v>
      </c>
      <c r="T241" s="41" t="s">
        <v>180</v>
      </c>
      <c r="U241" s="41" t="s">
        <v>29</v>
      </c>
      <c r="V241" s="41" t="s">
        <v>30</v>
      </c>
      <c r="W241" s="42" t="s">
        <v>31</v>
      </c>
      <c r="X241" s="42" t="s">
        <v>32</v>
      </c>
      <c r="Y241" s="42" t="s">
        <v>33</v>
      </c>
      <c r="Z241" s="42" t="s">
        <v>2937</v>
      </c>
      <c r="AA241" s="42" t="s">
        <v>34</v>
      </c>
      <c r="AB241" s="42" t="s">
        <v>34</v>
      </c>
      <c r="AC241" s="42" t="s">
        <v>34</v>
      </c>
      <c r="AD241" s="42" t="s">
        <v>462</v>
      </c>
      <c r="AE241" s="42"/>
      <c r="AF241" s="42"/>
      <c r="AG241" s="42" t="s">
        <v>463</v>
      </c>
      <c r="AH241" s="42"/>
      <c r="AI241" s="44"/>
      <c r="AJ241" s="42"/>
      <c r="AK241" s="44"/>
      <c r="AL241" s="42"/>
      <c r="AM241" s="52">
        <v>3825</v>
      </c>
      <c r="AN241" s="52">
        <v>3825</v>
      </c>
      <c r="AO241" s="52">
        <v>18225</v>
      </c>
      <c r="AP241" s="52">
        <v>0</v>
      </c>
      <c r="AQ241" s="42"/>
      <c r="AR241" s="52">
        <v>24525</v>
      </c>
      <c r="AS241" s="52">
        <v>64572325</v>
      </c>
      <c r="AT241" s="52">
        <v>0</v>
      </c>
      <c r="AU241" s="41" t="s">
        <v>1326</v>
      </c>
      <c r="AV241" s="41" t="s">
        <v>356</v>
      </c>
      <c r="AW241" s="41" t="s">
        <v>1385</v>
      </c>
      <c r="AX241" s="41" t="s">
        <v>1332</v>
      </c>
    </row>
    <row r="242" spans="1:50" x14ac:dyDescent="0.2">
      <c r="A242" s="40">
        <v>64572425</v>
      </c>
      <c r="B242" s="41" t="s">
        <v>2804</v>
      </c>
      <c r="C242" s="41" t="s">
        <v>3105</v>
      </c>
      <c r="D242" s="41" t="s">
        <v>460</v>
      </c>
      <c r="E242" s="49">
        <v>3219658</v>
      </c>
      <c r="F242" s="49">
        <v>16883</v>
      </c>
      <c r="G242" s="50">
        <v>3202775</v>
      </c>
      <c r="H242" s="42" t="s">
        <v>2615</v>
      </c>
      <c r="I242" s="42" t="s">
        <v>461</v>
      </c>
      <c r="J242" s="43" t="s">
        <v>351</v>
      </c>
      <c r="K242" s="40">
        <v>7710430</v>
      </c>
      <c r="L242" s="41" t="s">
        <v>1387</v>
      </c>
      <c r="M242" s="41" t="s">
        <v>316</v>
      </c>
      <c r="N242" s="41" t="s">
        <v>317</v>
      </c>
      <c r="O242" s="41" t="s">
        <v>1388</v>
      </c>
      <c r="P242" s="41" t="s">
        <v>319</v>
      </c>
      <c r="Q242" s="40">
        <v>900047981</v>
      </c>
      <c r="R242" s="41" t="s">
        <v>399</v>
      </c>
      <c r="S242" s="40">
        <v>923245</v>
      </c>
      <c r="T242" s="41" t="s">
        <v>180</v>
      </c>
      <c r="U242" s="41" t="s">
        <v>29</v>
      </c>
      <c r="V242" s="41" t="s">
        <v>30</v>
      </c>
      <c r="W242" s="42" t="s">
        <v>31</v>
      </c>
      <c r="X242" s="42" t="s">
        <v>32</v>
      </c>
      <c r="Y242" s="42" t="s">
        <v>33</v>
      </c>
      <c r="Z242" s="42" t="s">
        <v>2937</v>
      </c>
      <c r="AA242" s="42" t="s">
        <v>34</v>
      </c>
      <c r="AB242" s="42" t="s">
        <v>34</v>
      </c>
      <c r="AC242" s="42" t="s">
        <v>34</v>
      </c>
      <c r="AD242" s="42" t="s">
        <v>462</v>
      </c>
      <c r="AE242" s="42"/>
      <c r="AF242" s="42"/>
      <c r="AG242" s="42" t="s">
        <v>463</v>
      </c>
      <c r="AH242" s="42"/>
      <c r="AI242" s="44"/>
      <c r="AJ242" s="42"/>
      <c r="AK242" s="44"/>
      <c r="AL242" s="42"/>
      <c r="AM242" s="52">
        <v>3825</v>
      </c>
      <c r="AN242" s="52">
        <v>3825</v>
      </c>
      <c r="AO242" s="52">
        <v>18325</v>
      </c>
      <c r="AP242" s="52">
        <v>0</v>
      </c>
      <c r="AQ242" s="42"/>
      <c r="AR242" s="52">
        <v>24625</v>
      </c>
      <c r="AS242" s="52">
        <v>64572425</v>
      </c>
      <c r="AT242" s="52">
        <v>0</v>
      </c>
      <c r="AU242" s="41" t="s">
        <v>1326</v>
      </c>
      <c r="AV242" s="41" t="s">
        <v>356</v>
      </c>
      <c r="AW242" s="41" t="s">
        <v>1390</v>
      </c>
      <c r="AX242" s="41" t="s">
        <v>1332</v>
      </c>
    </row>
    <row r="243" spans="1:50" x14ac:dyDescent="0.2">
      <c r="A243" s="40">
        <v>64572525</v>
      </c>
      <c r="B243" s="41" t="s">
        <v>2804</v>
      </c>
      <c r="C243" s="41" t="s">
        <v>3107</v>
      </c>
      <c r="D243" s="41" t="s">
        <v>460</v>
      </c>
      <c r="E243" s="49">
        <v>3219658</v>
      </c>
      <c r="F243" s="49">
        <v>16883</v>
      </c>
      <c r="G243" s="50">
        <v>3202775</v>
      </c>
      <c r="H243" s="42" t="s">
        <v>2615</v>
      </c>
      <c r="I243" s="42" t="s">
        <v>461</v>
      </c>
      <c r="J243" s="43" t="s">
        <v>351</v>
      </c>
      <c r="K243" s="40">
        <v>1022984840</v>
      </c>
      <c r="L243" s="41" t="s">
        <v>1396</v>
      </c>
      <c r="M243" s="41" t="s">
        <v>316</v>
      </c>
      <c r="N243" s="41" t="s">
        <v>317</v>
      </c>
      <c r="O243" s="41" t="s">
        <v>1397</v>
      </c>
      <c r="P243" s="41" t="s">
        <v>319</v>
      </c>
      <c r="Q243" s="40">
        <v>860034594</v>
      </c>
      <c r="R243" s="41" t="s">
        <v>374</v>
      </c>
      <c r="S243" s="40">
        <v>923245</v>
      </c>
      <c r="T243" s="41" t="s">
        <v>180</v>
      </c>
      <c r="U243" s="41" t="s">
        <v>29</v>
      </c>
      <c r="V243" s="41" t="s">
        <v>30</v>
      </c>
      <c r="W243" s="42" t="s">
        <v>31</v>
      </c>
      <c r="X243" s="42" t="s">
        <v>32</v>
      </c>
      <c r="Y243" s="42" t="s">
        <v>33</v>
      </c>
      <c r="Z243" s="42" t="s">
        <v>2937</v>
      </c>
      <c r="AA243" s="42" t="s">
        <v>34</v>
      </c>
      <c r="AB243" s="42" t="s">
        <v>34</v>
      </c>
      <c r="AC243" s="42" t="s">
        <v>34</v>
      </c>
      <c r="AD243" s="42" t="s">
        <v>462</v>
      </c>
      <c r="AE243" s="42"/>
      <c r="AF243" s="42"/>
      <c r="AG243" s="42" t="s">
        <v>463</v>
      </c>
      <c r="AH243" s="42"/>
      <c r="AI243" s="44"/>
      <c r="AJ243" s="42"/>
      <c r="AK243" s="44"/>
      <c r="AL243" s="42"/>
      <c r="AM243" s="52">
        <v>3825</v>
      </c>
      <c r="AN243" s="52">
        <v>3825</v>
      </c>
      <c r="AO243" s="52">
        <v>18525</v>
      </c>
      <c r="AP243" s="52">
        <v>0</v>
      </c>
      <c r="AQ243" s="42"/>
      <c r="AR243" s="52">
        <v>24825</v>
      </c>
      <c r="AS243" s="52">
        <v>64572525</v>
      </c>
      <c r="AT243" s="52">
        <v>0</v>
      </c>
      <c r="AU243" s="41" t="s">
        <v>1326</v>
      </c>
      <c r="AV243" s="41" t="s">
        <v>356</v>
      </c>
      <c r="AW243" s="41" t="s">
        <v>1399</v>
      </c>
      <c r="AX243" s="41" t="s">
        <v>1332</v>
      </c>
    </row>
    <row r="244" spans="1:50" x14ac:dyDescent="0.2">
      <c r="A244" s="40">
        <v>64572625</v>
      </c>
      <c r="B244" s="41" t="s">
        <v>2804</v>
      </c>
      <c r="C244" s="41" t="s">
        <v>3036</v>
      </c>
      <c r="D244" s="41" t="s">
        <v>460</v>
      </c>
      <c r="E244" s="49">
        <v>3219658</v>
      </c>
      <c r="F244" s="49">
        <v>16883</v>
      </c>
      <c r="G244" s="50">
        <v>3202775</v>
      </c>
      <c r="H244" s="42" t="s">
        <v>2615</v>
      </c>
      <c r="I244" s="42" t="s">
        <v>461</v>
      </c>
      <c r="J244" s="43" t="s">
        <v>351</v>
      </c>
      <c r="K244" s="40">
        <v>46375343</v>
      </c>
      <c r="L244" s="41" t="s">
        <v>1401</v>
      </c>
      <c r="M244" s="41" t="s">
        <v>316</v>
      </c>
      <c r="N244" s="41" t="s">
        <v>317</v>
      </c>
      <c r="O244" s="41" t="s">
        <v>1402</v>
      </c>
      <c r="P244" s="41" t="s">
        <v>319</v>
      </c>
      <c r="Q244" s="40">
        <v>860034313</v>
      </c>
      <c r="R244" s="41" t="s">
        <v>355</v>
      </c>
      <c r="S244" s="40">
        <v>923245</v>
      </c>
      <c r="T244" s="41" t="s">
        <v>180</v>
      </c>
      <c r="U244" s="41" t="s">
        <v>29</v>
      </c>
      <c r="V244" s="41" t="s">
        <v>30</v>
      </c>
      <c r="W244" s="42" t="s">
        <v>31</v>
      </c>
      <c r="X244" s="42" t="s">
        <v>32</v>
      </c>
      <c r="Y244" s="42" t="s">
        <v>33</v>
      </c>
      <c r="Z244" s="42" t="s">
        <v>2937</v>
      </c>
      <c r="AA244" s="42" t="s">
        <v>34</v>
      </c>
      <c r="AB244" s="42" t="s">
        <v>34</v>
      </c>
      <c r="AC244" s="42" t="s">
        <v>34</v>
      </c>
      <c r="AD244" s="42" t="s">
        <v>462</v>
      </c>
      <c r="AE244" s="42"/>
      <c r="AF244" s="42"/>
      <c r="AG244" s="42" t="s">
        <v>463</v>
      </c>
      <c r="AH244" s="42"/>
      <c r="AI244" s="44"/>
      <c r="AJ244" s="42"/>
      <c r="AK244" s="44"/>
      <c r="AL244" s="42"/>
      <c r="AM244" s="52">
        <v>3825</v>
      </c>
      <c r="AN244" s="52">
        <v>3825</v>
      </c>
      <c r="AO244" s="52">
        <v>18625</v>
      </c>
      <c r="AP244" s="52">
        <v>0</v>
      </c>
      <c r="AQ244" s="42"/>
      <c r="AR244" s="52">
        <v>24925</v>
      </c>
      <c r="AS244" s="52">
        <v>64572625</v>
      </c>
      <c r="AT244" s="52">
        <v>0</v>
      </c>
      <c r="AU244" s="41" t="s">
        <v>1326</v>
      </c>
      <c r="AV244" s="41" t="s">
        <v>356</v>
      </c>
      <c r="AW244" s="41" t="s">
        <v>1404</v>
      </c>
      <c r="AX244" s="41" t="s">
        <v>1405</v>
      </c>
    </row>
    <row r="245" spans="1:50" x14ac:dyDescent="0.2">
      <c r="A245" s="40">
        <v>64572725</v>
      </c>
      <c r="B245" s="41" t="s">
        <v>2804</v>
      </c>
      <c r="C245" s="41" t="s">
        <v>3110</v>
      </c>
      <c r="D245" s="41" t="s">
        <v>460</v>
      </c>
      <c r="E245" s="49">
        <v>3219658</v>
      </c>
      <c r="F245" s="49">
        <v>16883</v>
      </c>
      <c r="G245" s="50">
        <v>3202775</v>
      </c>
      <c r="H245" s="42" t="s">
        <v>2615</v>
      </c>
      <c r="I245" s="42" t="s">
        <v>461</v>
      </c>
      <c r="J245" s="43" t="s">
        <v>351</v>
      </c>
      <c r="K245" s="40">
        <v>65812579</v>
      </c>
      <c r="L245" s="41" t="s">
        <v>1407</v>
      </c>
      <c r="M245" s="41" t="s">
        <v>316</v>
      </c>
      <c r="N245" s="41" t="s">
        <v>317</v>
      </c>
      <c r="O245" s="41" t="s">
        <v>1408</v>
      </c>
      <c r="P245" s="41" t="s">
        <v>319</v>
      </c>
      <c r="Q245" s="40">
        <v>860034313</v>
      </c>
      <c r="R245" s="41" t="s">
        <v>355</v>
      </c>
      <c r="S245" s="40">
        <v>923245</v>
      </c>
      <c r="T245" s="41" t="s">
        <v>180</v>
      </c>
      <c r="U245" s="41" t="s">
        <v>29</v>
      </c>
      <c r="V245" s="41" t="s">
        <v>30</v>
      </c>
      <c r="W245" s="42" t="s">
        <v>31</v>
      </c>
      <c r="X245" s="42" t="s">
        <v>32</v>
      </c>
      <c r="Y245" s="42" t="s">
        <v>33</v>
      </c>
      <c r="Z245" s="42" t="s">
        <v>2937</v>
      </c>
      <c r="AA245" s="42" t="s">
        <v>34</v>
      </c>
      <c r="AB245" s="42" t="s">
        <v>34</v>
      </c>
      <c r="AC245" s="42" t="s">
        <v>34</v>
      </c>
      <c r="AD245" s="42" t="s">
        <v>462</v>
      </c>
      <c r="AE245" s="42"/>
      <c r="AF245" s="42"/>
      <c r="AG245" s="42" t="s">
        <v>463</v>
      </c>
      <c r="AH245" s="42"/>
      <c r="AI245" s="44"/>
      <c r="AJ245" s="42"/>
      <c r="AK245" s="44"/>
      <c r="AL245" s="42"/>
      <c r="AM245" s="52">
        <v>3825</v>
      </c>
      <c r="AN245" s="52">
        <v>3825</v>
      </c>
      <c r="AO245" s="52">
        <v>18725</v>
      </c>
      <c r="AP245" s="52">
        <v>0</v>
      </c>
      <c r="AQ245" s="42"/>
      <c r="AR245" s="52">
        <v>25025</v>
      </c>
      <c r="AS245" s="52">
        <v>64572725</v>
      </c>
      <c r="AT245" s="52">
        <v>0</v>
      </c>
      <c r="AU245" s="41" t="s">
        <v>1326</v>
      </c>
      <c r="AV245" s="41" t="s">
        <v>356</v>
      </c>
      <c r="AW245" s="41" t="s">
        <v>1410</v>
      </c>
      <c r="AX245" s="41" t="s">
        <v>1332</v>
      </c>
    </row>
    <row r="246" spans="1:50" x14ac:dyDescent="0.2">
      <c r="A246" s="40">
        <v>64572825</v>
      </c>
      <c r="B246" s="41" t="s">
        <v>2804</v>
      </c>
      <c r="C246" s="41" t="s">
        <v>3112</v>
      </c>
      <c r="D246" s="41" t="s">
        <v>460</v>
      </c>
      <c r="E246" s="49">
        <v>3219658</v>
      </c>
      <c r="F246" s="49">
        <v>16883</v>
      </c>
      <c r="G246" s="50">
        <v>3202775</v>
      </c>
      <c r="H246" s="42" t="s">
        <v>2615</v>
      </c>
      <c r="I246" s="42" t="s">
        <v>461</v>
      </c>
      <c r="J246" s="43" t="s">
        <v>351</v>
      </c>
      <c r="K246" s="40">
        <v>79746948</v>
      </c>
      <c r="L246" s="41" t="s">
        <v>1412</v>
      </c>
      <c r="M246" s="41" t="s">
        <v>316</v>
      </c>
      <c r="N246" s="41" t="s">
        <v>317</v>
      </c>
      <c r="O246" s="41" t="s">
        <v>1413</v>
      </c>
      <c r="P246" s="41" t="s">
        <v>319</v>
      </c>
      <c r="Q246" s="40">
        <v>860002964</v>
      </c>
      <c r="R246" s="41" t="s">
        <v>419</v>
      </c>
      <c r="S246" s="40">
        <v>923245</v>
      </c>
      <c r="T246" s="41" t="s">
        <v>180</v>
      </c>
      <c r="U246" s="41" t="s">
        <v>29</v>
      </c>
      <c r="V246" s="41" t="s">
        <v>30</v>
      </c>
      <c r="W246" s="42" t="s">
        <v>31</v>
      </c>
      <c r="X246" s="42" t="s">
        <v>32</v>
      </c>
      <c r="Y246" s="42" t="s">
        <v>33</v>
      </c>
      <c r="Z246" s="42" t="s">
        <v>2937</v>
      </c>
      <c r="AA246" s="42" t="s">
        <v>34</v>
      </c>
      <c r="AB246" s="42" t="s">
        <v>34</v>
      </c>
      <c r="AC246" s="42" t="s">
        <v>34</v>
      </c>
      <c r="AD246" s="42" t="s">
        <v>462</v>
      </c>
      <c r="AE246" s="42"/>
      <c r="AF246" s="42"/>
      <c r="AG246" s="42" t="s">
        <v>463</v>
      </c>
      <c r="AH246" s="42"/>
      <c r="AI246" s="44"/>
      <c r="AJ246" s="42"/>
      <c r="AK246" s="44"/>
      <c r="AL246" s="42"/>
      <c r="AM246" s="52">
        <v>3825</v>
      </c>
      <c r="AN246" s="52">
        <v>3825</v>
      </c>
      <c r="AO246" s="52">
        <v>18825</v>
      </c>
      <c r="AP246" s="52">
        <v>0</v>
      </c>
      <c r="AQ246" s="42"/>
      <c r="AR246" s="52">
        <v>25125</v>
      </c>
      <c r="AS246" s="52">
        <v>64572825</v>
      </c>
      <c r="AT246" s="52">
        <v>0</v>
      </c>
      <c r="AU246" s="41" t="s">
        <v>1326</v>
      </c>
      <c r="AV246" s="41" t="s">
        <v>356</v>
      </c>
      <c r="AW246" s="41" t="s">
        <v>1415</v>
      </c>
      <c r="AX246" s="41" t="s">
        <v>1332</v>
      </c>
    </row>
    <row r="247" spans="1:50" x14ac:dyDescent="0.2">
      <c r="A247" s="40">
        <v>64572925</v>
      </c>
      <c r="B247" s="41" t="s">
        <v>2804</v>
      </c>
      <c r="C247" s="41" t="s">
        <v>3102</v>
      </c>
      <c r="D247" s="41" t="s">
        <v>460</v>
      </c>
      <c r="E247" s="49">
        <v>3219658</v>
      </c>
      <c r="F247" s="49">
        <v>16883</v>
      </c>
      <c r="G247" s="50">
        <v>3202775</v>
      </c>
      <c r="H247" s="42" t="s">
        <v>2615</v>
      </c>
      <c r="I247" s="42" t="s">
        <v>461</v>
      </c>
      <c r="J247" s="43" t="s">
        <v>351</v>
      </c>
      <c r="K247" s="40">
        <v>7917926</v>
      </c>
      <c r="L247" s="41" t="s">
        <v>1416</v>
      </c>
      <c r="M247" s="41" t="s">
        <v>316</v>
      </c>
      <c r="N247" s="41" t="s">
        <v>317</v>
      </c>
      <c r="O247" s="41" t="s">
        <v>1417</v>
      </c>
      <c r="P247" s="41" t="s">
        <v>319</v>
      </c>
      <c r="Q247" s="40">
        <v>890903938</v>
      </c>
      <c r="R247" s="41" t="s">
        <v>342</v>
      </c>
      <c r="S247" s="40">
        <v>923245</v>
      </c>
      <c r="T247" s="41" t="s">
        <v>180</v>
      </c>
      <c r="U247" s="41" t="s">
        <v>29</v>
      </c>
      <c r="V247" s="41" t="s">
        <v>30</v>
      </c>
      <c r="W247" s="42" t="s">
        <v>31</v>
      </c>
      <c r="X247" s="42" t="s">
        <v>32</v>
      </c>
      <c r="Y247" s="42" t="s">
        <v>33</v>
      </c>
      <c r="Z247" s="42" t="s">
        <v>2937</v>
      </c>
      <c r="AA247" s="42" t="s">
        <v>34</v>
      </c>
      <c r="AB247" s="42" t="s">
        <v>34</v>
      </c>
      <c r="AC247" s="42" t="s">
        <v>34</v>
      </c>
      <c r="AD247" s="42" t="s">
        <v>462</v>
      </c>
      <c r="AE247" s="42"/>
      <c r="AF247" s="42"/>
      <c r="AG247" s="42" t="s">
        <v>463</v>
      </c>
      <c r="AH247" s="42"/>
      <c r="AI247" s="44"/>
      <c r="AJ247" s="42"/>
      <c r="AK247" s="44"/>
      <c r="AL247" s="42"/>
      <c r="AM247" s="52">
        <v>3825</v>
      </c>
      <c r="AN247" s="52">
        <v>3825</v>
      </c>
      <c r="AO247" s="52">
        <v>18925</v>
      </c>
      <c r="AP247" s="52">
        <v>0</v>
      </c>
      <c r="AQ247" s="42"/>
      <c r="AR247" s="52">
        <v>25225</v>
      </c>
      <c r="AS247" s="52">
        <v>64572925</v>
      </c>
      <c r="AT247" s="52">
        <v>0</v>
      </c>
      <c r="AU247" s="41" t="s">
        <v>1326</v>
      </c>
      <c r="AV247" s="41" t="s">
        <v>356</v>
      </c>
      <c r="AW247" s="41" t="s">
        <v>1419</v>
      </c>
      <c r="AX247" s="41" t="s">
        <v>1332</v>
      </c>
    </row>
    <row r="248" spans="1:50" x14ac:dyDescent="0.2">
      <c r="A248" s="40">
        <v>64573025</v>
      </c>
      <c r="B248" s="41" t="s">
        <v>2804</v>
      </c>
      <c r="C248" s="41" t="s">
        <v>3115</v>
      </c>
      <c r="D248" s="41" t="s">
        <v>460</v>
      </c>
      <c r="E248" s="49">
        <v>3219658</v>
      </c>
      <c r="F248" s="49">
        <v>16883</v>
      </c>
      <c r="G248" s="50">
        <v>3202775</v>
      </c>
      <c r="H248" s="42" t="s">
        <v>2615</v>
      </c>
      <c r="I248" s="42" t="s">
        <v>461</v>
      </c>
      <c r="J248" s="43" t="s">
        <v>351</v>
      </c>
      <c r="K248" s="40">
        <v>80168802</v>
      </c>
      <c r="L248" s="41" t="s">
        <v>1421</v>
      </c>
      <c r="M248" s="41" t="s">
        <v>316</v>
      </c>
      <c r="N248" s="41" t="s">
        <v>317</v>
      </c>
      <c r="O248" s="41" t="s">
        <v>1422</v>
      </c>
      <c r="P248" s="41" t="s">
        <v>319</v>
      </c>
      <c r="Q248" s="40">
        <v>860034313</v>
      </c>
      <c r="R248" s="41" t="s">
        <v>355</v>
      </c>
      <c r="S248" s="40">
        <v>923245</v>
      </c>
      <c r="T248" s="41" t="s">
        <v>180</v>
      </c>
      <c r="U248" s="41" t="s">
        <v>29</v>
      </c>
      <c r="V248" s="41" t="s">
        <v>30</v>
      </c>
      <c r="W248" s="42" t="s">
        <v>31</v>
      </c>
      <c r="X248" s="42" t="s">
        <v>32</v>
      </c>
      <c r="Y248" s="42" t="s">
        <v>33</v>
      </c>
      <c r="Z248" s="42" t="s">
        <v>2937</v>
      </c>
      <c r="AA248" s="42" t="s">
        <v>34</v>
      </c>
      <c r="AB248" s="42" t="s">
        <v>34</v>
      </c>
      <c r="AC248" s="42" t="s">
        <v>34</v>
      </c>
      <c r="AD248" s="42" t="s">
        <v>462</v>
      </c>
      <c r="AE248" s="42"/>
      <c r="AF248" s="42"/>
      <c r="AG248" s="42" t="s">
        <v>463</v>
      </c>
      <c r="AH248" s="42"/>
      <c r="AI248" s="44"/>
      <c r="AJ248" s="42"/>
      <c r="AK248" s="44"/>
      <c r="AL248" s="42"/>
      <c r="AM248" s="52">
        <v>3825</v>
      </c>
      <c r="AN248" s="52">
        <v>3825</v>
      </c>
      <c r="AO248" s="52">
        <v>19025</v>
      </c>
      <c r="AP248" s="52">
        <v>0</v>
      </c>
      <c r="AQ248" s="42"/>
      <c r="AR248" s="52">
        <v>25325</v>
      </c>
      <c r="AS248" s="52">
        <v>64573025</v>
      </c>
      <c r="AT248" s="52">
        <v>0</v>
      </c>
      <c r="AU248" s="41" t="s">
        <v>1326</v>
      </c>
      <c r="AV248" s="41" t="s">
        <v>356</v>
      </c>
      <c r="AW248" s="41" t="s">
        <v>1424</v>
      </c>
      <c r="AX248" s="41" t="s">
        <v>1332</v>
      </c>
    </row>
    <row r="249" spans="1:50" x14ac:dyDescent="0.2">
      <c r="A249" s="40">
        <v>64573125</v>
      </c>
      <c r="B249" s="41" t="s">
        <v>2804</v>
      </c>
      <c r="C249" s="41" t="s">
        <v>2947</v>
      </c>
      <c r="D249" s="41" t="s">
        <v>460</v>
      </c>
      <c r="E249" s="49">
        <v>3219658</v>
      </c>
      <c r="F249" s="49">
        <v>16883</v>
      </c>
      <c r="G249" s="50">
        <v>3202775</v>
      </c>
      <c r="H249" s="42" t="s">
        <v>2615</v>
      </c>
      <c r="I249" s="42" t="s">
        <v>461</v>
      </c>
      <c r="J249" s="43" t="s">
        <v>351</v>
      </c>
      <c r="K249" s="40">
        <v>1024499356</v>
      </c>
      <c r="L249" s="41" t="s">
        <v>1426</v>
      </c>
      <c r="M249" s="41" t="s">
        <v>316</v>
      </c>
      <c r="N249" s="41" t="s">
        <v>317</v>
      </c>
      <c r="O249" s="41" t="s">
        <v>1427</v>
      </c>
      <c r="P249" s="41" t="s">
        <v>319</v>
      </c>
      <c r="Q249" s="40">
        <v>860034313</v>
      </c>
      <c r="R249" s="41" t="s">
        <v>355</v>
      </c>
      <c r="S249" s="40">
        <v>923245</v>
      </c>
      <c r="T249" s="41" t="s">
        <v>180</v>
      </c>
      <c r="U249" s="41" t="s">
        <v>29</v>
      </c>
      <c r="V249" s="41" t="s">
        <v>30</v>
      </c>
      <c r="W249" s="42" t="s">
        <v>31</v>
      </c>
      <c r="X249" s="42" t="s">
        <v>32</v>
      </c>
      <c r="Y249" s="42" t="s">
        <v>33</v>
      </c>
      <c r="Z249" s="42" t="s">
        <v>2937</v>
      </c>
      <c r="AA249" s="42" t="s">
        <v>34</v>
      </c>
      <c r="AB249" s="42" t="s">
        <v>34</v>
      </c>
      <c r="AC249" s="42" t="s">
        <v>34</v>
      </c>
      <c r="AD249" s="42" t="s">
        <v>462</v>
      </c>
      <c r="AE249" s="42"/>
      <c r="AF249" s="42"/>
      <c r="AG249" s="42" t="s">
        <v>463</v>
      </c>
      <c r="AH249" s="42"/>
      <c r="AI249" s="44"/>
      <c r="AJ249" s="42"/>
      <c r="AK249" s="44"/>
      <c r="AL249" s="42"/>
      <c r="AM249" s="52">
        <v>3825</v>
      </c>
      <c r="AN249" s="52">
        <v>3825</v>
      </c>
      <c r="AO249" s="52">
        <v>19125</v>
      </c>
      <c r="AP249" s="52">
        <v>0</v>
      </c>
      <c r="AQ249" s="42"/>
      <c r="AR249" s="52">
        <v>25425</v>
      </c>
      <c r="AS249" s="52">
        <v>64573125</v>
      </c>
      <c r="AT249" s="52">
        <v>0</v>
      </c>
      <c r="AU249" s="41" t="s">
        <v>1326</v>
      </c>
      <c r="AV249" s="41" t="s">
        <v>356</v>
      </c>
      <c r="AW249" s="41" t="s">
        <v>1429</v>
      </c>
      <c r="AX249" s="41" t="s">
        <v>1430</v>
      </c>
    </row>
    <row r="250" spans="1:50" x14ac:dyDescent="0.2">
      <c r="A250" s="40">
        <v>64573225</v>
      </c>
      <c r="B250" s="41" t="s">
        <v>2804</v>
      </c>
      <c r="C250" s="41" t="s">
        <v>3118</v>
      </c>
      <c r="D250" s="41" t="s">
        <v>460</v>
      </c>
      <c r="E250" s="49">
        <v>3219658</v>
      </c>
      <c r="F250" s="49">
        <v>16883</v>
      </c>
      <c r="G250" s="50">
        <v>3202775</v>
      </c>
      <c r="H250" s="42" t="s">
        <v>2615</v>
      </c>
      <c r="I250" s="42" t="s">
        <v>461</v>
      </c>
      <c r="J250" s="43" t="s">
        <v>351</v>
      </c>
      <c r="K250" s="40">
        <v>1023954487</v>
      </c>
      <c r="L250" s="41" t="s">
        <v>1432</v>
      </c>
      <c r="M250" s="41" t="s">
        <v>316</v>
      </c>
      <c r="N250" s="41" t="s">
        <v>317</v>
      </c>
      <c r="O250" s="41" t="s">
        <v>1433</v>
      </c>
      <c r="P250" s="41" t="s">
        <v>319</v>
      </c>
      <c r="Q250" s="40">
        <v>860007335</v>
      </c>
      <c r="R250" s="41" t="s">
        <v>381</v>
      </c>
      <c r="S250" s="40">
        <v>923245</v>
      </c>
      <c r="T250" s="41" t="s">
        <v>180</v>
      </c>
      <c r="U250" s="41" t="s">
        <v>29</v>
      </c>
      <c r="V250" s="41" t="s">
        <v>30</v>
      </c>
      <c r="W250" s="42" t="s">
        <v>31</v>
      </c>
      <c r="X250" s="42" t="s">
        <v>32</v>
      </c>
      <c r="Y250" s="42" t="s">
        <v>33</v>
      </c>
      <c r="Z250" s="42" t="s">
        <v>2937</v>
      </c>
      <c r="AA250" s="42" t="s">
        <v>34</v>
      </c>
      <c r="AB250" s="42" t="s">
        <v>34</v>
      </c>
      <c r="AC250" s="42" t="s">
        <v>34</v>
      </c>
      <c r="AD250" s="42" t="s">
        <v>462</v>
      </c>
      <c r="AE250" s="42"/>
      <c r="AF250" s="42"/>
      <c r="AG250" s="42" t="s">
        <v>463</v>
      </c>
      <c r="AH250" s="42"/>
      <c r="AI250" s="44"/>
      <c r="AJ250" s="42"/>
      <c r="AK250" s="44"/>
      <c r="AL250" s="42"/>
      <c r="AM250" s="52">
        <v>3825</v>
      </c>
      <c r="AN250" s="52">
        <v>3825</v>
      </c>
      <c r="AO250" s="52">
        <v>19225</v>
      </c>
      <c r="AP250" s="52">
        <v>0</v>
      </c>
      <c r="AQ250" s="42"/>
      <c r="AR250" s="52">
        <v>25525</v>
      </c>
      <c r="AS250" s="52">
        <v>64573225</v>
      </c>
      <c r="AT250" s="52">
        <v>0</v>
      </c>
      <c r="AU250" s="41" t="s">
        <v>1326</v>
      </c>
      <c r="AV250" s="41" t="s">
        <v>356</v>
      </c>
      <c r="AW250" s="41" t="s">
        <v>1435</v>
      </c>
      <c r="AX250" s="41" t="s">
        <v>1436</v>
      </c>
    </row>
    <row r="251" spans="1:50" x14ac:dyDescent="0.2">
      <c r="A251" s="40">
        <v>64573325</v>
      </c>
      <c r="B251" s="41" t="s">
        <v>2804</v>
      </c>
      <c r="C251" s="41" t="s">
        <v>2945</v>
      </c>
      <c r="D251" s="41" t="s">
        <v>460</v>
      </c>
      <c r="E251" s="49">
        <v>3219658</v>
      </c>
      <c r="F251" s="49">
        <v>16882</v>
      </c>
      <c r="G251" s="50">
        <v>3202776</v>
      </c>
      <c r="H251" s="42" t="s">
        <v>2615</v>
      </c>
      <c r="I251" s="42" t="s">
        <v>461</v>
      </c>
      <c r="J251" s="43" t="s">
        <v>351</v>
      </c>
      <c r="K251" s="40">
        <v>1069740339</v>
      </c>
      <c r="L251" s="41" t="s">
        <v>1438</v>
      </c>
      <c r="M251" s="41" t="s">
        <v>316</v>
      </c>
      <c r="N251" s="41" t="s">
        <v>317</v>
      </c>
      <c r="O251" s="41" t="s">
        <v>1439</v>
      </c>
      <c r="P251" s="41" t="s">
        <v>319</v>
      </c>
      <c r="Q251" s="40">
        <v>890903938</v>
      </c>
      <c r="R251" s="41" t="s">
        <v>342</v>
      </c>
      <c r="S251" s="40">
        <v>923245</v>
      </c>
      <c r="T251" s="41" t="s">
        <v>180</v>
      </c>
      <c r="U251" s="41" t="s">
        <v>29</v>
      </c>
      <c r="V251" s="41" t="s">
        <v>30</v>
      </c>
      <c r="W251" s="42" t="s">
        <v>31</v>
      </c>
      <c r="X251" s="42" t="s">
        <v>32</v>
      </c>
      <c r="Y251" s="42" t="s">
        <v>33</v>
      </c>
      <c r="Z251" s="42" t="s">
        <v>2937</v>
      </c>
      <c r="AA251" s="42" t="s">
        <v>34</v>
      </c>
      <c r="AB251" s="42" t="s">
        <v>34</v>
      </c>
      <c r="AC251" s="42" t="s">
        <v>34</v>
      </c>
      <c r="AD251" s="42" t="s">
        <v>462</v>
      </c>
      <c r="AE251" s="42"/>
      <c r="AF251" s="42"/>
      <c r="AG251" s="42" t="s">
        <v>463</v>
      </c>
      <c r="AH251" s="42"/>
      <c r="AI251" s="44"/>
      <c r="AJ251" s="42"/>
      <c r="AK251" s="44"/>
      <c r="AL251" s="42"/>
      <c r="AM251" s="52">
        <v>3825</v>
      </c>
      <c r="AN251" s="52">
        <v>3825</v>
      </c>
      <c r="AO251" s="52">
        <v>19325</v>
      </c>
      <c r="AP251" s="52">
        <v>0</v>
      </c>
      <c r="AQ251" s="42"/>
      <c r="AR251" s="52">
        <v>25625</v>
      </c>
      <c r="AS251" s="52">
        <v>64573325</v>
      </c>
      <c r="AT251" s="52">
        <v>0</v>
      </c>
      <c r="AU251" s="41" t="s">
        <v>1326</v>
      </c>
      <c r="AV251" s="41" t="s">
        <v>356</v>
      </c>
      <c r="AW251" s="41" t="s">
        <v>1441</v>
      </c>
      <c r="AX251" s="41" t="s">
        <v>1442</v>
      </c>
    </row>
    <row r="252" spans="1:50" x14ac:dyDescent="0.2">
      <c r="A252" s="40">
        <v>64573425</v>
      </c>
      <c r="B252" s="41" t="s">
        <v>2804</v>
      </c>
      <c r="C252" s="41" t="s">
        <v>3042</v>
      </c>
      <c r="D252" s="41" t="s">
        <v>460</v>
      </c>
      <c r="E252" s="49">
        <v>3219658</v>
      </c>
      <c r="F252" s="49">
        <v>16883</v>
      </c>
      <c r="G252" s="50">
        <v>3202775</v>
      </c>
      <c r="H252" s="42" t="s">
        <v>2615</v>
      </c>
      <c r="I252" s="42" t="s">
        <v>461</v>
      </c>
      <c r="J252" s="43" t="s">
        <v>351</v>
      </c>
      <c r="K252" s="40">
        <v>1012428522</v>
      </c>
      <c r="L252" s="41" t="s">
        <v>1444</v>
      </c>
      <c r="M252" s="41" t="s">
        <v>316</v>
      </c>
      <c r="N252" s="41" t="s">
        <v>317</v>
      </c>
      <c r="O252" s="41" t="s">
        <v>1445</v>
      </c>
      <c r="P252" s="41" t="s">
        <v>319</v>
      </c>
      <c r="Q252" s="40">
        <v>860034313</v>
      </c>
      <c r="R252" s="41" t="s">
        <v>355</v>
      </c>
      <c r="S252" s="40">
        <v>923245</v>
      </c>
      <c r="T252" s="41" t="s">
        <v>180</v>
      </c>
      <c r="U252" s="41" t="s">
        <v>29</v>
      </c>
      <c r="V252" s="41" t="s">
        <v>30</v>
      </c>
      <c r="W252" s="42" t="s">
        <v>31</v>
      </c>
      <c r="X252" s="42" t="s">
        <v>32</v>
      </c>
      <c r="Y252" s="42" t="s">
        <v>33</v>
      </c>
      <c r="Z252" s="42" t="s">
        <v>2937</v>
      </c>
      <c r="AA252" s="42" t="s">
        <v>34</v>
      </c>
      <c r="AB252" s="42" t="s">
        <v>34</v>
      </c>
      <c r="AC252" s="42" t="s">
        <v>34</v>
      </c>
      <c r="AD252" s="42" t="s">
        <v>462</v>
      </c>
      <c r="AE252" s="42"/>
      <c r="AF252" s="42"/>
      <c r="AG252" s="42" t="s">
        <v>463</v>
      </c>
      <c r="AH252" s="42"/>
      <c r="AI252" s="44"/>
      <c r="AJ252" s="42"/>
      <c r="AK252" s="44"/>
      <c r="AL252" s="42"/>
      <c r="AM252" s="52">
        <v>3825</v>
      </c>
      <c r="AN252" s="52">
        <v>3825</v>
      </c>
      <c r="AO252" s="52">
        <v>19425</v>
      </c>
      <c r="AP252" s="52">
        <v>0</v>
      </c>
      <c r="AQ252" s="42"/>
      <c r="AR252" s="52">
        <v>25725</v>
      </c>
      <c r="AS252" s="52">
        <v>64573425</v>
      </c>
      <c r="AT252" s="52">
        <v>0</v>
      </c>
      <c r="AU252" s="41" t="s">
        <v>1326</v>
      </c>
      <c r="AV252" s="41" t="s">
        <v>356</v>
      </c>
      <c r="AW252" s="41" t="s">
        <v>1447</v>
      </c>
      <c r="AX252" s="41" t="s">
        <v>1442</v>
      </c>
    </row>
    <row r="253" spans="1:50" x14ac:dyDescent="0.2">
      <c r="A253" s="40">
        <v>64573525</v>
      </c>
      <c r="B253" s="41" t="s">
        <v>2804</v>
      </c>
      <c r="C253" s="41" t="s">
        <v>3091</v>
      </c>
      <c r="D253" s="41" t="s">
        <v>460</v>
      </c>
      <c r="E253" s="49">
        <v>3219658</v>
      </c>
      <c r="F253" s="49">
        <v>16883</v>
      </c>
      <c r="G253" s="50">
        <v>3202775</v>
      </c>
      <c r="H253" s="42" t="s">
        <v>2615</v>
      </c>
      <c r="I253" s="42" t="s">
        <v>461</v>
      </c>
      <c r="J253" s="43" t="s">
        <v>351</v>
      </c>
      <c r="K253" s="40">
        <v>79644336</v>
      </c>
      <c r="L253" s="41" t="s">
        <v>1449</v>
      </c>
      <c r="M253" s="41" t="s">
        <v>316</v>
      </c>
      <c r="N253" s="41" t="s">
        <v>317</v>
      </c>
      <c r="O253" s="41" t="s">
        <v>1450</v>
      </c>
      <c r="P253" s="41" t="s">
        <v>319</v>
      </c>
      <c r="Q253" s="40">
        <v>890903938</v>
      </c>
      <c r="R253" s="41" t="s">
        <v>342</v>
      </c>
      <c r="S253" s="40">
        <v>923245</v>
      </c>
      <c r="T253" s="41" t="s">
        <v>180</v>
      </c>
      <c r="U253" s="41" t="s">
        <v>29</v>
      </c>
      <c r="V253" s="41" t="s">
        <v>30</v>
      </c>
      <c r="W253" s="42" t="s">
        <v>31</v>
      </c>
      <c r="X253" s="42" t="s">
        <v>32</v>
      </c>
      <c r="Y253" s="42" t="s">
        <v>33</v>
      </c>
      <c r="Z253" s="42" t="s">
        <v>2937</v>
      </c>
      <c r="AA253" s="42" t="s">
        <v>34</v>
      </c>
      <c r="AB253" s="42" t="s">
        <v>34</v>
      </c>
      <c r="AC253" s="42" t="s">
        <v>34</v>
      </c>
      <c r="AD253" s="42" t="s">
        <v>462</v>
      </c>
      <c r="AE253" s="42"/>
      <c r="AF253" s="42"/>
      <c r="AG253" s="42" t="s">
        <v>463</v>
      </c>
      <c r="AH253" s="42"/>
      <c r="AI253" s="44"/>
      <c r="AJ253" s="42"/>
      <c r="AK253" s="44"/>
      <c r="AL253" s="42"/>
      <c r="AM253" s="52">
        <v>3825</v>
      </c>
      <c r="AN253" s="52">
        <v>3825</v>
      </c>
      <c r="AO253" s="52">
        <v>19525</v>
      </c>
      <c r="AP253" s="52">
        <v>0</v>
      </c>
      <c r="AQ253" s="42"/>
      <c r="AR253" s="52">
        <v>25825</v>
      </c>
      <c r="AS253" s="52">
        <v>64573525</v>
      </c>
      <c r="AT253" s="52">
        <v>0</v>
      </c>
      <c r="AU253" s="41" t="s">
        <v>1326</v>
      </c>
      <c r="AV253" s="41" t="s">
        <v>356</v>
      </c>
      <c r="AW253" s="41" t="s">
        <v>1452</v>
      </c>
      <c r="AX253" s="41" t="s">
        <v>1453</v>
      </c>
    </row>
    <row r="254" spans="1:50" x14ac:dyDescent="0.2">
      <c r="A254" s="40">
        <v>64573625</v>
      </c>
      <c r="B254" s="41" t="s">
        <v>2804</v>
      </c>
      <c r="C254" s="41" t="s">
        <v>3123</v>
      </c>
      <c r="D254" s="41" t="s">
        <v>460</v>
      </c>
      <c r="E254" s="49">
        <v>3219658</v>
      </c>
      <c r="F254" s="49">
        <v>16883</v>
      </c>
      <c r="G254" s="50">
        <v>3202775</v>
      </c>
      <c r="H254" s="42" t="s">
        <v>2615</v>
      </c>
      <c r="I254" s="42" t="s">
        <v>461</v>
      </c>
      <c r="J254" s="43" t="s">
        <v>351</v>
      </c>
      <c r="K254" s="40">
        <v>11227260</v>
      </c>
      <c r="L254" s="41" t="s">
        <v>1459</v>
      </c>
      <c r="M254" s="41" t="s">
        <v>316</v>
      </c>
      <c r="N254" s="41" t="s">
        <v>317</v>
      </c>
      <c r="O254" s="41" t="s">
        <v>1460</v>
      </c>
      <c r="P254" s="41" t="s">
        <v>319</v>
      </c>
      <c r="Q254" s="40">
        <v>890903938</v>
      </c>
      <c r="R254" s="41" t="s">
        <v>342</v>
      </c>
      <c r="S254" s="40">
        <v>923245</v>
      </c>
      <c r="T254" s="41" t="s">
        <v>180</v>
      </c>
      <c r="U254" s="41" t="s">
        <v>29</v>
      </c>
      <c r="V254" s="41" t="s">
        <v>30</v>
      </c>
      <c r="W254" s="42" t="s">
        <v>31</v>
      </c>
      <c r="X254" s="42" t="s">
        <v>32</v>
      </c>
      <c r="Y254" s="42" t="s">
        <v>33</v>
      </c>
      <c r="Z254" s="42" t="s">
        <v>2937</v>
      </c>
      <c r="AA254" s="42" t="s">
        <v>34</v>
      </c>
      <c r="AB254" s="42" t="s">
        <v>34</v>
      </c>
      <c r="AC254" s="42" t="s">
        <v>34</v>
      </c>
      <c r="AD254" s="42" t="s">
        <v>462</v>
      </c>
      <c r="AE254" s="42"/>
      <c r="AF254" s="42"/>
      <c r="AG254" s="42" t="s">
        <v>463</v>
      </c>
      <c r="AH254" s="42"/>
      <c r="AI254" s="44"/>
      <c r="AJ254" s="42"/>
      <c r="AK254" s="44"/>
      <c r="AL254" s="42"/>
      <c r="AM254" s="52">
        <v>3825</v>
      </c>
      <c r="AN254" s="52">
        <v>3825</v>
      </c>
      <c r="AO254" s="52">
        <v>19725</v>
      </c>
      <c r="AP254" s="52">
        <v>0</v>
      </c>
      <c r="AQ254" s="42"/>
      <c r="AR254" s="52">
        <v>25925</v>
      </c>
      <c r="AS254" s="52">
        <v>64573625</v>
      </c>
      <c r="AT254" s="52">
        <v>0</v>
      </c>
      <c r="AU254" s="41" t="s">
        <v>1326</v>
      </c>
      <c r="AV254" s="41" t="s">
        <v>356</v>
      </c>
      <c r="AW254" s="41" t="s">
        <v>1462</v>
      </c>
      <c r="AX254" s="41" t="s">
        <v>1453</v>
      </c>
    </row>
    <row r="255" spans="1:50" x14ac:dyDescent="0.2">
      <c r="A255" s="40">
        <v>64573725</v>
      </c>
      <c r="B255" s="41" t="s">
        <v>2804</v>
      </c>
      <c r="C255" s="41" t="s">
        <v>3107</v>
      </c>
      <c r="D255" s="41" t="s">
        <v>460</v>
      </c>
      <c r="E255" s="49">
        <v>3219658</v>
      </c>
      <c r="F255" s="49">
        <v>18182</v>
      </c>
      <c r="G255" s="50">
        <v>3201476</v>
      </c>
      <c r="H255" s="42" t="s">
        <v>2615</v>
      </c>
      <c r="I255" s="42" t="s">
        <v>461</v>
      </c>
      <c r="J255" s="43" t="s">
        <v>351</v>
      </c>
      <c r="K255" s="40">
        <v>80732528</v>
      </c>
      <c r="L255" s="41" t="s">
        <v>1464</v>
      </c>
      <c r="M255" s="41" t="s">
        <v>316</v>
      </c>
      <c r="N255" s="41" t="s">
        <v>317</v>
      </c>
      <c r="O255" s="41" t="s">
        <v>1465</v>
      </c>
      <c r="P255" s="41" t="s">
        <v>319</v>
      </c>
      <c r="Q255" s="40">
        <v>860034594</v>
      </c>
      <c r="R255" s="41" t="s">
        <v>374</v>
      </c>
      <c r="S255" s="40">
        <v>923245</v>
      </c>
      <c r="T255" s="41" t="s">
        <v>180</v>
      </c>
      <c r="U255" s="41" t="s">
        <v>29</v>
      </c>
      <c r="V255" s="41" t="s">
        <v>30</v>
      </c>
      <c r="W255" s="42" t="s">
        <v>31</v>
      </c>
      <c r="X255" s="42" t="s">
        <v>32</v>
      </c>
      <c r="Y255" s="42" t="s">
        <v>33</v>
      </c>
      <c r="Z255" s="42" t="s">
        <v>2937</v>
      </c>
      <c r="AA255" s="42" t="s">
        <v>34</v>
      </c>
      <c r="AB255" s="42" t="s">
        <v>34</v>
      </c>
      <c r="AC255" s="42" t="s">
        <v>34</v>
      </c>
      <c r="AD255" s="42" t="s">
        <v>462</v>
      </c>
      <c r="AE255" s="42"/>
      <c r="AF255" s="42"/>
      <c r="AG255" s="42" t="s">
        <v>463</v>
      </c>
      <c r="AH255" s="42"/>
      <c r="AI255" s="44"/>
      <c r="AJ255" s="42"/>
      <c r="AK255" s="44"/>
      <c r="AL255" s="42"/>
      <c r="AM255" s="52">
        <v>3825</v>
      </c>
      <c r="AN255" s="52">
        <v>3825</v>
      </c>
      <c r="AO255" s="52">
        <v>19825</v>
      </c>
      <c r="AP255" s="52">
        <v>0</v>
      </c>
      <c r="AQ255" s="42"/>
      <c r="AR255" s="52">
        <v>26025</v>
      </c>
      <c r="AS255" s="52">
        <v>64573725</v>
      </c>
      <c r="AT255" s="52">
        <v>0</v>
      </c>
      <c r="AU255" s="41" t="s">
        <v>1326</v>
      </c>
      <c r="AV255" s="41" t="s">
        <v>356</v>
      </c>
      <c r="AW255" s="41" t="s">
        <v>1467</v>
      </c>
      <c r="AX255" s="41" t="s">
        <v>1453</v>
      </c>
    </row>
    <row r="256" spans="1:50" x14ac:dyDescent="0.2">
      <c r="A256" s="40">
        <v>64573825</v>
      </c>
      <c r="B256" s="41" t="s">
        <v>2804</v>
      </c>
      <c r="C256" s="41" t="s">
        <v>3123</v>
      </c>
      <c r="D256" s="41" t="s">
        <v>460</v>
      </c>
      <c r="E256" s="49">
        <v>3219658</v>
      </c>
      <c r="F256" s="49">
        <v>16883</v>
      </c>
      <c r="G256" s="50">
        <v>3202775</v>
      </c>
      <c r="H256" s="42" t="s">
        <v>2615</v>
      </c>
      <c r="I256" s="42" t="s">
        <v>461</v>
      </c>
      <c r="J256" s="43" t="s">
        <v>351</v>
      </c>
      <c r="K256" s="40">
        <v>1085257212</v>
      </c>
      <c r="L256" s="41" t="s">
        <v>1469</v>
      </c>
      <c r="M256" s="41" t="s">
        <v>316</v>
      </c>
      <c r="N256" s="41" t="s">
        <v>317</v>
      </c>
      <c r="O256" s="41" t="s">
        <v>1470</v>
      </c>
      <c r="P256" s="41" t="s">
        <v>319</v>
      </c>
      <c r="Q256" s="40">
        <v>890903938</v>
      </c>
      <c r="R256" s="41" t="s">
        <v>342</v>
      </c>
      <c r="S256" s="40">
        <v>923245</v>
      </c>
      <c r="T256" s="41" t="s">
        <v>180</v>
      </c>
      <c r="U256" s="41" t="s">
        <v>29</v>
      </c>
      <c r="V256" s="41" t="s">
        <v>30</v>
      </c>
      <c r="W256" s="42" t="s">
        <v>31</v>
      </c>
      <c r="X256" s="42" t="s">
        <v>32</v>
      </c>
      <c r="Y256" s="42" t="s">
        <v>33</v>
      </c>
      <c r="Z256" s="42" t="s">
        <v>2937</v>
      </c>
      <c r="AA256" s="42" t="s">
        <v>34</v>
      </c>
      <c r="AB256" s="42" t="s">
        <v>34</v>
      </c>
      <c r="AC256" s="42" t="s">
        <v>34</v>
      </c>
      <c r="AD256" s="42" t="s">
        <v>462</v>
      </c>
      <c r="AE256" s="42"/>
      <c r="AF256" s="42"/>
      <c r="AG256" s="42" t="s">
        <v>463</v>
      </c>
      <c r="AH256" s="42"/>
      <c r="AI256" s="44"/>
      <c r="AJ256" s="42"/>
      <c r="AK256" s="44"/>
      <c r="AL256" s="42"/>
      <c r="AM256" s="52">
        <v>3825</v>
      </c>
      <c r="AN256" s="52">
        <v>3825</v>
      </c>
      <c r="AO256" s="52">
        <v>19925</v>
      </c>
      <c r="AP256" s="52">
        <v>0</v>
      </c>
      <c r="AQ256" s="42"/>
      <c r="AR256" s="52">
        <v>26125</v>
      </c>
      <c r="AS256" s="52">
        <v>64573825</v>
      </c>
      <c r="AT256" s="52">
        <v>0</v>
      </c>
      <c r="AU256" s="41" t="s">
        <v>1326</v>
      </c>
      <c r="AV256" s="41" t="s">
        <v>356</v>
      </c>
      <c r="AW256" s="41" t="s">
        <v>1472</v>
      </c>
      <c r="AX256" s="41" t="s">
        <v>1453</v>
      </c>
    </row>
    <row r="257" spans="1:50" x14ac:dyDescent="0.2">
      <c r="A257" s="40">
        <v>64573925</v>
      </c>
      <c r="B257" s="41" t="s">
        <v>2804</v>
      </c>
      <c r="C257" s="41" t="s">
        <v>3102</v>
      </c>
      <c r="D257" s="41" t="s">
        <v>460</v>
      </c>
      <c r="E257" s="49">
        <v>3219658</v>
      </c>
      <c r="F257" s="49">
        <v>16883</v>
      </c>
      <c r="G257" s="50">
        <v>3202775</v>
      </c>
      <c r="H257" s="42" t="s">
        <v>2615</v>
      </c>
      <c r="I257" s="42" t="s">
        <v>461</v>
      </c>
      <c r="J257" s="43" t="s">
        <v>351</v>
      </c>
      <c r="K257" s="40">
        <v>39725669</v>
      </c>
      <c r="L257" s="41" t="s">
        <v>1474</v>
      </c>
      <c r="M257" s="41" t="s">
        <v>316</v>
      </c>
      <c r="N257" s="41" t="s">
        <v>317</v>
      </c>
      <c r="O257" s="41" t="s">
        <v>1475</v>
      </c>
      <c r="P257" s="41" t="s">
        <v>319</v>
      </c>
      <c r="Q257" s="40">
        <v>890903938</v>
      </c>
      <c r="R257" s="41" t="s">
        <v>342</v>
      </c>
      <c r="S257" s="40">
        <v>923245</v>
      </c>
      <c r="T257" s="41" t="s">
        <v>180</v>
      </c>
      <c r="U257" s="41" t="s">
        <v>29</v>
      </c>
      <c r="V257" s="41" t="s">
        <v>30</v>
      </c>
      <c r="W257" s="42" t="s">
        <v>31</v>
      </c>
      <c r="X257" s="42" t="s">
        <v>32</v>
      </c>
      <c r="Y257" s="42" t="s">
        <v>33</v>
      </c>
      <c r="Z257" s="42" t="s">
        <v>2937</v>
      </c>
      <c r="AA257" s="42" t="s">
        <v>34</v>
      </c>
      <c r="AB257" s="42" t="s">
        <v>34</v>
      </c>
      <c r="AC257" s="42" t="s">
        <v>34</v>
      </c>
      <c r="AD257" s="42" t="s">
        <v>462</v>
      </c>
      <c r="AE257" s="42"/>
      <c r="AF257" s="42"/>
      <c r="AG257" s="42" t="s">
        <v>463</v>
      </c>
      <c r="AH257" s="42"/>
      <c r="AI257" s="44"/>
      <c r="AJ257" s="42"/>
      <c r="AK257" s="44"/>
      <c r="AL257" s="42"/>
      <c r="AM257" s="52">
        <v>3825</v>
      </c>
      <c r="AN257" s="52">
        <v>3825</v>
      </c>
      <c r="AO257" s="52">
        <v>20025</v>
      </c>
      <c r="AP257" s="52">
        <v>0</v>
      </c>
      <c r="AQ257" s="42"/>
      <c r="AR257" s="52">
        <v>26225</v>
      </c>
      <c r="AS257" s="52">
        <v>64573925</v>
      </c>
      <c r="AT257" s="52">
        <v>0</v>
      </c>
      <c r="AU257" s="41" t="s">
        <v>1326</v>
      </c>
      <c r="AV257" s="41" t="s">
        <v>356</v>
      </c>
      <c r="AW257" s="41" t="s">
        <v>1477</v>
      </c>
      <c r="AX257" s="41" t="s">
        <v>1453</v>
      </c>
    </row>
    <row r="258" spans="1:50" x14ac:dyDescent="0.2">
      <c r="A258" s="40">
        <v>64574025</v>
      </c>
      <c r="B258" s="41" t="s">
        <v>2804</v>
      </c>
      <c r="C258" s="41" t="s">
        <v>3115</v>
      </c>
      <c r="D258" s="41" t="s">
        <v>460</v>
      </c>
      <c r="E258" s="49">
        <v>3219658</v>
      </c>
      <c r="F258" s="49">
        <v>16883</v>
      </c>
      <c r="G258" s="50">
        <v>3202775</v>
      </c>
      <c r="H258" s="42" t="s">
        <v>2615</v>
      </c>
      <c r="I258" s="42" t="s">
        <v>461</v>
      </c>
      <c r="J258" s="43" t="s">
        <v>351</v>
      </c>
      <c r="K258" s="40">
        <v>52123001</v>
      </c>
      <c r="L258" s="41" t="s">
        <v>1479</v>
      </c>
      <c r="M258" s="41" t="s">
        <v>316</v>
      </c>
      <c r="N258" s="41" t="s">
        <v>317</v>
      </c>
      <c r="O258" s="41" t="s">
        <v>1480</v>
      </c>
      <c r="P258" s="41" t="s">
        <v>319</v>
      </c>
      <c r="Q258" s="40">
        <v>860034313</v>
      </c>
      <c r="R258" s="41" t="s">
        <v>355</v>
      </c>
      <c r="S258" s="40">
        <v>923245</v>
      </c>
      <c r="T258" s="41" t="s">
        <v>180</v>
      </c>
      <c r="U258" s="41" t="s">
        <v>29</v>
      </c>
      <c r="V258" s="41" t="s">
        <v>30</v>
      </c>
      <c r="W258" s="42" t="s">
        <v>31</v>
      </c>
      <c r="X258" s="42" t="s">
        <v>32</v>
      </c>
      <c r="Y258" s="42" t="s">
        <v>33</v>
      </c>
      <c r="Z258" s="42" t="s">
        <v>2937</v>
      </c>
      <c r="AA258" s="42" t="s">
        <v>34</v>
      </c>
      <c r="AB258" s="42" t="s">
        <v>34</v>
      </c>
      <c r="AC258" s="42" t="s">
        <v>34</v>
      </c>
      <c r="AD258" s="42" t="s">
        <v>462</v>
      </c>
      <c r="AE258" s="42"/>
      <c r="AF258" s="42"/>
      <c r="AG258" s="42" t="s">
        <v>463</v>
      </c>
      <c r="AH258" s="42"/>
      <c r="AI258" s="44"/>
      <c r="AJ258" s="42"/>
      <c r="AK258" s="44"/>
      <c r="AL258" s="42"/>
      <c r="AM258" s="52">
        <v>3825</v>
      </c>
      <c r="AN258" s="52">
        <v>3825</v>
      </c>
      <c r="AO258" s="52">
        <v>20125</v>
      </c>
      <c r="AP258" s="52">
        <v>0</v>
      </c>
      <c r="AQ258" s="42"/>
      <c r="AR258" s="52">
        <v>26325</v>
      </c>
      <c r="AS258" s="52">
        <v>64574025</v>
      </c>
      <c r="AT258" s="52">
        <v>0</v>
      </c>
      <c r="AU258" s="41" t="s">
        <v>1326</v>
      </c>
      <c r="AV258" s="41" t="s">
        <v>356</v>
      </c>
      <c r="AW258" s="41" t="s">
        <v>1482</v>
      </c>
      <c r="AX258" s="41" t="s">
        <v>1453</v>
      </c>
    </row>
    <row r="259" spans="1:50" x14ac:dyDescent="0.2">
      <c r="A259" s="40">
        <v>64574125</v>
      </c>
      <c r="B259" s="41" t="s">
        <v>2804</v>
      </c>
      <c r="C259" s="41" t="s">
        <v>3129</v>
      </c>
      <c r="D259" s="41" t="s">
        <v>460</v>
      </c>
      <c r="E259" s="49">
        <v>3219658</v>
      </c>
      <c r="F259" s="49">
        <v>16883</v>
      </c>
      <c r="G259" s="50">
        <v>3202775</v>
      </c>
      <c r="H259" s="42" t="s">
        <v>2615</v>
      </c>
      <c r="I259" s="42" t="s">
        <v>461</v>
      </c>
      <c r="J259" s="43" t="s">
        <v>351</v>
      </c>
      <c r="K259" s="40">
        <v>93372441</v>
      </c>
      <c r="L259" s="41" t="s">
        <v>1483</v>
      </c>
      <c r="M259" s="41" t="s">
        <v>316</v>
      </c>
      <c r="N259" s="41" t="s">
        <v>317</v>
      </c>
      <c r="O259" s="41" t="s">
        <v>1484</v>
      </c>
      <c r="P259" s="41" t="s">
        <v>319</v>
      </c>
      <c r="Q259" s="40">
        <v>890903938</v>
      </c>
      <c r="R259" s="41" t="s">
        <v>342</v>
      </c>
      <c r="S259" s="40">
        <v>923245</v>
      </c>
      <c r="T259" s="41" t="s">
        <v>180</v>
      </c>
      <c r="U259" s="41" t="s">
        <v>29</v>
      </c>
      <c r="V259" s="41" t="s">
        <v>30</v>
      </c>
      <c r="W259" s="42" t="s">
        <v>31</v>
      </c>
      <c r="X259" s="42" t="s">
        <v>32</v>
      </c>
      <c r="Y259" s="42" t="s">
        <v>33</v>
      </c>
      <c r="Z259" s="42" t="s">
        <v>2937</v>
      </c>
      <c r="AA259" s="42" t="s">
        <v>34</v>
      </c>
      <c r="AB259" s="42" t="s">
        <v>34</v>
      </c>
      <c r="AC259" s="42" t="s">
        <v>34</v>
      </c>
      <c r="AD259" s="42" t="s">
        <v>462</v>
      </c>
      <c r="AE259" s="42"/>
      <c r="AF259" s="42"/>
      <c r="AG259" s="42" t="s">
        <v>463</v>
      </c>
      <c r="AH259" s="42"/>
      <c r="AI259" s="44"/>
      <c r="AJ259" s="42"/>
      <c r="AK259" s="44"/>
      <c r="AL259" s="42"/>
      <c r="AM259" s="52">
        <v>3825</v>
      </c>
      <c r="AN259" s="52">
        <v>3825</v>
      </c>
      <c r="AO259" s="52">
        <v>20225</v>
      </c>
      <c r="AP259" s="52">
        <v>0</v>
      </c>
      <c r="AQ259" s="42"/>
      <c r="AR259" s="52">
        <v>26425</v>
      </c>
      <c r="AS259" s="52">
        <v>64574125</v>
      </c>
      <c r="AT259" s="52">
        <v>0</v>
      </c>
      <c r="AU259" s="41" t="s">
        <v>1326</v>
      </c>
      <c r="AV259" s="41" t="s">
        <v>356</v>
      </c>
      <c r="AW259" s="41" t="s">
        <v>1486</v>
      </c>
      <c r="AX259" s="41" t="s">
        <v>1453</v>
      </c>
    </row>
    <row r="260" spans="1:50" x14ac:dyDescent="0.2">
      <c r="A260" s="40">
        <v>64574225</v>
      </c>
      <c r="B260" s="41" t="s">
        <v>2804</v>
      </c>
      <c r="C260" s="41" t="s">
        <v>2947</v>
      </c>
      <c r="D260" s="41" t="s">
        <v>460</v>
      </c>
      <c r="E260" s="49">
        <v>3219658</v>
      </c>
      <c r="F260" s="49">
        <v>16883</v>
      </c>
      <c r="G260" s="50">
        <v>3202775</v>
      </c>
      <c r="H260" s="42" t="s">
        <v>2615</v>
      </c>
      <c r="I260" s="42" t="s">
        <v>461</v>
      </c>
      <c r="J260" s="43" t="s">
        <v>351</v>
      </c>
      <c r="K260" s="40">
        <v>79002678</v>
      </c>
      <c r="L260" s="41" t="s">
        <v>1488</v>
      </c>
      <c r="M260" s="41" t="s">
        <v>316</v>
      </c>
      <c r="N260" s="41" t="s">
        <v>317</v>
      </c>
      <c r="O260" s="41" t="s">
        <v>1489</v>
      </c>
      <c r="P260" s="41" t="s">
        <v>319</v>
      </c>
      <c r="Q260" s="40">
        <v>860034313</v>
      </c>
      <c r="R260" s="41" t="s">
        <v>355</v>
      </c>
      <c r="S260" s="40">
        <v>923245</v>
      </c>
      <c r="T260" s="41" t="s">
        <v>180</v>
      </c>
      <c r="U260" s="41" t="s">
        <v>29</v>
      </c>
      <c r="V260" s="41" t="s">
        <v>30</v>
      </c>
      <c r="W260" s="42" t="s">
        <v>31</v>
      </c>
      <c r="X260" s="42" t="s">
        <v>32</v>
      </c>
      <c r="Y260" s="42" t="s">
        <v>33</v>
      </c>
      <c r="Z260" s="42" t="s">
        <v>2937</v>
      </c>
      <c r="AA260" s="42" t="s">
        <v>34</v>
      </c>
      <c r="AB260" s="42" t="s">
        <v>34</v>
      </c>
      <c r="AC260" s="42" t="s">
        <v>34</v>
      </c>
      <c r="AD260" s="42" t="s">
        <v>462</v>
      </c>
      <c r="AE260" s="42"/>
      <c r="AF260" s="42"/>
      <c r="AG260" s="42" t="s">
        <v>463</v>
      </c>
      <c r="AH260" s="42"/>
      <c r="AI260" s="44"/>
      <c r="AJ260" s="42"/>
      <c r="AK260" s="44"/>
      <c r="AL260" s="42"/>
      <c r="AM260" s="52">
        <v>3825</v>
      </c>
      <c r="AN260" s="52">
        <v>3825</v>
      </c>
      <c r="AO260" s="52">
        <v>20325</v>
      </c>
      <c r="AP260" s="52">
        <v>0</v>
      </c>
      <c r="AQ260" s="42"/>
      <c r="AR260" s="52">
        <v>26525</v>
      </c>
      <c r="AS260" s="52">
        <v>64574225</v>
      </c>
      <c r="AT260" s="52">
        <v>0</v>
      </c>
      <c r="AU260" s="41" t="s">
        <v>1326</v>
      </c>
      <c r="AV260" s="41" t="s">
        <v>356</v>
      </c>
      <c r="AW260" s="41" t="s">
        <v>1491</v>
      </c>
      <c r="AX260" s="41" t="s">
        <v>1453</v>
      </c>
    </row>
    <row r="261" spans="1:50" x14ac:dyDescent="0.2">
      <c r="A261" s="40">
        <v>64574325</v>
      </c>
      <c r="B261" s="41" t="s">
        <v>2804</v>
      </c>
      <c r="C261" s="41" t="s">
        <v>3068</v>
      </c>
      <c r="D261" s="41" t="s">
        <v>460</v>
      </c>
      <c r="E261" s="49">
        <v>3219658</v>
      </c>
      <c r="F261" s="49">
        <v>16883</v>
      </c>
      <c r="G261" s="50">
        <v>3202775</v>
      </c>
      <c r="H261" s="42" t="s">
        <v>2615</v>
      </c>
      <c r="I261" s="42" t="s">
        <v>461</v>
      </c>
      <c r="J261" s="43" t="s">
        <v>351</v>
      </c>
      <c r="K261" s="40">
        <v>65630940</v>
      </c>
      <c r="L261" s="41" t="s">
        <v>1493</v>
      </c>
      <c r="M261" s="41" t="s">
        <v>316</v>
      </c>
      <c r="N261" s="41" t="s">
        <v>317</v>
      </c>
      <c r="O261" s="41" t="s">
        <v>1494</v>
      </c>
      <c r="P261" s="41" t="s">
        <v>319</v>
      </c>
      <c r="Q261" s="40">
        <v>860007335</v>
      </c>
      <c r="R261" s="41" t="s">
        <v>381</v>
      </c>
      <c r="S261" s="40">
        <v>923245</v>
      </c>
      <c r="T261" s="41" t="s">
        <v>180</v>
      </c>
      <c r="U261" s="41" t="s">
        <v>29</v>
      </c>
      <c r="V261" s="41" t="s">
        <v>30</v>
      </c>
      <c r="W261" s="42" t="s">
        <v>31</v>
      </c>
      <c r="X261" s="42" t="s">
        <v>32</v>
      </c>
      <c r="Y261" s="42" t="s">
        <v>33</v>
      </c>
      <c r="Z261" s="42" t="s">
        <v>2937</v>
      </c>
      <c r="AA261" s="42" t="s">
        <v>34</v>
      </c>
      <c r="AB261" s="42" t="s">
        <v>34</v>
      </c>
      <c r="AC261" s="42" t="s">
        <v>34</v>
      </c>
      <c r="AD261" s="42" t="s">
        <v>462</v>
      </c>
      <c r="AE261" s="42"/>
      <c r="AF261" s="42"/>
      <c r="AG261" s="42" t="s">
        <v>463</v>
      </c>
      <c r="AH261" s="42"/>
      <c r="AI261" s="44"/>
      <c r="AJ261" s="42"/>
      <c r="AK261" s="44"/>
      <c r="AL261" s="42"/>
      <c r="AM261" s="52">
        <v>3825</v>
      </c>
      <c r="AN261" s="52">
        <v>3825</v>
      </c>
      <c r="AO261" s="52">
        <v>20425</v>
      </c>
      <c r="AP261" s="52">
        <v>0</v>
      </c>
      <c r="AQ261" s="42"/>
      <c r="AR261" s="52">
        <v>26625</v>
      </c>
      <c r="AS261" s="52">
        <v>64574325</v>
      </c>
      <c r="AT261" s="52">
        <v>0</v>
      </c>
      <c r="AU261" s="41" t="s">
        <v>1326</v>
      </c>
      <c r="AV261" s="41" t="s">
        <v>356</v>
      </c>
      <c r="AW261" s="41" t="s">
        <v>1496</v>
      </c>
      <c r="AX261" s="41" t="s">
        <v>1453</v>
      </c>
    </row>
    <row r="262" spans="1:50" x14ac:dyDescent="0.2">
      <c r="A262" s="40">
        <v>64574425</v>
      </c>
      <c r="B262" s="41" t="s">
        <v>2804</v>
      </c>
      <c r="C262" s="41" t="s">
        <v>3133</v>
      </c>
      <c r="D262" s="41" t="s">
        <v>460</v>
      </c>
      <c r="E262" s="49">
        <v>3219658</v>
      </c>
      <c r="F262" s="49">
        <v>18912</v>
      </c>
      <c r="G262" s="50">
        <v>3200746</v>
      </c>
      <c r="H262" s="42" t="s">
        <v>2615</v>
      </c>
      <c r="I262" s="42" t="s">
        <v>461</v>
      </c>
      <c r="J262" s="43" t="s">
        <v>351</v>
      </c>
      <c r="K262" s="40">
        <v>1024562193</v>
      </c>
      <c r="L262" s="41" t="s">
        <v>1498</v>
      </c>
      <c r="M262" s="41" t="s">
        <v>316</v>
      </c>
      <c r="N262" s="41" t="s">
        <v>317</v>
      </c>
      <c r="O262" s="41" t="s">
        <v>1499</v>
      </c>
      <c r="P262" s="41" t="s">
        <v>319</v>
      </c>
      <c r="Q262" s="40">
        <v>890903938</v>
      </c>
      <c r="R262" s="41" t="s">
        <v>342</v>
      </c>
      <c r="S262" s="40">
        <v>923245</v>
      </c>
      <c r="T262" s="41" t="s">
        <v>180</v>
      </c>
      <c r="U262" s="41" t="s">
        <v>29</v>
      </c>
      <c r="V262" s="41" t="s">
        <v>30</v>
      </c>
      <c r="W262" s="42" t="s">
        <v>31</v>
      </c>
      <c r="X262" s="42" t="s">
        <v>32</v>
      </c>
      <c r="Y262" s="42" t="s">
        <v>33</v>
      </c>
      <c r="Z262" s="42" t="s">
        <v>2937</v>
      </c>
      <c r="AA262" s="42" t="s">
        <v>34</v>
      </c>
      <c r="AB262" s="42" t="s">
        <v>34</v>
      </c>
      <c r="AC262" s="42" t="s">
        <v>34</v>
      </c>
      <c r="AD262" s="42" t="s">
        <v>462</v>
      </c>
      <c r="AE262" s="42"/>
      <c r="AF262" s="42"/>
      <c r="AG262" s="42" t="s">
        <v>463</v>
      </c>
      <c r="AH262" s="42"/>
      <c r="AI262" s="44"/>
      <c r="AJ262" s="42"/>
      <c r="AK262" s="44"/>
      <c r="AL262" s="42"/>
      <c r="AM262" s="52">
        <v>3825</v>
      </c>
      <c r="AN262" s="52">
        <v>3825</v>
      </c>
      <c r="AO262" s="52">
        <v>20525</v>
      </c>
      <c r="AP262" s="52">
        <v>0</v>
      </c>
      <c r="AQ262" s="42"/>
      <c r="AR262" s="52">
        <v>26725</v>
      </c>
      <c r="AS262" s="52">
        <v>64574425</v>
      </c>
      <c r="AT262" s="52">
        <v>0</v>
      </c>
      <c r="AU262" s="41" t="s">
        <v>1326</v>
      </c>
      <c r="AV262" s="41" t="s">
        <v>356</v>
      </c>
      <c r="AW262" s="41" t="s">
        <v>1501</v>
      </c>
      <c r="AX262" s="41" t="s">
        <v>1453</v>
      </c>
    </row>
    <row r="263" spans="1:50" x14ac:dyDescent="0.2">
      <c r="A263" s="40">
        <v>64574525</v>
      </c>
      <c r="B263" s="41" t="s">
        <v>2804</v>
      </c>
      <c r="C263" s="41" t="s">
        <v>3135</v>
      </c>
      <c r="D263" s="41" t="s">
        <v>460</v>
      </c>
      <c r="E263" s="49">
        <v>3219658</v>
      </c>
      <c r="F263" s="49">
        <v>16883</v>
      </c>
      <c r="G263" s="50">
        <v>3202775</v>
      </c>
      <c r="H263" s="42" t="s">
        <v>2615</v>
      </c>
      <c r="I263" s="42" t="s">
        <v>461</v>
      </c>
      <c r="J263" s="43" t="s">
        <v>351</v>
      </c>
      <c r="K263" s="40">
        <v>1030569761</v>
      </c>
      <c r="L263" s="41" t="s">
        <v>1503</v>
      </c>
      <c r="M263" s="41" t="s">
        <v>316</v>
      </c>
      <c r="N263" s="41" t="s">
        <v>317</v>
      </c>
      <c r="O263" s="41" t="s">
        <v>1504</v>
      </c>
      <c r="P263" s="41" t="s">
        <v>319</v>
      </c>
      <c r="Q263" s="40">
        <v>860034313</v>
      </c>
      <c r="R263" s="41" t="s">
        <v>355</v>
      </c>
      <c r="S263" s="40">
        <v>923245</v>
      </c>
      <c r="T263" s="41" t="s">
        <v>180</v>
      </c>
      <c r="U263" s="41" t="s">
        <v>29</v>
      </c>
      <c r="V263" s="41" t="s">
        <v>30</v>
      </c>
      <c r="W263" s="42" t="s">
        <v>31</v>
      </c>
      <c r="X263" s="42" t="s">
        <v>32</v>
      </c>
      <c r="Y263" s="42" t="s">
        <v>33</v>
      </c>
      <c r="Z263" s="42" t="s">
        <v>2937</v>
      </c>
      <c r="AA263" s="42" t="s">
        <v>34</v>
      </c>
      <c r="AB263" s="42" t="s">
        <v>34</v>
      </c>
      <c r="AC263" s="42" t="s">
        <v>34</v>
      </c>
      <c r="AD263" s="42" t="s">
        <v>462</v>
      </c>
      <c r="AE263" s="42"/>
      <c r="AF263" s="42"/>
      <c r="AG263" s="42" t="s">
        <v>463</v>
      </c>
      <c r="AH263" s="42"/>
      <c r="AI263" s="44"/>
      <c r="AJ263" s="42"/>
      <c r="AK263" s="44"/>
      <c r="AL263" s="42"/>
      <c r="AM263" s="52">
        <v>3825</v>
      </c>
      <c r="AN263" s="52">
        <v>3825</v>
      </c>
      <c r="AO263" s="52">
        <v>20625</v>
      </c>
      <c r="AP263" s="52">
        <v>0</v>
      </c>
      <c r="AQ263" s="42"/>
      <c r="AR263" s="52">
        <v>26825</v>
      </c>
      <c r="AS263" s="52">
        <v>64574525</v>
      </c>
      <c r="AT263" s="52">
        <v>0</v>
      </c>
      <c r="AU263" s="41" t="s">
        <v>1326</v>
      </c>
      <c r="AV263" s="41" t="s">
        <v>356</v>
      </c>
      <c r="AW263" s="41" t="s">
        <v>1506</v>
      </c>
      <c r="AX263" s="41" t="s">
        <v>1453</v>
      </c>
    </row>
    <row r="264" spans="1:50" x14ac:dyDescent="0.2">
      <c r="A264" s="40">
        <v>64574625</v>
      </c>
      <c r="B264" s="41" t="s">
        <v>2804</v>
      </c>
      <c r="C264" s="41" t="s">
        <v>3137</v>
      </c>
      <c r="D264" s="41" t="s">
        <v>460</v>
      </c>
      <c r="E264" s="49">
        <v>3219658</v>
      </c>
      <c r="F264" s="49">
        <v>16883</v>
      </c>
      <c r="G264" s="50">
        <v>3202775</v>
      </c>
      <c r="H264" s="42" t="s">
        <v>2615</v>
      </c>
      <c r="I264" s="42" t="s">
        <v>461</v>
      </c>
      <c r="J264" s="43" t="s">
        <v>351</v>
      </c>
      <c r="K264" s="40">
        <v>79354889</v>
      </c>
      <c r="L264" s="41" t="s">
        <v>1508</v>
      </c>
      <c r="M264" s="41" t="s">
        <v>316</v>
      </c>
      <c r="N264" s="41" t="s">
        <v>317</v>
      </c>
      <c r="O264" s="41" t="s">
        <v>1509</v>
      </c>
      <c r="P264" s="41" t="s">
        <v>319</v>
      </c>
      <c r="Q264" s="40">
        <v>860035827</v>
      </c>
      <c r="R264" s="41" t="s">
        <v>653</v>
      </c>
      <c r="S264" s="40">
        <v>923245</v>
      </c>
      <c r="T264" s="41" t="s">
        <v>180</v>
      </c>
      <c r="U264" s="41" t="s">
        <v>29</v>
      </c>
      <c r="V264" s="41" t="s">
        <v>30</v>
      </c>
      <c r="W264" s="42" t="s">
        <v>31</v>
      </c>
      <c r="X264" s="42" t="s">
        <v>32</v>
      </c>
      <c r="Y264" s="42" t="s">
        <v>33</v>
      </c>
      <c r="Z264" s="42" t="s">
        <v>2937</v>
      </c>
      <c r="AA264" s="42" t="s">
        <v>34</v>
      </c>
      <c r="AB264" s="42" t="s">
        <v>34</v>
      </c>
      <c r="AC264" s="42" t="s">
        <v>34</v>
      </c>
      <c r="AD264" s="42" t="s">
        <v>462</v>
      </c>
      <c r="AE264" s="42"/>
      <c r="AF264" s="42"/>
      <c r="AG264" s="42" t="s">
        <v>463</v>
      </c>
      <c r="AH264" s="42"/>
      <c r="AI264" s="44"/>
      <c r="AJ264" s="42"/>
      <c r="AK264" s="44"/>
      <c r="AL264" s="42"/>
      <c r="AM264" s="52">
        <v>3825</v>
      </c>
      <c r="AN264" s="52">
        <v>3825</v>
      </c>
      <c r="AO264" s="52">
        <v>20725</v>
      </c>
      <c r="AP264" s="52">
        <v>0</v>
      </c>
      <c r="AQ264" s="42"/>
      <c r="AR264" s="52">
        <v>26925</v>
      </c>
      <c r="AS264" s="52">
        <v>64574625</v>
      </c>
      <c r="AT264" s="52">
        <v>0</v>
      </c>
      <c r="AU264" s="41" t="s">
        <v>1326</v>
      </c>
      <c r="AV264" s="41" t="s">
        <v>356</v>
      </c>
      <c r="AW264" s="41" t="s">
        <v>1511</v>
      </c>
      <c r="AX264" s="41" t="s">
        <v>1332</v>
      </c>
    </row>
    <row r="265" spans="1:50" x14ac:dyDescent="0.2">
      <c r="A265" s="40">
        <v>64574725</v>
      </c>
      <c r="B265" s="41" t="s">
        <v>2804</v>
      </c>
      <c r="C265" s="41" t="s">
        <v>3139</v>
      </c>
      <c r="D265" s="41" t="s">
        <v>460</v>
      </c>
      <c r="E265" s="49">
        <v>2489112</v>
      </c>
      <c r="F265" s="49">
        <v>13867</v>
      </c>
      <c r="G265" s="50">
        <v>2475245</v>
      </c>
      <c r="H265" s="42" t="s">
        <v>2615</v>
      </c>
      <c r="I265" s="42" t="s">
        <v>461</v>
      </c>
      <c r="J265" s="43" t="s">
        <v>351</v>
      </c>
      <c r="K265" s="40">
        <v>39631710</v>
      </c>
      <c r="L265" s="41" t="s">
        <v>1518</v>
      </c>
      <c r="M265" s="41" t="s">
        <v>316</v>
      </c>
      <c r="N265" s="41" t="s">
        <v>317</v>
      </c>
      <c r="O265" s="41" t="s">
        <v>1519</v>
      </c>
      <c r="P265" s="41" t="s">
        <v>319</v>
      </c>
      <c r="Q265" s="40">
        <v>860007335</v>
      </c>
      <c r="R265" s="41" t="s">
        <v>381</v>
      </c>
      <c r="S265" s="40">
        <v>923245</v>
      </c>
      <c r="T265" s="41" t="s">
        <v>180</v>
      </c>
      <c r="U265" s="41" t="s">
        <v>29</v>
      </c>
      <c r="V265" s="41" t="s">
        <v>30</v>
      </c>
      <c r="W265" s="42" t="s">
        <v>31</v>
      </c>
      <c r="X265" s="42" t="s">
        <v>32</v>
      </c>
      <c r="Y265" s="42" t="s">
        <v>33</v>
      </c>
      <c r="Z265" s="42" t="s">
        <v>3085</v>
      </c>
      <c r="AA265" s="42" t="s">
        <v>34</v>
      </c>
      <c r="AB265" s="42" t="s">
        <v>34</v>
      </c>
      <c r="AC265" s="42" t="s">
        <v>34</v>
      </c>
      <c r="AD265" s="42" t="s">
        <v>462</v>
      </c>
      <c r="AE265" s="42"/>
      <c r="AF265" s="42"/>
      <c r="AG265" s="42" t="s">
        <v>463</v>
      </c>
      <c r="AH265" s="42"/>
      <c r="AI265" s="44"/>
      <c r="AJ265" s="42"/>
      <c r="AK265" s="44"/>
      <c r="AL265" s="42"/>
      <c r="AM265" s="52">
        <v>3825</v>
      </c>
      <c r="AN265" s="52">
        <v>3825</v>
      </c>
      <c r="AO265" s="52">
        <v>20925</v>
      </c>
      <c r="AP265" s="52">
        <v>0</v>
      </c>
      <c r="AQ265" s="42"/>
      <c r="AR265" s="52">
        <v>27025</v>
      </c>
      <c r="AS265" s="52">
        <v>64574725</v>
      </c>
      <c r="AT265" s="52">
        <v>0</v>
      </c>
      <c r="AU265" s="41" t="s">
        <v>1326</v>
      </c>
      <c r="AV265" s="41" t="s">
        <v>356</v>
      </c>
      <c r="AW265" s="41" t="s">
        <v>1521</v>
      </c>
      <c r="AX265" s="41" t="s">
        <v>1332</v>
      </c>
    </row>
    <row r="266" spans="1:50" x14ac:dyDescent="0.2">
      <c r="A266" s="40">
        <v>64574825</v>
      </c>
      <c r="B266" s="41" t="s">
        <v>2804</v>
      </c>
      <c r="C266" s="41" t="s">
        <v>3141</v>
      </c>
      <c r="D266" s="41" t="s">
        <v>460</v>
      </c>
      <c r="E266" s="49">
        <v>2489112</v>
      </c>
      <c r="F266" s="49">
        <v>12500</v>
      </c>
      <c r="G266" s="50">
        <v>2476612</v>
      </c>
      <c r="H266" s="42" t="s">
        <v>2615</v>
      </c>
      <c r="I266" s="42" t="s">
        <v>461</v>
      </c>
      <c r="J266" s="43" t="s">
        <v>351</v>
      </c>
      <c r="K266" s="40">
        <v>33367155</v>
      </c>
      <c r="L266" s="41" t="s">
        <v>1522</v>
      </c>
      <c r="M266" s="41" t="s">
        <v>316</v>
      </c>
      <c r="N266" s="41" t="s">
        <v>317</v>
      </c>
      <c r="O266" s="41" t="s">
        <v>1523</v>
      </c>
      <c r="P266" s="41" t="s">
        <v>319</v>
      </c>
      <c r="Q266" s="40">
        <v>860034313</v>
      </c>
      <c r="R266" s="41" t="s">
        <v>355</v>
      </c>
      <c r="S266" s="40">
        <v>923245</v>
      </c>
      <c r="T266" s="41" t="s">
        <v>180</v>
      </c>
      <c r="U266" s="41" t="s">
        <v>29</v>
      </c>
      <c r="V266" s="41" t="s">
        <v>30</v>
      </c>
      <c r="W266" s="42" t="s">
        <v>31</v>
      </c>
      <c r="X266" s="42" t="s">
        <v>32</v>
      </c>
      <c r="Y266" s="42" t="s">
        <v>33</v>
      </c>
      <c r="Z266" s="42" t="s">
        <v>3085</v>
      </c>
      <c r="AA266" s="42" t="s">
        <v>34</v>
      </c>
      <c r="AB266" s="42" t="s">
        <v>34</v>
      </c>
      <c r="AC266" s="42" t="s">
        <v>34</v>
      </c>
      <c r="AD266" s="42" t="s">
        <v>462</v>
      </c>
      <c r="AE266" s="42"/>
      <c r="AF266" s="42"/>
      <c r="AG266" s="42" t="s">
        <v>463</v>
      </c>
      <c r="AH266" s="42"/>
      <c r="AI266" s="44"/>
      <c r="AJ266" s="42"/>
      <c r="AK266" s="44"/>
      <c r="AL266" s="42"/>
      <c r="AM266" s="52">
        <v>3825</v>
      </c>
      <c r="AN266" s="52">
        <v>3825</v>
      </c>
      <c r="AO266" s="52">
        <v>21025</v>
      </c>
      <c r="AP266" s="52">
        <v>0</v>
      </c>
      <c r="AQ266" s="42"/>
      <c r="AR266" s="52">
        <v>27125</v>
      </c>
      <c r="AS266" s="52">
        <v>64574825</v>
      </c>
      <c r="AT266" s="52">
        <v>0</v>
      </c>
      <c r="AU266" s="41" t="s">
        <v>1326</v>
      </c>
      <c r="AV266" s="41" t="s">
        <v>356</v>
      </c>
      <c r="AW266" s="41" t="s">
        <v>1525</v>
      </c>
      <c r="AX266" s="41" t="s">
        <v>1332</v>
      </c>
    </row>
    <row r="267" spans="1:50" x14ac:dyDescent="0.2">
      <c r="A267" s="40">
        <v>64574925</v>
      </c>
      <c r="B267" s="41" t="s">
        <v>2804</v>
      </c>
      <c r="C267" s="41" t="s">
        <v>3129</v>
      </c>
      <c r="D267" s="41" t="s">
        <v>460</v>
      </c>
      <c r="E267" s="49">
        <v>3219658</v>
      </c>
      <c r="F267" s="49">
        <v>16883</v>
      </c>
      <c r="G267" s="50">
        <v>3202775</v>
      </c>
      <c r="H267" s="42" t="s">
        <v>2615</v>
      </c>
      <c r="I267" s="42" t="s">
        <v>461</v>
      </c>
      <c r="J267" s="43" t="s">
        <v>351</v>
      </c>
      <c r="K267" s="40">
        <v>35535223</v>
      </c>
      <c r="L267" s="41" t="s">
        <v>1528</v>
      </c>
      <c r="M267" s="41" t="s">
        <v>316</v>
      </c>
      <c r="N267" s="41" t="s">
        <v>317</v>
      </c>
      <c r="O267" s="41" t="s">
        <v>1529</v>
      </c>
      <c r="P267" s="41" t="s">
        <v>319</v>
      </c>
      <c r="Q267" s="40">
        <v>890903938</v>
      </c>
      <c r="R267" s="41" t="s">
        <v>342</v>
      </c>
      <c r="S267" s="40">
        <v>923211</v>
      </c>
      <c r="T267" s="41" t="s">
        <v>69</v>
      </c>
      <c r="U267" s="41" t="s">
        <v>29</v>
      </c>
      <c r="V267" s="41" t="s">
        <v>30</v>
      </c>
      <c r="W267" s="42" t="s">
        <v>31</v>
      </c>
      <c r="X267" s="42" t="s">
        <v>32</v>
      </c>
      <c r="Y267" s="42" t="s">
        <v>33</v>
      </c>
      <c r="Z267" s="42" t="s">
        <v>2937</v>
      </c>
      <c r="AA267" s="42" t="s">
        <v>34</v>
      </c>
      <c r="AB267" s="42" t="s">
        <v>34</v>
      </c>
      <c r="AC267" s="42" t="s">
        <v>34</v>
      </c>
      <c r="AD267" s="42" t="s">
        <v>462</v>
      </c>
      <c r="AE267" s="42"/>
      <c r="AF267" s="42"/>
      <c r="AG267" s="42" t="s">
        <v>463</v>
      </c>
      <c r="AH267" s="42"/>
      <c r="AI267" s="44"/>
      <c r="AJ267" s="42"/>
      <c r="AK267" s="44"/>
      <c r="AL267" s="42"/>
      <c r="AM267" s="52">
        <v>2125</v>
      </c>
      <c r="AN267" s="52">
        <v>2125</v>
      </c>
      <c r="AO267" s="52">
        <v>21125</v>
      </c>
      <c r="AP267" s="52">
        <v>0</v>
      </c>
      <c r="AQ267" s="42"/>
      <c r="AR267" s="52">
        <v>27225</v>
      </c>
      <c r="AS267" s="52">
        <v>64574925</v>
      </c>
      <c r="AT267" s="52">
        <v>0</v>
      </c>
      <c r="AU267" s="41" t="s">
        <v>1526</v>
      </c>
      <c r="AV267" s="41" t="s">
        <v>356</v>
      </c>
      <c r="AW267" s="41" t="s">
        <v>1531</v>
      </c>
      <c r="AX267" s="41" t="s">
        <v>1532</v>
      </c>
    </row>
    <row r="268" spans="1:50" x14ac:dyDescent="0.2">
      <c r="A268" s="40">
        <v>64575025</v>
      </c>
      <c r="B268" s="41" t="s">
        <v>2804</v>
      </c>
      <c r="C268" s="41" t="s">
        <v>3026</v>
      </c>
      <c r="D268" s="41" t="s">
        <v>460</v>
      </c>
      <c r="E268" s="49">
        <v>3219658</v>
      </c>
      <c r="F268" s="49">
        <v>16883</v>
      </c>
      <c r="G268" s="50">
        <v>3202775</v>
      </c>
      <c r="H268" s="42" t="s">
        <v>2615</v>
      </c>
      <c r="I268" s="42" t="s">
        <v>461</v>
      </c>
      <c r="J268" s="43" t="s">
        <v>351</v>
      </c>
      <c r="K268" s="40">
        <v>1024467029</v>
      </c>
      <c r="L268" s="41" t="s">
        <v>1534</v>
      </c>
      <c r="M268" s="41" t="s">
        <v>316</v>
      </c>
      <c r="N268" s="41" t="s">
        <v>317</v>
      </c>
      <c r="O268" s="41" t="s">
        <v>1535</v>
      </c>
      <c r="P268" s="41" t="s">
        <v>319</v>
      </c>
      <c r="Q268" s="40">
        <v>860007335</v>
      </c>
      <c r="R268" s="41" t="s">
        <v>381</v>
      </c>
      <c r="S268" s="40">
        <v>923211</v>
      </c>
      <c r="T268" s="41" t="s">
        <v>69</v>
      </c>
      <c r="U268" s="41" t="s">
        <v>29</v>
      </c>
      <c r="V268" s="41" t="s">
        <v>30</v>
      </c>
      <c r="W268" s="42" t="s">
        <v>31</v>
      </c>
      <c r="X268" s="42" t="s">
        <v>32</v>
      </c>
      <c r="Y268" s="42" t="s">
        <v>33</v>
      </c>
      <c r="Z268" s="42" t="s">
        <v>2937</v>
      </c>
      <c r="AA268" s="42" t="s">
        <v>34</v>
      </c>
      <c r="AB268" s="42" t="s">
        <v>34</v>
      </c>
      <c r="AC268" s="42" t="s">
        <v>34</v>
      </c>
      <c r="AD268" s="42" t="s">
        <v>462</v>
      </c>
      <c r="AE268" s="42"/>
      <c r="AF268" s="42"/>
      <c r="AG268" s="42" t="s">
        <v>463</v>
      </c>
      <c r="AH268" s="42"/>
      <c r="AI268" s="44"/>
      <c r="AJ268" s="42"/>
      <c r="AK268" s="44"/>
      <c r="AL268" s="42"/>
      <c r="AM268" s="52">
        <v>2125</v>
      </c>
      <c r="AN268" s="52">
        <v>2125</v>
      </c>
      <c r="AO268" s="52">
        <v>21225</v>
      </c>
      <c r="AP268" s="52">
        <v>0</v>
      </c>
      <c r="AQ268" s="42"/>
      <c r="AR268" s="52">
        <v>27325</v>
      </c>
      <c r="AS268" s="52">
        <v>64575025</v>
      </c>
      <c r="AT268" s="52">
        <v>0</v>
      </c>
      <c r="AU268" s="41" t="s">
        <v>1526</v>
      </c>
      <c r="AV268" s="41" t="s">
        <v>356</v>
      </c>
      <c r="AW268" s="41" t="s">
        <v>1537</v>
      </c>
      <c r="AX268" s="41" t="s">
        <v>1532</v>
      </c>
    </row>
    <row r="269" spans="1:50" x14ac:dyDescent="0.2">
      <c r="A269" s="40">
        <v>64582325</v>
      </c>
      <c r="B269" s="41" t="s">
        <v>2804</v>
      </c>
      <c r="C269" s="41" t="s">
        <v>3038</v>
      </c>
      <c r="D269" s="41" t="s">
        <v>460</v>
      </c>
      <c r="E269" s="49">
        <v>3219658</v>
      </c>
      <c r="F269" s="49">
        <v>16883</v>
      </c>
      <c r="G269" s="50">
        <v>3202775</v>
      </c>
      <c r="H269" s="42" t="s">
        <v>2615</v>
      </c>
      <c r="I269" s="42" t="s">
        <v>461</v>
      </c>
      <c r="J269" s="43" t="s">
        <v>351</v>
      </c>
      <c r="K269" s="40">
        <v>15645611</v>
      </c>
      <c r="L269" s="41" t="s">
        <v>1539</v>
      </c>
      <c r="M269" s="41" t="s">
        <v>316</v>
      </c>
      <c r="N269" s="41" t="s">
        <v>317</v>
      </c>
      <c r="O269" s="41" t="s">
        <v>1540</v>
      </c>
      <c r="P269" s="41" t="s">
        <v>319</v>
      </c>
      <c r="Q269" s="40">
        <v>890903938</v>
      </c>
      <c r="R269" s="41" t="s">
        <v>342</v>
      </c>
      <c r="S269" s="40">
        <v>923211</v>
      </c>
      <c r="T269" s="41" t="s">
        <v>69</v>
      </c>
      <c r="U269" s="41" t="s">
        <v>29</v>
      </c>
      <c r="V269" s="41" t="s">
        <v>30</v>
      </c>
      <c r="W269" s="42" t="s">
        <v>31</v>
      </c>
      <c r="X269" s="42" t="s">
        <v>32</v>
      </c>
      <c r="Y269" s="42" t="s">
        <v>33</v>
      </c>
      <c r="Z269" s="42" t="s">
        <v>2937</v>
      </c>
      <c r="AA269" s="42" t="s">
        <v>34</v>
      </c>
      <c r="AB269" s="42" t="s">
        <v>34</v>
      </c>
      <c r="AC269" s="42" t="s">
        <v>34</v>
      </c>
      <c r="AD269" s="42" t="s">
        <v>462</v>
      </c>
      <c r="AE269" s="42"/>
      <c r="AF269" s="42"/>
      <c r="AG269" s="42" t="s">
        <v>463</v>
      </c>
      <c r="AH269" s="42"/>
      <c r="AI269" s="44"/>
      <c r="AJ269" s="42"/>
      <c r="AK269" s="44"/>
      <c r="AL269" s="42"/>
      <c r="AM269" s="52">
        <v>2125</v>
      </c>
      <c r="AN269" s="52">
        <v>2125</v>
      </c>
      <c r="AO269" s="52">
        <v>21325</v>
      </c>
      <c r="AP269" s="52">
        <v>0</v>
      </c>
      <c r="AQ269" s="42"/>
      <c r="AR269" s="52">
        <v>27425</v>
      </c>
      <c r="AS269" s="52">
        <v>64582325</v>
      </c>
      <c r="AT269" s="52">
        <v>0</v>
      </c>
      <c r="AU269" s="41" t="s">
        <v>1526</v>
      </c>
      <c r="AV269" s="41" t="s">
        <v>356</v>
      </c>
      <c r="AW269" s="41" t="s">
        <v>1542</v>
      </c>
      <c r="AX269" s="41" t="s">
        <v>1532</v>
      </c>
    </row>
    <row r="270" spans="1:50" x14ac:dyDescent="0.2">
      <c r="A270" s="40">
        <v>64582425</v>
      </c>
      <c r="B270" s="41" t="s">
        <v>2804</v>
      </c>
      <c r="C270" s="41" t="s">
        <v>3082</v>
      </c>
      <c r="D270" s="41" t="s">
        <v>460</v>
      </c>
      <c r="E270" s="49">
        <v>3219658</v>
      </c>
      <c r="F270" s="49">
        <v>16883</v>
      </c>
      <c r="G270" s="50">
        <v>3202775</v>
      </c>
      <c r="H270" s="42" t="s">
        <v>2615</v>
      </c>
      <c r="I270" s="42" t="s">
        <v>461</v>
      </c>
      <c r="J270" s="43" t="s">
        <v>351</v>
      </c>
      <c r="K270" s="40">
        <v>1010182673</v>
      </c>
      <c r="L270" s="41" t="s">
        <v>1544</v>
      </c>
      <c r="M270" s="41" t="s">
        <v>316</v>
      </c>
      <c r="N270" s="41" t="s">
        <v>317</v>
      </c>
      <c r="O270" s="41" t="s">
        <v>1545</v>
      </c>
      <c r="P270" s="41" t="s">
        <v>319</v>
      </c>
      <c r="Q270" s="40">
        <v>860034313</v>
      </c>
      <c r="R270" s="41" t="s">
        <v>355</v>
      </c>
      <c r="S270" s="40">
        <v>923211</v>
      </c>
      <c r="T270" s="41" t="s">
        <v>69</v>
      </c>
      <c r="U270" s="41" t="s">
        <v>29</v>
      </c>
      <c r="V270" s="41" t="s">
        <v>30</v>
      </c>
      <c r="W270" s="42" t="s">
        <v>31</v>
      </c>
      <c r="X270" s="42" t="s">
        <v>32</v>
      </c>
      <c r="Y270" s="42" t="s">
        <v>33</v>
      </c>
      <c r="Z270" s="42" t="s">
        <v>2937</v>
      </c>
      <c r="AA270" s="42" t="s">
        <v>34</v>
      </c>
      <c r="AB270" s="42" t="s">
        <v>34</v>
      </c>
      <c r="AC270" s="42" t="s">
        <v>34</v>
      </c>
      <c r="AD270" s="42" t="s">
        <v>462</v>
      </c>
      <c r="AE270" s="42"/>
      <c r="AF270" s="42"/>
      <c r="AG270" s="42" t="s">
        <v>463</v>
      </c>
      <c r="AH270" s="42"/>
      <c r="AI270" s="44"/>
      <c r="AJ270" s="42"/>
      <c r="AK270" s="44"/>
      <c r="AL270" s="42"/>
      <c r="AM270" s="52">
        <v>2125</v>
      </c>
      <c r="AN270" s="52">
        <v>2125</v>
      </c>
      <c r="AO270" s="52">
        <v>21425</v>
      </c>
      <c r="AP270" s="52">
        <v>0</v>
      </c>
      <c r="AQ270" s="42"/>
      <c r="AR270" s="52">
        <v>27525</v>
      </c>
      <c r="AS270" s="52">
        <v>64582425</v>
      </c>
      <c r="AT270" s="52">
        <v>0</v>
      </c>
      <c r="AU270" s="41" t="s">
        <v>1526</v>
      </c>
      <c r="AV270" s="41" t="s">
        <v>356</v>
      </c>
      <c r="AW270" s="41" t="s">
        <v>1547</v>
      </c>
      <c r="AX270" s="41" t="s">
        <v>1548</v>
      </c>
    </row>
    <row r="271" spans="1:50" x14ac:dyDescent="0.2">
      <c r="A271" s="40">
        <v>64582525</v>
      </c>
      <c r="B271" s="41" t="s">
        <v>2804</v>
      </c>
      <c r="C271" s="41" t="s">
        <v>3112</v>
      </c>
      <c r="D271" s="41" t="s">
        <v>460</v>
      </c>
      <c r="E271" s="49">
        <v>3219658</v>
      </c>
      <c r="F271" s="49">
        <v>16883</v>
      </c>
      <c r="G271" s="50">
        <v>3202775</v>
      </c>
      <c r="H271" s="42" t="s">
        <v>2615</v>
      </c>
      <c r="I271" s="42" t="s">
        <v>461</v>
      </c>
      <c r="J271" s="43" t="s">
        <v>351</v>
      </c>
      <c r="K271" s="40">
        <v>1010183074</v>
      </c>
      <c r="L271" s="41" t="s">
        <v>1550</v>
      </c>
      <c r="M271" s="41" t="s">
        <v>316</v>
      </c>
      <c r="N271" s="41" t="s">
        <v>317</v>
      </c>
      <c r="O271" s="41" t="s">
        <v>1551</v>
      </c>
      <c r="P271" s="41" t="s">
        <v>319</v>
      </c>
      <c r="Q271" s="40">
        <v>860002964</v>
      </c>
      <c r="R271" s="41" t="s">
        <v>419</v>
      </c>
      <c r="S271" s="40">
        <v>923211</v>
      </c>
      <c r="T271" s="41" t="s">
        <v>69</v>
      </c>
      <c r="U271" s="41" t="s">
        <v>29</v>
      </c>
      <c r="V271" s="41" t="s">
        <v>30</v>
      </c>
      <c r="W271" s="42" t="s">
        <v>31</v>
      </c>
      <c r="X271" s="42" t="s">
        <v>32</v>
      </c>
      <c r="Y271" s="42" t="s">
        <v>33</v>
      </c>
      <c r="Z271" s="42" t="s">
        <v>2937</v>
      </c>
      <c r="AA271" s="42" t="s">
        <v>34</v>
      </c>
      <c r="AB271" s="42" t="s">
        <v>34</v>
      </c>
      <c r="AC271" s="42" t="s">
        <v>34</v>
      </c>
      <c r="AD271" s="42" t="s">
        <v>462</v>
      </c>
      <c r="AE271" s="42"/>
      <c r="AF271" s="42"/>
      <c r="AG271" s="42" t="s">
        <v>463</v>
      </c>
      <c r="AH271" s="42"/>
      <c r="AI271" s="44"/>
      <c r="AJ271" s="42"/>
      <c r="AK271" s="44"/>
      <c r="AL271" s="42"/>
      <c r="AM271" s="52">
        <v>2125</v>
      </c>
      <c r="AN271" s="52">
        <v>2125</v>
      </c>
      <c r="AO271" s="52">
        <v>21525</v>
      </c>
      <c r="AP271" s="52">
        <v>0</v>
      </c>
      <c r="AQ271" s="42"/>
      <c r="AR271" s="52">
        <v>27625</v>
      </c>
      <c r="AS271" s="52">
        <v>64582525</v>
      </c>
      <c r="AT271" s="52">
        <v>0</v>
      </c>
      <c r="AU271" s="41" t="s">
        <v>1526</v>
      </c>
      <c r="AV271" s="41" t="s">
        <v>356</v>
      </c>
      <c r="AW271" s="41" t="s">
        <v>1553</v>
      </c>
      <c r="AX271" s="41" t="s">
        <v>1532</v>
      </c>
    </row>
    <row r="272" spans="1:50" x14ac:dyDescent="0.2">
      <c r="A272" s="40">
        <v>64582625</v>
      </c>
      <c r="B272" s="41" t="s">
        <v>2804</v>
      </c>
      <c r="C272" s="41" t="s">
        <v>3148</v>
      </c>
      <c r="D272" s="41" t="s">
        <v>460</v>
      </c>
      <c r="E272" s="49">
        <v>3219658</v>
      </c>
      <c r="F272" s="49">
        <v>16883</v>
      </c>
      <c r="G272" s="50">
        <v>3202775</v>
      </c>
      <c r="H272" s="42" t="s">
        <v>2615</v>
      </c>
      <c r="I272" s="42" t="s">
        <v>461</v>
      </c>
      <c r="J272" s="43" t="s">
        <v>351</v>
      </c>
      <c r="K272" s="40">
        <v>1013659725</v>
      </c>
      <c r="L272" s="41" t="s">
        <v>1555</v>
      </c>
      <c r="M272" s="41" t="s">
        <v>316</v>
      </c>
      <c r="N272" s="41" t="s">
        <v>317</v>
      </c>
      <c r="O272" s="41" t="s">
        <v>1556</v>
      </c>
      <c r="P272" s="41" t="s">
        <v>319</v>
      </c>
      <c r="Q272" s="40">
        <v>860007335</v>
      </c>
      <c r="R272" s="41" t="s">
        <v>381</v>
      </c>
      <c r="S272" s="40">
        <v>923211</v>
      </c>
      <c r="T272" s="41" t="s">
        <v>69</v>
      </c>
      <c r="U272" s="41" t="s">
        <v>29</v>
      </c>
      <c r="V272" s="41" t="s">
        <v>30</v>
      </c>
      <c r="W272" s="42" t="s">
        <v>31</v>
      </c>
      <c r="X272" s="42" t="s">
        <v>32</v>
      </c>
      <c r="Y272" s="42" t="s">
        <v>33</v>
      </c>
      <c r="Z272" s="42" t="s">
        <v>2937</v>
      </c>
      <c r="AA272" s="42" t="s">
        <v>34</v>
      </c>
      <c r="AB272" s="42" t="s">
        <v>34</v>
      </c>
      <c r="AC272" s="42" t="s">
        <v>34</v>
      </c>
      <c r="AD272" s="42" t="s">
        <v>462</v>
      </c>
      <c r="AE272" s="42"/>
      <c r="AF272" s="42"/>
      <c r="AG272" s="42" t="s">
        <v>463</v>
      </c>
      <c r="AH272" s="42"/>
      <c r="AI272" s="44"/>
      <c r="AJ272" s="42"/>
      <c r="AK272" s="44"/>
      <c r="AL272" s="42"/>
      <c r="AM272" s="52">
        <v>2125</v>
      </c>
      <c r="AN272" s="52">
        <v>2125</v>
      </c>
      <c r="AO272" s="52">
        <v>21625</v>
      </c>
      <c r="AP272" s="52">
        <v>0</v>
      </c>
      <c r="AQ272" s="42"/>
      <c r="AR272" s="52">
        <v>27725</v>
      </c>
      <c r="AS272" s="52">
        <v>64582625</v>
      </c>
      <c r="AT272" s="52">
        <v>0</v>
      </c>
      <c r="AU272" s="41" t="s">
        <v>1526</v>
      </c>
      <c r="AV272" s="41" t="s">
        <v>356</v>
      </c>
      <c r="AW272" s="41" t="s">
        <v>1558</v>
      </c>
      <c r="AX272" s="41" t="s">
        <v>1532</v>
      </c>
    </row>
    <row r="273" spans="1:50" x14ac:dyDescent="0.2">
      <c r="A273" s="40">
        <v>64582725</v>
      </c>
      <c r="B273" s="41" t="s">
        <v>2804</v>
      </c>
      <c r="C273" s="41" t="s">
        <v>3033</v>
      </c>
      <c r="D273" s="41" t="s">
        <v>460</v>
      </c>
      <c r="E273" s="49">
        <v>3219658</v>
      </c>
      <c r="F273" s="49">
        <v>16883</v>
      </c>
      <c r="G273" s="50">
        <v>3202775</v>
      </c>
      <c r="H273" s="42" t="s">
        <v>2615</v>
      </c>
      <c r="I273" s="42" t="s">
        <v>461</v>
      </c>
      <c r="J273" s="43" t="s">
        <v>351</v>
      </c>
      <c r="K273" s="40">
        <v>1070959413</v>
      </c>
      <c r="L273" s="41" t="s">
        <v>1560</v>
      </c>
      <c r="M273" s="41" t="s">
        <v>316</v>
      </c>
      <c r="N273" s="41" t="s">
        <v>317</v>
      </c>
      <c r="O273" s="41" t="s">
        <v>1561</v>
      </c>
      <c r="P273" s="41" t="s">
        <v>319</v>
      </c>
      <c r="Q273" s="40">
        <v>890903938</v>
      </c>
      <c r="R273" s="41" t="s">
        <v>342</v>
      </c>
      <c r="S273" s="40">
        <v>923211</v>
      </c>
      <c r="T273" s="41" t="s">
        <v>69</v>
      </c>
      <c r="U273" s="41" t="s">
        <v>29</v>
      </c>
      <c r="V273" s="41" t="s">
        <v>30</v>
      </c>
      <c r="W273" s="42" t="s">
        <v>31</v>
      </c>
      <c r="X273" s="42" t="s">
        <v>32</v>
      </c>
      <c r="Y273" s="42" t="s">
        <v>33</v>
      </c>
      <c r="Z273" s="42" t="s">
        <v>2937</v>
      </c>
      <c r="AA273" s="42" t="s">
        <v>34</v>
      </c>
      <c r="AB273" s="42" t="s">
        <v>34</v>
      </c>
      <c r="AC273" s="42" t="s">
        <v>34</v>
      </c>
      <c r="AD273" s="42" t="s">
        <v>462</v>
      </c>
      <c r="AE273" s="42"/>
      <c r="AF273" s="42"/>
      <c r="AG273" s="42" t="s">
        <v>463</v>
      </c>
      <c r="AH273" s="42"/>
      <c r="AI273" s="44"/>
      <c r="AJ273" s="42"/>
      <c r="AK273" s="44"/>
      <c r="AL273" s="42"/>
      <c r="AM273" s="52">
        <v>2125</v>
      </c>
      <c r="AN273" s="52">
        <v>2125</v>
      </c>
      <c r="AO273" s="52">
        <v>21725</v>
      </c>
      <c r="AP273" s="52">
        <v>0</v>
      </c>
      <c r="AQ273" s="42"/>
      <c r="AR273" s="52">
        <v>27825</v>
      </c>
      <c r="AS273" s="52">
        <v>64582725</v>
      </c>
      <c r="AT273" s="52">
        <v>0</v>
      </c>
      <c r="AU273" s="41" t="s">
        <v>1526</v>
      </c>
      <c r="AV273" s="41" t="s">
        <v>356</v>
      </c>
      <c r="AW273" s="41" t="s">
        <v>1563</v>
      </c>
      <c r="AX273" s="41" t="s">
        <v>1532</v>
      </c>
    </row>
    <row r="274" spans="1:50" x14ac:dyDescent="0.2">
      <c r="A274" s="40">
        <v>64582825</v>
      </c>
      <c r="B274" s="41" t="s">
        <v>2804</v>
      </c>
      <c r="C274" s="41" t="s">
        <v>3151</v>
      </c>
      <c r="D274" s="41" t="s">
        <v>460</v>
      </c>
      <c r="E274" s="49">
        <v>3219658</v>
      </c>
      <c r="F274" s="49">
        <v>16883</v>
      </c>
      <c r="G274" s="50">
        <v>3202775</v>
      </c>
      <c r="H274" s="42" t="s">
        <v>2615</v>
      </c>
      <c r="I274" s="42" t="s">
        <v>461</v>
      </c>
      <c r="J274" s="43" t="s">
        <v>351</v>
      </c>
      <c r="K274" s="40">
        <v>1070611613</v>
      </c>
      <c r="L274" s="41" t="s">
        <v>1565</v>
      </c>
      <c r="M274" s="41" t="s">
        <v>316</v>
      </c>
      <c r="N274" s="41" t="s">
        <v>317</v>
      </c>
      <c r="O274" s="41" t="s">
        <v>1566</v>
      </c>
      <c r="P274" s="41" t="s">
        <v>319</v>
      </c>
      <c r="Q274" s="40">
        <v>860034313</v>
      </c>
      <c r="R274" s="41" t="s">
        <v>355</v>
      </c>
      <c r="S274" s="40">
        <v>923211</v>
      </c>
      <c r="T274" s="41" t="s">
        <v>69</v>
      </c>
      <c r="U274" s="41" t="s">
        <v>29</v>
      </c>
      <c r="V274" s="41" t="s">
        <v>30</v>
      </c>
      <c r="W274" s="42" t="s">
        <v>31</v>
      </c>
      <c r="X274" s="42" t="s">
        <v>32</v>
      </c>
      <c r="Y274" s="42" t="s">
        <v>33</v>
      </c>
      <c r="Z274" s="42" t="s">
        <v>2937</v>
      </c>
      <c r="AA274" s="42" t="s">
        <v>34</v>
      </c>
      <c r="AB274" s="42" t="s">
        <v>34</v>
      </c>
      <c r="AC274" s="42" t="s">
        <v>34</v>
      </c>
      <c r="AD274" s="42" t="s">
        <v>462</v>
      </c>
      <c r="AE274" s="42"/>
      <c r="AF274" s="42"/>
      <c r="AG274" s="42" t="s">
        <v>463</v>
      </c>
      <c r="AH274" s="42"/>
      <c r="AI274" s="44"/>
      <c r="AJ274" s="42"/>
      <c r="AK274" s="44"/>
      <c r="AL274" s="42"/>
      <c r="AM274" s="52">
        <v>2125</v>
      </c>
      <c r="AN274" s="52">
        <v>2125</v>
      </c>
      <c r="AO274" s="52">
        <v>21825</v>
      </c>
      <c r="AP274" s="52">
        <v>0</v>
      </c>
      <c r="AQ274" s="42"/>
      <c r="AR274" s="52">
        <v>27925</v>
      </c>
      <c r="AS274" s="52">
        <v>64582825</v>
      </c>
      <c r="AT274" s="52">
        <v>0</v>
      </c>
      <c r="AU274" s="41" t="s">
        <v>1526</v>
      </c>
      <c r="AV274" s="41" t="s">
        <v>356</v>
      </c>
      <c r="AW274" s="41" t="s">
        <v>1568</v>
      </c>
      <c r="AX274" s="41" t="s">
        <v>1532</v>
      </c>
    </row>
    <row r="275" spans="1:50" x14ac:dyDescent="0.2">
      <c r="A275" s="40">
        <v>64582925</v>
      </c>
      <c r="B275" s="41" t="s">
        <v>2804</v>
      </c>
      <c r="C275" s="41" t="s">
        <v>3153</v>
      </c>
      <c r="D275" s="41" t="s">
        <v>460</v>
      </c>
      <c r="E275" s="49">
        <v>3219658</v>
      </c>
      <c r="F275" s="49">
        <v>18587</v>
      </c>
      <c r="G275" s="50">
        <v>3201071</v>
      </c>
      <c r="H275" s="42" t="s">
        <v>2615</v>
      </c>
      <c r="I275" s="42" t="s">
        <v>461</v>
      </c>
      <c r="J275" s="43" t="s">
        <v>351</v>
      </c>
      <c r="K275" s="40">
        <v>79062962</v>
      </c>
      <c r="L275" s="41" t="s">
        <v>1569</v>
      </c>
      <c r="M275" s="41" t="s">
        <v>316</v>
      </c>
      <c r="N275" s="41" t="s">
        <v>317</v>
      </c>
      <c r="O275" s="41" t="s">
        <v>1570</v>
      </c>
      <c r="P275" s="41" t="s">
        <v>319</v>
      </c>
      <c r="Q275" s="40">
        <v>860007335</v>
      </c>
      <c r="R275" s="41" t="s">
        <v>381</v>
      </c>
      <c r="S275" s="40">
        <v>923211</v>
      </c>
      <c r="T275" s="41" t="s">
        <v>69</v>
      </c>
      <c r="U275" s="41" t="s">
        <v>29</v>
      </c>
      <c r="V275" s="41" t="s">
        <v>30</v>
      </c>
      <c r="W275" s="42" t="s">
        <v>31</v>
      </c>
      <c r="X275" s="42" t="s">
        <v>32</v>
      </c>
      <c r="Y275" s="42" t="s">
        <v>33</v>
      </c>
      <c r="Z275" s="42" t="s">
        <v>2937</v>
      </c>
      <c r="AA275" s="42" t="s">
        <v>34</v>
      </c>
      <c r="AB275" s="42" t="s">
        <v>34</v>
      </c>
      <c r="AC275" s="42" t="s">
        <v>34</v>
      </c>
      <c r="AD275" s="42" t="s">
        <v>462</v>
      </c>
      <c r="AE275" s="42"/>
      <c r="AF275" s="42"/>
      <c r="AG275" s="42" t="s">
        <v>463</v>
      </c>
      <c r="AH275" s="42"/>
      <c r="AI275" s="44"/>
      <c r="AJ275" s="42"/>
      <c r="AK275" s="44"/>
      <c r="AL275" s="42"/>
      <c r="AM275" s="52">
        <v>2125</v>
      </c>
      <c r="AN275" s="52">
        <v>2125</v>
      </c>
      <c r="AO275" s="52">
        <v>21925</v>
      </c>
      <c r="AP275" s="52">
        <v>0</v>
      </c>
      <c r="AQ275" s="42"/>
      <c r="AR275" s="52">
        <v>28025</v>
      </c>
      <c r="AS275" s="52">
        <v>64582925</v>
      </c>
      <c r="AT275" s="52">
        <v>0</v>
      </c>
      <c r="AU275" s="41" t="s">
        <v>1526</v>
      </c>
      <c r="AV275" s="41" t="s">
        <v>356</v>
      </c>
      <c r="AW275" s="41" t="s">
        <v>1572</v>
      </c>
      <c r="AX275" s="41" t="s">
        <v>1532</v>
      </c>
    </row>
    <row r="276" spans="1:50" x14ac:dyDescent="0.2">
      <c r="A276" s="40">
        <v>64583025</v>
      </c>
      <c r="B276" s="41" t="s">
        <v>2804</v>
      </c>
      <c r="C276" s="41" t="s">
        <v>3110</v>
      </c>
      <c r="D276" s="41" t="s">
        <v>460</v>
      </c>
      <c r="E276" s="49">
        <v>3219658</v>
      </c>
      <c r="F276" s="49">
        <v>16883</v>
      </c>
      <c r="G276" s="50">
        <v>3202775</v>
      </c>
      <c r="H276" s="42" t="s">
        <v>2615</v>
      </c>
      <c r="I276" s="42" t="s">
        <v>461</v>
      </c>
      <c r="J276" s="43" t="s">
        <v>351</v>
      </c>
      <c r="K276" s="40">
        <v>39731146</v>
      </c>
      <c r="L276" s="41" t="s">
        <v>1574</v>
      </c>
      <c r="M276" s="41" t="s">
        <v>316</v>
      </c>
      <c r="N276" s="41" t="s">
        <v>317</v>
      </c>
      <c r="O276" s="41" t="s">
        <v>1575</v>
      </c>
      <c r="P276" s="41" t="s">
        <v>319</v>
      </c>
      <c r="Q276" s="40">
        <v>860034313</v>
      </c>
      <c r="R276" s="41" t="s">
        <v>355</v>
      </c>
      <c r="S276" s="40">
        <v>923211</v>
      </c>
      <c r="T276" s="41" t="s">
        <v>69</v>
      </c>
      <c r="U276" s="41" t="s">
        <v>29</v>
      </c>
      <c r="V276" s="41" t="s">
        <v>30</v>
      </c>
      <c r="W276" s="42" t="s">
        <v>31</v>
      </c>
      <c r="X276" s="42" t="s">
        <v>32</v>
      </c>
      <c r="Y276" s="42" t="s">
        <v>33</v>
      </c>
      <c r="Z276" s="42" t="s">
        <v>2937</v>
      </c>
      <c r="AA276" s="42" t="s">
        <v>34</v>
      </c>
      <c r="AB276" s="42" t="s">
        <v>34</v>
      </c>
      <c r="AC276" s="42" t="s">
        <v>34</v>
      </c>
      <c r="AD276" s="42" t="s">
        <v>462</v>
      </c>
      <c r="AE276" s="42"/>
      <c r="AF276" s="42"/>
      <c r="AG276" s="42" t="s">
        <v>463</v>
      </c>
      <c r="AH276" s="42"/>
      <c r="AI276" s="44"/>
      <c r="AJ276" s="42"/>
      <c r="AK276" s="44"/>
      <c r="AL276" s="42"/>
      <c r="AM276" s="52">
        <v>2125</v>
      </c>
      <c r="AN276" s="52">
        <v>2125</v>
      </c>
      <c r="AO276" s="52">
        <v>22025</v>
      </c>
      <c r="AP276" s="52">
        <v>0</v>
      </c>
      <c r="AQ276" s="42"/>
      <c r="AR276" s="52">
        <v>28125</v>
      </c>
      <c r="AS276" s="52">
        <v>64583025</v>
      </c>
      <c r="AT276" s="52">
        <v>0</v>
      </c>
      <c r="AU276" s="41" t="s">
        <v>1526</v>
      </c>
      <c r="AV276" s="41" t="s">
        <v>356</v>
      </c>
      <c r="AW276" s="41" t="s">
        <v>1577</v>
      </c>
      <c r="AX276" s="41" t="s">
        <v>1532</v>
      </c>
    </row>
    <row r="277" spans="1:50" x14ac:dyDescent="0.2">
      <c r="A277" s="40">
        <v>64583125</v>
      </c>
      <c r="B277" s="41" t="s">
        <v>2804</v>
      </c>
      <c r="C277" s="41" t="s">
        <v>3052</v>
      </c>
      <c r="D277" s="41" t="s">
        <v>460</v>
      </c>
      <c r="E277" s="49">
        <v>3219658</v>
      </c>
      <c r="F277" s="49">
        <v>17613</v>
      </c>
      <c r="G277" s="50">
        <v>3202045</v>
      </c>
      <c r="H277" s="42" t="s">
        <v>2615</v>
      </c>
      <c r="I277" s="42" t="s">
        <v>461</v>
      </c>
      <c r="J277" s="43" t="s">
        <v>351</v>
      </c>
      <c r="K277" s="40">
        <v>40040382</v>
      </c>
      <c r="L277" s="41" t="s">
        <v>1579</v>
      </c>
      <c r="M277" s="41" t="s">
        <v>316</v>
      </c>
      <c r="N277" s="41" t="s">
        <v>317</v>
      </c>
      <c r="O277" s="41" t="s">
        <v>1580</v>
      </c>
      <c r="P277" s="41" t="s">
        <v>319</v>
      </c>
      <c r="Q277" s="40">
        <v>860034313</v>
      </c>
      <c r="R277" s="41" t="s">
        <v>355</v>
      </c>
      <c r="S277" s="40">
        <v>923211</v>
      </c>
      <c r="T277" s="41" t="s">
        <v>69</v>
      </c>
      <c r="U277" s="41" t="s">
        <v>29</v>
      </c>
      <c r="V277" s="41" t="s">
        <v>30</v>
      </c>
      <c r="W277" s="42" t="s">
        <v>31</v>
      </c>
      <c r="X277" s="42" t="s">
        <v>32</v>
      </c>
      <c r="Y277" s="42" t="s">
        <v>33</v>
      </c>
      <c r="Z277" s="42" t="s">
        <v>2937</v>
      </c>
      <c r="AA277" s="42" t="s">
        <v>34</v>
      </c>
      <c r="AB277" s="42" t="s">
        <v>34</v>
      </c>
      <c r="AC277" s="42" t="s">
        <v>34</v>
      </c>
      <c r="AD277" s="42" t="s">
        <v>462</v>
      </c>
      <c r="AE277" s="42"/>
      <c r="AF277" s="42"/>
      <c r="AG277" s="42" t="s">
        <v>463</v>
      </c>
      <c r="AH277" s="42"/>
      <c r="AI277" s="44"/>
      <c r="AJ277" s="42"/>
      <c r="AK277" s="44"/>
      <c r="AL277" s="42"/>
      <c r="AM277" s="52">
        <v>2125</v>
      </c>
      <c r="AN277" s="52">
        <v>2125</v>
      </c>
      <c r="AO277" s="52">
        <v>22125</v>
      </c>
      <c r="AP277" s="52">
        <v>0</v>
      </c>
      <c r="AQ277" s="42"/>
      <c r="AR277" s="52">
        <v>28225</v>
      </c>
      <c r="AS277" s="52">
        <v>64583125</v>
      </c>
      <c r="AT277" s="52">
        <v>0</v>
      </c>
      <c r="AU277" s="41" t="s">
        <v>1526</v>
      </c>
      <c r="AV277" s="41" t="s">
        <v>356</v>
      </c>
      <c r="AW277" s="41" t="s">
        <v>1582</v>
      </c>
      <c r="AX277" s="41" t="s">
        <v>1532</v>
      </c>
    </row>
    <row r="278" spans="1:50" x14ac:dyDescent="0.2">
      <c r="A278" s="40">
        <v>64583225</v>
      </c>
      <c r="B278" s="41" t="s">
        <v>2804</v>
      </c>
      <c r="C278" s="41" t="s">
        <v>3093</v>
      </c>
      <c r="D278" s="41" t="s">
        <v>460</v>
      </c>
      <c r="E278" s="49">
        <v>3219658</v>
      </c>
      <c r="F278" s="49">
        <v>16883</v>
      </c>
      <c r="G278" s="50">
        <v>3202775</v>
      </c>
      <c r="H278" s="42" t="s">
        <v>2615</v>
      </c>
      <c r="I278" s="42" t="s">
        <v>461</v>
      </c>
      <c r="J278" s="43" t="s">
        <v>351</v>
      </c>
      <c r="K278" s="40">
        <v>46362690</v>
      </c>
      <c r="L278" s="41" t="s">
        <v>1584</v>
      </c>
      <c r="M278" s="41" t="s">
        <v>316</v>
      </c>
      <c r="N278" s="41" t="s">
        <v>317</v>
      </c>
      <c r="O278" s="41" t="s">
        <v>1585</v>
      </c>
      <c r="P278" s="41" t="s">
        <v>319</v>
      </c>
      <c r="Q278" s="40">
        <v>860007335</v>
      </c>
      <c r="R278" s="41" t="s">
        <v>381</v>
      </c>
      <c r="S278" s="40">
        <v>923211</v>
      </c>
      <c r="T278" s="41" t="s">
        <v>69</v>
      </c>
      <c r="U278" s="41" t="s">
        <v>29</v>
      </c>
      <c r="V278" s="41" t="s">
        <v>30</v>
      </c>
      <c r="W278" s="42" t="s">
        <v>31</v>
      </c>
      <c r="X278" s="42" t="s">
        <v>32</v>
      </c>
      <c r="Y278" s="42" t="s">
        <v>33</v>
      </c>
      <c r="Z278" s="42" t="s">
        <v>2937</v>
      </c>
      <c r="AA278" s="42" t="s">
        <v>34</v>
      </c>
      <c r="AB278" s="42" t="s">
        <v>34</v>
      </c>
      <c r="AC278" s="42" t="s">
        <v>34</v>
      </c>
      <c r="AD278" s="42" t="s">
        <v>462</v>
      </c>
      <c r="AE278" s="42"/>
      <c r="AF278" s="42"/>
      <c r="AG278" s="42" t="s">
        <v>463</v>
      </c>
      <c r="AH278" s="42"/>
      <c r="AI278" s="44"/>
      <c r="AJ278" s="42"/>
      <c r="AK278" s="44"/>
      <c r="AL278" s="42"/>
      <c r="AM278" s="52">
        <v>2125</v>
      </c>
      <c r="AN278" s="52">
        <v>2125</v>
      </c>
      <c r="AO278" s="52">
        <v>22225</v>
      </c>
      <c r="AP278" s="52">
        <v>0</v>
      </c>
      <c r="AQ278" s="42"/>
      <c r="AR278" s="52">
        <v>28325</v>
      </c>
      <c r="AS278" s="52">
        <v>64583225</v>
      </c>
      <c r="AT278" s="52">
        <v>0</v>
      </c>
      <c r="AU278" s="41" t="s">
        <v>1526</v>
      </c>
      <c r="AV278" s="41" t="s">
        <v>356</v>
      </c>
      <c r="AW278" s="41" t="s">
        <v>1587</v>
      </c>
      <c r="AX278" s="41" t="s">
        <v>1532</v>
      </c>
    </row>
    <row r="279" spans="1:50" x14ac:dyDescent="0.2">
      <c r="A279" s="40">
        <v>64583425</v>
      </c>
      <c r="B279" s="41" t="s">
        <v>2804</v>
      </c>
      <c r="C279" s="41" t="s">
        <v>3158</v>
      </c>
      <c r="D279" s="41" t="s">
        <v>460</v>
      </c>
      <c r="E279" s="49">
        <v>3219658</v>
      </c>
      <c r="F279" s="49">
        <v>16883</v>
      </c>
      <c r="G279" s="50">
        <v>3202775</v>
      </c>
      <c r="H279" s="42" t="s">
        <v>2615</v>
      </c>
      <c r="I279" s="42" t="s">
        <v>461</v>
      </c>
      <c r="J279" s="43" t="s">
        <v>351</v>
      </c>
      <c r="K279" s="40">
        <v>52850963</v>
      </c>
      <c r="L279" s="41" t="s">
        <v>1589</v>
      </c>
      <c r="M279" s="41" t="s">
        <v>316</v>
      </c>
      <c r="N279" s="41" t="s">
        <v>317</v>
      </c>
      <c r="O279" s="41" t="s">
        <v>1590</v>
      </c>
      <c r="P279" s="41" t="s">
        <v>319</v>
      </c>
      <c r="Q279" s="40">
        <v>860034313</v>
      </c>
      <c r="R279" s="41" t="s">
        <v>355</v>
      </c>
      <c r="S279" s="40">
        <v>923211</v>
      </c>
      <c r="T279" s="41" t="s">
        <v>69</v>
      </c>
      <c r="U279" s="41" t="s">
        <v>29</v>
      </c>
      <c r="V279" s="41" t="s">
        <v>30</v>
      </c>
      <c r="W279" s="42" t="s">
        <v>31</v>
      </c>
      <c r="X279" s="42" t="s">
        <v>32</v>
      </c>
      <c r="Y279" s="42" t="s">
        <v>33</v>
      </c>
      <c r="Z279" s="42" t="s">
        <v>2937</v>
      </c>
      <c r="AA279" s="42" t="s">
        <v>34</v>
      </c>
      <c r="AB279" s="42" t="s">
        <v>34</v>
      </c>
      <c r="AC279" s="42" t="s">
        <v>34</v>
      </c>
      <c r="AD279" s="42" t="s">
        <v>462</v>
      </c>
      <c r="AE279" s="42"/>
      <c r="AF279" s="42"/>
      <c r="AG279" s="42" t="s">
        <v>463</v>
      </c>
      <c r="AH279" s="42"/>
      <c r="AI279" s="44"/>
      <c r="AJ279" s="42"/>
      <c r="AK279" s="44"/>
      <c r="AL279" s="42"/>
      <c r="AM279" s="52">
        <v>2125</v>
      </c>
      <c r="AN279" s="52">
        <v>2125</v>
      </c>
      <c r="AO279" s="52">
        <v>22325</v>
      </c>
      <c r="AP279" s="52">
        <v>0</v>
      </c>
      <c r="AQ279" s="42"/>
      <c r="AR279" s="52">
        <v>28425</v>
      </c>
      <c r="AS279" s="52">
        <v>64583425</v>
      </c>
      <c r="AT279" s="52">
        <v>0</v>
      </c>
      <c r="AU279" s="41" t="s">
        <v>1526</v>
      </c>
      <c r="AV279" s="41" t="s">
        <v>356</v>
      </c>
      <c r="AW279" s="41" t="s">
        <v>1592</v>
      </c>
      <c r="AX279" s="41" t="s">
        <v>1532</v>
      </c>
    </row>
    <row r="280" spans="1:50" x14ac:dyDescent="0.2">
      <c r="A280" s="40">
        <v>64583525</v>
      </c>
      <c r="B280" s="41" t="s">
        <v>2804</v>
      </c>
      <c r="C280" s="41" t="s">
        <v>3158</v>
      </c>
      <c r="D280" s="41" t="s">
        <v>460</v>
      </c>
      <c r="E280" s="49">
        <v>3219658</v>
      </c>
      <c r="F280" s="49">
        <v>16883</v>
      </c>
      <c r="G280" s="50">
        <v>3202775</v>
      </c>
      <c r="H280" s="42" t="s">
        <v>2615</v>
      </c>
      <c r="I280" s="42" t="s">
        <v>461</v>
      </c>
      <c r="J280" s="43" t="s">
        <v>351</v>
      </c>
      <c r="K280" s="40">
        <v>72252961</v>
      </c>
      <c r="L280" s="41" t="s">
        <v>1593</v>
      </c>
      <c r="M280" s="41" t="s">
        <v>316</v>
      </c>
      <c r="N280" s="41" t="s">
        <v>317</v>
      </c>
      <c r="O280" s="41" t="s">
        <v>1594</v>
      </c>
      <c r="P280" s="41" t="s">
        <v>319</v>
      </c>
      <c r="Q280" s="40">
        <v>860034313</v>
      </c>
      <c r="R280" s="41" t="s">
        <v>355</v>
      </c>
      <c r="S280" s="40">
        <v>923211</v>
      </c>
      <c r="T280" s="41" t="s">
        <v>69</v>
      </c>
      <c r="U280" s="41" t="s">
        <v>29</v>
      </c>
      <c r="V280" s="41" t="s">
        <v>30</v>
      </c>
      <c r="W280" s="42" t="s">
        <v>31</v>
      </c>
      <c r="X280" s="42" t="s">
        <v>32</v>
      </c>
      <c r="Y280" s="42" t="s">
        <v>33</v>
      </c>
      <c r="Z280" s="42" t="s">
        <v>2937</v>
      </c>
      <c r="AA280" s="42" t="s">
        <v>34</v>
      </c>
      <c r="AB280" s="42" t="s">
        <v>34</v>
      </c>
      <c r="AC280" s="42" t="s">
        <v>34</v>
      </c>
      <c r="AD280" s="42" t="s">
        <v>462</v>
      </c>
      <c r="AE280" s="42"/>
      <c r="AF280" s="42"/>
      <c r="AG280" s="42" t="s">
        <v>463</v>
      </c>
      <c r="AH280" s="42"/>
      <c r="AI280" s="44"/>
      <c r="AJ280" s="42"/>
      <c r="AK280" s="44"/>
      <c r="AL280" s="42"/>
      <c r="AM280" s="52">
        <v>2125</v>
      </c>
      <c r="AN280" s="52">
        <v>2125</v>
      </c>
      <c r="AO280" s="52">
        <v>22425</v>
      </c>
      <c r="AP280" s="52">
        <v>0</v>
      </c>
      <c r="AQ280" s="42"/>
      <c r="AR280" s="52">
        <v>28525</v>
      </c>
      <c r="AS280" s="52">
        <v>64583525</v>
      </c>
      <c r="AT280" s="52">
        <v>0</v>
      </c>
      <c r="AU280" s="41" t="s">
        <v>1526</v>
      </c>
      <c r="AV280" s="41" t="s">
        <v>356</v>
      </c>
      <c r="AW280" s="41" t="s">
        <v>1596</v>
      </c>
      <c r="AX280" s="41" t="s">
        <v>1532</v>
      </c>
    </row>
    <row r="281" spans="1:50" x14ac:dyDescent="0.2">
      <c r="A281" s="40">
        <v>64583625</v>
      </c>
      <c r="B281" s="41" t="s">
        <v>2804</v>
      </c>
      <c r="C281" s="41" t="s">
        <v>2939</v>
      </c>
      <c r="D281" s="41" t="s">
        <v>460</v>
      </c>
      <c r="E281" s="49">
        <v>3219658</v>
      </c>
      <c r="F281" s="49">
        <v>16883</v>
      </c>
      <c r="G281" s="50">
        <v>3202775</v>
      </c>
      <c r="H281" s="42" t="s">
        <v>2615</v>
      </c>
      <c r="I281" s="42" t="s">
        <v>461</v>
      </c>
      <c r="J281" s="43" t="s">
        <v>351</v>
      </c>
      <c r="K281" s="40">
        <v>79537849</v>
      </c>
      <c r="L281" s="41" t="s">
        <v>1598</v>
      </c>
      <c r="M281" s="41" t="s">
        <v>316</v>
      </c>
      <c r="N281" s="41" t="s">
        <v>317</v>
      </c>
      <c r="O281" s="41" t="s">
        <v>1599</v>
      </c>
      <c r="P281" s="41" t="s">
        <v>319</v>
      </c>
      <c r="Q281" s="40">
        <v>890903938</v>
      </c>
      <c r="R281" s="41" t="s">
        <v>342</v>
      </c>
      <c r="S281" s="40">
        <v>923211</v>
      </c>
      <c r="T281" s="41" t="s">
        <v>69</v>
      </c>
      <c r="U281" s="41" t="s">
        <v>29</v>
      </c>
      <c r="V281" s="41" t="s">
        <v>30</v>
      </c>
      <c r="W281" s="42" t="s">
        <v>31</v>
      </c>
      <c r="X281" s="42" t="s">
        <v>32</v>
      </c>
      <c r="Y281" s="42" t="s">
        <v>33</v>
      </c>
      <c r="Z281" s="42" t="s">
        <v>2937</v>
      </c>
      <c r="AA281" s="42" t="s">
        <v>34</v>
      </c>
      <c r="AB281" s="42" t="s">
        <v>34</v>
      </c>
      <c r="AC281" s="42" t="s">
        <v>34</v>
      </c>
      <c r="AD281" s="42" t="s">
        <v>462</v>
      </c>
      <c r="AE281" s="42"/>
      <c r="AF281" s="42"/>
      <c r="AG281" s="42" t="s">
        <v>463</v>
      </c>
      <c r="AH281" s="42"/>
      <c r="AI281" s="44"/>
      <c r="AJ281" s="42"/>
      <c r="AK281" s="44"/>
      <c r="AL281" s="42"/>
      <c r="AM281" s="52">
        <v>2125</v>
      </c>
      <c r="AN281" s="52">
        <v>2125</v>
      </c>
      <c r="AO281" s="52">
        <v>22525</v>
      </c>
      <c r="AP281" s="52">
        <v>0</v>
      </c>
      <c r="AQ281" s="42"/>
      <c r="AR281" s="52">
        <v>28625</v>
      </c>
      <c r="AS281" s="52">
        <v>64583625</v>
      </c>
      <c r="AT281" s="52">
        <v>0</v>
      </c>
      <c r="AU281" s="41" t="s">
        <v>1526</v>
      </c>
      <c r="AV281" s="41" t="s">
        <v>356</v>
      </c>
      <c r="AW281" s="41" t="s">
        <v>1601</v>
      </c>
      <c r="AX281" s="41" t="s">
        <v>1532</v>
      </c>
    </row>
    <row r="282" spans="1:50" x14ac:dyDescent="0.2">
      <c r="A282" s="40">
        <v>64583725</v>
      </c>
      <c r="B282" s="41" t="s">
        <v>2804</v>
      </c>
      <c r="C282" s="41" t="s">
        <v>3047</v>
      </c>
      <c r="D282" s="41" t="s">
        <v>460</v>
      </c>
      <c r="E282" s="49">
        <v>3219658</v>
      </c>
      <c r="F282" s="49">
        <v>16883</v>
      </c>
      <c r="G282" s="50">
        <v>3202775</v>
      </c>
      <c r="H282" s="42" t="s">
        <v>2615</v>
      </c>
      <c r="I282" s="42" t="s">
        <v>461</v>
      </c>
      <c r="J282" s="43" t="s">
        <v>351</v>
      </c>
      <c r="K282" s="40">
        <v>80764556</v>
      </c>
      <c r="L282" s="41" t="s">
        <v>1603</v>
      </c>
      <c r="M282" s="41" t="s">
        <v>316</v>
      </c>
      <c r="N282" s="41" t="s">
        <v>317</v>
      </c>
      <c r="O282" s="41" t="s">
        <v>1604</v>
      </c>
      <c r="P282" s="41" t="s">
        <v>319</v>
      </c>
      <c r="Q282" s="40">
        <v>860002964</v>
      </c>
      <c r="R282" s="41" t="s">
        <v>419</v>
      </c>
      <c r="S282" s="40">
        <v>923211</v>
      </c>
      <c r="T282" s="41" t="s">
        <v>69</v>
      </c>
      <c r="U282" s="41" t="s">
        <v>29</v>
      </c>
      <c r="V282" s="41" t="s">
        <v>30</v>
      </c>
      <c r="W282" s="42" t="s">
        <v>31</v>
      </c>
      <c r="X282" s="42" t="s">
        <v>32</v>
      </c>
      <c r="Y282" s="42" t="s">
        <v>33</v>
      </c>
      <c r="Z282" s="42" t="s">
        <v>2937</v>
      </c>
      <c r="AA282" s="42" t="s">
        <v>34</v>
      </c>
      <c r="AB282" s="42" t="s">
        <v>34</v>
      </c>
      <c r="AC282" s="42" t="s">
        <v>34</v>
      </c>
      <c r="AD282" s="42" t="s">
        <v>462</v>
      </c>
      <c r="AE282" s="42"/>
      <c r="AF282" s="42"/>
      <c r="AG282" s="42" t="s">
        <v>463</v>
      </c>
      <c r="AH282" s="42"/>
      <c r="AI282" s="44"/>
      <c r="AJ282" s="42"/>
      <c r="AK282" s="44"/>
      <c r="AL282" s="42"/>
      <c r="AM282" s="52">
        <v>2125</v>
      </c>
      <c r="AN282" s="52">
        <v>2125</v>
      </c>
      <c r="AO282" s="52">
        <v>22625</v>
      </c>
      <c r="AP282" s="52">
        <v>0</v>
      </c>
      <c r="AQ282" s="42"/>
      <c r="AR282" s="52">
        <v>28725</v>
      </c>
      <c r="AS282" s="52">
        <v>64583725</v>
      </c>
      <c r="AT282" s="52">
        <v>0</v>
      </c>
      <c r="AU282" s="41" t="s">
        <v>1526</v>
      </c>
      <c r="AV282" s="41" t="s">
        <v>356</v>
      </c>
      <c r="AW282" s="41" t="s">
        <v>1606</v>
      </c>
      <c r="AX282" s="41" t="s">
        <v>1532</v>
      </c>
    </row>
    <row r="283" spans="1:50" x14ac:dyDescent="0.2">
      <c r="A283" s="40">
        <v>64583825</v>
      </c>
      <c r="B283" s="41" t="s">
        <v>2804</v>
      </c>
      <c r="C283" s="41" t="s">
        <v>3100</v>
      </c>
      <c r="D283" s="41" t="s">
        <v>460</v>
      </c>
      <c r="E283" s="49">
        <v>3219658</v>
      </c>
      <c r="F283" s="49">
        <v>18263</v>
      </c>
      <c r="G283" s="50">
        <v>3201395</v>
      </c>
      <c r="H283" s="42" t="s">
        <v>2615</v>
      </c>
      <c r="I283" s="42" t="s">
        <v>461</v>
      </c>
      <c r="J283" s="43" t="s">
        <v>351</v>
      </c>
      <c r="K283" s="40">
        <v>84079403</v>
      </c>
      <c r="L283" s="41" t="s">
        <v>1608</v>
      </c>
      <c r="M283" s="41" t="s">
        <v>316</v>
      </c>
      <c r="N283" s="41" t="s">
        <v>317</v>
      </c>
      <c r="O283" s="41" t="s">
        <v>1609</v>
      </c>
      <c r="P283" s="41" t="s">
        <v>319</v>
      </c>
      <c r="Q283" s="40">
        <v>860003020</v>
      </c>
      <c r="R283" s="41" t="s">
        <v>393</v>
      </c>
      <c r="S283" s="40">
        <v>923211</v>
      </c>
      <c r="T283" s="41" t="s">
        <v>69</v>
      </c>
      <c r="U283" s="41" t="s">
        <v>29</v>
      </c>
      <c r="V283" s="41" t="s">
        <v>30</v>
      </c>
      <c r="W283" s="42" t="s">
        <v>31</v>
      </c>
      <c r="X283" s="42" t="s">
        <v>32</v>
      </c>
      <c r="Y283" s="42" t="s">
        <v>33</v>
      </c>
      <c r="Z283" s="42" t="s">
        <v>2937</v>
      </c>
      <c r="AA283" s="42" t="s">
        <v>34</v>
      </c>
      <c r="AB283" s="42" t="s">
        <v>34</v>
      </c>
      <c r="AC283" s="42" t="s">
        <v>34</v>
      </c>
      <c r="AD283" s="42" t="s">
        <v>462</v>
      </c>
      <c r="AE283" s="42"/>
      <c r="AF283" s="42"/>
      <c r="AG283" s="42" t="s">
        <v>463</v>
      </c>
      <c r="AH283" s="42"/>
      <c r="AI283" s="44"/>
      <c r="AJ283" s="42"/>
      <c r="AK283" s="44"/>
      <c r="AL283" s="42"/>
      <c r="AM283" s="52">
        <v>2125</v>
      </c>
      <c r="AN283" s="52">
        <v>2125</v>
      </c>
      <c r="AO283" s="52">
        <v>22725</v>
      </c>
      <c r="AP283" s="52">
        <v>0</v>
      </c>
      <c r="AQ283" s="42"/>
      <c r="AR283" s="52">
        <v>28825</v>
      </c>
      <c r="AS283" s="52">
        <v>64583825</v>
      </c>
      <c r="AT283" s="52">
        <v>0</v>
      </c>
      <c r="AU283" s="41" t="s">
        <v>1526</v>
      </c>
      <c r="AV283" s="41" t="s">
        <v>356</v>
      </c>
      <c r="AW283" s="41" t="s">
        <v>1611</v>
      </c>
      <c r="AX283" s="41" t="s">
        <v>1532</v>
      </c>
    </row>
    <row r="284" spans="1:50" x14ac:dyDescent="0.2">
      <c r="A284" s="40">
        <v>64583925</v>
      </c>
      <c r="B284" s="41" t="s">
        <v>2804</v>
      </c>
      <c r="C284" s="41" t="s">
        <v>3089</v>
      </c>
      <c r="D284" s="41" t="s">
        <v>460</v>
      </c>
      <c r="E284" s="49">
        <v>3219658</v>
      </c>
      <c r="F284" s="49">
        <v>16883</v>
      </c>
      <c r="G284" s="50">
        <v>3202775</v>
      </c>
      <c r="H284" s="42" t="s">
        <v>2615</v>
      </c>
      <c r="I284" s="42" t="s">
        <v>461</v>
      </c>
      <c r="J284" s="43" t="s">
        <v>351</v>
      </c>
      <c r="K284" s="40">
        <v>79348348</v>
      </c>
      <c r="L284" s="41" t="s">
        <v>1613</v>
      </c>
      <c r="M284" s="41" t="s">
        <v>316</v>
      </c>
      <c r="N284" s="41" t="s">
        <v>317</v>
      </c>
      <c r="O284" s="41" t="s">
        <v>1614</v>
      </c>
      <c r="P284" s="41" t="s">
        <v>319</v>
      </c>
      <c r="Q284" s="40">
        <v>860003020</v>
      </c>
      <c r="R284" s="41" t="s">
        <v>393</v>
      </c>
      <c r="S284" s="40">
        <v>923211</v>
      </c>
      <c r="T284" s="41" t="s">
        <v>69</v>
      </c>
      <c r="U284" s="41" t="s">
        <v>29</v>
      </c>
      <c r="V284" s="41" t="s">
        <v>30</v>
      </c>
      <c r="W284" s="42" t="s">
        <v>31</v>
      </c>
      <c r="X284" s="42" t="s">
        <v>32</v>
      </c>
      <c r="Y284" s="42" t="s">
        <v>33</v>
      </c>
      <c r="Z284" s="42" t="s">
        <v>2937</v>
      </c>
      <c r="AA284" s="42" t="s">
        <v>34</v>
      </c>
      <c r="AB284" s="42" t="s">
        <v>34</v>
      </c>
      <c r="AC284" s="42" t="s">
        <v>34</v>
      </c>
      <c r="AD284" s="42" t="s">
        <v>462</v>
      </c>
      <c r="AE284" s="42"/>
      <c r="AF284" s="42"/>
      <c r="AG284" s="42" t="s">
        <v>463</v>
      </c>
      <c r="AH284" s="42"/>
      <c r="AI284" s="44"/>
      <c r="AJ284" s="42"/>
      <c r="AK284" s="44"/>
      <c r="AL284" s="42"/>
      <c r="AM284" s="52">
        <v>2125</v>
      </c>
      <c r="AN284" s="52">
        <v>2125</v>
      </c>
      <c r="AO284" s="52">
        <v>22825</v>
      </c>
      <c r="AP284" s="52">
        <v>0</v>
      </c>
      <c r="AQ284" s="42"/>
      <c r="AR284" s="52">
        <v>28925</v>
      </c>
      <c r="AS284" s="52">
        <v>64583925</v>
      </c>
      <c r="AT284" s="52">
        <v>0</v>
      </c>
      <c r="AU284" s="41" t="s">
        <v>1526</v>
      </c>
      <c r="AV284" s="41" t="s">
        <v>356</v>
      </c>
      <c r="AW284" s="41" t="s">
        <v>1616</v>
      </c>
      <c r="AX284" s="41" t="s">
        <v>1532</v>
      </c>
    </row>
    <row r="285" spans="1:50" x14ac:dyDescent="0.2">
      <c r="A285" s="40">
        <v>64584025</v>
      </c>
      <c r="B285" s="41" t="s">
        <v>2804</v>
      </c>
      <c r="C285" s="41" t="s">
        <v>3165</v>
      </c>
      <c r="D285" s="41" t="s">
        <v>460</v>
      </c>
      <c r="E285" s="49">
        <v>3219658</v>
      </c>
      <c r="F285" s="49">
        <v>16883</v>
      </c>
      <c r="G285" s="50">
        <v>3202775</v>
      </c>
      <c r="H285" s="42" t="s">
        <v>2615</v>
      </c>
      <c r="I285" s="42" t="s">
        <v>461</v>
      </c>
      <c r="J285" s="43" t="s">
        <v>351</v>
      </c>
      <c r="K285" s="40">
        <v>79712469</v>
      </c>
      <c r="L285" s="41" t="s">
        <v>1618</v>
      </c>
      <c r="M285" s="41" t="s">
        <v>316</v>
      </c>
      <c r="N285" s="41" t="s">
        <v>317</v>
      </c>
      <c r="O285" s="41" t="s">
        <v>1619</v>
      </c>
      <c r="P285" s="41" t="s">
        <v>319</v>
      </c>
      <c r="Q285" s="40">
        <v>860007335</v>
      </c>
      <c r="R285" s="41" t="s">
        <v>381</v>
      </c>
      <c r="S285" s="40">
        <v>923211</v>
      </c>
      <c r="T285" s="41" t="s">
        <v>69</v>
      </c>
      <c r="U285" s="41" t="s">
        <v>29</v>
      </c>
      <c r="V285" s="41" t="s">
        <v>30</v>
      </c>
      <c r="W285" s="42" t="s">
        <v>31</v>
      </c>
      <c r="X285" s="42" t="s">
        <v>32</v>
      </c>
      <c r="Y285" s="42" t="s">
        <v>33</v>
      </c>
      <c r="Z285" s="42" t="s">
        <v>2937</v>
      </c>
      <c r="AA285" s="42" t="s">
        <v>34</v>
      </c>
      <c r="AB285" s="42" t="s">
        <v>34</v>
      </c>
      <c r="AC285" s="42" t="s">
        <v>34</v>
      </c>
      <c r="AD285" s="42" t="s">
        <v>462</v>
      </c>
      <c r="AE285" s="42"/>
      <c r="AF285" s="42"/>
      <c r="AG285" s="42" t="s">
        <v>463</v>
      </c>
      <c r="AH285" s="42"/>
      <c r="AI285" s="44"/>
      <c r="AJ285" s="42"/>
      <c r="AK285" s="44"/>
      <c r="AL285" s="42"/>
      <c r="AM285" s="52">
        <v>2125</v>
      </c>
      <c r="AN285" s="52">
        <v>2125</v>
      </c>
      <c r="AO285" s="52">
        <v>22925</v>
      </c>
      <c r="AP285" s="52">
        <v>0</v>
      </c>
      <c r="AQ285" s="42"/>
      <c r="AR285" s="52">
        <v>29025</v>
      </c>
      <c r="AS285" s="52">
        <v>64584025</v>
      </c>
      <c r="AT285" s="52">
        <v>0</v>
      </c>
      <c r="AU285" s="41" t="s">
        <v>1526</v>
      </c>
      <c r="AV285" s="41" t="s">
        <v>356</v>
      </c>
      <c r="AW285" s="41" t="s">
        <v>1621</v>
      </c>
      <c r="AX285" s="41" t="s">
        <v>1532</v>
      </c>
    </row>
    <row r="286" spans="1:50" x14ac:dyDescent="0.2">
      <c r="A286" s="40">
        <v>64584125</v>
      </c>
      <c r="B286" s="41" t="s">
        <v>2804</v>
      </c>
      <c r="C286" s="41" t="s">
        <v>3135</v>
      </c>
      <c r="D286" s="41" t="s">
        <v>460</v>
      </c>
      <c r="E286" s="49">
        <v>3219658</v>
      </c>
      <c r="F286" s="49">
        <v>16883</v>
      </c>
      <c r="G286" s="50">
        <v>3202775</v>
      </c>
      <c r="H286" s="42" t="s">
        <v>2615</v>
      </c>
      <c r="I286" s="42" t="s">
        <v>461</v>
      </c>
      <c r="J286" s="43" t="s">
        <v>351</v>
      </c>
      <c r="K286" s="40">
        <v>5916502</v>
      </c>
      <c r="L286" s="41" t="s">
        <v>1623</v>
      </c>
      <c r="M286" s="41" t="s">
        <v>316</v>
      </c>
      <c r="N286" s="41" t="s">
        <v>317</v>
      </c>
      <c r="O286" s="41" t="s">
        <v>3167</v>
      </c>
      <c r="P286" s="41" t="s">
        <v>319</v>
      </c>
      <c r="Q286" s="40">
        <v>860034313</v>
      </c>
      <c r="R286" s="41" t="s">
        <v>355</v>
      </c>
      <c r="S286" s="40">
        <v>923211</v>
      </c>
      <c r="T286" s="41" t="s">
        <v>69</v>
      </c>
      <c r="U286" s="41" t="s">
        <v>29</v>
      </c>
      <c r="V286" s="41" t="s">
        <v>30</v>
      </c>
      <c r="W286" s="42" t="s">
        <v>31</v>
      </c>
      <c r="X286" s="42" t="s">
        <v>32</v>
      </c>
      <c r="Y286" s="42" t="s">
        <v>33</v>
      </c>
      <c r="Z286" s="42" t="s">
        <v>2937</v>
      </c>
      <c r="AA286" s="42" t="s">
        <v>34</v>
      </c>
      <c r="AB286" s="42" t="s">
        <v>34</v>
      </c>
      <c r="AC286" s="42" t="s">
        <v>34</v>
      </c>
      <c r="AD286" s="42" t="s">
        <v>462</v>
      </c>
      <c r="AE286" s="42"/>
      <c r="AF286" s="42"/>
      <c r="AG286" s="42" t="s">
        <v>463</v>
      </c>
      <c r="AH286" s="42"/>
      <c r="AI286" s="44"/>
      <c r="AJ286" s="42"/>
      <c r="AK286" s="44"/>
      <c r="AL286" s="42"/>
      <c r="AM286" s="52">
        <v>2125</v>
      </c>
      <c r="AN286" s="52">
        <v>2125</v>
      </c>
      <c r="AO286" s="52">
        <v>23025</v>
      </c>
      <c r="AP286" s="52">
        <v>0</v>
      </c>
      <c r="AQ286" s="42"/>
      <c r="AR286" s="52">
        <v>29125</v>
      </c>
      <c r="AS286" s="52">
        <v>64584125</v>
      </c>
      <c r="AT286" s="52">
        <v>0</v>
      </c>
      <c r="AU286" s="41" t="s">
        <v>1526</v>
      </c>
      <c r="AV286" s="41" t="s">
        <v>356</v>
      </c>
      <c r="AW286" s="41" t="s">
        <v>1625</v>
      </c>
      <c r="AX286" s="41" t="s">
        <v>1532</v>
      </c>
    </row>
    <row r="287" spans="1:50" x14ac:dyDescent="0.2">
      <c r="A287" s="40">
        <v>64584225</v>
      </c>
      <c r="B287" s="41" t="s">
        <v>2804</v>
      </c>
      <c r="C287" s="41" t="s">
        <v>3169</v>
      </c>
      <c r="D287" s="41" t="s">
        <v>460</v>
      </c>
      <c r="E287" s="49">
        <v>3219658</v>
      </c>
      <c r="F287" s="49">
        <v>16883</v>
      </c>
      <c r="G287" s="50">
        <v>3202775</v>
      </c>
      <c r="H287" s="42" t="s">
        <v>2615</v>
      </c>
      <c r="I287" s="42" t="s">
        <v>461</v>
      </c>
      <c r="J287" s="43" t="s">
        <v>351</v>
      </c>
      <c r="K287" s="40">
        <v>3230265</v>
      </c>
      <c r="L287" s="41" t="s">
        <v>1627</v>
      </c>
      <c r="M287" s="41" t="s">
        <v>316</v>
      </c>
      <c r="N287" s="41" t="s">
        <v>317</v>
      </c>
      <c r="O287" s="41" t="s">
        <v>1628</v>
      </c>
      <c r="P287" s="41" t="s">
        <v>319</v>
      </c>
      <c r="Q287" s="40">
        <v>860034594</v>
      </c>
      <c r="R287" s="41" t="s">
        <v>374</v>
      </c>
      <c r="S287" s="40">
        <v>923211</v>
      </c>
      <c r="T287" s="41" t="s">
        <v>69</v>
      </c>
      <c r="U287" s="41" t="s">
        <v>29</v>
      </c>
      <c r="V287" s="41" t="s">
        <v>30</v>
      </c>
      <c r="W287" s="42" t="s">
        <v>31</v>
      </c>
      <c r="X287" s="42" t="s">
        <v>32</v>
      </c>
      <c r="Y287" s="42" t="s">
        <v>33</v>
      </c>
      <c r="Z287" s="42" t="s">
        <v>2937</v>
      </c>
      <c r="AA287" s="42" t="s">
        <v>34</v>
      </c>
      <c r="AB287" s="42" t="s">
        <v>34</v>
      </c>
      <c r="AC287" s="42" t="s">
        <v>34</v>
      </c>
      <c r="AD287" s="42" t="s">
        <v>462</v>
      </c>
      <c r="AE287" s="42"/>
      <c r="AF287" s="42"/>
      <c r="AG287" s="42" t="s">
        <v>463</v>
      </c>
      <c r="AH287" s="42"/>
      <c r="AI287" s="44"/>
      <c r="AJ287" s="42"/>
      <c r="AK287" s="44"/>
      <c r="AL287" s="42"/>
      <c r="AM287" s="52">
        <v>2125</v>
      </c>
      <c r="AN287" s="52">
        <v>2125</v>
      </c>
      <c r="AO287" s="52">
        <v>23125</v>
      </c>
      <c r="AP287" s="52">
        <v>0</v>
      </c>
      <c r="AQ287" s="42"/>
      <c r="AR287" s="52">
        <v>29225</v>
      </c>
      <c r="AS287" s="52">
        <v>64584225</v>
      </c>
      <c r="AT287" s="52">
        <v>0</v>
      </c>
      <c r="AU287" s="41" t="s">
        <v>1526</v>
      </c>
      <c r="AV287" s="41" t="s">
        <v>356</v>
      </c>
      <c r="AW287" s="41" t="s">
        <v>1630</v>
      </c>
      <c r="AX287" s="41" t="s">
        <v>1532</v>
      </c>
    </row>
    <row r="288" spans="1:50" x14ac:dyDescent="0.2">
      <c r="A288" s="40">
        <v>64584325</v>
      </c>
      <c r="B288" s="41" t="s">
        <v>2804</v>
      </c>
      <c r="C288" s="41" t="s">
        <v>3153</v>
      </c>
      <c r="D288" s="41" t="s">
        <v>460</v>
      </c>
      <c r="E288" s="49">
        <v>3219658</v>
      </c>
      <c r="F288" s="49">
        <v>17613</v>
      </c>
      <c r="G288" s="50">
        <v>3202045</v>
      </c>
      <c r="H288" s="42" t="s">
        <v>2615</v>
      </c>
      <c r="I288" s="42" t="s">
        <v>461</v>
      </c>
      <c r="J288" s="43" t="s">
        <v>351</v>
      </c>
      <c r="K288" s="40">
        <v>20755992</v>
      </c>
      <c r="L288" s="41" t="s">
        <v>1632</v>
      </c>
      <c r="M288" s="41" t="s">
        <v>316</v>
      </c>
      <c r="N288" s="41" t="s">
        <v>317</v>
      </c>
      <c r="O288" s="41" t="s">
        <v>1633</v>
      </c>
      <c r="P288" s="41" t="s">
        <v>319</v>
      </c>
      <c r="Q288" s="40">
        <v>860007335</v>
      </c>
      <c r="R288" s="41" t="s">
        <v>381</v>
      </c>
      <c r="S288" s="40">
        <v>923211</v>
      </c>
      <c r="T288" s="41" t="s">
        <v>69</v>
      </c>
      <c r="U288" s="41" t="s">
        <v>29</v>
      </c>
      <c r="V288" s="41" t="s">
        <v>30</v>
      </c>
      <c r="W288" s="42" t="s">
        <v>31</v>
      </c>
      <c r="X288" s="42" t="s">
        <v>32</v>
      </c>
      <c r="Y288" s="42" t="s">
        <v>33</v>
      </c>
      <c r="Z288" s="42" t="s">
        <v>2937</v>
      </c>
      <c r="AA288" s="42" t="s">
        <v>34</v>
      </c>
      <c r="AB288" s="42" t="s">
        <v>34</v>
      </c>
      <c r="AC288" s="42" t="s">
        <v>34</v>
      </c>
      <c r="AD288" s="42" t="s">
        <v>462</v>
      </c>
      <c r="AE288" s="42"/>
      <c r="AF288" s="42"/>
      <c r="AG288" s="42" t="s">
        <v>463</v>
      </c>
      <c r="AH288" s="42"/>
      <c r="AI288" s="44"/>
      <c r="AJ288" s="42"/>
      <c r="AK288" s="44"/>
      <c r="AL288" s="42"/>
      <c r="AM288" s="52">
        <v>2125</v>
      </c>
      <c r="AN288" s="52">
        <v>2125</v>
      </c>
      <c r="AO288" s="52">
        <v>23225</v>
      </c>
      <c r="AP288" s="52">
        <v>0</v>
      </c>
      <c r="AQ288" s="42"/>
      <c r="AR288" s="52">
        <v>29325</v>
      </c>
      <c r="AS288" s="52">
        <v>64584325</v>
      </c>
      <c r="AT288" s="52">
        <v>0</v>
      </c>
      <c r="AU288" s="41" t="s">
        <v>1526</v>
      </c>
      <c r="AV288" s="41" t="s">
        <v>356</v>
      </c>
      <c r="AW288" s="41" t="s">
        <v>1635</v>
      </c>
      <c r="AX288" s="41" t="s">
        <v>1532</v>
      </c>
    </row>
    <row r="289" spans="1:50" x14ac:dyDescent="0.2">
      <c r="A289" s="40">
        <v>64584425</v>
      </c>
      <c r="B289" s="41" t="s">
        <v>2804</v>
      </c>
      <c r="C289" s="41" t="s">
        <v>3129</v>
      </c>
      <c r="D289" s="41" t="s">
        <v>460</v>
      </c>
      <c r="E289" s="49">
        <v>3219658</v>
      </c>
      <c r="F289" s="49">
        <v>16883</v>
      </c>
      <c r="G289" s="50">
        <v>3202775</v>
      </c>
      <c r="H289" s="42" t="s">
        <v>2615</v>
      </c>
      <c r="I289" s="42" t="s">
        <v>461</v>
      </c>
      <c r="J289" s="43" t="s">
        <v>351</v>
      </c>
      <c r="K289" s="40">
        <v>33702053</v>
      </c>
      <c r="L289" s="41" t="s">
        <v>1637</v>
      </c>
      <c r="M289" s="41" t="s">
        <v>316</v>
      </c>
      <c r="N289" s="41" t="s">
        <v>317</v>
      </c>
      <c r="O289" s="41" t="s">
        <v>1638</v>
      </c>
      <c r="P289" s="41" t="s">
        <v>319</v>
      </c>
      <c r="Q289" s="40">
        <v>890903938</v>
      </c>
      <c r="R289" s="41" t="s">
        <v>342</v>
      </c>
      <c r="S289" s="40">
        <v>923211</v>
      </c>
      <c r="T289" s="41" t="s">
        <v>69</v>
      </c>
      <c r="U289" s="41" t="s">
        <v>29</v>
      </c>
      <c r="V289" s="41" t="s">
        <v>30</v>
      </c>
      <c r="W289" s="42" t="s">
        <v>31</v>
      </c>
      <c r="X289" s="42" t="s">
        <v>32</v>
      </c>
      <c r="Y289" s="42" t="s">
        <v>33</v>
      </c>
      <c r="Z289" s="42" t="s">
        <v>2937</v>
      </c>
      <c r="AA289" s="42" t="s">
        <v>34</v>
      </c>
      <c r="AB289" s="42" t="s">
        <v>34</v>
      </c>
      <c r="AC289" s="42" t="s">
        <v>34</v>
      </c>
      <c r="AD289" s="42" t="s">
        <v>462</v>
      </c>
      <c r="AE289" s="42"/>
      <c r="AF289" s="42"/>
      <c r="AG289" s="42" t="s">
        <v>463</v>
      </c>
      <c r="AH289" s="42"/>
      <c r="AI289" s="44"/>
      <c r="AJ289" s="42"/>
      <c r="AK289" s="44"/>
      <c r="AL289" s="42"/>
      <c r="AM289" s="52">
        <v>2125</v>
      </c>
      <c r="AN289" s="52">
        <v>2125</v>
      </c>
      <c r="AO289" s="52">
        <v>23325</v>
      </c>
      <c r="AP289" s="52">
        <v>0</v>
      </c>
      <c r="AQ289" s="42"/>
      <c r="AR289" s="52">
        <v>29425</v>
      </c>
      <c r="AS289" s="52">
        <v>64584425</v>
      </c>
      <c r="AT289" s="52">
        <v>0</v>
      </c>
      <c r="AU289" s="41" t="s">
        <v>1526</v>
      </c>
      <c r="AV289" s="41" t="s">
        <v>356</v>
      </c>
      <c r="AW289" s="41" t="s">
        <v>1640</v>
      </c>
      <c r="AX289" s="41" t="s">
        <v>1532</v>
      </c>
    </row>
    <row r="290" spans="1:50" x14ac:dyDescent="0.2">
      <c r="A290" s="40">
        <v>64584525</v>
      </c>
      <c r="B290" s="41" t="s">
        <v>2804</v>
      </c>
      <c r="C290" s="41" t="s">
        <v>2939</v>
      </c>
      <c r="D290" s="41" t="s">
        <v>460</v>
      </c>
      <c r="E290" s="49">
        <v>3219658</v>
      </c>
      <c r="F290" s="49">
        <v>16883</v>
      </c>
      <c r="G290" s="50">
        <v>3202775</v>
      </c>
      <c r="H290" s="42" t="s">
        <v>2615</v>
      </c>
      <c r="I290" s="42" t="s">
        <v>461</v>
      </c>
      <c r="J290" s="43" t="s">
        <v>351</v>
      </c>
      <c r="K290" s="40">
        <v>82390869</v>
      </c>
      <c r="L290" s="41" t="s">
        <v>1642</v>
      </c>
      <c r="M290" s="41" t="s">
        <v>316</v>
      </c>
      <c r="N290" s="41" t="s">
        <v>317</v>
      </c>
      <c r="O290" s="41" t="s">
        <v>1643</v>
      </c>
      <c r="P290" s="41" t="s">
        <v>319</v>
      </c>
      <c r="Q290" s="40">
        <v>890903938</v>
      </c>
      <c r="R290" s="41" t="s">
        <v>342</v>
      </c>
      <c r="S290" s="40">
        <v>923211</v>
      </c>
      <c r="T290" s="41" t="s">
        <v>69</v>
      </c>
      <c r="U290" s="41" t="s">
        <v>29</v>
      </c>
      <c r="V290" s="41" t="s">
        <v>30</v>
      </c>
      <c r="W290" s="42" t="s">
        <v>31</v>
      </c>
      <c r="X290" s="42" t="s">
        <v>32</v>
      </c>
      <c r="Y290" s="42" t="s">
        <v>33</v>
      </c>
      <c r="Z290" s="42" t="s">
        <v>2937</v>
      </c>
      <c r="AA290" s="42" t="s">
        <v>34</v>
      </c>
      <c r="AB290" s="42" t="s">
        <v>34</v>
      </c>
      <c r="AC290" s="42" t="s">
        <v>34</v>
      </c>
      <c r="AD290" s="42" t="s">
        <v>462</v>
      </c>
      <c r="AE290" s="42"/>
      <c r="AF290" s="42"/>
      <c r="AG290" s="42" t="s">
        <v>463</v>
      </c>
      <c r="AH290" s="42"/>
      <c r="AI290" s="44"/>
      <c r="AJ290" s="42"/>
      <c r="AK290" s="44"/>
      <c r="AL290" s="42"/>
      <c r="AM290" s="52">
        <v>2125</v>
      </c>
      <c r="AN290" s="52">
        <v>2125</v>
      </c>
      <c r="AO290" s="52">
        <v>23425</v>
      </c>
      <c r="AP290" s="52">
        <v>0</v>
      </c>
      <c r="AQ290" s="42"/>
      <c r="AR290" s="52">
        <v>29525</v>
      </c>
      <c r="AS290" s="52">
        <v>64584525</v>
      </c>
      <c r="AT290" s="52">
        <v>0</v>
      </c>
      <c r="AU290" s="41" t="s">
        <v>1526</v>
      </c>
      <c r="AV290" s="41" t="s">
        <v>356</v>
      </c>
      <c r="AW290" s="41" t="s">
        <v>1645</v>
      </c>
      <c r="AX290" s="41" t="s">
        <v>1532</v>
      </c>
    </row>
    <row r="291" spans="1:50" x14ac:dyDescent="0.2">
      <c r="A291" s="40">
        <v>64584625</v>
      </c>
      <c r="B291" s="41" t="s">
        <v>2804</v>
      </c>
      <c r="C291" s="41" t="s">
        <v>3158</v>
      </c>
      <c r="D291" s="41" t="s">
        <v>460</v>
      </c>
      <c r="E291" s="49">
        <v>3219658</v>
      </c>
      <c r="F291" s="49">
        <v>16883</v>
      </c>
      <c r="G291" s="50">
        <v>3202775</v>
      </c>
      <c r="H291" s="42" t="s">
        <v>2615</v>
      </c>
      <c r="I291" s="42" t="s">
        <v>461</v>
      </c>
      <c r="J291" s="43" t="s">
        <v>351</v>
      </c>
      <c r="K291" s="40">
        <v>82395377</v>
      </c>
      <c r="L291" s="41" t="s">
        <v>1647</v>
      </c>
      <c r="M291" s="41" t="s">
        <v>316</v>
      </c>
      <c r="N291" s="41" t="s">
        <v>317</v>
      </c>
      <c r="O291" s="41" t="s">
        <v>1648</v>
      </c>
      <c r="P291" s="41" t="s">
        <v>319</v>
      </c>
      <c r="Q291" s="40">
        <v>860034313</v>
      </c>
      <c r="R291" s="41" t="s">
        <v>355</v>
      </c>
      <c r="S291" s="40">
        <v>923211</v>
      </c>
      <c r="T291" s="41" t="s">
        <v>69</v>
      </c>
      <c r="U291" s="41" t="s">
        <v>29</v>
      </c>
      <c r="V291" s="41" t="s">
        <v>30</v>
      </c>
      <c r="W291" s="42" t="s">
        <v>31</v>
      </c>
      <c r="X291" s="42" t="s">
        <v>32</v>
      </c>
      <c r="Y291" s="42" t="s">
        <v>33</v>
      </c>
      <c r="Z291" s="42" t="s">
        <v>2937</v>
      </c>
      <c r="AA291" s="42" t="s">
        <v>34</v>
      </c>
      <c r="AB291" s="42" t="s">
        <v>34</v>
      </c>
      <c r="AC291" s="42" t="s">
        <v>34</v>
      </c>
      <c r="AD291" s="42" t="s">
        <v>462</v>
      </c>
      <c r="AE291" s="42"/>
      <c r="AF291" s="42"/>
      <c r="AG291" s="42" t="s">
        <v>463</v>
      </c>
      <c r="AH291" s="42"/>
      <c r="AI291" s="44"/>
      <c r="AJ291" s="42"/>
      <c r="AK291" s="44"/>
      <c r="AL291" s="42"/>
      <c r="AM291" s="52">
        <v>2125</v>
      </c>
      <c r="AN291" s="52">
        <v>2125</v>
      </c>
      <c r="AO291" s="52">
        <v>23525</v>
      </c>
      <c r="AP291" s="52">
        <v>0</v>
      </c>
      <c r="AQ291" s="42"/>
      <c r="AR291" s="52">
        <v>29625</v>
      </c>
      <c r="AS291" s="52">
        <v>64584625</v>
      </c>
      <c r="AT291" s="52">
        <v>0</v>
      </c>
      <c r="AU291" s="41" t="s">
        <v>1526</v>
      </c>
      <c r="AV291" s="41" t="s">
        <v>356</v>
      </c>
      <c r="AW291" s="41" t="s">
        <v>1650</v>
      </c>
      <c r="AX291" s="41" t="s">
        <v>1532</v>
      </c>
    </row>
    <row r="292" spans="1:50" x14ac:dyDescent="0.2">
      <c r="A292" s="40">
        <v>64584725</v>
      </c>
      <c r="B292" s="41" t="s">
        <v>2804</v>
      </c>
      <c r="C292" s="41" t="s">
        <v>3175</v>
      </c>
      <c r="D292" s="41" t="s">
        <v>460</v>
      </c>
      <c r="E292" s="49">
        <v>3219658</v>
      </c>
      <c r="F292" s="49">
        <v>16883</v>
      </c>
      <c r="G292" s="50">
        <v>3202775</v>
      </c>
      <c r="H292" s="42" t="s">
        <v>2615</v>
      </c>
      <c r="I292" s="42" t="s">
        <v>461</v>
      </c>
      <c r="J292" s="43" t="s">
        <v>351</v>
      </c>
      <c r="K292" s="40">
        <v>91285312</v>
      </c>
      <c r="L292" s="41" t="s">
        <v>1656</v>
      </c>
      <c r="M292" s="41" t="s">
        <v>316</v>
      </c>
      <c r="N292" s="41" t="s">
        <v>317</v>
      </c>
      <c r="O292" s="41" t="s">
        <v>1657</v>
      </c>
      <c r="P292" s="41" t="s">
        <v>319</v>
      </c>
      <c r="Q292" s="40">
        <v>860035827</v>
      </c>
      <c r="R292" s="41" t="s">
        <v>653</v>
      </c>
      <c r="S292" s="40">
        <v>923211</v>
      </c>
      <c r="T292" s="41" t="s">
        <v>69</v>
      </c>
      <c r="U292" s="41" t="s">
        <v>29</v>
      </c>
      <c r="V292" s="41" t="s">
        <v>30</v>
      </c>
      <c r="W292" s="42" t="s">
        <v>31</v>
      </c>
      <c r="X292" s="42" t="s">
        <v>32</v>
      </c>
      <c r="Y292" s="42" t="s">
        <v>33</v>
      </c>
      <c r="Z292" s="42" t="s">
        <v>2937</v>
      </c>
      <c r="AA292" s="42" t="s">
        <v>34</v>
      </c>
      <c r="AB292" s="42" t="s">
        <v>34</v>
      </c>
      <c r="AC292" s="42" t="s">
        <v>34</v>
      </c>
      <c r="AD292" s="42" t="s">
        <v>462</v>
      </c>
      <c r="AE292" s="42"/>
      <c r="AF292" s="42"/>
      <c r="AG292" s="42" t="s">
        <v>463</v>
      </c>
      <c r="AH292" s="42"/>
      <c r="AI292" s="44"/>
      <c r="AJ292" s="42"/>
      <c r="AK292" s="44"/>
      <c r="AL292" s="42"/>
      <c r="AM292" s="52">
        <v>2125</v>
      </c>
      <c r="AN292" s="52">
        <v>2125</v>
      </c>
      <c r="AO292" s="52">
        <v>23725</v>
      </c>
      <c r="AP292" s="52">
        <v>0</v>
      </c>
      <c r="AQ292" s="42"/>
      <c r="AR292" s="52">
        <v>29825</v>
      </c>
      <c r="AS292" s="52">
        <v>64584725</v>
      </c>
      <c r="AT292" s="52">
        <v>0</v>
      </c>
      <c r="AU292" s="41" t="s">
        <v>1526</v>
      </c>
      <c r="AV292" s="41" t="s">
        <v>356</v>
      </c>
      <c r="AW292" s="41" t="s">
        <v>1659</v>
      </c>
      <c r="AX292" s="41" t="s">
        <v>1532</v>
      </c>
    </row>
    <row r="293" spans="1:50" x14ac:dyDescent="0.2">
      <c r="A293" s="40">
        <v>64584825</v>
      </c>
      <c r="B293" s="41" t="s">
        <v>2804</v>
      </c>
      <c r="C293" s="41" t="s">
        <v>3036</v>
      </c>
      <c r="D293" s="41" t="s">
        <v>460</v>
      </c>
      <c r="E293" s="49">
        <v>3219658</v>
      </c>
      <c r="F293" s="49">
        <v>16883</v>
      </c>
      <c r="G293" s="50">
        <v>3202775</v>
      </c>
      <c r="H293" s="42" t="s">
        <v>2615</v>
      </c>
      <c r="I293" s="42" t="s">
        <v>461</v>
      </c>
      <c r="J293" s="43" t="s">
        <v>351</v>
      </c>
      <c r="K293" s="40">
        <v>93412419</v>
      </c>
      <c r="L293" s="41" t="s">
        <v>1661</v>
      </c>
      <c r="M293" s="41" t="s">
        <v>316</v>
      </c>
      <c r="N293" s="41" t="s">
        <v>317</v>
      </c>
      <c r="O293" s="41" t="s">
        <v>1662</v>
      </c>
      <c r="P293" s="41" t="s">
        <v>319</v>
      </c>
      <c r="Q293" s="40">
        <v>860034313</v>
      </c>
      <c r="R293" s="41" t="s">
        <v>355</v>
      </c>
      <c r="S293" s="40">
        <v>923211</v>
      </c>
      <c r="T293" s="41" t="s">
        <v>69</v>
      </c>
      <c r="U293" s="41" t="s">
        <v>29</v>
      </c>
      <c r="V293" s="41" t="s">
        <v>30</v>
      </c>
      <c r="W293" s="42" t="s">
        <v>31</v>
      </c>
      <c r="X293" s="42" t="s">
        <v>32</v>
      </c>
      <c r="Y293" s="42" t="s">
        <v>33</v>
      </c>
      <c r="Z293" s="42" t="s">
        <v>2937</v>
      </c>
      <c r="AA293" s="42" t="s">
        <v>34</v>
      </c>
      <c r="AB293" s="42" t="s">
        <v>34</v>
      </c>
      <c r="AC293" s="42" t="s">
        <v>34</v>
      </c>
      <c r="AD293" s="42" t="s">
        <v>462</v>
      </c>
      <c r="AE293" s="42"/>
      <c r="AF293" s="42"/>
      <c r="AG293" s="42" t="s">
        <v>463</v>
      </c>
      <c r="AH293" s="42"/>
      <c r="AI293" s="44"/>
      <c r="AJ293" s="42"/>
      <c r="AK293" s="44"/>
      <c r="AL293" s="42"/>
      <c r="AM293" s="52">
        <v>2125</v>
      </c>
      <c r="AN293" s="52">
        <v>2125</v>
      </c>
      <c r="AO293" s="52">
        <v>23825</v>
      </c>
      <c r="AP293" s="52">
        <v>0</v>
      </c>
      <c r="AQ293" s="42"/>
      <c r="AR293" s="52">
        <v>29925</v>
      </c>
      <c r="AS293" s="52">
        <v>64584825</v>
      </c>
      <c r="AT293" s="52">
        <v>0</v>
      </c>
      <c r="AU293" s="41" t="s">
        <v>1526</v>
      </c>
      <c r="AV293" s="41" t="s">
        <v>356</v>
      </c>
      <c r="AW293" s="41" t="s">
        <v>1664</v>
      </c>
      <c r="AX293" s="41" t="s">
        <v>1532</v>
      </c>
    </row>
    <row r="294" spans="1:50" x14ac:dyDescent="0.2">
      <c r="A294" s="40">
        <v>64584925</v>
      </c>
      <c r="B294" s="41" t="s">
        <v>2804</v>
      </c>
      <c r="C294" s="41" t="s">
        <v>3076</v>
      </c>
      <c r="D294" s="41" t="s">
        <v>460</v>
      </c>
      <c r="E294" s="49">
        <v>3219658</v>
      </c>
      <c r="F294" s="49">
        <v>16883</v>
      </c>
      <c r="G294" s="50">
        <v>3202775</v>
      </c>
      <c r="H294" s="42" t="s">
        <v>2615</v>
      </c>
      <c r="I294" s="42" t="s">
        <v>461</v>
      </c>
      <c r="J294" s="43" t="s">
        <v>351</v>
      </c>
      <c r="K294" s="40">
        <v>14136095</v>
      </c>
      <c r="L294" s="41" t="s">
        <v>1666</v>
      </c>
      <c r="M294" s="41" t="s">
        <v>316</v>
      </c>
      <c r="N294" s="41" t="s">
        <v>317</v>
      </c>
      <c r="O294" s="41" t="s">
        <v>1667</v>
      </c>
      <c r="P294" s="41" t="s">
        <v>319</v>
      </c>
      <c r="Q294" s="40">
        <v>860034313</v>
      </c>
      <c r="R294" s="41" t="s">
        <v>355</v>
      </c>
      <c r="S294" s="40">
        <v>923211</v>
      </c>
      <c r="T294" s="41" t="s">
        <v>69</v>
      </c>
      <c r="U294" s="41" t="s">
        <v>29</v>
      </c>
      <c r="V294" s="41" t="s">
        <v>30</v>
      </c>
      <c r="W294" s="42" t="s">
        <v>31</v>
      </c>
      <c r="X294" s="42" t="s">
        <v>32</v>
      </c>
      <c r="Y294" s="42" t="s">
        <v>33</v>
      </c>
      <c r="Z294" s="42" t="s">
        <v>2937</v>
      </c>
      <c r="AA294" s="42" t="s">
        <v>34</v>
      </c>
      <c r="AB294" s="42" t="s">
        <v>34</v>
      </c>
      <c r="AC294" s="42" t="s">
        <v>34</v>
      </c>
      <c r="AD294" s="42" t="s">
        <v>462</v>
      </c>
      <c r="AE294" s="42"/>
      <c r="AF294" s="42"/>
      <c r="AG294" s="42" t="s">
        <v>463</v>
      </c>
      <c r="AH294" s="42"/>
      <c r="AI294" s="44"/>
      <c r="AJ294" s="42"/>
      <c r="AK294" s="44"/>
      <c r="AL294" s="42"/>
      <c r="AM294" s="52">
        <v>2125</v>
      </c>
      <c r="AN294" s="52">
        <v>2125</v>
      </c>
      <c r="AO294" s="52">
        <v>23925</v>
      </c>
      <c r="AP294" s="52">
        <v>0</v>
      </c>
      <c r="AQ294" s="42"/>
      <c r="AR294" s="52">
        <v>30025</v>
      </c>
      <c r="AS294" s="52">
        <v>64584925</v>
      </c>
      <c r="AT294" s="52">
        <v>0</v>
      </c>
      <c r="AU294" s="41" t="s">
        <v>1526</v>
      </c>
      <c r="AV294" s="41" t="s">
        <v>356</v>
      </c>
      <c r="AW294" s="41" t="s">
        <v>1669</v>
      </c>
      <c r="AX294" s="41" t="s">
        <v>1670</v>
      </c>
    </row>
    <row r="295" spans="1:50" x14ac:dyDescent="0.2">
      <c r="A295" s="40">
        <v>64585025</v>
      </c>
      <c r="B295" s="41" t="s">
        <v>2804</v>
      </c>
      <c r="C295" s="41" t="s">
        <v>3040</v>
      </c>
      <c r="D295" s="41" t="s">
        <v>460</v>
      </c>
      <c r="E295" s="49">
        <v>3219658</v>
      </c>
      <c r="F295" s="49">
        <v>18250</v>
      </c>
      <c r="G295" s="50">
        <v>3201408</v>
      </c>
      <c r="H295" s="42" t="s">
        <v>2615</v>
      </c>
      <c r="I295" s="42" t="s">
        <v>461</v>
      </c>
      <c r="J295" s="43" t="s">
        <v>351</v>
      </c>
      <c r="K295" s="40">
        <v>19281696</v>
      </c>
      <c r="L295" s="41" t="s">
        <v>1672</v>
      </c>
      <c r="M295" s="41" t="s">
        <v>316</v>
      </c>
      <c r="N295" s="41" t="s">
        <v>317</v>
      </c>
      <c r="O295" s="41" t="s">
        <v>1673</v>
      </c>
      <c r="P295" s="41" t="s">
        <v>319</v>
      </c>
      <c r="Q295" s="40">
        <v>890903938</v>
      </c>
      <c r="R295" s="41" t="s">
        <v>342</v>
      </c>
      <c r="S295" s="40">
        <v>923211</v>
      </c>
      <c r="T295" s="41" t="s">
        <v>69</v>
      </c>
      <c r="U295" s="41" t="s">
        <v>29</v>
      </c>
      <c r="V295" s="41" t="s">
        <v>30</v>
      </c>
      <c r="W295" s="42" t="s">
        <v>31</v>
      </c>
      <c r="X295" s="42" t="s">
        <v>32</v>
      </c>
      <c r="Y295" s="42" t="s">
        <v>33</v>
      </c>
      <c r="Z295" s="42" t="s">
        <v>2937</v>
      </c>
      <c r="AA295" s="42" t="s">
        <v>34</v>
      </c>
      <c r="AB295" s="42" t="s">
        <v>34</v>
      </c>
      <c r="AC295" s="42" t="s">
        <v>34</v>
      </c>
      <c r="AD295" s="42" t="s">
        <v>462</v>
      </c>
      <c r="AE295" s="42"/>
      <c r="AF295" s="42"/>
      <c r="AG295" s="42" t="s">
        <v>463</v>
      </c>
      <c r="AH295" s="42"/>
      <c r="AI295" s="44"/>
      <c r="AJ295" s="42"/>
      <c r="AK295" s="44"/>
      <c r="AL295" s="42"/>
      <c r="AM295" s="52">
        <v>2125</v>
      </c>
      <c r="AN295" s="52">
        <v>2125</v>
      </c>
      <c r="AO295" s="52">
        <v>24025</v>
      </c>
      <c r="AP295" s="52">
        <v>0</v>
      </c>
      <c r="AQ295" s="42"/>
      <c r="AR295" s="52">
        <v>30125</v>
      </c>
      <c r="AS295" s="52">
        <v>64585025</v>
      </c>
      <c r="AT295" s="52">
        <v>0</v>
      </c>
      <c r="AU295" s="41" t="s">
        <v>1526</v>
      </c>
      <c r="AV295" s="41" t="s">
        <v>356</v>
      </c>
      <c r="AW295" s="41" t="s">
        <v>1675</v>
      </c>
      <c r="AX295" s="41" t="s">
        <v>1532</v>
      </c>
    </row>
    <row r="296" spans="1:50" x14ac:dyDescent="0.2">
      <c r="A296" s="40">
        <v>64585125</v>
      </c>
      <c r="B296" s="41" t="s">
        <v>2804</v>
      </c>
      <c r="C296" s="41" t="s">
        <v>3180</v>
      </c>
      <c r="D296" s="41" t="s">
        <v>460</v>
      </c>
      <c r="E296" s="49">
        <v>3219658</v>
      </c>
      <c r="F296" s="49">
        <v>16883</v>
      </c>
      <c r="G296" s="50">
        <v>3202775</v>
      </c>
      <c r="H296" s="42" t="s">
        <v>2615</v>
      </c>
      <c r="I296" s="42" t="s">
        <v>461</v>
      </c>
      <c r="J296" s="43" t="s">
        <v>351</v>
      </c>
      <c r="K296" s="40">
        <v>79051081</v>
      </c>
      <c r="L296" s="41" t="s">
        <v>1677</v>
      </c>
      <c r="M296" s="41" t="s">
        <v>316</v>
      </c>
      <c r="N296" s="41" t="s">
        <v>317</v>
      </c>
      <c r="O296" s="41" t="s">
        <v>1678</v>
      </c>
      <c r="P296" s="41" t="s">
        <v>319</v>
      </c>
      <c r="Q296" s="40">
        <v>890903938</v>
      </c>
      <c r="R296" s="41" t="s">
        <v>342</v>
      </c>
      <c r="S296" s="40">
        <v>923211</v>
      </c>
      <c r="T296" s="41" t="s">
        <v>69</v>
      </c>
      <c r="U296" s="41" t="s">
        <v>29</v>
      </c>
      <c r="V296" s="41" t="s">
        <v>30</v>
      </c>
      <c r="W296" s="42" t="s">
        <v>31</v>
      </c>
      <c r="X296" s="42" t="s">
        <v>32</v>
      </c>
      <c r="Y296" s="42" t="s">
        <v>33</v>
      </c>
      <c r="Z296" s="42" t="s">
        <v>2937</v>
      </c>
      <c r="AA296" s="42" t="s">
        <v>34</v>
      </c>
      <c r="AB296" s="42" t="s">
        <v>34</v>
      </c>
      <c r="AC296" s="42" t="s">
        <v>34</v>
      </c>
      <c r="AD296" s="42" t="s">
        <v>462</v>
      </c>
      <c r="AE296" s="42"/>
      <c r="AF296" s="42"/>
      <c r="AG296" s="42" t="s">
        <v>463</v>
      </c>
      <c r="AH296" s="42"/>
      <c r="AI296" s="44"/>
      <c r="AJ296" s="42"/>
      <c r="AK296" s="44"/>
      <c r="AL296" s="42"/>
      <c r="AM296" s="52">
        <v>2125</v>
      </c>
      <c r="AN296" s="52">
        <v>2125</v>
      </c>
      <c r="AO296" s="52">
        <v>24125</v>
      </c>
      <c r="AP296" s="52">
        <v>0</v>
      </c>
      <c r="AQ296" s="42"/>
      <c r="AR296" s="52">
        <v>30225</v>
      </c>
      <c r="AS296" s="52">
        <v>64585125</v>
      </c>
      <c r="AT296" s="52">
        <v>0</v>
      </c>
      <c r="AU296" s="41" t="s">
        <v>1526</v>
      </c>
      <c r="AV296" s="41" t="s">
        <v>356</v>
      </c>
      <c r="AW296" s="41" t="s">
        <v>1680</v>
      </c>
      <c r="AX296" s="41" t="s">
        <v>1532</v>
      </c>
    </row>
    <row r="297" spans="1:50" x14ac:dyDescent="0.2">
      <c r="A297" s="40">
        <v>64585225</v>
      </c>
      <c r="B297" s="41" t="s">
        <v>2804</v>
      </c>
      <c r="C297" s="41" t="s">
        <v>3165</v>
      </c>
      <c r="D297" s="41" t="s">
        <v>460</v>
      </c>
      <c r="E297" s="49">
        <v>3219658</v>
      </c>
      <c r="F297" s="49">
        <v>16883</v>
      </c>
      <c r="G297" s="50">
        <v>3202775</v>
      </c>
      <c r="H297" s="42" t="s">
        <v>2615</v>
      </c>
      <c r="I297" s="42" t="s">
        <v>461</v>
      </c>
      <c r="J297" s="43" t="s">
        <v>351</v>
      </c>
      <c r="K297" s="40">
        <v>79876770</v>
      </c>
      <c r="L297" s="41" t="s">
        <v>1682</v>
      </c>
      <c r="M297" s="41" t="s">
        <v>316</v>
      </c>
      <c r="N297" s="41" t="s">
        <v>317</v>
      </c>
      <c r="O297" s="41" t="s">
        <v>1683</v>
      </c>
      <c r="P297" s="41" t="s">
        <v>319</v>
      </c>
      <c r="Q297" s="40">
        <v>860007335</v>
      </c>
      <c r="R297" s="41" t="s">
        <v>381</v>
      </c>
      <c r="S297" s="40">
        <v>923211</v>
      </c>
      <c r="T297" s="41" t="s">
        <v>69</v>
      </c>
      <c r="U297" s="41" t="s">
        <v>29</v>
      </c>
      <c r="V297" s="41" t="s">
        <v>30</v>
      </c>
      <c r="W297" s="42" t="s">
        <v>31</v>
      </c>
      <c r="X297" s="42" t="s">
        <v>32</v>
      </c>
      <c r="Y297" s="42" t="s">
        <v>33</v>
      </c>
      <c r="Z297" s="42" t="s">
        <v>2937</v>
      </c>
      <c r="AA297" s="42" t="s">
        <v>34</v>
      </c>
      <c r="AB297" s="42" t="s">
        <v>34</v>
      </c>
      <c r="AC297" s="42" t="s">
        <v>34</v>
      </c>
      <c r="AD297" s="42" t="s">
        <v>462</v>
      </c>
      <c r="AE297" s="42"/>
      <c r="AF297" s="42"/>
      <c r="AG297" s="42" t="s">
        <v>463</v>
      </c>
      <c r="AH297" s="42"/>
      <c r="AI297" s="44"/>
      <c r="AJ297" s="42"/>
      <c r="AK297" s="44"/>
      <c r="AL297" s="42"/>
      <c r="AM297" s="52">
        <v>2125</v>
      </c>
      <c r="AN297" s="52">
        <v>2125</v>
      </c>
      <c r="AO297" s="52">
        <v>24225</v>
      </c>
      <c r="AP297" s="52">
        <v>0</v>
      </c>
      <c r="AQ297" s="42"/>
      <c r="AR297" s="52">
        <v>30325</v>
      </c>
      <c r="AS297" s="52">
        <v>64585225</v>
      </c>
      <c r="AT297" s="52">
        <v>0</v>
      </c>
      <c r="AU297" s="41" t="s">
        <v>1526</v>
      </c>
      <c r="AV297" s="41" t="s">
        <v>356</v>
      </c>
      <c r="AW297" s="41" t="s">
        <v>1685</v>
      </c>
      <c r="AX297" s="41" t="s">
        <v>1532</v>
      </c>
    </row>
    <row r="298" spans="1:50" x14ac:dyDescent="0.2">
      <c r="A298" s="40">
        <v>64585325</v>
      </c>
      <c r="B298" s="41" t="s">
        <v>2804</v>
      </c>
      <c r="C298" s="41" t="s">
        <v>3038</v>
      </c>
      <c r="D298" s="41" t="s">
        <v>460</v>
      </c>
      <c r="E298" s="49">
        <v>3219658</v>
      </c>
      <c r="F298" s="49">
        <v>16883</v>
      </c>
      <c r="G298" s="50">
        <v>3202775</v>
      </c>
      <c r="H298" s="42" t="s">
        <v>2615</v>
      </c>
      <c r="I298" s="42" t="s">
        <v>461</v>
      </c>
      <c r="J298" s="43" t="s">
        <v>351</v>
      </c>
      <c r="K298" s="40">
        <v>11257178</v>
      </c>
      <c r="L298" s="41" t="s">
        <v>1687</v>
      </c>
      <c r="M298" s="41" t="s">
        <v>316</v>
      </c>
      <c r="N298" s="41" t="s">
        <v>317</v>
      </c>
      <c r="O298" s="41" t="s">
        <v>1688</v>
      </c>
      <c r="P298" s="41" t="s">
        <v>319</v>
      </c>
      <c r="Q298" s="40">
        <v>890903938</v>
      </c>
      <c r="R298" s="41" t="s">
        <v>342</v>
      </c>
      <c r="S298" s="40">
        <v>923238</v>
      </c>
      <c r="T298" s="41" t="s">
        <v>569</v>
      </c>
      <c r="U298" s="41" t="s">
        <v>29</v>
      </c>
      <c r="V298" s="41" t="s">
        <v>30</v>
      </c>
      <c r="W298" s="42" t="s">
        <v>31</v>
      </c>
      <c r="X298" s="42" t="s">
        <v>32</v>
      </c>
      <c r="Y298" s="42" t="s">
        <v>33</v>
      </c>
      <c r="Z298" s="42" t="s">
        <v>2937</v>
      </c>
      <c r="AA298" s="42" t="s">
        <v>34</v>
      </c>
      <c r="AB298" s="42" t="s">
        <v>34</v>
      </c>
      <c r="AC298" s="42" t="s">
        <v>34</v>
      </c>
      <c r="AD298" s="42" t="s">
        <v>462</v>
      </c>
      <c r="AE298" s="42"/>
      <c r="AF298" s="42"/>
      <c r="AG298" s="42" t="s">
        <v>463</v>
      </c>
      <c r="AH298" s="42"/>
      <c r="AI298" s="44"/>
      <c r="AJ298" s="42"/>
      <c r="AK298" s="44"/>
      <c r="AL298" s="42"/>
      <c r="AM298" s="52">
        <v>125</v>
      </c>
      <c r="AN298" s="52">
        <v>125</v>
      </c>
      <c r="AO298" s="52">
        <v>24325</v>
      </c>
      <c r="AP298" s="52">
        <v>0</v>
      </c>
      <c r="AQ298" s="42"/>
      <c r="AR298" s="52">
        <v>30425</v>
      </c>
      <c r="AS298" s="52">
        <v>64585325</v>
      </c>
      <c r="AT298" s="52">
        <v>0</v>
      </c>
      <c r="AU298" s="41" t="s">
        <v>1526</v>
      </c>
      <c r="AV298" s="41" t="s">
        <v>356</v>
      </c>
      <c r="AW298" s="41" t="s">
        <v>1690</v>
      </c>
      <c r="AX298" s="41" t="s">
        <v>742</v>
      </c>
    </row>
    <row r="299" spans="1:50" x14ac:dyDescent="0.2">
      <c r="A299" s="40">
        <v>64585425</v>
      </c>
      <c r="B299" s="41" t="s">
        <v>2804</v>
      </c>
      <c r="C299" s="41" t="s">
        <v>3100</v>
      </c>
      <c r="D299" s="41" t="s">
        <v>460</v>
      </c>
      <c r="E299" s="49">
        <v>3219658</v>
      </c>
      <c r="F299" s="49">
        <v>16883</v>
      </c>
      <c r="G299" s="50">
        <v>3202775</v>
      </c>
      <c r="H299" s="42" t="s">
        <v>2615</v>
      </c>
      <c r="I299" s="42" t="s">
        <v>461</v>
      </c>
      <c r="J299" s="43" t="s">
        <v>351</v>
      </c>
      <c r="K299" s="40">
        <v>82395365</v>
      </c>
      <c r="L299" s="41" t="s">
        <v>1692</v>
      </c>
      <c r="M299" s="41" t="s">
        <v>316</v>
      </c>
      <c r="N299" s="41" t="s">
        <v>317</v>
      </c>
      <c r="O299" s="41" t="s">
        <v>1693</v>
      </c>
      <c r="P299" s="41" t="s">
        <v>319</v>
      </c>
      <c r="Q299" s="40">
        <v>860003020</v>
      </c>
      <c r="R299" s="41" t="s">
        <v>393</v>
      </c>
      <c r="S299" s="40">
        <v>923238</v>
      </c>
      <c r="T299" s="41" t="s">
        <v>569</v>
      </c>
      <c r="U299" s="41" t="s">
        <v>29</v>
      </c>
      <c r="V299" s="41" t="s">
        <v>30</v>
      </c>
      <c r="W299" s="42" t="s">
        <v>31</v>
      </c>
      <c r="X299" s="42" t="s">
        <v>32</v>
      </c>
      <c r="Y299" s="42" t="s">
        <v>33</v>
      </c>
      <c r="Z299" s="42" t="s">
        <v>2937</v>
      </c>
      <c r="AA299" s="42" t="s">
        <v>34</v>
      </c>
      <c r="AB299" s="42" t="s">
        <v>34</v>
      </c>
      <c r="AC299" s="42" t="s">
        <v>34</v>
      </c>
      <c r="AD299" s="42" t="s">
        <v>462</v>
      </c>
      <c r="AE299" s="42"/>
      <c r="AF299" s="42"/>
      <c r="AG299" s="42" t="s">
        <v>463</v>
      </c>
      <c r="AH299" s="42"/>
      <c r="AI299" s="44"/>
      <c r="AJ299" s="42"/>
      <c r="AK299" s="44"/>
      <c r="AL299" s="42"/>
      <c r="AM299" s="52">
        <v>125</v>
      </c>
      <c r="AN299" s="52">
        <v>125</v>
      </c>
      <c r="AO299" s="52">
        <v>24425</v>
      </c>
      <c r="AP299" s="52">
        <v>0</v>
      </c>
      <c r="AQ299" s="42"/>
      <c r="AR299" s="52">
        <v>30525</v>
      </c>
      <c r="AS299" s="52">
        <v>64585425</v>
      </c>
      <c r="AT299" s="52">
        <v>0</v>
      </c>
      <c r="AU299" s="41" t="s">
        <v>1526</v>
      </c>
      <c r="AV299" s="41" t="s">
        <v>356</v>
      </c>
      <c r="AW299" s="41" t="s">
        <v>1695</v>
      </c>
      <c r="AX299" s="41" t="s">
        <v>742</v>
      </c>
    </row>
    <row r="300" spans="1:50" x14ac:dyDescent="0.2">
      <c r="A300" s="40">
        <v>64585525</v>
      </c>
      <c r="B300" s="41" t="s">
        <v>2804</v>
      </c>
      <c r="C300" s="41" t="s">
        <v>3148</v>
      </c>
      <c r="D300" s="41" t="s">
        <v>460</v>
      </c>
      <c r="E300" s="49">
        <v>3219658</v>
      </c>
      <c r="F300" s="49">
        <v>16883</v>
      </c>
      <c r="G300" s="50">
        <v>3202775</v>
      </c>
      <c r="H300" s="42" t="s">
        <v>2615</v>
      </c>
      <c r="I300" s="42" t="s">
        <v>461</v>
      </c>
      <c r="J300" s="43" t="s">
        <v>351</v>
      </c>
      <c r="K300" s="40">
        <v>79703448</v>
      </c>
      <c r="L300" s="41" t="s">
        <v>1697</v>
      </c>
      <c r="M300" s="41" t="s">
        <v>316</v>
      </c>
      <c r="N300" s="41" t="s">
        <v>317</v>
      </c>
      <c r="O300" s="41" t="s">
        <v>1698</v>
      </c>
      <c r="P300" s="41" t="s">
        <v>319</v>
      </c>
      <c r="Q300" s="40">
        <v>860007335</v>
      </c>
      <c r="R300" s="41" t="s">
        <v>381</v>
      </c>
      <c r="S300" s="40">
        <v>923238</v>
      </c>
      <c r="T300" s="41" t="s">
        <v>569</v>
      </c>
      <c r="U300" s="41" t="s">
        <v>29</v>
      </c>
      <c r="V300" s="41" t="s">
        <v>30</v>
      </c>
      <c r="W300" s="42" t="s">
        <v>31</v>
      </c>
      <c r="X300" s="42" t="s">
        <v>32</v>
      </c>
      <c r="Y300" s="42" t="s">
        <v>33</v>
      </c>
      <c r="Z300" s="42" t="s">
        <v>2937</v>
      </c>
      <c r="AA300" s="42" t="s">
        <v>34</v>
      </c>
      <c r="AB300" s="42" t="s">
        <v>34</v>
      </c>
      <c r="AC300" s="42" t="s">
        <v>34</v>
      </c>
      <c r="AD300" s="42" t="s">
        <v>462</v>
      </c>
      <c r="AE300" s="42"/>
      <c r="AF300" s="42"/>
      <c r="AG300" s="42" t="s">
        <v>463</v>
      </c>
      <c r="AH300" s="42"/>
      <c r="AI300" s="44"/>
      <c r="AJ300" s="42"/>
      <c r="AK300" s="44"/>
      <c r="AL300" s="42"/>
      <c r="AM300" s="52">
        <v>125</v>
      </c>
      <c r="AN300" s="52">
        <v>125</v>
      </c>
      <c r="AO300" s="52">
        <v>24525</v>
      </c>
      <c r="AP300" s="52">
        <v>0</v>
      </c>
      <c r="AQ300" s="42"/>
      <c r="AR300" s="52">
        <v>30625</v>
      </c>
      <c r="AS300" s="52">
        <v>64585525</v>
      </c>
      <c r="AT300" s="52">
        <v>0</v>
      </c>
      <c r="AU300" s="41" t="s">
        <v>1526</v>
      </c>
      <c r="AV300" s="41" t="s">
        <v>356</v>
      </c>
      <c r="AW300" s="41" t="s">
        <v>1700</v>
      </c>
      <c r="AX300" s="41" t="s">
        <v>742</v>
      </c>
    </row>
    <row r="301" spans="1:50" x14ac:dyDescent="0.2">
      <c r="A301" s="40">
        <v>64585625</v>
      </c>
      <c r="B301" s="41" t="s">
        <v>2804</v>
      </c>
      <c r="C301" s="41" t="s">
        <v>3186</v>
      </c>
      <c r="D301" s="41" t="s">
        <v>460</v>
      </c>
      <c r="E301" s="49">
        <v>3219658</v>
      </c>
      <c r="F301" s="49">
        <v>16883</v>
      </c>
      <c r="G301" s="50">
        <v>3202775</v>
      </c>
      <c r="H301" s="42" t="s">
        <v>2615</v>
      </c>
      <c r="I301" s="42" t="s">
        <v>461</v>
      </c>
      <c r="J301" s="43" t="s">
        <v>351</v>
      </c>
      <c r="K301" s="40">
        <v>1052381667</v>
      </c>
      <c r="L301" s="41" t="s">
        <v>1702</v>
      </c>
      <c r="M301" s="41" t="s">
        <v>316</v>
      </c>
      <c r="N301" s="41" t="s">
        <v>317</v>
      </c>
      <c r="O301" s="41" t="s">
        <v>1703</v>
      </c>
      <c r="P301" s="41" t="s">
        <v>319</v>
      </c>
      <c r="Q301" s="40">
        <v>860007738</v>
      </c>
      <c r="R301" s="41" t="s">
        <v>784</v>
      </c>
      <c r="S301" s="40">
        <v>923238</v>
      </c>
      <c r="T301" s="41" t="s">
        <v>569</v>
      </c>
      <c r="U301" s="41" t="s">
        <v>29</v>
      </c>
      <c r="V301" s="41" t="s">
        <v>30</v>
      </c>
      <c r="W301" s="42" t="s">
        <v>31</v>
      </c>
      <c r="X301" s="42" t="s">
        <v>32</v>
      </c>
      <c r="Y301" s="42" t="s">
        <v>33</v>
      </c>
      <c r="Z301" s="42" t="s">
        <v>2937</v>
      </c>
      <c r="AA301" s="42" t="s">
        <v>34</v>
      </c>
      <c r="AB301" s="42" t="s">
        <v>34</v>
      </c>
      <c r="AC301" s="42" t="s">
        <v>34</v>
      </c>
      <c r="AD301" s="42" t="s">
        <v>462</v>
      </c>
      <c r="AE301" s="42"/>
      <c r="AF301" s="42"/>
      <c r="AG301" s="42" t="s">
        <v>463</v>
      </c>
      <c r="AH301" s="42"/>
      <c r="AI301" s="44"/>
      <c r="AJ301" s="42"/>
      <c r="AK301" s="44"/>
      <c r="AL301" s="42"/>
      <c r="AM301" s="52">
        <v>125</v>
      </c>
      <c r="AN301" s="52">
        <v>125</v>
      </c>
      <c r="AO301" s="52">
        <v>24625</v>
      </c>
      <c r="AP301" s="52">
        <v>0</v>
      </c>
      <c r="AQ301" s="42"/>
      <c r="AR301" s="52">
        <v>30725</v>
      </c>
      <c r="AS301" s="52">
        <v>64585625</v>
      </c>
      <c r="AT301" s="52">
        <v>0</v>
      </c>
      <c r="AU301" s="41" t="s">
        <v>1526</v>
      </c>
      <c r="AV301" s="41" t="s">
        <v>356</v>
      </c>
      <c r="AW301" s="41" t="s">
        <v>1705</v>
      </c>
      <c r="AX301" s="41" t="s">
        <v>742</v>
      </c>
    </row>
    <row r="302" spans="1:50" x14ac:dyDescent="0.2">
      <c r="A302" s="40">
        <v>64599325</v>
      </c>
      <c r="B302" s="41" t="s">
        <v>2804</v>
      </c>
      <c r="C302" s="41" t="s">
        <v>3151</v>
      </c>
      <c r="D302" s="41" t="s">
        <v>460</v>
      </c>
      <c r="E302" s="49">
        <v>3219658</v>
      </c>
      <c r="F302" s="49">
        <v>16883</v>
      </c>
      <c r="G302" s="50">
        <v>3202775</v>
      </c>
      <c r="H302" s="42" t="s">
        <v>2615</v>
      </c>
      <c r="I302" s="42" t="s">
        <v>461</v>
      </c>
      <c r="J302" s="43" t="s">
        <v>351</v>
      </c>
      <c r="K302" s="40">
        <v>79592386</v>
      </c>
      <c r="L302" s="41" t="s">
        <v>1710</v>
      </c>
      <c r="M302" s="41" t="s">
        <v>316</v>
      </c>
      <c r="N302" s="41" t="s">
        <v>317</v>
      </c>
      <c r="O302" s="41" t="s">
        <v>1711</v>
      </c>
      <c r="P302" s="41" t="s">
        <v>319</v>
      </c>
      <c r="Q302" s="40">
        <v>860034313</v>
      </c>
      <c r="R302" s="41" t="s">
        <v>355</v>
      </c>
      <c r="S302" s="40">
        <v>923238</v>
      </c>
      <c r="T302" s="41" t="s">
        <v>569</v>
      </c>
      <c r="U302" s="41" t="s">
        <v>29</v>
      </c>
      <c r="V302" s="41" t="s">
        <v>30</v>
      </c>
      <c r="W302" s="42" t="s">
        <v>31</v>
      </c>
      <c r="X302" s="42" t="s">
        <v>32</v>
      </c>
      <c r="Y302" s="42" t="s">
        <v>33</v>
      </c>
      <c r="Z302" s="42" t="s">
        <v>2937</v>
      </c>
      <c r="AA302" s="42" t="s">
        <v>34</v>
      </c>
      <c r="AB302" s="42" t="s">
        <v>34</v>
      </c>
      <c r="AC302" s="42" t="s">
        <v>34</v>
      </c>
      <c r="AD302" s="42" t="s">
        <v>462</v>
      </c>
      <c r="AE302" s="42"/>
      <c r="AF302" s="42"/>
      <c r="AG302" s="42" t="s">
        <v>463</v>
      </c>
      <c r="AH302" s="42"/>
      <c r="AI302" s="44"/>
      <c r="AJ302" s="42"/>
      <c r="AK302" s="44"/>
      <c r="AL302" s="42"/>
      <c r="AM302" s="52">
        <v>125</v>
      </c>
      <c r="AN302" s="52">
        <v>125</v>
      </c>
      <c r="AO302" s="52">
        <v>24825</v>
      </c>
      <c r="AP302" s="52">
        <v>0</v>
      </c>
      <c r="AQ302" s="42"/>
      <c r="AR302" s="52">
        <v>30925</v>
      </c>
      <c r="AS302" s="52">
        <v>64599325</v>
      </c>
      <c r="AT302" s="52">
        <v>0</v>
      </c>
      <c r="AU302" s="41" t="s">
        <v>1526</v>
      </c>
      <c r="AV302" s="41" t="s">
        <v>356</v>
      </c>
      <c r="AW302" s="41" t="s">
        <v>1713</v>
      </c>
      <c r="AX302" s="41" t="s">
        <v>742</v>
      </c>
    </row>
    <row r="303" spans="1:50" x14ac:dyDescent="0.2">
      <c r="A303" s="40">
        <v>64599425</v>
      </c>
      <c r="B303" s="41" t="s">
        <v>2804</v>
      </c>
      <c r="C303" s="41" t="s">
        <v>3189</v>
      </c>
      <c r="D303" s="41" t="s">
        <v>460</v>
      </c>
      <c r="E303" s="49">
        <v>3219658</v>
      </c>
      <c r="F303" s="49">
        <v>16883</v>
      </c>
      <c r="G303" s="50">
        <v>3202775</v>
      </c>
      <c r="H303" s="42" t="s">
        <v>2615</v>
      </c>
      <c r="I303" s="42" t="s">
        <v>461</v>
      </c>
      <c r="J303" s="43" t="s">
        <v>351</v>
      </c>
      <c r="K303" s="40">
        <v>79863951</v>
      </c>
      <c r="L303" s="41" t="s">
        <v>1715</v>
      </c>
      <c r="M303" s="41" t="s">
        <v>316</v>
      </c>
      <c r="N303" s="41" t="s">
        <v>317</v>
      </c>
      <c r="O303" s="41" t="s">
        <v>1716</v>
      </c>
      <c r="P303" s="41" t="s">
        <v>319</v>
      </c>
      <c r="Q303" s="40">
        <v>890903938</v>
      </c>
      <c r="R303" s="41" t="s">
        <v>342</v>
      </c>
      <c r="S303" s="40">
        <v>923238</v>
      </c>
      <c r="T303" s="41" t="s">
        <v>569</v>
      </c>
      <c r="U303" s="41" t="s">
        <v>29</v>
      </c>
      <c r="V303" s="41" t="s">
        <v>30</v>
      </c>
      <c r="W303" s="42" t="s">
        <v>31</v>
      </c>
      <c r="X303" s="42" t="s">
        <v>32</v>
      </c>
      <c r="Y303" s="42" t="s">
        <v>33</v>
      </c>
      <c r="Z303" s="42" t="s">
        <v>2937</v>
      </c>
      <c r="AA303" s="42" t="s">
        <v>34</v>
      </c>
      <c r="AB303" s="42" t="s">
        <v>34</v>
      </c>
      <c r="AC303" s="42" t="s">
        <v>34</v>
      </c>
      <c r="AD303" s="42" t="s">
        <v>462</v>
      </c>
      <c r="AE303" s="42"/>
      <c r="AF303" s="42"/>
      <c r="AG303" s="42" t="s">
        <v>463</v>
      </c>
      <c r="AH303" s="42"/>
      <c r="AI303" s="44"/>
      <c r="AJ303" s="42"/>
      <c r="AK303" s="44"/>
      <c r="AL303" s="42"/>
      <c r="AM303" s="52">
        <v>125</v>
      </c>
      <c r="AN303" s="52">
        <v>125</v>
      </c>
      <c r="AO303" s="52">
        <v>24925</v>
      </c>
      <c r="AP303" s="52">
        <v>0</v>
      </c>
      <c r="AQ303" s="42"/>
      <c r="AR303" s="52">
        <v>31025</v>
      </c>
      <c r="AS303" s="52">
        <v>64599425</v>
      </c>
      <c r="AT303" s="52">
        <v>0</v>
      </c>
      <c r="AU303" s="41" t="s">
        <v>1526</v>
      </c>
      <c r="AV303" s="41" t="s">
        <v>356</v>
      </c>
      <c r="AW303" s="41" t="s">
        <v>1718</v>
      </c>
      <c r="AX303" s="41" t="s">
        <v>742</v>
      </c>
    </row>
    <row r="304" spans="1:50" x14ac:dyDescent="0.2">
      <c r="A304" s="40">
        <v>64599525</v>
      </c>
      <c r="B304" s="41" t="s">
        <v>2804</v>
      </c>
      <c r="C304" s="41" t="s">
        <v>3115</v>
      </c>
      <c r="D304" s="41" t="s">
        <v>460</v>
      </c>
      <c r="E304" s="49">
        <v>3219658</v>
      </c>
      <c r="F304" s="49">
        <v>16883</v>
      </c>
      <c r="G304" s="50">
        <v>3202775</v>
      </c>
      <c r="H304" s="42" t="s">
        <v>2615</v>
      </c>
      <c r="I304" s="42" t="s">
        <v>461</v>
      </c>
      <c r="J304" s="43" t="s">
        <v>351</v>
      </c>
      <c r="K304" s="40">
        <v>52556422</v>
      </c>
      <c r="L304" s="41" t="s">
        <v>1720</v>
      </c>
      <c r="M304" s="41" t="s">
        <v>316</v>
      </c>
      <c r="N304" s="41" t="s">
        <v>317</v>
      </c>
      <c r="O304" s="41" t="s">
        <v>1721</v>
      </c>
      <c r="P304" s="41" t="s">
        <v>319</v>
      </c>
      <c r="Q304" s="40">
        <v>860034313</v>
      </c>
      <c r="R304" s="41" t="s">
        <v>355</v>
      </c>
      <c r="S304" s="40">
        <v>923238</v>
      </c>
      <c r="T304" s="41" t="s">
        <v>569</v>
      </c>
      <c r="U304" s="41" t="s">
        <v>29</v>
      </c>
      <c r="V304" s="41" t="s">
        <v>30</v>
      </c>
      <c r="W304" s="42" t="s">
        <v>31</v>
      </c>
      <c r="X304" s="42" t="s">
        <v>32</v>
      </c>
      <c r="Y304" s="42" t="s">
        <v>33</v>
      </c>
      <c r="Z304" s="42" t="s">
        <v>2937</v>
      </c>
      <c r="AA304" s="42" t="s">
        <v>34</v>
      </c>
      <c r="AB304" s="42" t="s">
        <v>34</v>
      </c>
      <c r="AC304" s="42" t="s">
        <v>34</v>
      </c>
      <c r="AD304" s="42" t="s">
        <v>462</v>
      </c>
      <c r="AE304" s="42"/>
      <c r="AF304" s="42"/>
      <c r="AG304" s="42" t="s">
        <v>463</v>
      </c>
      <c r="AH304" s="42"/>
      <c r="AI304" s="44"/>
      <c r="AJ304" s="42"/>
      <c r="AK304" s="44"/>
      <c r="AL304" s="42"/>
      <c r="AM304" s="52">
        <v>125</v>
      </c>
      <c r="AN304" s="52">
        <v>125</v>
      </c>
      <c r="AO304" s="52">
        <v>25025</v>
      </c>
      <c r="AP304" s="52">
        <v>0</v>
      </c>
      <c r="AQ304" s="42"/>
      <c r="AR304" s="52">
        <v>31125</v>
      </c>
      <c r="AS304" s="52">
        <v>64599525</v>
      </c>
      <c r="AT304" s="52">
        <v>0</v>
      </c>
      <c r="AU304" s="41" t="s">
        <v>1526</v>
      </c>
      <c r="AV304" s="41" t="s">
        <v>356</v>
      </c>
      <c r="AW304" s="41" t="s">
        <v>1723</v>
      </c>
      <c r="AX304" s="41" t="s">
        <v>742</v>
      </c>
    </row>
    <row r="305" spans="1:50" x14ac:dyDescent="0.2">
      <c r="A305" s="40">
        <v>64599625</v>
      </c>
      <c r="B305" s="41" t="s">
        <v>2804</v>
      </c>
      <c r="C305" s="41" t="s">
        <v>3040</v>
      </c>
      <c r="D305" s="41" t="s">
        <v>460</v>
      </c>
      <c r="E305" s="49">
        <v>3219658</v>
      </c>
      <c r="F305" s="49">
        <v>16883</v>
      </c>
      <c r="G305" s="50">
        <v>3202775</v>
      </c>
      <c r="H305" s="42" t="s">
        <v>2615</v>
      </c>
      <c r="I305" s="42" t="s">
        <v>461</v>
      </c>
      <c r="J305" s="43" t="s">
        <v>351</v>
      </c>
      <c r="K305" s="40">
        <v>49718628</v>
      </c>
      <c r="L305" s="41" t="s">
        <v>1725</v>
      </c>
      <c r="M305" s="41" t="s">
        <v>316</v>
      </c>
      <c r="N305" s="41" t="s">
        <v>317</v>
      </c>
      <c r="O305" s="41" t="s">
        <v>1726</v>
      </c>
      <c r="P305" s="41" t="s">
        <v>319</v>
      </c>
      <c r="Q305" s="40">
        <v>890903938</v>
      </c>
      <c r="R305" s="41" t="s">
        <v>342</v>
      </c>
      <c r="S305" s="40">
        <v>923238</v>
      </c>
      <c r="T305" s="41" t="s">
        <v>569</v>
      </c>
      <c r="U305" s="41" t="s">
        <v>29</v>
      </c>
      <c r="V305" s="41" t="s">
        <v>30</v>
      </c>
      <c r="W305" s="42" t="s">
        <v>31</v>
      </c>
      <c r="X305" s="42" t="s">
        <v>32</v>
      </c>
      <c r="Y305" s="42" t="s">
        <v>33</v>
      </c>
      <c r="Z305" s="42" t="s">
        <v>2937</v>
      </c>
      <c r="AA305" s="42" t="s">
        <v>34</v>
      </c>
      <c r="AB305" s="42" t="s">
        <v>34</v>
      </c>
      <c r="AC305" s="42" t="s">
        <v>34</v>
      </c>
      <c r="AD305" s="42" t="s">
        <v>462</v>
      </c>
      <c r="AE305" s="42"/>
      <c r="AF305" s="42"/>
      <c r="AG305" s="42" t="s">
        <v>463</v>
      </c>
      <c r="AH305" s="42"/>
      <c r="AI305" s="44"/>
      <c r="AJ305" s="42"/>
      <c r="AK305" s="44"/>
      <c r="AL305" s="42"/>
      <c r="AM305" s="52">
        <v>125</v>
      </c>
      <c r="AN305" s="52">
        <v>125</v>
      </c>
      <c r="AO305" s="52">
        <v>25125</v>
      </c>
      <c r="AP305" s="52">
        <v>0</v>
      </c>
      <c r="AQ305" s="42"/>
      <c r="AR305" s="52">
        <v>31225</v>
      </c>
      <c r="AS305" s="52">
        <v>64599625</v>
      </c>
      <c r="AT305" s="52">
        <v>0</v>
      </c>
      <c r="AU305" s="41" t="s">
        <v>1526</v>
      </c>
      <c r="AV305" s="41" t="s">
        <v>356</v>
      </c>
      <c r="AW305" s="41" t="s">
        <v>1728</v>
      </c>
      <c r="AX305" s="41" t="s">
        <v>742</v>
      </c>
    </row>
    <row r="306" spans="1:50" x14ac:dyDescent="0.2">
      <c r="A306" s="40">
        <v>64599725</v>
      </c>
      <c r="B306" s="41" t="s">
        <v>2804</v>
      </c>
      <c r="C306" s="41" t="s">
        <v>3193</v>
      </c>
      <c r="D306" s="41" t="s">
        <v>460</v>
      </c>
      <c r="E306" s="49">
        <v>3219658</v>
      </c>
      <c r="F306" s="49">
        <v>16883</v>
      </c>
      <c r="G306" s="50">
        <v>3202775</v>
      </c>
      <c r="H306" s="42" t="s">
        <v>2615</v>
      </c>
      <c r="I306" s="42" t="s">
        <v>461</v>
      </c>
      <c r="J306" s="43" t="s">
        <v>351</v>
      </c>
      <c r="K306" s="40">
        <v>80232876</v>
      </c>
      <c r="L306" s="41" t="s">
        <v>1730</v>
      </c>
      <c r="M306" s="41" t="s">
        <v>316</v>
      </c>
      <c r="N306" s="41" t="s">
        <v>317</v>
      </c>
      <c r="O306" s="41" t="s">
        <v>1731</v>
      </c>
      <c r="P306" s="41" t="s">
        <v>319</v>
      </c>
      <c r="Q306" s="40">
        <v>890903938</v>
      </c>
      <c r="R306" s="41" t="s">
        <v>342</v>
      </c>
      <c r="S306" s="40">
        <v>923238</v>
      </c>
      <c r="T306" s="41" t="s">
        <v>569</v>
      </c>
      <c r="U306" s="41" t="s">
        <v>29</v>
      </c>
      <c r="V306" s="41" t="s">
        <v>30</v>
      </c>
      <c r="W306" s="42" t="s">
        <v>31</v>
      </c>
      <c r="X306" s="42" t="s">
        <v>32</v>
      </c>
      <c r="Y306" s="42" t="s">
        <v>33</v>
      </c>
      <c r="Z306" s="42" t="s">
        <v>2937</v>
      </c>
      <c r="AA306" s="42" t="s">
        <v>34</v>
      </c>
      <c r="AB306" s="42" t="s">
        <v>34</v>
      </c>
      <c r="AC306" s="42" t="s">
        <v>34</v>
      </c>
      <c r="AD306" s="42" t="s">
        <v>462</v>
      </c>
      <c r="AE306" s="42"/>
      <c r="AF306" s="42"/>
      <c r="AG306" s="42" t="s">
        <v>463</v>
      </c>
      <c r="AH306" s="42"/>
      <c r="AI306" s="44"/>
      <c r="AJ306" s="42"/>
      <c r="AK306" s="44"/>
      <c r="AL306" s="42"/>
      <c r="AM306" s="52">
        <v>125</v>
      </c>
      <c r="AN306" s="52">
        <v>125</v>
      </c>
      <c r="AO306" s="52">
        <v>25225</v>
      </c>
      <c r="AP306" s="52">
        <v>0</v>
      </c>
      <c r="AQ306" s="42"/>
      <c r="AR306" s="52">
        <v>31325</v>
      </c>
      <c r="AS306" s="52">
        <v>64599725</v>
      </c>
      <c r="AT306" s="52">
        <v>0</v>
      </c>
      <c r="AU306" s="41" t="s">
        <v>1526</v>
      </c>
      <c r="AV306" s="41" t="s">
        <v>356</v>
      </c>
      <c r="AW306" s="41" t="s">
        <v>1733</v>
      </c>
      <c r="AX306" s="41" t="s">
        <v>742</v>
      </c>
    </row>
    <row r="307" spans="1:50" x14ac:dyDescent="0.2">
      <c r="A307" s="40">
        <v>64599825</v>
      </c>
      <c r="B307" s="41" t="s">
        <v>2804</v>
      </c>
      <c r="C307" s="41" t="s">
        <v>3180</v>
      </c>
      <c r="D307" s="41" t="s">
        <v>460</v>
      </c>
      <c r="E307" s="49">
        <v>3219658</v>
      </c>
      <c r="F307" s="49">
        <v>16883</v>
      </c>
      <c r="G307" s="50">
        <v>3202775</v>
      </c>
      <c r="H307" s="42" t="s">
        <v>2615</v>
      </c>
      <c r="I307" s="42" t="s">
        <v>461</v>
      </c>
      <c r="J307" s="43" t="s">
        <v>351</v>
      </c>
      <c r="K307" s="40">
        <v>1136887061</v>
      </c>
      <c r="L307" s="41" t="s">
        <v>1779</v>
      </c>
      <c r="M307" s="41" t="s">
        <v>316</v>
      </c>
      <c r="N307" s="41" t="s">
        <v>317</v>
      </c>
      <c r="O307" s="41" t="s">
        <v>1780</v>
      </c>
      <c r="P307" s="41" t="s">
        <v>319</v>
      </c>
      <c r="Q307" s="40">
        <v>890903938</v>
      </c>
      <c r="R307" s="41" t="s">
        <v>342</v>
      </c>
      <c r="S307" s="40">
        <v>923238</v>
      </c>
      <c r="T307" s="41" t="s">
        <v>569</v>
      </c>
      <c r="U307" s="41" t="s">
        <v>29</v>
      </c>
      <c r="V307" s="41" t="s">
        <v>30</v>
      </c>
      <c r="W307" s="42" t="s">
        <v>31</v>
      </c>
      <c r="X307" s="42" t="s">
        <v>32</v>
      </c>
      <c r="Y307" s="42" t="s">
        <v>33</v>
      </c>
      <c r="Z307" s="42" t="s">
        <v>2937</v>
      </c>
      <c r="AA307" s="42" t="s">
        <v>34</v>
      </c>
      <c r="AB307" s="42" t="s">
        <v>34</v>
      </c>
      <c r="AC307" s="42" t="s">
        <v>34</v>
      </c>
      <c r="AD307" s="42" t="s">
        <v>462</v>
      </c>
      <c r="AE307" s="42"/>
      <c r="AF307" s="42"/>
      <c r="AG307" s="42" t="s">
        <v>463</v>
      </c>
      <c r="AH307" s="42"/>
      <c r="AI307" s="44"/>
      <c r="AJ307" s="42"/>
      <c r="AK307" s="44"/>
      <c r="AL307" s="42"/>
      <c r="AM307" s="52">
        <v>125</v>
      </c>
      <c r="AN307" s="52">
        <v>125</v>
      </c>
      <c r="AO307" s="52">
        <v>26225</v>
      </c>
      <c r="AP307" s="52">
        <v>0</v>
      </c>
      <c r="AQ307" s="42"/>
      <c r="AR307" s="52">
        <v>31425</v>
      </c>
      <c r="AS307" s="52">
        <v>64599825</v>
      </c>
      <c r="AT307" s="52">
        <v>0</v>
      </c>
      <c r="AU307" s="41" t="s">
        <v>1526</v>
      </c>
      <c r="AV307" s="41" t="s">
        <v>356</v>
      </c>
      <c r="AW307" s="41" t="s">
        <v>1782</v>
      </c>
      <c r="AX307" s="41" t="s">
        <v>742</v>
      </c>
    </row>
    <row r="308" spans="1:50" x14ac:dyDescent="0.2">
      <c r="A308" s="40">
        <v>64599925</v>
      </c>
      <c r="B308" s="41" t="s">
        <v>2804</v>
      </c>
      <c r="C308" s="41" t="s">
        <v>3196</v>
      </c>
      <c r="D308" s="41" t="s">
        <v>460</v>
      </c>
      <c r="E308" s="49">
        <v>2489112</v>
      </c>
      <c r="F308" s="49">
        <v>12500</v>
      </c>
      <c r="G308" s="50">
        <v>2476612</v>
      </c>
      <c r="H308" s="42" t="s">
        <v>2615</v>
      </c>
      <c r="I308" s="42" t="s">
        <v>461</v>
      </c>
      <c r="J308" s="43" t="s">
        <v>351</v>
      </c>
      <c r="K308" s="40">
        <v>39656823</v>
      </c>
      <c r="L308" s="41" t="s">
        <v>1784</v>
      </c>
      <c r="M308" s="41" t="s">
        <v>316</v>
      </c>
      <c r="N308" s="41" t="s">
        <v>317</v>
      </c>
      <c r="O308" s="41" t="s">
        <v>1785</v>
      </c>
      <c r="P308" s="41" t="s">
        <v>319</v>
      </c>
      <c r="Q308" s="40">
        <v>890903938</v>
      </c>
      <c r="R308" s="41" t="s">
        <v>342</v>
      </c>
      <c r="S308" s="40">
        <v>923210</v>
      </c>
      <c r="T308" s="41" t="s">
        <v>56</v>
      </c>
      <c r="U308" s="41" t="s">
        <v>57</v>
      </c>
      <c r="V308" s="41" t="s">
        <v>58</v>
      </c>
      <c r="W308" s="42" t="s">
        <v>31</v>
      </c>
      <c r="X308" s="42" t="s">
        <v>32</v>
      </c>
      <c r="Y308" s="42" t="s">
        <v>33</v>
      </c>
      <c r="Z308" s="42" t="s">
        <v>3085</v>
      </c>
      <c r="AA308" s="42" t="s">
        <v>34</v>
      </c>
      <c r="AB308" s="42" t="s">
        <v>34</v>
      </c>
      <c r="AC308" s="42" t="s">
        <v>34</v>
      </c>
      <c r="AD308" s="42" t="s">
        <v>462</v>
      </c>
      <c r="AE308" s="42"/>
      <c r="AF308" s="42"/>
      <c r="AG308" s="42" t="s">
        <v>463</v>
      </c>
      <c r="AH308" s="42"/>
      <c r="AI308" s="44"/>
      <c r="AJ308" s="42"/>
      <c r="AK308" s="44"/>
      <c r="AL308" s="42"/>
      <c r="AM308" s="52">
        <v>825</v>
      </c>
      <c r="AN308" s="52">
        <v>825</v>
      </c>
      <c r="AO308" s="52">
        <v>26325</v>
      </c>
      <c r="AP308" s="52">
        <v>0</v>
      </c>
      <c r="AQ308" s="42"/>
      <c r="AR308" s="52">
        <v>31525</v>
      </c>
      <c r="AS308" s="52">
        <v>64599925</v>
      </c>
      <c r="AT308" s="52">
        <v>0</v>
      </c>
      <c r="AU308" s="41" t="s">
        <v>1526</v>
      </c>
      <c r="AV308" s="41" t="s">
        <v>356</v>
      </c>
      <c r="AW308" s="41" t="s">
        <v>1787</v>
      </c>
      <c r="AX308" s="41" t="s">
        <v>1332</v>
      </c>
    </row>
    <row r="309" spans="1:50" x14ac:dyDescent="0.2">
      <c r="A309" s="40">
        <v>64600025</v>
      </c>
      <c r="B309" s="41" t="s">
        <v>2804</v>
      </c>
      <c r="C309" s="41" t="s">
        <v>3026</v>
      </c>
      <c r="D309" s="41" t="s">
        <v>460</v>
      </c>
      <c r="E309" s="49">
        <v>3219658</v>
      </c>
      <c r="F309" s="49">
        <v>16883</v>
      </c>
      <c r="G309" s="50">
        <v>3202775</v>
      </c>
      <c r="H309" s="42" t="s">
        <v>2615</v>
      </c>
      <c r="I309" s="42" t="s">
        <v>461</v>
      </c>
      <c r="J309" s="43" t="s">
        <v>351</v>
      </c>
      <c r="K309" s="40">
        <v>93122691</v>
      </c>
      <c r="L309" s="41" t="s">
        <v>1789</v>
      </c>
      <c r="M309" s="41" t="s">
        <v>316</v>
      </c>
      <c r="N309" s="41" t="s">
        <v>317</v>
      </c>
      <c r="O309" s="41" t="s">
        <v>1790</v>
      </c>
      <c r="P309" s="41" t="s">
        <v>319</v>
      </c>
      <c r="Q309" s="40">
        <v>860007335</v>
      </c>
      <c r="R309" s="41" t="s">
        <v>381</v>
      </c>
      <c r="S309" s="40">
        <v>923210</v>
      </c>
      <c r="T309" s="41" t="s">
        <v>56</v>
      </c>
      <c r="U309" s="41" t="s">
        <v>57</v>
      </c>
      <c r="V309" s="41" t="s">
        <v>58</v>
      </c>
      <c r="W309" s="42" t="s">
        <v>31</v>
      </c>
      <c r="X309" s="42" t="s">
        <v>32</v>
      </c>
      <c r="Y309" s="42" t="s">
        <v>33</v>
      </c>
      <c r="Z309" s="42" t="s">
        <v>2937</v>
      </c>
      <c r="AA309" s="42" t="s">
        <v>34</v>
      </c>
      <c r="AB309" s="42" t="s">
        <v>34</v>
      </c>
      <c r="AC309" s="42" t="s">
        <v>34</v>
      </c>
      <c r="AD309" s="42" t="s">
        <v>462</v>
      </c>
      <c r="AE309" s="42"/>
      <c r="AF309" s="42"/>
      <c r="AG309" s="42" t="s">
        <v>463</v>
      </c>
      <c r="AH309" s="42"/>
      <c r="AI309" s="44"/>
      <c r="AJ309" s="42"/>
      <c r="AK309" s="44"/>
      <c r="AL309" s="42"/>
      <c r="AM309" s="52">
        <v>825</v>
      </c>
      <c r="AN309" s="52">
        <v>825</v>
      </c>
      <c r="AO309" s="52">
        <v>26425</v>
      </c>
      <c r="AP309" s="52">
        <v>0</v>
      </c>
      <c r="AQ309" s="42"/>
      <c r="AR309" s="52">
        <v>31625</v>
      </c>
      <c r="AS309" s="52">
        <v>64600025</v>
      </c>
      <c r="AT309" s="52">
        <v>0</v>
      </c>
      <c r="AU309" s="41" t="s">
        <v>1526</v>
      </c>
      <c r="AV309" s="41" t="s">
        <v>356</v>
      </c>
      <c r="AW309" s="41" t="s">
        <v>1792</v>
      </c>
      <c r="AX309" s="41" t="s">
        <v>1332</v>
      </c>
    </row>
    <row r="310" spans="1:50" x14ac:dyDescent="0.2">
      <c r="A310" s="40">
        <v>64600125</v>
      </c>
      <c r="B310" s="41" t="s">
        <v>2804</v>
      </c>
      <c r="C310" s="41" t="s">
        <v>3135</v>
      </c>
      <c r="D310" s="41" t="s">
        <v>460</v>
      </c>
      <c r="E310" s="49">
        <v>3219658</v>
      </c>
      <c r="F310" s="49">
        <v>16883</v>
      </c>
      <c r="G310" s="50">
        <v>3202775</v>
      </c>
      <c r="H310" s="42" t="s">
        <v>2615</v>
      </c>
      <c r="I310" s="42" t="s">
        <v>461</v>
      </c>
      <c r="J310" s="43" t="s">
        <v>351</v>
      </c>
      <c r="K310" s="40">
        <v>79572241</v>
      </c>
      <c r="L310" s="41" t="s">
        <v>1794</v>
      </c>
      <c r="M310" s="41" t="s">
        <v>316</v>
      </c>
      <c r="N310" s="41" t="s">
        <v>317</v>
      </c>
      <c r="O310" s="41" t="s">
        <v>1795</v>
      </c>
      <c r="P310" s="41" t="s">
        <v>319</v>
      </c>
      <c r="Q310" s="40">
        <v>860034313</v>
      </c>
      <c r="R310" s="41" t="s">
        <v>355</v>
      </c>
      <c r="S310" s="40">
        <v>923210</v>
      </c>
      <c r="T310" s="41" t="s">
        <v>56</v>
      </c>
      <c r="U310" s="41" t="s">
        <v>57</v>
      </c>
      <c r="V310" s="41" t="s">
        <v>58</v>
      </c>
      <c r="W310" s="42" t="s">
        <v>31</v>
      </c>
      <c r="X310" s="42" t="s">
        <v>32</v>
      </c>
      <c r="Y310" s="42" t="s">
        <v>33</v>
      </c>
      <c r="Z310" s="42" t="s">
        <v>2937</v>
      </c>
      <c r="AA310" s="42" t="s">
        <v>34</v>
      </c>
      <c r="AB310" s="42" t="s">
        <v>34</v>
      </c>
      <c r="AC310" s="42" t="s">
        <v>34</v>
      </c>
      <c r="AD310" s="42" t="s">
        <v>462</v>
      </c>
      <c r="AE310" s="42"/>
      <c r="AF310" s="42"/>
      <c r="AG310" s="42" t="s">
        <v>463</v>
      </c>
      <c r="AH310" s="42"/>
      <c r="AI310" s="44"/>
      <c r="AJ310" s="42"/>
      <c r="AK310" s="44"/>
      <c r="AL310" s="42"/>
      <c r="AM310" s="52">
        <v>825</v>
      </c>
      <c r="AN310" s="52">
        <v>825</v>
      </c>
      <c r="AO310" s="52">
        <v>26525</v>
      </c>
      <c r="AP310" s="52">
        <v>0</v>
      </c>
      <c r="AQ310" s="42"/>
      <c r="AR310" s="52">
        <v>31725</v>
      </c>
      <c r="AS310" s="52">
        <v>64600125</v>
      </c>
      <c r="AT310" s="52">
        <v>0</v>
      </c>
      <c r="AU310" s="41" t="s">
        <v>1526</v>
      </c>
      <c r="AV310" s="41" t="s">
        <v>356</v>
      </c>
      <c r="AW310" s="41" t="s">
        <v>1797</v>
      </c>
      <c r="AX310" s="41" t="s">
        <v>1332</v>
      </c>
    </row>
    <row r="311" spans="1:50" x14ac:dyDescent="0.2">
      <c r="A311" s="40">
        <v>64600225</v>
      </c>
      <c r="B311" s="41" t="s">
        <v>2804</v>
      </c>
      <c r="C311" s="41" t="s">
        <v>3193</v>
      </c>
      <c r="D311" s="41" t="s">
        <v>460</v>
      </c>
      <c r="E311" s="49">
        <v>3219658</v>
      </c>
      <c r="F311" s="49">
        <v>16883</v>
      </c>
      <c r="G311" s="50">
        <v>3202775</v>
      </c>
      <c r="H311" s="42" t="s">
        <v>2615</v>
      </c>
      <c r="I311" s="42" t="s">
        <v>461</v>
      </c>
      <c r="J311" s="43" t="s">
        <v>351</v>
      </c>
      <c r="K311" s="40">
        <v>1015994841</v>
      </c>
      <c r="L311" s="41" t="s">
        <v>1799</v>
      </c>
      <c r="M311" s="41" t="s">
        <v>316</v>
      </c>
      <c r="N311" s="41" t="s">
        <v>317</v>
      </c>
      <c r="O311" s="41" t="s">
        <v>1800</v>
      </c>
      <c r="P311" s="41" t="s">
        <v>319</v>
      </c>
      <c r="Q311" s="40">
        <v>890903938</v>
      </c>
      <c r="R311" s="41" t="s">
        <v>342</v>
      </c>
      <c r="S311" s="40">
        <v>923210</v>
      </c>
      <c r="T311" s="41" t="s">
        <v>56</v>
      </c>
      <c r="U311" s="41" t="s">
        <v>57</v>
      </c>
      <c r="V311" s="41" t="s">
        <v>58</v>
      </c>
      <c r="W311" s="42" t="s">
        <v>31</v>
      </c>
      <c r="X311" s="42" t="s">
        <v>32</v>
      </c>
      <c r="Y311" s="42" t="s">
        <v>33</v>
      </c>
      <c r="Z311" s="42" t="s">
        <v>2937</v>
      </c>
      <c r="AA311" s="42" t="s">
        <v>34</v>
      </c>
      <c r="AB311" s="42" t="s">
        <v>34</v>
      </c>
      <c r="AC311" s="42" t="s">
        <v>34</v>
      </c>
      <c r="AD311" s="42" t="s">
        <v>462</v>
      </c>
      <c r="AE311" s="42"/>
      <c r="AF311" s="42"/>
      <c r="AG311" s="42" t="s">
        <v>463</v>
      </c>
      <c r="AH311" s="42"/>
      <c r="AI311" s="44"/>
      <c r="AJ311" s="42"/>
      <c r="AK311" s="44"/>
      <c r="AL311" s="42"/>
      <c r="AM311" s="52">
        <v>825</v>
      </c>
      <c r="AN311" s="52">
        <v>825</v>
      </c>
      <c r="AO311" s="52">
        <v>26625</v>
      </c>
      <c r="AP311" s="52">
        <v>0</v>
      </c>
      <c r="AQ311" s="42"/>
      <c r="AR311" s="52">
        <v>31825</v>
      </c>
      <c r="AS311" s="52">
        <v>64600225</v>
      </c>
      <c r="AT311" s="52">
        <v>0</v>
      </c>
      <c r="AU311" s="41" t="s">
        <v>1526</v>
      </c>
      <c r="AV311" s="41" t="s">
        <v>356</v>
      </c>
      <c r="AW311" s="41" t="s">
        <v>1802</v>
      </c>
      <c r="AX311" s="41" t="s">
        <v>1332</v>
      </c>
    </row>
    <row r="312" spans="1:50" x14ac:dyDescent="0.2">
      <c r="A312" s="40">
        <v>64600325</v>
      </c>
      <c r="B312" s="41" t="s">
        <v>2804</v>
      </c>
      <c r="C312" s="41" t="s">
        <v>3133</v>
      </c>
      <c r="D312" s="41" t="s">
        <v>460</v>
      </c>
      <c r="E312" s="49">
        <v>3219658</v>
      </c>
      <c r="F312" s="49">
        <v>18321</v>
      </c>
      <c r="G312" s="50">
        <v>3201337</v>
      </c>
      <c r="H312" s="42" t="s">
        <v>2615</v>
      </c>
      <c r="I312" s="42" t="s">
        <v>461</v>
      </c>
      <c r="J312" s="43" t="s">
        <v>351</v>
      </c>
      <c r="K312" s="40">
        <v>45464937</v>
      </c>
      <c r="L312" s="41" t="s">
        <v>1804</v>
      </c>
      <c r="M312" s="41" t="s">
        <v>316</v>
      </c>
      <c r="N312" s="41" t="s">
        <v>317</v>
      </c>
      <c r="O312" s="41" t="s">
        <v>1805</v>
      </c>
      <c r="P312" s="41" t="s">
        <v>319</v>
      </c>
      <c r="Q312" s="40">
        <v>890903938</v>
      </c>
      <c r="R312" s="41" t="s">
        <v>342</v>
      </c>
      <c r="S312" s="40">
        <v>923210</v>
      </c>
      <c r="T312" s="41" t="s">
        <v>56</v>
      </c>
      <c r="U312" s="41" t="s">
        <v>57</v>
      </c>
      <c r="V312" s="41" t="s">
        <v>58</v>
      </c>
      <c r="W312" s="42" t="s">
        <v>31</v>
      </c>
      <c r="X312" s="42" t="s">
        <v>32</v>
      </c>
      <c r="Y312" s="42" t="s">
        <v>33</v>
      </c>
      <c r="Z312" s="42" t="s">
        <v>2937</v>
      </c>
      <c r="AA312" s="42" t="s">
        <v>34</v>
      </c>
      <c r="AB312" s="42" t="s">
        <v>34</v>
      </c>
      <c r="AC312" s="42" t="s">
        <v>34</v>
      </c>
      <c r="AD312" s="42" t="s">
        <v>462</v>
      </c>
      <c r="AE312" s="42"/>
      <c r="AF312" s="42"/>
      <c r="AG312" s="42" t="s">
        <v>463</v>
      </c>
      <c r="AH312" s="42"/>
      <c r="AI312" s="44"/>
      <c r="AJ312" s="42"/>
      <c r="AK312" s="44"/>
      <c r="AL312" s="42"/>
      <c r="AM312" s="52">
        <v>825</v>
      </c>
      <c r="AN312" s="52">
        <v>825</v>
      </c>
      <c r="AO312" s="52">
        <v>26725</v>
      </c>
      <c r="AP312" s="52">
        <v>0</v>
      </c>
      <c r="AQ312" s="42"/>
      <c r="AR312" s="52">
        <v>31925</v>
      </c>
      <c r="AS312" s="52">
        <v>64600325</v>
      </c>
      <c r="AT312" s="52">
        <v>0</v>
      </c>
      <c r="AU312" s="41" t="s">
        <v>1526</v>
      </c>
      <c r="AV312" s="41" t="s">
        <v>356</v>
      </c>
      <c r="AW312" s="41" t="s">
        <v>1807</v>
      </c>
      <c r="AX312" s="41" t="s">
        <v>1332</v>
      </c>
    </row>
    <row r="313" spans="1:50" x14ac:dyDescent="0.2">
      <c r="A313" s="40">
        <v>64600425</v>
      </c>
      <c r="B313" s="41" t="s">
        <v>2804</v>
      </c>
      <c r="C313" s="41" t="s">
        <v>3202</v>
      </c>
      <c r="D313" s="41" t="s">
        <v>460</v>
      </c>
      <c r="E313" s="49">
        <v>3219658</v>
      </c>
      <c r="F313" s="49">
        <v>16883</v>
      </c>
      <c r="G313" s="50">
        <v>3202775</v>
      </c>
      <c r="H313" s="42" t="s">
        <v>2615</v>
      </c>
      <c r="I313" s="42" t="s">
        <v>461</v>
      </c>
      <c r="J313" s="43" t="s">
        <v>351</v>
      </c>
      <c r="K313" s="40">
        <v>79431471</v>
      </c>
      <c r="L313" s="41" t="s">
        <v>1809</v>
      </c>
      <c r="M313" s="41" t="s">
        <v>316</v>
      </c>
      <c r="N313" s="41" t="s">
        <v>317</v>
      </c>
      <c r="O313" s="41" t="s">
        <v>1810</v>
      </c>
      <c r="P313" s="41" t="s">
        <v>319</v>
      </c>
      <c r="Q313" s="40">
        <v>800037800</v>
      </c>
      <c r="R313" s="41" t="s">
        <v>660</v>
      </c>
      <c r="S313" s="40">
        <v>923210</v>
      </c>
      <c r="T313" s="41" t="s">
        <v>56</v>
      </c>
      <c r="U313" s="41" t="s">
        <v>57</v>
      </c>
      <c r="V313" s="41" t="s">
        <v>58</v>
      </c>
      <c r="W313" s="42" t="s">
        <v>31</v>
      </c>
      <c r="X313" s="42" t="s">
        <v>32</v>
      </c>
      <c r="Y313" s="42" t="s">
        <v>33</v>
      </c>
      <c r="Z313" s="42" t="s">
        <v>2937</v>
      </c>
      <c r="AA313" s="42" t="s">
        <v>34</v>
      </c>
      <c r="AB313" s="42" t="s">
        <v>34</v>
      </c>
      <c r="AC313" s="42" t="s">
        <v>34</v>
      </c>
      <c r="AD313" s="42" t="s">
        <v>462</v>
      </c>
      <c r="AE313" s="42"/>
      <c r="AF313" s="42"/>
      <c r="AG313" s="42" t="s">
        <v>463</v>
      </c>
      <c r="AH313" s="42"/>
      <c r="AI313" s="44"/>
      <c r="AJ313" s="42"/>
      <c r="AK313" s="44"/>
      <c r="AL313" s="42"/>
      <c r="AM313" s="52">
        <v>825</v>
      </c>
      <c r="AN313" s="52">
        <v>825</v>
      </c>
      <c r="AO313" s="52">
        <v>26825</v>
      </c>
      <c r="AP313" s="52">
        <v>0</v>
      </c>
      <c r="AQ313" s="42"/>
      <c r="AR313" s="52">
        <v>32025</v>
      </c>
      <c r="AS313" s="52">
        <v>64600425</v>
      </c>
      <c r="AT313" s="52">
        <v>0</v>
      </c>
      <c r="AU313" s="41" t="s">
        <v>1526</v>
      </c>
      <c r="AV313" s="41" t="s">
        <v>356</v>
      </c>
      <c r="AW313" s="41" t="s">
        <v>1812</v>
      </c>
      <c r="AX313" s="41" t="s">
        <v>1332</v>
      </c>
    </row>
    <row r="314" spans="1:50" x14ac:dyDescent="0.2">
      <c r="A314" s="40">
        <v>64600525</v>
      </c>
      <c r="B314" s="41" t="s">
        <v>2804</v>
      </c>
      <c r="C314" s="41" t="s">
        <v>3175</v>
      </c>
      <c r="D314" s="41" t="s">
        <v>460</v>
      </c>
      <c r="E314" s="49">
        <v>3219658</v>
      </c>
      <c r="F314" s="49">
        <v>17694</v>
      </c>
      <c r="G314" s="50">
        <v>3201964</v>
      </c>
      <c r="H314" s="42" t="s">
        <v>2615</v>
      </c>
      <c r="I314" s="42" t="s">
        <v>461</v>
      </c>
      <c r="J314" s="43" t="s">
        <v>351</v>
      </c>
      <c r="K314" s="40">
        <v>80249078</v>
      </c>
      <c r="L314" s="41" t="s">
        <v>1814</v>
      </c>
      <c r="M314" s="41" t="s">
        <v>316</v>
      </c>
      <c r="N314" s="41" t="s">
        <v>317</v>
      </c>
      <c r="O314" s="41" t="s">
        <v>1815</v>
      </c>
      <c r="P314" s="41" t="s">
        <v>319</v>
      </c>
      <c r="Q314" s="40">
        <v>860035827</v>
      </c>
      <c r="R314" s="41" t="s">
        <v>653</v>
      </c>
      <c r="S314" s="40">
        <v>923210</v>
      </c>
      <c r="T314" s="41" t="s">
        <v>56</v>
      </c>
      <c r="U314" s="41" t="s">
        <v>57</v>
      </c>
      <c r="V314" s="41" t="s">
        <v>58</v>
      </c>
      <c r="W314" s="42" t="s">
        <v>31</v>
      </c>
      <c r="X314" s="42" t="s">
        <v>32</v>
      </c>
      <c r="Y314" s="42" t="s">
        <v>33</v>
      </c>
      <c r="Z314" s="42" t="s">
        <v>2937</v>
      </c>
      <c r="AA314" s="42" t="s">
        <v>34</v>
      </c>
      <c r="AB314" s="42" t="s">
        <v>34</v>
      </c>
      <c r="AC314" s="42" t="s">
        <v>34</v>
      </c>
      <c r="AD314" s="42" t="s">
        <v>462</v>
      </c>
      <c r="AE314" s="42"/>
      <c r="AF314" s="42"/>
      <c r="AG314" s="42" t="s">
        <v>463</v>
      </c>
      <c r="AH314" s="42"/>
      <c r="AI314" s="44"/>
      <c r="AJ314" s="42"/>
      <c r="AK314" s="44"/>
      <c r="AL314" s="42"/>
      <c r="AM314" s="52">
        <v>825</v>
      </c>
      <c r="AN314" s="52">
        <v>825</v>
      </c>
      <c r="AO314" s="52">
        <v>26925</v>
      </c>
      <c r="AP314" s="52">
        <v>0</v>
      </c>
      <c r="AQ314" s="42"/>
      <c r="AR314" s="52">
        <v>32125</v>
      </c>
      <c r="AS314" s="52">
        <v>64600525</v>
      </c>
      <c r="AT314" s="52">
        <v>0</v>
      </c>
      <c r="AU314" s="41" t="s">
        <v>1526</v>
      </c>
      <c r="AV314" s="41" t="s">
        <v>356</v>
      </c>
      <c r="AW314" s="41" t="s">
        <v>1817</v>
      </c>
      <c r="AX314" s="41" t="s">
        <v>1332</v>
      </c>
    </row>
    <row r="315" spans="1:50" x14ac:dyDescent="0.2">
      <c r="A315" s="40">
        <v>64600625</v>
      </c>
      <c r="B315" s="41" t="s">
        <v>2804</v>
      </c>
      <c r="C315" s="41" t="s">
        <v>3093</v>
      </c>
      <c r="D315" s="41" t="s">
        <v>460</v>
      </c>
      <c r="E315" s="49">
        <v>3219658</v>
      </c>
      <c r="F315" s="49">
        <v>16883</v>
      </c>
      <c r="G315" s="50">
        <v>3202775</v>
      </c>
      <c r="H315" s="42" t="s">
        <v>2615</v>
      </c>
      <c r="I315" s="42" t="s">
        <v>461</v>
      </c>
      <c r="J315" s="43" t="s">
        <v>351</v>
      </c>
      <c r="K315" s="40">
        <v>93343728</v>
      </c>
      <c r="L315" s="41" t="s">
        <v>1819</v>
      </c>
      <c r="M315" s="41" t="s">
        <v>316</v>
      </c>
      <c r="N315" s="41" t="s">
        <v>317</v>
      </c>
      <c r="O315" s="41" t="s">
        <v>1820</v>
      </c>
      <c r="P315" s="41" t="s">
        <v>319</v>
      </c>
      <c r="Q315" s="40">
        <v>860007335</v>
      </c>
      <c r="R315" s="41" t="s">
        <v>381</v>
      </c>
      <c r="S315" s="40">
        <v>923210</v>
      </c>
      <c r="T315" s="41" t="s">
        <v>56</v>
      </c>
      <c r="U315" s="41" t="s">
        <v>57</v>
      </c>
      <c r="V315" s="41" t="s">
        <v>58</v>
      </c>
      <c r="W315" s="42" t="s">
        <v>31</v>
      </c>
      <c r="X315" s="42" t="s">
        <v>32</v>
      </c>
      <c r="Y315" s="42" t="s">
        <v>33</v>
      </c>
      <c r="Z315" s="42" t="s">
        <v>2937</v>
      </c>
      <c r="AA315" s="42" t="s">
        <v>34</v>
      </c>
      <c r="AB315" s="42" t="s">
        <v>34</v>
      </c>
      <c r="AC315" s="42" t="s">
        <v>34</v>
      </c>
      <c r="AD315" s="42" t="s">
        <v>462</v>
      </c>
      <c r="AE315" s="42"/>
      <c r="AF315" s="42"/>
      <c r="AG315" s="42" t="s">
        <v>463</v>
      </c>
      <c r="AH315" s="42"/>
      <c r="AI315" s="44"/>
      <c r="AJ315" s="42"/>
      <c r="AK315" s="44"/>
      <c r="AL315" s="42"/>
      <c r="AM315" s="52">
        <v>825</v>
      </c>
      <c r="AN315" s="52">
        <v>825</v>
      </c>
      <c r="AO315" s="52">
        <v>27025</v>
      </c>
      <c r="AP315" s="52">
        <v>0</v>
      </c>
      <c r="AQ315" s="42"/>
      <c r="AR315" s="52">
        <v>32225</v>
      </c>
      <c r="AS315" s="52">
        <v>64600625</v>
      </c>
      <c r="AT315" s="52">
        <v>0</v>
      </c>
      <c r="AU315" s="41" t="s">
        <v>1526</v>
      </c>
      <c r="AV315" s="41" t="s">
        <v>356</v>
      </c>
      <c r="AW315" s="41" t="s">
        <v>1822</v>
      </c>
      <c r="AX315" s="41" t="s">
        <v>1332</v>
      </c>
    </row>
    <row r="316" spans="1:50" x14ac:dyDescent="0.2">
      <c r="A316" s="40">
        <v>64600725</v>
      </c>
      <c r="B316" s="41" t="s">
        <v>2804</v>
      </c>
      <c r="C316" s="41" t="s">
        <v>3206</v>
      </c>
      <c r="D316" s="41" t="s">
        <v>460</v>
      </c>
      <c r="E316" s="49">
        <v>2489112</v>
      </c>
      <c r="F316" s="49">
        <v>12500</v>
      </c>
      <c r="G316" s="50">
        <v>2476612</v>
      </c>
      <c r="H316" s="42" t="s">
        <v>2615</v>
      </c>
      <c r="I316" s="42" t="s">
        <v>461</v>
      </c>
      <c r="J316" s="43" t="s">
        <v>351</v>
      </c>
      <c r="K316" s="40">
        <v>52843265</v>
      </c>
      <c r="L316" s="41" t="s">
        <v>1824</v>
      </c>
      <c r="M316" s="41" t="s">
        <v>316</v>
      </c>
      <c r="N316" s="41" t="s">
        <v>317</v>
      </c>
      <c r="O316" s="41" t="s">
        <v>1825</v>
      </c>
      <c r="P316" s="41" t="s">
        <v>319</v>
      </c>
      <c r="Q316" s="40">
        <v>860007335</v>
      </c>
      <c r="R316" s="41" t="s">
        <v>381</v>
      </c>
      <c r="S316" s="40">
        <v>923210</v>
      </c>
      <c r="T316" s="41" t="s">
        <v>56</v>
      </c>
      <c r="U316" s="41" t="s">
        <v>57</v>
      </c>
      <c r="V316" s="41" t="s">
        <v>58</v>
      </c>
      <c r="W316" s="42" t="s">
        <v>31</v>
      </c>
      <c r="X316" s="42" t="s">
        <v>32</v>
      </c>
      <c r="Y316" s="42" t="s">
        <v>33</v>
      </c>
      <c r="Z316" s="42" t="s">
        <v>3085</v>
      </c>
      <c r="AA316" s="42" t="s">
        <v>34</v>
      </c>
      <c r="AB316" s="42" t="s">
        <v>34</v>
      </c>
      <c r="AC316" s="42" t="s">
        <v>34</v>
      </c>
      <c r="AD316" s="42" t="s">
        <v>462</v>
      </c>
      <c r="AE316" s="42"/>
      <c r="AF316" s="42"/>
      <c r="AG316" s="42" t="s">
        <v>463</v>
      </c>
      <c r="AH316" s="42"/>
      <c r="AI316" s="44"/>
      <c r="AJ316" s="42"/>
      <c r="AK316" s="44"/>
      <c r="AL316" s="42"/>
      <c r="AM316" s="52">
        <v>825</v>
      </c>
      <c r="AN316" s="52">
        <v>825</v>
      </c>
      <c r="AO316" s="52">
        <v>27125</v>
      </c>
      <c r="AP316" s="52">
        <v>0</v>
      </c>
      <c r="AQ316" s="42"/>
      <c r="AR316" s="52">
        <v>32325</v>
      </c>
      <c r="AS316" s="52">
        <v>64600725</v>
      </c>
      <c r="AT316" s="52">
        <v>0</v>
      </c>
      <c r="AU316" s="41" t="s">
        <v>1526</v>
      </c>
      <c r="AV316" s="41" t="s">
        <v>356</v>
      </c>
      <c r="AW316" s="41" t="s">
        <v>1827</v>
      </c>
      <c r="AX316" s="41" t="s">
        <v>1332</v>
      </c>
    </row>
    <row r="317" spans="1:50" x14ac:dyDescent="0.2">
      <c r="A317" s="40">
        <v>64600825</v>
      </c>
      <c r="B317" s="41" t="s">
        <v>2804</v>
      </c>
      <c r="C317" s="41" t="s">
        <v>3208</v>
      </c>
      <c r="D317" s="41" t="s">
        <v>460</v>
      </c>
      <c r="E317" s="49">
        <v>2170000</v>
      </c>
      <c r="F317" s="49">
        <v>10585</v>
      </c>
      <c r="G317" s="50">
        <v>2159415</v>
      </c>
      <c r="H317" s="42" t="s">
        <v>2615</v>
      </c>
      <c r="I317" s="42" t="s">
        <v>461</v>
      </c>
      <c r="J317" s="43" t="s">
        <v>351</v>
      </c>
      <c r="K317" s="40">
        <v>1010151692</v>
      </c>
      <c r="L317" s="41" t="s">
        <v>1830</v>
      </c>
      <c r="M317" s="41" t="s">
        <v>316</v>
      </c>
      <c r="N317" s="41" t="s">
        <v>317</v>
      </c>
      <c r="O317" s="41" t="s">
        <v>1831</v>
      </c>
      <c r="P317" s="41" t="s">
        <v>319</v>
      </c>
      <c r="Q317" s="40">
        <v>860007335</v>
      </c>
      <c r="R317" s="41" t="s">
        <v>381</v>
      </c>
      <c r="S317" s="40">
        <v>923210</v>
      </c>
      <c r="T317" s="41" t="s">
        <v>56</v>
      </c>
      <c r="U317" s="41" t="s">
        <v>29</v>
      </c>
      <c r="V317" s="41" t="s">
        <v>30</v>
      </c>
      <c r="W317" s="42" t="s">
        <v>31</v>
      </c>
      <c r="X317" s="42" t="s">
        <v>32</v>
      </c>
      <c r="Y317" s="42" t="s">
        <v>33</v>
      </c>
      <c r="Z317" s="42" t="s">
        <v>3209</v>
      </c>
      <c r="AA317" s="42" t="s">
        <v>34</v>
      </c>
      <c r="AB317" s="42" t="s">
        <v>34</v>
      </c>
      <c r="AC317" s="42" t="s">
        <v>34</v>
      </c>
      <c r="AD317" s="42" t="s">
        <v>462</v>
      </c>
      <c r="AE317" s="42"/>
      <c r="AF317" s="42"/>
      <c r="AG317" s="42" t="s">
        <v>463</v>
      </c>
      <c r="AH317" s="42"/>
      <c r="AI317" s="44"/>
      <c r="AJ317" s="42"/>
      <c r="AK317" s="44"/>
      <c r="AL317" s="42"/>
      <c r="AM317" s="52">
        <v>1925</v>
      </c>
      <c r="AN317" s="52">
        <v>1925</v>
      </c>
      <c r="AO317" s="52">
        <v>27225</v>
      </c>
      <c r="AP317" s="52">
        <v>0</v>
      </c>
      <c r="AQ317" s="42"/>
      <c r="AR317" s="52">
        <v>32425</v>
      </c>
      <c r="AS317" s="52">
        <v>64600825</v>
      </c>
      <c r="AT317" s="52">
        <v>0</v>
      </c>
      <c r="AU317" s="41" t="s">
        <v>1828</v>
      </c>
      <c r="AV317" s="41" t="s">
        <v>356</v>
      </c>
      <c r="AW317" s="41" t="s">
        <v>1833</v>
      </c>
      <c r="AX317" s="41" t="s">
        <v>1834</v>
      </c>
    </row>
    <row r="318" spans="1:50" x14ac:dyDescent="0.2">
      <c r="A318" s="40">
        <v>64600925</v>
      </c>
      <c r="B318" s="41" t="s">
        <v>2804</v>
      </c>
      <c r="C318" s="41" t="s">
        <v>3211</v>
      </c>
      <c r="D318" s="41" t="s">
        <v>460</v>
      </c>
      <c r="E318" s="49">
        <v>1794713</v>
      </c>
      <c r="F318" s="49">
        <v>9226</v>
      </c>
      <c r="G318" s="50">
        <v>1785487</v>
      </c>
      <c r="H318" s="42" t="s">
        <v>2615</v>
      </c>
      <c r="I318" s="42" t="s">
        <v>461</v>
      </c>
      <c r="J318" s="43" t="s">
        <v>351</v>
      </c>
      <c r="K318" s="40">
        <v>1136889114</v>
      </c>
      <c r="L318" s="41" t="s">
        <v>1836</v>
      </c>
      <c r="M318" s="41" t="s">
        <v>316</v>
      </c>
      <c r="N318" s="41" t="s">
        <v>317</v>
      </c>
      <c r="O318" s="41" t="s">
        <v>1837</v>
      </c>
      <c r="P318" s="41" t="s">
        <v>319</v>
      </c>
      <c r="Q318" s="40">
        <v>860007335</v>
      </c>
      <c r="R318" s="41" t="s">
        <v>381</v>
      </c>
      <c r="S318" s="40">
        <v>923210</v>
      </c>
      <c r="T318" s="41" t="s">
        <v>56</v>
      </c>
      <c r="U318" s="41" t="s">
        <v>29</v>
      </c>
      <c r="V318" s="41" t="s">
        <v>30</v>
      </c>
      <c r="W318" s="42" t="s">
        <v>31</v>
      </c>
      <c r="X318" s="42" t="s">
        <v>32</v>
      </c>
      <c r="Y318" s="42" t="s">
        <v>33</v>
      </c>
      <c r="Z318" s="42" t="s">
        <v>3212</v>
      </c>
      <c r="AA318" s="42" t="s">
        <v>34</v>
      </c>
      <c r="AB318" s="42" t="s">
        <v>34</v>
      </c>
      <c r="AC318" s="42" t="s">
        <v>34</v>
      </c>
      <c r="AD318" s="42" t="s">
        <v>462</v>
      </c>
      <c r="AE318" s="42"/>
      <c r="AF318" s="42"/>
      <c r="AG318" s="42" t="s">
        <v>463</v>
      </c>
      <c r="AH318" s="42"/>
      <c r="AI318" s="44"/>
      <c r="AJ318" s="42"/>
      <c r="AK318" s="44"/>
      <c r="AL318" s="42"/>
      <c r="AM318" s="52">
        <v>1925</v>
      </c>
      <c r="AN318" s="52">
        <v>1925</v>
      </c>
      <c r="AO318" s="52">
        <v>27325</v>
      </c>
      <c r="AP318" s="52">
        <v>0</v>
      </c>
      <c r="AQ318" s="42"/>
      <c r="AR318" s="52">
        <v>32525</v>
      </c>
      <c r="AS318" s="52">
        <v>64600925</v>
      </c>
      <c r="AT318" s="52">
        <v>0</v>
      </c>
      <c r="AU318" s="41" t="s">
        <v>1828</v>
      </c>
      <c r="AV318" s="41" t="s">
        <v>356</v>
      </c>
      <c r="AW318" s="41" t="s">
        <v>1839</v>
      </c>
      <c r="AX318" s="41" t="s">
        <v>1840</v>
      </c>
    </row>
    <row r="319" spans="1:50" x14ac:dyDescent="0.2">
      <c r="A319" s="40">
        <v>64601025</v>
      </c>
      <c r="B319" s="41" t="s">
        <v>2804</v>
      </c>
      <c r="C319" s="41" t="s">
        <v>3214</v>
      </c>
      <c r="D319" s="41" t="s">
        <v>460</v>
      </c>
      <c r="E319" s="49">
        <v>1794713</v>
      </c>
      <c r="F319" s="49">
        <v>9226</v>
      </c>
      <c r="G319" s="50">
        <v>1785487</v>
      </c>
      <c r="H319" s="42" t="s">
        <v>2615</v>
      </c>
      <c r="I319" s="42" t="s">
        <v>461</v>
      </c>
      <c r="J319" s="43" t="s">
        <v>351</v>
      </c>
      <c r="K319" s="40">
        <v>16790163</v>
      </c>
      <c r="L319" s="41" t="s">
        <v>1842</v>
      </c>
      <c r="M319" s="41" t="s">
        <v>316</v>
      </c>
      <c r="N319" s="41" t="s">
        <v>317</v>
      </c>
      <c r="O319" s="41" t="s">
        <v>1843</v>
      </c>
      <c r="P319" s="41" t="s">
        <v>319</v>
      </c>
      <c r="Q319" s="40">
        <v>890903938</v>
      </c>
      <c r="R319" s="41" t="s">
        <v>342</v>
      </c>
      <c r="S319" s="40">
        <v>923210</v>
      </c>
      <c r="T319" s="41" t="s">
        <v>56</v>
      </c>
      <c r="U319" s="41" t="s">
        <v>29</v>
      </c>
      <c r="V319" s="41" t="s">
        <v>30</v>
      </c>
      <c r="W319" s="42" t="s">
        <v>31</v>
      </c>
      <c r="X319" s="42" t="s">
        <v>32</v>
      </c>
      <c r="Y319" s="42" t="s">
        <v>33</v>
      </c>
      <c r="Z319" s="42" t="s">
        <v>3212</v>
      </c>
      <c r="AA319" s="42" t="s">
        <v>34</v>
      </c>
      <c r="AB319" s="42" t="s">
        <v>34</v>
      </c>
      <c r="AC319" s="42" t="s">
        <v>34</v>
      </c>
      <c r="AD319" s="42" t="s">
        <v>462</v>
      </c>
      <c r="AE319" s="42"/>
      <c r="AF319" s="42"/>
      <c r="AG319" s="42" t="s">
        <v>463</v>
      </c>
      <c r="AH319" s="42"/>
      <c r="AI319" s="44"/>
      <c r="AJ319" s="42"/>
      <c r="AK319" s="44"/>
      <c r="AL319" s="42"/>
      <c r="AM319" s="52">
        <v>1925</v>
      </c>
      <c r="AN319" s="52">
        <v>1925</v>
      </c>
      <c r="AO319" s="52">
        <v>27425</v>
      </c>
      <c r="AP319" s="52">
        <v>0</v>
      </c>
      <c r="AQ319" s="42"/>
      <c r="AR319" s="52">
        <v>32625</v>
      </c>
      <c r="AS319" s="52">
        <v>64601025</v>
      </c>
      <c r="AT319" s="52">
        <v>0</v>
      </c>
      <c r="AU319" s="41" t="s">
        <v>1828</v>
      </c>
      <c r="AV319" s="41" t="s">
        <v>356</v>
      </c>
      <c r="AW319" s="41" t="s">
        <v>1845</v>
      </c>
      <c r="AX319" s="41" t="s">
        <v>1846</v>
      </c>
    </row>
    <row r="320" spans="1:50" x14ac:dyDescent="0.2">
      <c r="A320" s="40">
        <v>64601125</v>
      </c>
      <c r="B320" s="41" t="s">
        <v>2804</v>
      </c>
      <c r="C320" s="41" t="s">
        <v>3216</v>
      </c>
      <c r="D320" s="41" t="s">
        <v>460</v>
      </c>
      <c r="E320" s="49">
        <v>2660000</v>
      </c>
      <c r="F320" s="49">
        <v>14418</v>
      </c>
      <c r="G320" s="50">
        <v>2645582</v>
      </c>
      <c r="H320" s="42" t="s">
        <v>2615</v>
      </c>
      <c r="I320" s="42" t="s">
        <v>461</v>
      </c>
      <c r="J320" s="43" t="s">
        <v>351</v>
      </c>
      <c r="K320" s="40">
        <v>52905526</v>
      </c>
      <c r="L320" s="41" t="s">
        <v>1848</v>
      </c>
      <c r="M320" s="41" t="s">
        <v>316</v>
      </c>
      <c r="N320" s="41" t="s">
        <v>317</v>
      </c>
      <c r="O320" s="41" t="s">
        <v>1849</v>
      </c>
      <c r="P320" s="41" t="s">
        <v>319</v>
      </c>
      <c r="Q320" s="40">
        <v>860034313</v>
      </c>
      <c r="R320" s="41" t="s">
        <v>355</v>
      </c>
      <c r="S320" s="40">
        <v>923210</v>
      </c>
      <c r="T320" s="41" t="s">
        <v>56</v>
      </c>
      <c r="U320" s="41" t="s">
        <v>29</v>
      </c>
      <c r="V320" s="41" t="s">
        <v>30</v>
      </c>
      <c r="W320" s="42" t="s">
        <v>31</v>
      </c>
      <c r="X320" s="42" t="s">
        <v>32</v>
      </c>
      <c r="Y320" s="42" t="s">
        <v>33</v>
      </c>
      <c r="Z320" s="42" t="s">
        <v>3217</v>
      </c>
      <c r="AA320" s="42" t="s">
        <v>34</v>
      </c>
      <c r="AB320" s="42" t="s">
        <v>34</v>
      </c>
      <c r="AC320" s="42" t="s">
        <v>34</v>
      </c>
      <c r="AD320" s="42" t="s">
        <v>462</v>
      </c>
      <c r="AE320" s="42"/>
      <c r="AF320" s="42"/>
      <c r="AG320" s="42" t="s">
        <v>463</v>
      </c>
      <c r="AH320" s="42"/>
      <c r="AI320" s="44"/>
      <c r="AJ320" s="42"/>
      <c r="AK320" s="44"/>
      <c r="AL320" s="42"/>
      <c r="AM320" s="52">
        <v>1925</v>
      </c>
      <c r="AN320" s="52">
        <v>1925</v>
      </c>
      <c r="AO320" s="52">
        <v>27525</v>
      </c>
      <c r="AP320" s="52">
        <v>0</v>
      </c>
      <c r="AQ320" s="42"/>
      <c r="AR320" s="52">
        <v>32725</v>
      </c>
      <c r="AS320" s="52">
        <v>64601125</v>
      </c>
      <c r="AT320" s="52">
        <v>0</v>
      </c>
      <c r="AU320" s="41" t="s">
        <v>1828</v>
      </c>
      <c r="AV320" s="41" t="s">
        <v>356</v>
      </c>
      <c r="AW320" s="41" t="s">
        <v>1851</v>
      </c>
      <c r="AX320" s="41" t="s">
        <v>1852</v>
      </c>
    </row>
    <row r="321" spans="1:50" x14ac:dyDescent="0.2">
      <c r="A321" s="40">
        <v>64601225</v>
      </c>
      <c r="B321" s="41" t="s">
        <v>2804</v>
      </c>
      <c r="C321" s="41" t="s">
        <v>3219</v>
      </c>
      <c r="D321" s="41" t="s">
        <v>460</v>
      </c>
      <c r="E321" s="49">
        <v>2597334</v>
      </c>
      <c r="F321" s="49">
        <v>14042</v>
      </c>
      <c r="G321" s="50">
        <v>2583292</v>
      </c>
      <c r="H321" s="42" t="s">
        <v>2615</v>
      </c>
      <c r="I321" s="42" t="s">
        <v>461</v>
      </c>
      <c r="J321" s="43" t="s">
        <v>351</v>
      </c>
      <c r="K321" s="40">
        <v>79428808</v>
      </c>
      <c r="L321" s="41" t="s">
        <v>1854</v>
      </c>
      <c r="M321" s="41" t="s">
        <v>316</v>
      </c>
      <c r="N321" s="41" t="s">
        <v>317</v>
      </c>
      <c r="O321" s="41" t="s">
        <v>1855</v>
      </c>
      <c r="P321" s="41" t="s">
        <v>319</v>
      </c>
      <c r="Q321" s="40">
        <v>860007335</v>
      </c>
      <c r="R321" s="41" t="s">
        <v>381</v>
      </c>
      <c r="S321" s="40">
        <v>923210</v>
      </c>
      <c r="T321" s="41" t="s">
        <v>56</v>
      </c>
      <c r="U321" s="41" t="s">
        <v>29</v>
      </c>
      <c r="V321" s="41" t="s">
        <v>30</v>
      </c>
      <c r="W321" s="42" t="s">
        <v>31</v>
      </c>
      <c r="X321" s="42" t="s">
        <v>32</v>
      </c>
      <c r="Y321" s="42" t="s">
        <v>33</v>
      </c>
      <c r="Z321" s="42" t="s">
        <v>3220</v>
      </c>
      <c r="AA321" s="42" t="s">
        <v>34</v>
      </c>
      <c r="AB321" s="42" t="s">
        <v>34</v>
      </c>
      <c r="AC321" s="42" t="s">
        <v>34</v>
      </c>
      <c r="AD321" s="42" t="s">
        <v>462</v>
      </c>
      <c r="AE321" s="42"/>
      <c r="AF321" s="42"/>
      <c r="AG321" s="42" t="s">
        <v>463</v>
      </c>
      <c r="AH321" s="42"/>
      <c r="AI321" s="44"/>
      <c r="AJ321" s="42"/>
      <c r="AK321" s="44"/>
      <c r="AL321" s="42"/>
      <c r="AM321" s="52">
        <v>1925</v>
      </c>
      <c r="AN321" s="52">
        <v>1925</v>
      </c>
      <c r="AO321" s="52">
        <v>27625</v>
      </c>
      <c r="AP321" s="52">
        <v>0</v>
      </c>
      <c r="AQ321" s="42"/>
      <c r="AR321" s="52">
        <v>32825</v>
      </c>
      <c r="AS321" s="52">
        <v>64601225</v>
      </c>
      <c r="AT321" s="52">
        <v>0</v>
      </c>
      <c r="AU321" s="41" t="s">
        <v>1828</v>
      </c>
      <c r="AV321" s="41" t="s">
        <v>356</v>
      </c>
      <c r="AW321" s="41" t="s">
        <v>1857</v>
      </c>
      <c r="AX321" s="41" t="s">
        <v>1858</v>
      </c>
    </row>
    <row r="322" spans="1:50" x14ac:dyDescent="0.2">
      <c r="A322" s="40">
        <v>64601325</v>
      </c>
      <c r="B322" s="41" t="s">
        <v>2804</v>
      </c>
      <c r="C322" s="41" t="s">
        <v>3222</v>
      </c>
      <c r="D322" s="41" t="s">
        <v>460</v>
      </c>
      <c r="E322" s="49">
        <v>1672605</v>
      </c>
      <c r="F322" s="49">
        <v>8969</v>
      </c>
      <c r="G322" s="50">
        <v>1663636</v>
      </c>
      <c r="H322" s="42" t="s">
        <v>2615</v>
      </c>
      <c r="I322" s="42" t="s">
        <v>461</v>
      </c>
      <c r="J322" s="43" t="s">
        <v>351</v>
      </c>
      <c r="K322" s="40">
        <v>79207235</v>
      </c>
      <c r="L322" s="41" t="s">
        <v>1860</v>
      </c>
      <c r="M322" s="41" t="s">
        <v>316</v>
      </c>
      <c r="N322" s="41" t="s">
        <v>317</v>
      </c>
      <c r="O322" s="41" t="s">
        <v>1861</v>
      </c>
      <c r="P322" s="41" t="s">
        <v>319</v>
      </c>
      <c r="Q322" s="40">
        <v>860007335</v>
      </c>
      <c r="R322" s="41" t="s">
        <v>381</v>
      </c>
      <c r="S322" s="40">
        <v>923290</v>
      </c>
      <c r="T322" s="41" t="s">
        <v>208</v>
      </c>
      <c r="U322" s="41" t="s">
        <v>29</v>
      </c>
      <c r="V322" s="41" t="s">
        <v>30</v>
      </c>
      <c r="W322" s="42" t="s">
        <v>31</v>
      </c>
      <c r="X322" s="42" t="s">
        <v>32</v>
      </c>
      <c r="Y322" s="42" t="s">
        <v>33</v>
      </c>
      <c r="Z322" s="42" t="s">
        <v>3223</v>
      </c>
      <c r="AA322" s="42" t="s">
        <v>34</v>
      </c>
      <c r="AB322" s="42" t="s">
        <v>34</v>
      </c>
      <c r="AC322" s="42" t="s">
        <v>34</v>
      </c>
      <c r="AD322" s="42" t="s">
        <v>462</v>
      </c>
      <c r="AE322" s="42"/>
      <c r="AF322" s="42"/>
      <c r="AG322" s="42" t="s">
        <v>463</v>
      </c>
      <c r="AH322" s="42"/>
      <c r="AI322" s="44"/>
      <c r="AJ322" s="42"/>
      <c r="AK322" s="44"/>
      <c r="AL322" s="42"/>
      <c r="AM322" s="52">
        <v>4525</v>
      </c>
      <c r="AN322" s="52">
        <v>4525</v>
      </c>
      <c r="AO322" s="52">
        <v>27725</v>
      </c>
      <c r="AP322" s="52">
        <v>0</v>
      </c>
      <c r="AQ322" s="42"/>
      <c r="AR322" s="52">
        <v>32925</v>
      </c>
      <c r="AS322" s="52">
        <v>64601325</v>
      </c>
      <c r="AT322" s="52">
        <v>0</v>
      </c>
      <c r="AU322" s="41" t="s">
        <v>1828</v>
      </c>
      <c r="AV322" s="41" t="s">
        <v>356</v>
      </c>
      <c r="AW322" s="41" t="s">
        <v>1862</v>
      </c>
      <c r="AX322" s="41" t="s">
        <v>1863</v>
      </c>
    </row>
    <row r="323" spans="1:50" x14ac:dyDescent="0.2">
      <c r="A323" s="40">
        <v>64601425</v>
      </c>
      <c r="B323" s="41" t="s">
        <v>2804</v>
      </c>
      <c r="C323" s="41" t="s">
        <v>3225</v>
      </c>
      <c r="D323" s="41" t="s">
        <v>460</v>
      </c>
      <c r="E323" s="49">
        <v>1626194</v>
      </c>
      <c r="F323" s="49">
        <v>8215</v>
      </c>
      <c r="G323" s="50">
        <v>1617979</v>
      </c>
      <c r="H323" s="42" t="s">
        <v>2615</v>
      </c>
      <c r="I323" s="42" t="s">
        <v>461</v>
      </c>
      <c r="J323" s="43" t="s">
        <v>351</v>
      </c>
      <c r="K323" s="40">
        <v>1028781645</v>
      </c>
      <c r="L323" s="41" t="s">
        <v>1865</v>
      </c>
      <c r="M323" s="41" t="s">
        <v>316</v>
      </c>
      <c r="N323" s="41" t="s">
        <v>317</v>
      </c>
      <c r="O323" s="41" t="s">
        <v>1866</v>
      </c>
      <c r="P323" s="41" t="s">
        <v>319</v>
      </c>
      <c r="Q323" s="40">
        <v>860002964</v>
      </c>
      <c r="R323" s="41" t="s">
        <v>419</v>
      </c>
      <c r="S323" s="40">
        <v>923210</v>
      </c>
      <c r="T323" s="41" t="s">
        <v>56</v>
      </c>
      <c r="U323" s="41" t="s">
        <v>29</v>
      </c>
      <c r="V323" s="41" t="s">
        <v>30</v>
      </c>
      <c r="W323" s="42" t="s">
        <v>31</v>
      </c>
      <c r="X323" s="42" t="s">
        <v>32</v>
      </c>
      <c r="Y323" s="42" t="s">
        <v>33</v>
      </c>
      <c r="Z323" s="42" t="s">
        <v>3226</v>
      </c>
      <c r="AA323" s="42" t="s">
        <v>34</v>
      </c>
      <c r="AB323" s="42" t="s">
        <v>34</v>
      </c>
      <c r="AC323" s="42" t="s">
        <v>34</v>
      </c>
      <c r="AD323" s="42" t="s">
        <v>462</v>
      </c>
      <c r="AE323" s="42"/>
      <c r="AF323" s="42"/>
      <c r="AG323" s="42" t="s">
        <v>463</v>
      </c>
      <c r="AH323" s="42"/>
      <c r="AI323" s="44"/>
      <c r="AJ323" s="42"/>
      <c r="AK323" s="44"/>
      <c r="AL323" s="42"/>
      <c r="AM323" s="52">
        <v>1925</v>
      </c>
      <c r="AN323" s="52">
        <v>1925</v>
      </c>
      <c r="AO323" s="52">
        <v>27825</v>
      </c>
      <c r="AP323" s="52">
        <v>0</v>
      </c>
      <c r="AQ323" s="42"/>
      <c r="AR323" s="52">
        <v>33025</v>
      </c>
      <c r="AS323" s="52">
        <v>64601425</v>
      </c>
      <c r="AT323" s="52">
        <v>0</v>
      </c>
      <c r="AU323" s="41" t="s">
        <v>1828</v>
      </c>
      <c r="AV323" s="41" t="s">
        <v>356</v>
      </c>
      <c r="AW323" s="41" t="s">
        <v>1868</v>
      </c>
      <c r="AX323" s="41" t="s">
        <v>1869</v>
      </c>
    </row>
    <row r="324" spans="1:50" x14ac:dyDescent="0.2">
      <c r="A324" s="40">
        <v>64601525</v>
      </c>
      <c r="B324" s="41" t="s">
        <v>2804</v>
      </c>
      <c r="C324" s="41" t="s">
        <v>3228</v>
      </c>
      <c r="D324" s="41" t="s">
        <v>460</v>
      </c>
      <c r="E324" s="49">
        <v>1672605</v>
      </c>
      <c r="F324" s="49">
        <v>9303</v>
      </c>
      <c r="G324" s="50">
        <v>1663302</v>
      </c>
      <c r="H324" s="42" t="s">
        <v>2615</v>
      </c>
      <c r="I324" s="42" t="s">
        <v>461</v>
      </c>
      <c r="J324" s="43" t="s">
        <v>351</v>
      </c>
      <c r="K324" s="40">
        <v>79661139</v>
      </c>
      <c r="L324" s="41" t="s">
        <v>1871</v>
      </c>
      <c r="M324" s="41" t="s">
        <v>316</v>
      </c>
      <c r="N324" s="41" t="s">
        <v>317</v>
      </c>
      <c r="O324" s="41" t="s">
        <v>1872</v>
      </c>
      <c r="P324" s="41" t="s">
        <v>319</v>
      </c>
      <c r="Q324" s="40">
        <v>860034313</v>
      </c>
      <c r="R324" s="41" t="s">
        <v>355</v>
      </c>
      <c r="S324" s="40">
        <v>923210</v>
      </c>
      <c r="T324" s="41" t="s">
        <v>56</v>
      </c>
      <c r="U324" s="41" t="s">
        <v>29</v>
      </c>
      <c r="V324" s="41" t="s">
        <v>30</v>
      </c>
      <c r="W324" s="42" t="s">
        <v>31</v>
      </c>
      <c r="X324" s="42" t="s">
        <v>32</v>
      </c>
      <c r="Y324" s="42" t="s">
        <v>33</v>
      </c>
      <c r="Z324" s="42" t="s">
        <v>3223</v>
      </c>
      <c r="AA324" s="42" t="s">
        <v>34</v>
      </c>
      <c r="AB324" s="42" t="s">
        <v>34</v>
      </c>
      <c r="AC324" s="42" t="s">
        <v>34</v>
      </c>
      <c r="AD324" s="42" t="s">
        <v>462</v>
      </c>
      <c r="AE324" s="42"/>
      <c r="AF324" s="42"/>
      <c r="AG324" s="42" t="s">
        <v>463</v>
      </c>
      <c r="AH324" s="42"/>
      <c r="AI324" s="44"/>
      <c r="AJ324" s="42"/>
      <c r="AK324" s="44"/>
      <c r="AL324" s="42"/>
      <c r="AM324" s="52">
        <v>1925</v>
      </c>
      <c r="AN324" s="52">
        <v>1925</v>
      </c>
      <c r="AO324" s="52">
        <v>27925</v>
      </c>
      <c r="AP324" s="52">
        <v>0</v>
      </c>
      <c r="AQ324" s="42"/>
      <c r="AR324" s="52">
        <v>33125</v>
      </c>
      <c r="AS324" s="52">
        <v>64601525</v>
      </c>
      <c r="AT324" s="52">
        <v>0</v>
      </c>
      <c r="AU324" s="41" t="s">
        <v>1828</v>
      </c>
      <c r="AV324" s="41" t="s">
        <v>356</v>
      </c>
      <c r="AW324" s="41" t="s">
        <v>1874</v>
      </c>
      <c r="AX324" s="41" t="s">
        <v>1875</v>
      </c>
    </row>
    <row r="325" spans="1:50" x14ac:dyDescent="0.2">
      <c r="A325" s="40">
        <v>64601625</v>
      </c>
      <c r="B325" s="41" t="s">
        <v>2804</v>
      </c>
      <c r="C325" s="41" t="s">
        <v>3230</v>
      </c>
      <c r="D325" s="41" t="s">
        <v>460</v>
      </c>
      <c r="E325" s="49">
        <v>1672605</v>
      </c>
      <c r="F325" s="49">
        <v>7601</v>
      </c>
      <c r="G325" s="50">
        <v>1665004</v>
      </c>
      <c r="H325" s="42" t="s">
        <v>2615</v>
      </c>
      <c r="I325" s="42" t="s">
        <v>461</v>
      </c>
      <c r="J325" s="43" t="s">
        <v>351</v>
      </c>
      <c r="K325" s="40">
        <v>79205725</v>
      </c>
      <c r="L325" s="41" t="s">
        <v>1877</v>
      </c>
      <c r="M325" s="41" t="s">
        <v>316</v>
      </c>
      <c r="N325" s="41" t="s">
        <v>317</v>
      </c>
      <c r="O325" s="41" t="s">
        <v>1878</v>
      </c>
      <c r="P325" s="41" t="s">
        <v>319</v>
      </c>
      <c r="Q325" s="40">
        <v>860002964</v>
      </c>
      <c r="R325" s="41" t="s">
        <v>419</v>
      </c>
      <c r="S325" s="40">
        <v>923210</v>
      </c>
      <c r="T325" s="41" t="s">
        <v>56</v>
      </c>
      <c r="U325" s="41" t="s">
        <v>29</v>
      </c>
      <c r="V325" s="41" t="s">
        <v>30</v>
      </c>
      <c r="W325" s="42" t="s">
        <v>31</v>
      </c>
      <c r="X325" s="42" t="s">
        <v>32</v>
      </c>
      <c r="Y325" s="42" t="s">
        <v>33</v>
      </c>
      <c r="Z325" s="42" t="s">
        <v>3223</v>
      </c>
      <c r="AA325" s="42" t="s">
        <v>34</v>
      </c>
      <c r="AB325" s="42" t="s">
        <v>34</v>
      </c>
      <c r="AC325" s="42" t="s">
        <v>34</v>
      </c>
      <c r="AD325" s="42" t="s">
        <v>462</v>
      </c>
      <c r="AE325" s="42"/>
      <c r="AF325" s="42"/>
      <c r="AG325" s="42" t="s">
        <v>463</v>
      </c>
      <c r="AH325" s="42"/>
      <c r="AI325" s="44"/>
      <c r="AJ325" s="42"/>
      <c r="AK325" s="44"/>
      <c r="AL325" s="42"/>
      <c r="AM325" s="52">
        <v>1925</v>
      </c>
      <c r="AN325" s="52">
        <v>1925</v>
      </c>
      <c r="AO325" s="52">
        <v>28025</v>
      </c>
      <c r="AP325" s="52">
        <v>0</v>
      </c>
      <c r="AQ325" s="42"/>
      <c r="AR325" s="52">
        <v>33225</v>
      </c>
      <c r="AS325" s="52">
        <v>64601625</v>
      </c>
      <c r="AT325" s="52">
        <v>0</v>
      </c>
      <c r="AU325" s="41" t="s">
        <v>1828</v>
      </c>
      <c r="AV325" s="41" t="s">
        <v>356</v>
      </c>
      <c r="AW325" s="41" t="s">
        <v>1880</v>
      </c>
      <c r="AX325" s="41" t="s">
        <v>1875</v>
      </c>
    </row>
    <row r="326" spans="1:50" x14ac:dyDescent="0.2">
      <c r="A326" s="40">
        <v>64601725</v>
      </c>
      <c r="B326" s="41" t="s">
        <v>2804</v>
      </c>
      <c r="C326" s="41" t="s">
        <v>3028</v>
      </c>
      <c r="D326" s="41" t="s">
        <v>460</v>
      </c>
      <c r="E326" s="49">
        <v>3219658</v>
      </c>
      <c r="F326" s="49">
        <v>16883</v>
      </c>
      <c r="G326" s="50">
        <v>3202775</v>
      </c>
      <c r="H326" s="42" t="s">
        <v>2615</v>
      </c>
      <c r="I326" s="42" t="s">
        <v>461</v>
      </c>
      <c r="J326" s="43" t="s">
        <v>351</v>
      </c>
      <c r="K326" s="40">
        <v>16897160</v>
      </c>
      <c r="L326" s="41" t="s">
        <v>1882</v>
      </c>
      <c r="M326" s="41" t="s">
        <v>316</v>
      </c>
      <c r="N326" s="41" t="s">
        <v>317</v>
      </c>
      <c r="O326" s="41" t="s">
        <v>1883</v>
      </c>
      <c r="P326" s="41" t="s">
        <v>319</v>
      </c>
      <c r="Q326" s="40">
        <v>890903938</v>
      </c>
      <c r="R326" s="41" t="s">
        <v>342</v>
      </c>
      <c r="S326" s="40">
        <v>923211</v>
      </c>
      <c r="T326" s="41" t="s">
        <v>69</v>
      </c>
      <c r="U326" s="41" t="s">
        <v>29</v>
      </c>
      <c r="V326" s="41" t="s">
        <v>30</v>
      </c>
      <c r="W326" s="42" t="s">
        <v>31</v>
      </c>
      <c r="X326" s="42" t="s">
        <v>32</v>
      </c>
      <c r="Y326" s="42" t="s">
        <v>33</v>
      </c>
      <c r="Z326" s="42" t="s">
        <v>2937</v>
      </c>
      <c r="AA326" s="42" t="s">
        <v>34</v>
      </c>
      <c r="AB326" s="42" t="s">
        <v>34</v>
      </c>
      <c r="AC326" s="42" t="s">
        <v>34</v>
      </c>
      <c r="AD326" s="42" t="s">
        <v>462</v>
      </c>
      <c r="AE326" s="42"/>
      <c r="AF326" s="42"/>
      <c r="AG326" s="42" t="s">
        <v>463</v>
      </c>
      <c r="AH326" s="42"/>
      <c r="AI326" s="44"/>
      <c r="AJ326" s="42"/>
      <c r="AK326" s="44"/>
      <c r="AL326" s="42"/>
      <c r="AM326" s="52">
        <v>2125</v>
      </c>
      <c r="AN326" s="52">
        <v>2125</v>
      </c>
      <c r="AO326" s="52">
        <v>28125</v>
      </c>
      <c r="AP326" s="52">
        <v>0</v>
      </c>
      <c r="AQ326" s="42"/>
      <c r="AR326" s="52">
        <v>33325</v>
      </c>
      <c r="AS326" s="52">
        <v>64601725</v>
      </c>
      <c r="AT326" s="52">
        <v>0</v>
      </c>
      <c r="AU326" s="41" t="s">
        <v>1828</v>
      </c>
      <c r="AV326" s="41" t="s">
        <v>356</v>
      </c>
      <c r="AW326" s="41" t="s">
        <v>1885</v>
      </c>
      <c r="AX326" s="41" t="s">
        <v>1886</v>
      </c>
    </row>
    <row r="327" spans="1:50" x14ac:dyDescent="0.2">
      <c r="A327" s="40">
        <v>64601825</v>
      </c>
      <c r="B327" s="41" t="s">
        <v>2804</v>
      </c>
      <c r="C327" s="41" t="s">
        <v>3233</v>
      </c>
      <c r="D327" s="41" t="s">
        <v>460</v>
      </c>
      <c r="E327" s="49">
        <v>1680000</v>
      </c>
      <c r="F327" s="49">
        <v>8538</v>
      </c>
      <c r="G327" s="50">
        <v>1671462</v>
      </c>
      <c r="H327" s="42" t="s">
        <v>2615</v>
      </c>
      <c r="I327" s="42" t="s">
        <v>461</v>
      </c>
      <c r="J327" s="43" t="s">
        <v>351</v>
      </c>
      <c r="K327" s="40">
        <v>52800088</v>
      </c>
      <c r="L327" s="41" t="s">
        <v>1888</v>
      </c>
      <c r="M327" s="41" t="s">
        <v>316</v>
      </c>
      <c r="N327" s="41" t="s">
        <v>317</v>
      </c>
      <c r="O327" s="41" t="s">
        <v>1889</v>
      </c>
      <c r="P327" s="41" t="s">
        <v>319</v>
      </c>
      <c r="Q327" s="40">
        <v>860034313</v>
      </c>
      <c r="R327" s="41" t="s">
        <v>355</v>
      </c>
      <c r="S327" s="40">
        <v>923210</v>
      </c>
      <c r="T327" s="41" t="s">
        <v>56</v>
      </c>
      <c r="U327" s="41" t="s">
        <v>29</v>
      </c>
      <c r="V327" s="41" t="s">
        <v>30</v>
      </c>
      <c r="W327" s="42" t="s">
        <v>31</v>
      </c>
      <c r="X327" s="42" t="s">
        <v>32</v>
      </c>
      <c r="Y327" s="42" t="s">
        <v>33</v>
      </c>
      <c r="Z327" s="42" t="s">
        <v>3234</v>
      </c>
      <c r="AA327" s="42" t="s">
        <v>34</v>
      </c>
      <c r="AB327" s="42" t="s">
        <v>34</v>
      </c>
      <c r="AC327" s="42" t="s">
        <v>34</v>
      </c>
      <c r="AD327" s="42" t="s">
        <v>462</v>
      </c>
      <c r="AE327" s="42"/>
      <c r="AF327" s="42"/>
      <c r="AG327" s="42" t="s">
        <v>463</v>
      </c>
      <c r="AH327" s="42"/>
      <c r="AI327" s="44"/>
      <c r="AJ327" s="42"/>
      <c r="AK327" s="44"/>
      <c r="AL327" s="42"/>
      <c r="AM327" s="52">
        <v>1925</v>
      </c>
      <c r="AN327" s="52">
        <v>1925</v>
      </c>
      <c r="AO327" s="52">
        <v>28225</v>
      </c>
      <c r="AP327" s="52">
        <v>0</v>
      </c>
      <c r="AQ327" s="42"/>
      <c r="AR327" s="52">
        <v>33425</v>
      </c>
      <c r="AS327" s="52">
        <v>64601825</v>
      </c>
      <c r="AT327" s="52">
        <v>0</v>
      </c>
      <c r="AU327" s="41" t="s">
        <v>1828</v>
      </c>
      <c r="AV327" s="41" t="s">
        <v>356</v>
      </c>
      <c r="AW327" s="41" t="s">
        <v>1891</v>
      </c>
      <c r="AX327" s="41" t="s">
        <v>1892</v>
      </c>
    </row>
    <row r="328" spans="1:50" x14ac:dyDescent="0.2">
      <c r="A328" s="40">
        <v>64601925</v>
      </c>
      <c r="B328" s="41" t="s">
        <v>2804</v>
      </c>
      <c r="C328" s="41" t="s">
        <v>3236</v>
      </c>
      <c r="D328" s="41" t="s">
        <v>460</v>
      </c>
      <c r="E328" s="49">
        <v>2646276</v>
      </c>
      <c r="F328" s="49">
        <v>14092</v>
      </c>
      <c r="G328" s="50">
        <v>2632184</v>
      </c>
      <c r="H328" s="42" t="s">
        <v>2615</v>
      </c>
      <c r="I328" s="42" t="s">
        <v>461</v>
      </c>
      <c r="J328" s="43" t="s">
        <v>351</v>
      </c>
      <c r="K328" s="40">
        <v>1010226452</v>
      </c>
      <c r="L328" s="41" t="s">
        <v>1894</v>
      </c>
      <c r="M328" s="41" t="s">
        <v>316</v>
      </c>
      <c r="N328" s="41" t="s">
        <v>317</v>
      </c>
      <c r="O328" s="41" t="s">
        <v>1895</v>
      </c>
      <c r="P328" s="41" t="s">
        <v>319</v>
      </c>
      <c r="Q328" s="40">
        <v>860007335</v>
      </c>
      <c r="R328" s="41" t="s">
        <v>381</v>
      </c>
      <c r="S328" s="40">
        <v>923242</v>
      </c>
      <c r="T328" s="41" t="s">
        <v>175</v>
      </c>
      <c r="U328" s="41" t="s">
        <v>29</v>
      </c>
      <c r="V328" s="41" t="s">
        <v>30</v>
      </c>
      <c r="W328" s="42" t="s">
        <v>31</v>
      </c>
      <c r="X328" s="42" t="s">
        <v>32</v>
      </c>
      <c r="Y328" s="42" t="s">
        <v>33</v>
      </c>
      <c r="Z328" s="42" t="s">
        <v>3237</v>
      </c>
      <c r="AA328" s="42" t="s">
        <v>34</v>
      </c>
      <c r="AB328" s="42" t="s">
        <v>34</v>
      </c>
      <c r="AC328" s="42" t="s">
        <v>34</v>
      </c>
      <c r="AD328" s="42" t="s">
        <v>462</v>
      </c>
      <c r="AE328" s="42"/>
      <c r="AF328" s="42"/>
      <c r="AG328" s="42" t="s">
        <v>463</v>
      </c>
      <c r="AH328" s="42"/>
      <c r="AI328" s="44"/>
      <c r="AJ328" s="42"/>
      <c r="AK328" s="44"/>
      <c r="AL328" s="42"/>
      <c r="AM328" s="52">
        <v>3625</v>
      </c>
      <c r="AN328" s="52">
        <v>3625</v>
      </c>
      <c r="AO328" s="52">
        <v>28325</v>
      </c>
      <c r="AP328" s="52">
        <v>0</v>
      </c>
      <c r="AQ328" s="42"/>
      <c r="AR328" s="52">
        <v>33525</v>
      </c>
      <c r="AS328" s="52">
        <v>64601925</v>
      </c>
      <c r="AT328" s="52">
        <v>0</v>
      </c>
      <c r="AU328" s="41" t="s">
        <v>1828</v>
      </c>
      <c r="AV328" s="41" t="s">
        <v>356</v>
      </c>
      <c r="AW328" s="41" t="s">
        <v>1897</v>
      </c>
      <c r="AX328" s="41" t="s">
        <v>1898</v>
      </c>
    </row>
    <row r="329" spans="1:50" x14ac:dyDescent="0.2">
      <c r="A329" s="40">
        <v>64602025</v>
      </c>
      <c r="B329" s="41" t="s">
        <v>2804</v>
      </c>
      <c r="C329" s="41" t="s">
        <v>3239</v>
      </c>
      <c r="D329" s="41" t="s">
        <v>460</v>
      </c>
      <c r="E329" s="49">
        <v>2115116</v>
      </c>
      <c r="F329" s="49">
        <v>10256</v>
      </c>
      <c r="G329" s="50">
        <v>2104860</v>
      </c>
      <c r="H329" s="42" t="s">
        <v>2615</v>
      </c>
      <c r="I329" s="42" t="s">
        <v>461</v>
      </c>
      <c r="J329" s="43" t="s">
        <v>351</v>
      </c>
      <c r="K329" s="40">
        <v>79418258</v>
      </c>
      <c r="L329" s="41" t="s">
        <v>1900</v>
      </c>
      <c r="M329" s="41" t="s">
        <v>316</v>
      </c>
      <c r="N329" s="41" t="s">
        <v>317</v>
      </c>
      <c r="O329" s="41" t="s">
        <v>1901</v>
      </c>
      <c r="P329" s="41" t="s">
        <v>319</v>
      </c>
      <c r="Q329" s="40">
        <v>860034594</v>
      </c>
      <c r="R329" s="41" t="s">
        <v>374</v>
      </c>
      <c r="S329" s="40">
        <v>923242</v>
      </c>
      <c r="T329" s="41" t="s">
        <v>175</v>
      </c>
      <c r="U329" s="41" t="s">
        <v>29</v>
      </c>
      <c r="V329" s="41" t="s">
        <v>30</v>
      </c>
      <c r="W329" s="42" t="s">
        <v>31</v>
      </c>
      <c r="X329" s="42" t="s">
        <v>32</v>
      </c>
      <c r="Y329" s="42" t="s">
        <v>33</v>
      </c>
      <c r="Z329" s="42" t="s">
        <v>3240</v>
      </c>
      <c r="AA329" s="42" t="s">
        <v>34</v>
      </c>
      <c r="AB329" s="42" t="s">
        <v>34</v>
      </c>
      <c r="AC329" s="42" t="s">
        <v>34</v>
      </c>
      <c r="AD329" s="42" t="s">
        <v>462</v>
      </c>
      <c r="AE329" s="42"/>
      <c r="AF329" s="42"/>
      <c r="AG329" s="42" t="s">
        <v>463</v>
      </c>
      <c r="AH329" s="42"/>
      <c r="AI329" s="44"/>
      <c r="AJ329" s="42"/>
      <c r="AK329" s="44"/>
      <c r="AL329" s="42"/>
      <c r="AM329" s="52">
        <v>3625</v>
      </c>
      <c r="AN329" s="52">
        <v>3625</v>
      </c>
      <c r="AO329" s="52">
        <v>28425</v>
      </c>
      <c r="AP329" s="52">
        <v>0</v>
      </c>
      <c r="AQ329" s="42"/>
      <c r="AR329" s="52">
        <v>33625</v>
      </c>
      <c r="AS329" s="52">
        <v>64602025</v>
      </c>
      <c r="AT329" s="52">
        <v>0</v>
      </c>
      <c r="AU329" s="41" t="s">
        <v>1828</v>
      </c>
      <c r="AV329" s="41" t="s">
        <v>356</v>
      </c>
      <c r="AW329" s="41" t="s">
        <v>1903</v>
      </c>
      <c r="AX329" s="41" t="s">
        <v>1904</v>
      </c>
    </row>
    <row r="330" spans="1:50" x14ac:dyDescent="0.2">
      <c r="A330" s="40">
        <v>64602125</v>
      </c>
      <c r="B330" s="41" t="s">
        <v>2804</v>
      </c>
      <c r="C330" s="41" t="s">
        <v>3236</v>
      </c>
      <c r="D330" s="41" t="s">
        <v>460</v>
      </c>
      <c r="E330" s="49">
        <v>2646276</v>
      </c>
      <c r="F330" s="49">
        <v>13443</v>
      </c>
      <c r="G330" s="50">
        <v>2632833</v>
      </c>
      <c r="H330" s="42" t="s">
        <v>2615</v>
      </c>
      <c r="I330" s="42" t="s">
        <v>461</v>
      </c>
      <c r="J330" s="43" t="s">
        <v>351</v>
      </c>
      <c r="K330" s="40">
        <v>1018427297</v>
      </c>
      <c r="L330" s="41" t="s">
        <v>1906</v>
      </c>
      <c r="M330" s="41" t="s">
        <v>316</v>
      </c>
      <c r="N330" s="41" t="s">
        <v>317</v>
      </c>
      <c r="O330" s="41" t="s">
        <v>1907</v>
      </c>
      <c r="P330" s="41" t="s">
        <v>319</v>
      </c>
      <c r="Q330" s="40">
        <v>860007335</v>
      </c>
      <c r="R330" s="41" t="s">
        <v>381</v>
      </c>
      <c r="S330" s="40">
        <v>923242</v>
      </c>
      <c r="T330" s="41" t="s">
        <v>175</v>
      </c>
      <c r="U330" s="41" t="s">
        <v>29</v>
      </c>
      <c r="V330" s="41" t="s">
        <v>30</v>
      </c>
      <c r="W330" s="42" t="s">
        <v>31</v>
      </c>
      <c r="X330" s="42" t="s">
        <v>32</v>
      </c>
      <c r="Y330" s="42" t="s">
        <v>33</v>
      </c>
      <c r="Z330" s="42" t="s">
        <v>3237</v>
      </c>
      <c r="AA330" s="42" t="s">
        <v>34</v>
      </c>
      <c r="AB330" s="42" t="s">
        <v>34</v>
      </c>
      <c r="AC330" s="42" t="s">
        <v>34</v>
      </c>
      <c r="AD330" s="42" t="s">
        <v>462</v>
      </c>
      <c r="AE330" s="42"/>
      <c r="AF330" s="42"/>
      <c r="AG330" s="42" t="s">
        <v>463</v>
      </c>
      <c r="AH330" s="42"/>
      <c r="AI330" s="44"/>
      <c r="AJ330" s="42"/>
      <c r="AK330" s="44"/>
      <c r="AL330" s="42"/>
      <c r="AM330" s="52">
        <v>3625</v>
      </c>
      <c r="AN330" s="52">
        <v>3625</v>
      </c>
      <c r="AO330" s="52">
        <v>28525</v>
      </c>
      <c r="AP330" s="52">
        <v>0</v>
      </c>
      <c r="AQ330" s="42"/>
      <c r="AR330" s="52">
        <v>33725</v>
      </c>
      <c r="AS330" s="52">
        <v>64602125</v>
      </c>
      <c r="AT330" s="52">
        <v>0</v>
      </c>
      <c r="AU330" s="41" t="s">
        <v>1828</v>
      </c>
      <c r="AV330" s="41" t="s">
        <v>356</v>
      </c>
      <c r="AW330" s="41" t="s">
        <v>1909</v>
      </c>
      <c r="AX330" s="41" t="s">
        <v>1910</v>
      </c>
    </row>
    <row r="331" spans="1:50" x14ac:dyDescent="0.2">
      <c r="A331" s="40">
        <v>64602225</v>
      </c>
      <c r="B331" s="41" t="s">
        <v>2804</v>
      </c>
      <c r="C331" s="41" t="s">
        <v>3244</v>
      </c>
      <c r="D331" s="41" t="s">
        <v>460</v>
      </c>
      <c r="E331" s="49">
        <v>1226000</v>
      </c>
      <c r="F331" s="49">
        <v>5976</v>
      </c>
      <c r="G331" s="50">
        <v>1220024</v>
      </c>
      <c r="H331" s="42" t="s">
        <v>2615</v>
      </c>
      <c r="I331" s="42" t="s">
        <v>461</v>
      </c>
      <c r="J331" s="43" t="s">
        <v>351</v>
      </c>
      <c r="K331" s="40">
        <v>1073704418</v>
      </c>
      <c r="L331" s="41" t="s">
        <v>1965</v>
      </c>
      <c r="M331" s="41" t="s">
        <v>316</v>
      </c>
      <c r="N331" s="41" t="s">
        <v>317</v>
      </c>
      <c r="O331" s="41" t="s">
        <v>1966</v>
      </c>
      <c r="P331" s="41" t="s">
        <v>319</v>
      </c>
      <c r="Q331" s="40">
        <v>860002964</v>
      </c>
      <c r="R331" s="41" t="s">
        <v>419</v>
      </c>
      <c r="S331" s="40">
        <v>923210</v>
      </c>
      <c r="T331" s="41" t="s">
        <v>56</v>
      </c>
      <c r="U331" s="41" t="s">
        <v>29</v>
      </c>
      <c r="V331" s="41" t="s">
        <v>30</v>
      </c>
      <c r="W331" s="42" t="s">
        <v>31</v>
      </c>
      <c r="X331" s="42" t="s">
        <v>32</v>
      </c>
      <c r="Y331" s="42" t="s">
        <v>33</v>
      </c>
      <c r="Z331" s="42" t="s">
        <v>3245</v>
      </c>
      <c r="AA331" s="42" t="s">
        <v>34</v>
      </c>
      <c r="AB331" s="42" t="s">
        <v>34</v>
      </c>
      <c r="AC331" s="42" t="s">
        <v>34</v>
      </c>
      <c r="AD331" s="42" t="s">
        <v>462</v>
      </c>
      <c r="AE331" s="42"/>
      <c r="AF331" s="42"/>
      <c r="AG331" s="42" t="s">
        <v>463</v>
      </c>
      <c r="AH331" s="42"/>
      <c r="AI331" s="44"/>
      <c r="AJ331" s="42"/>
      <c r="AK331" s="44"/>
      <c r="AL331" s="42"/>
      <c r="AM331" s="52">
        <v>1925</v>
      </c>
      <c r="AN331" s="52">
        <v>1925</v>
      </c>
      <c r="AO331" s="52">
        <v>29525</v>
      </c>
      <c r="AP331" s="52">
        <v>0</v>
      </c>
      <c r="AQ331" s="42"/>
      <c r="AR331" s="52">
        <v>33825</v>
      </c>
      <c r="AS331" s="52">
        <v>64602225</v>
      </c>
      <c r="AT331" s="52">
        <v>0</v>
      </c>
      <c r="AU331" s="41" t="s">
        <v>1923</v>
      </c>
      <c r="AV331" s="41" t="s">
        <v>356</v>
      </c>
      <c r="AW331" s="41" t="s">
        <v>1968</v>
      </c>
      <c r="AX331" s="41" t="s">
        <v>1969</v>
      </c>
    </row>
    <row r="332" spans="1:50" x14ac:dyDescent="0.2">
      <c r="A332" s="40">
        <v>64602325</v>
      </c>
      <c r="B332" s="41" t="s">
        <v>2804</v>
      </c>
      <c r="C332" s="41" t="s">
        <v>3247</v>
      </c>
      <c r="D332" s="41" t="s">
        <v>460</v>
      </c>
      <c r="E332" s="49">
        <v>1304667</v>
      </c>
      <c r="F332" s="49">
        <v>6448</v>
      </c>
      <c r="G332" s="50">
        <v>1298219</v>
      </c>
      <c r="H332" s="42" t="s">
        <v>2615</v>
      </c>
      <c r="I332" s="42" t="s">
        <v>461</v>
      </c>
      <c r="J332" s="43" t="s">
        <v>351</v>
      </c>
      <c r="K332" s="40">
        <v>52760141</v>
      </c>
      <c r="L332" s="41" t="s">
        <v>1976</v>
      </c>
      <c r="M332" s="41" t="s">
        <v>316</v>
      </c>
      <c r="N332" s="41" t="s">
        <v>317</v>
      </c>
      <c r="O332" s="41" t="s">
        <v>1977</v>
      </c>
      <c r="P332" s="41" t="s">
        <v>319</v>
      </c>
      <c r="Q332" s="40">
        <v>860034313</v>
      </c>
      <c r="R332" s="41" t="s">
        <v>355</v>
      </c>
      <c r="S332" s="40">
        <v>923210</v>
      </c>
      <c r="T332" s="41" t="s">
        <v>56</v>
      </c>
      <c r="U332" s="41" t="s">
        <v>29</v>
      </c>
      <c r="V332" s="41" t="s">
        <v>30</v>
      </c>
      <c r="W332" s="42" t="s">
        <v>31</v>
      </c>
      <c r="X332" s="42" t="s">
        <v>32</v>
      </c>
      <c r="Y332" s="42" t="s">
        <v>33</v>
      </c>
      <c r="Z332" s="42" t="s">
        <v>3248</v>
      </c>
      <c r="AA332" s="42" t="s">
        <v>34</v>
      </c>
      <c r="AB332" s="42" t="s">
        <v>34</v>
      </c>
      <c r="AC332" s="42" t="s">
        <v>34</v>
      </c>
      <c r="AD332" s="42" t="s">
        <v>462</v>
      </c>
      <c r="AE332" s="42"/>
      <c r="AF332" s="42"/>
      <c r="AG332" s="42" t="s">
        <v>463</v>
      </c>
      <c r="AH332" s="42"/>
      <c r="AI332" s="44"/>
      <c r="AJ332" s="42"/>
      <c r="AK332" s="44"/>
      <c r="AL332" s="42"/>
      <c r="AM332" s="52">
        <v>1925</v>
      </c>
      <c r="AN332" s="52">
        <v>1925</v>
      </c>
      <c r="AO332" s="52">
        <v>29725</v>
      </c>
      <c r="AP332" s="52">
        <v>0</v>
      </c>
      <c r="AQ332" s="42"/>
      <c r="AR332" s="52">
        <v>34025</v>
      </c>
      <c r="AS332" s="52">
        <v>64602325</v>
      </c>
      <c r="AT332" s="52">
        <v>0</v>
      </c>
      <c r="AU332" s="41" t="s">
        <v>1923</v>
      </c>
      <c r="AV332" s="41" t="s">
        <v>356</v>
      </c>
      <c r="AW332" s="41" t="s">
        <v>1979</v>
      </c>
      <c r="AX332" s="41" t="s">
        <v>1980</v>
      </c>
    </row>
    <row r="333" spans="1:50" x14ac:dyDescent="0.2">
      <c r="A333" s="40">
        <v>64602425</v>
      </c>
      <c r="B333" s="41" t="s">
        <v>2804</v>
      </c>
      <c r="C333" s="41" t="s">
        <v>3244</v>
      </c>
      <c r="D333" s="41" t="s">
        <v>460</v>
      </c>
      <c r="E333" s="49">
        <v>1226000</v>
      </c>
      <c r="F333" s="49">
        <v>5976</v>
      </c>
      <c r="G333" s="50">
        <v>1220024</v>
      </c>
      <c r="H333" s="42" t="s">
        <v>2615</v>
      </c>
      <c r="I333" s="42" t="s">
        <v>461</v>
      </c>
      <c r="J333" s="43" t="s">
        <v>351</v>
      </c>
      <c r="K333" s="40">
        <v>1071349192</v>
      </c>
      <c r="L333" s="41" t="s">
        <v>1988</v>
      </c>
      <c r="M333" s="41" t="s">
        <v>316</v>
      </c>
      <c r="N333" s="41" t="s">
        <v>317</v>
      </c>
      <c r="O333" s="41" t="s">
        <v>1989</v>
      </c>
      <c r="P333" s="41" t="s">
        <v>319</v>
      </c>
      <c r="Q333" s="40">
        <v>860002964</v>
      </c>
      <c r="R333" s="41" t="s">
        <v>419</v>
      </c>
      <c r="S333" s="40">
        <v>923210</v>
      </c>
      <c r="T333" s="41" t="s">
        <v>56</v>
      </c>
      <c r="U333" s="41" t="s">
        <v>29</v>
      </c>
      <c r="V333" s="41" t="s">
        <v>30</v>
      </c>
      <c r="W333" s="42" t="s">
        <v>31</v>
      </c>
      <c r="X333" s="42" t="s">
        <v>32</v>
      </c>
      <c r="Y333" s="42" t="s">
        <v>33</v>
      </c>
      <c r="Z333" s="42" t="s">
        <v>3245</v>
      </c>
      <c r="AA333" s="42" t="s">
        <v>34</v>
      </c>
      <c r="AB333" s="42" t="s">
        <v>34</v>
      </c>
      <c r="AC333" s="42" t="s">
        <v>34</v>
      </c>
      <c r="AD333" s="42" t="s">
        <v>462</v>
      </c>
      <c r="AE333" s="42"/>
      <c r="AF333" s="42"/>
      <c r="AG333" s="42" t="s">
        <v>463</v>
      </c>
      <c r="AH333" s="42"/>
      <c r="AI333" s="44"/>
      <c r="AJ333" s="42"/>
      <c r="AK333" s="44"/>
      <c r="AL333" s="42"/>
      <c r="AM333" s="52">
        <v>1925</v>
      </c>
      <c r="AN333" s="52">
        <v>1925</v>
      </c>
      <c r="AO333" s="52">
        <v>29925</v>
      </c>
      <c r="AP333" s="52">
        <v>0</v>
      </c>
      <c r="AQ333" s="42"/>
      <c r="AR333" s="52">
        <v>34125</v>
      </c>
      <c r="AS333" s="52">
        <v>64602425</v>
      </c>
      <c r="AT333" s="52">
        <v>0</v>
      </c>
      <c r="AU333" s="41" t="s">
        <v>1923</v>
      </c>
      <c r="AV333" s="41" t="s">
        <v>356</v>
      </c>
      <c r="AW333" s="41" t="s">
        <v>1991</v>
      </c>
      <c r="AX333" s="41" t="s">
        <v>1992</v>
      </c>
    </row>
    <row r="334" spans="1:50" x14ac:dyDescent="0.2">
      <c r="A334" s="40">
        <v>64602525</v>
      </c>
      <c r="B334" s="41" t="s">
        <v>2804</v>
      </c>
      <c r="C334" s="41" t="s">
        <v>3211</v>
      </c>
      <c r="D334" s="41" t="s">
        <v>460</v>
      </c>
      <c r="E334" s="49">
        <v>1765227</v>
      </c>
      <c r="F334" s="49">
        <v>8157</v>
      </c>
      <c r="G334" s="50">
        <v>1757070</v>
      </c>
      <c r="H334" s="42" t="s">
        <v>2615</v>
      </c>
      <c r="I334" s="42" t="s">
        <v>461</v>
      </c>
      <c r="J334" s="43" t="s">
        <v>351</v>
      </c>
      <c r="K334" s="40">
        <v>52202874</v>
      </c>
      <c r="L334" s="41" t="s">
        <v>1994</v>
      </c>
      <c r="M334" s="41" t="s">
        <v>316</v>
      </c>
      <c r="N334" s="41" t="s">
        <v>317</v>
      </c>
      <c r="O334" s="41" t="s">
        <v>1995</v>
      </c>
      <c r="P334" s="41" t="s">
        <v>319</v>
      </c>
      <c r="Q334" s="40">
        <v>860007335</v>
      </c>
      <c r="R334" s="41" t="s">
        <v>381</v>
      </c>
      <c r="S334" s="40">
        <v>923210</v>
      </c>
      <c r="T334" s="41" t="s">
        <v>56</v>
      </c>
      <c r="U334" s="41" t="s">
        <v>29</v>
      </c>
      <c r="V334" s="41" t="s">
        <v>30</v>
      </c>
      <c r="W334" s="42" t="s">
        <v>31</v>
      </c>
      <c r="X334" s="42" t="s">
        <v>32</v>
      </c>
      <c r="Y334" s="42" t="s">
        <v>33</v>
      </c>
      <c r="Z334" s="42" t="s">
        <v>3251</v>
      </c>
      <c r="AA334" s="42" t="s">
        <v>34</v>
      </c>
      <c r="AB334" s="42" t="s">
        <v>34</v>
      </c>
      <c r="AC334" s="42" t="s">
        <v>34</v>
      </c>
      <c r="AD334" s="42" t="s">
        <v>462</v>
      </c>
      <c r="AE334" s="42"/>
      <c r="AF334" s="42"/>
      <c r="AG334" s="42" t="s">
        <v>463</v>
      </c>
      <c r="AH334" s="42"/>
      <c r="AI334" s="44"/>
      <c r="AJ334" s="42"/>
      <c r="AK334" s="44"/>
      <c r="AL334" s="42"/>
      <c r="AM334" s="52">
        <v>1925</v>
      </c>
      <c r="AN334" s="52">
        <v>1925</v>
      </c>
      <c r="AO334" s="52">
        <v>30025</v>
      </c>
      <c r="AP334" s="52">
        <v>0</v>
      </c>
      <c r="AQ334" s="42"/>
      <c r="AR334" s="52">
        <v>34225</v>
      </c>
      <c r="AS334" s="52">
        <v>64602525</v>
      </c>
      <c r="AT334" s="52">
        <v>0</v>
      </c>
      <c r="AU334" s="41" t="s">
        <v>1923</v>
      </c>
      <c r="AV334" s="41" t="s">
        <v>356</v>
      </c>
      <c r="AW334" s="41" t="s">
        <v>1997</v>
      </c>
      <c r="AX334" s="41" t="s">
        <v>1998</v>
      </c>
    </row>
    <row r="335" spans="1:50" x14ac:dyDescent="0.2">
      <c r="A335" s="40">
        <v>64602625</v>
      </c>
      <c r="B335" s="41" t="s">
        <v>2804</v>
      </c>
      <c r="C335" s="41" t="s">
        <v>3253</v>
      </c>
      <c r="D335" s="41" t="s">
        <v>460</v>
      </c>
      <c r="E335" s="49">
        <v>1512334</v>
      </c>
      <c r="F335" s="49">
        <v>6639</v>
      </c>
      <c r="G335" s="50">
        <v>1505695</v>
      </c>
      <c r="H335" s="42" t="s">
        <v>2615</v>
      </c>
      <c r="I335" s="42" t="s">
        <v>461</v>
      </c>
      <c r="J335" s="43" t="s">
        <v>351</v>
      </c>
      <c r="K335" s="40">
        <v>51890685</v>
      </c>
      <c r="L335" s="41" t="s">
        <v>2000</v>
      </c>
      <c r="M335" s="41" t="s">
        <v>316</v>
      </c>
      <c r="N335" s="41" t="s">
        <v>317</v>
      </c>
      <c r="O335" s="41" t="s">
        <v>2001</v>
      </c>
      <c r="P335" s="41" t="s">
        <v>319</v>
      </c>
      <c r="Q335" s="40">
        <v>890903938</v>
      </c>
      <c r="R335" s="41" t="s">
        <v>342</v>
      </c>
      <c r="S335" s="40">
        <v>923242</v>
      </c>
      <c r="T335" s="41" t="s">
        <v>175</v>
      </c>
      <c r="U335" s="41" t="s">
        <v>29</v>
      </c>
      <c r="V335" s="41" t="s">
        <v>30</v>
      </c>
      <c r="W335" s="42" t="s">
        <v>31</v>
      </c>
      <c r="X335" s="42" t="s">
        <v>32</v>
      </c>
      <c r="Y335" s="42" t="s">
        <v>33</v>
      </c>
      <c r="Z335" s="42" t="s">
        <v>3254</v>
      </c>
      <c r="AA335" s="42" t="s">
        <v>34</v>
      </c>
      <c r="AB335" s="42" t="s">
        <v>34</v>
      </c>
      <c r="AC335" s="42" t="s">
        <v>34</v>
      </c>
      <c r="AD335" s="42" t="s">
        <v>462</v>
      </c>
      <c r="AE335" s="42"/>
      <c r="AF335" s="42"/>
      <c r="AG335" s="42" t="s">
        <v>463</v>
      </c>
      <c r="AH335" s="42"/>
      <c r="AI335" s="44"/>
      <c r="AJ335" s="42"/>
      <c r="AK335" s="44"/>
      <c r="AL335" s="42"/>
      <c r="AM335" s="52">
        <v>3625</v>
      </c>
      <c r="AN335" s="52">
        <v>3625</v>
      </c>
      <c r="AO335" s="52">
        <v>30125</v>
      </c>
      <c r="AP335" s="52">
        <v>0</v>
      </c>
      <c r="AQ335" s="42"/>
      <c r="AR335" s="52">
        <v>34325</v>
      </c>
      <c r="AS335" s="52">
        <v>64602625</v>
      </c>
      <c r="AT335" s="52">
        <v>0</v>
      </c>
      <c r="AU335" s="41" t="s">
        <v>1923</v>
      </c>
      <c r="AV335" s="41" t="s">
        <v>356</v>
      </c>
      <c r="AW335" s="41" t="s">
        <v>2003</v>
      </c>
      <c r="AX335" s="41" t="s">
        <v>2004</v>
      </c>
    </row>
    <row r="336" spans="1:50" x14ac:dyDescent="0.2">
      <c r="A336" s="40">
        <v>64602725</v>
      </c>
      <c r="B336" s="41" t="s">
        <v>2804</v>
      </c>
      <c r="C336" s="41" t="s">
        <v>3256</v>
      </c>
      <c r="D336" s="41" t="s">
        <v>460</v>
      </c>
      <c r="E336" s="49">
        <v>1764184</v>
      </c>
      <c r="F336" s="49">
        <v>8637</v>
      </c>
      <c r="G336" s="50">
        <v>1755547</v>
      </c>
      <c r="H336" s="42" t="s">
        <v>2615</v>
      </c>
      <c r="I336" s="42" t="s">
        <v>461</v>
      </c>
      <c r="J336" s="43" t="s">
        <v>351</v>
      </c>
      <c r="K336" s="40">
        <v>1073698639</v>
      </c>
      <c r="L336" s="41" t="s">
        <v>2049</v>
      </c>
      <c r="M336" s="41" t="s">
        <v>316</v>
      </c>
      <c r="N336" s="41" t="s">
        <v>317</v>
      </c>
      <c r="O336" s="41" t="s">
        <v>2050</v>
      </c>
      <c r="P336" s="41" t="s">
        <v>319</v>
      </c>
      <c r="Q336" s="40">
        <v>860007335</v>
      </c>
      <c r="R336" s="41" t="s">
        <v>381</v>
      </c>
      <c r="S336" s="40">
        <v>923242</v>
      </c>
      <c r="T336" s="41" t="s">
        <v>175</v>
      </c>
      <c r="U336" s="41" t="s">
        <v>29</v>
      </c>
      <c r="V336" s="41" t="s">
        <v>30</v>
      </c>
      <c r="W336" s="42" t="s">
        <v>31</v>
      </c>
      <c r="X336" s="42" t="s">
        <v>32</v>
      </c>
      <c r="Y336" s="42" t="s">
        <v>33</v>
      </c>
      <c r="Z336" s="42" t="s">
        <v>3257</v>
      </c>
      <c r="AA336" s="42" t="s">
        <v>34</v>
      </c>
      <c r="AB336" s="42" t="s">
        <v>34</v>
      </c>
      <c r="AC336" s="42" t="s">
        <v>34</v>
      </c>
      <c r="AD336" s="42" t="s">
        <v>462</v>
      </c>
      <c r="AE336" s="42"/>
      <c r="AF336" s="42"/>
      <c r="AG336" s="42" t="s">
        <v>463</v>
      </c>
      <c r="AH336" s="42"/>
      <c r="AI336" s="44"/>
      <c r="AJ336" s="42"/>
      <c r="AK336" s="44"/>
      <c r="AL336" s="42"/>
      <c r="AM336" s="52">
        <v>3625</v>
      </c>
      <c r="AN336" s="52">
        <v>3625</v>
      </c>
      <c r="AO336" s="52">
        <v>30925</v>
      </c>
      <c r="AP336" s="52">
        <v>0</v>
      </c>
      <c r="AQ336" s="42"/>
      <c r="AR336" s="52">
        <v>34425</v>
      </c>
      <c r="AS336" s="52">
        <v>64602725</v>
      </c>
      <c r="AT336" s="52">
        <v>0</v>
      </c>
      <c r="AU336" s="41" t="s">
        <v>2034</v>
      </c>
      <c r="AV336" s="41" t="s">
        <v>356</v>
      </c>
      <c r="AW336" s="41" t="s">
        <v>2052</v>
      </c>
      <c r="AX336" s="41" t="s">
        <v>1910</v>
      </c>
    </row>
    <row r="337" spans="1:50" x14ac:dyDescent="0.2">
      <c r="A337" s="40">
        <v>64602825</v>
      </c>
      <c r="B337" s="41" t="s">
        <v>2804</v>
      </c>
      <c r="C337" s="41" t="s">
        <v>3256</v>
      </c>
      <c r="D337" s="41" t="s">
        <v>460</v>
      </c>
      <c r="E337" s="49">
        <v>1790092</v>
      </c>
      <c r="F337" s="49">
        <v>9847</v>
      </c>
      <c r="G337" s="50">
        <v>1780245</v>
      </c>
      <c r="H337" s="42" t="s">
        <v>2615</v>
      </c>
      <c r="I337" s="42" t="s">
        <v>461</v>
      </c>
      <c r="J337" s="43" t="s">
        <v>351</v>
      </c>
      <c r="K337" s="40">
        <v>1024466962</v>
      </c>
      <c r="L337" s="41" t="s">
        <v>2059</v>
      </c>
      <c r="M337" s="41" t="s">
        <v>316</v>
      </c>
      <c r="N337" s="41" t="s">
        <v>317</v>
      </c>
      <c r="O337" s="41" t="s">
        <v>2060</v>
      </c>
      <c r="P337" s="41" t="s">
        <v>319</v>
      </c>
      <c r="Q337" s="40">
        <v>860007335</v>
      </c>
      <c r="R337" s="41" t="s">
        <v>381</v>
      </c>
      <c r="S337" s="40">
        <v>923242</v>
      </c>
      <c r="T337" s="41" t="s">
        <v>175</v>
      </c>
      <c r="U337" s="41" t="s">
        <v>29</v>
      </c>
      <c r="V337" s="41" t="s">
        <v>30</v>
      </c>
      <c r="W337" s="42" t="s">
        <v>31</v>
      </c>
      <c r="X337" s="42" t="s">
        <v>32</v>
      </c>
      <c r="Y337" s="42" t="s">
        <v>33</v>
      </c>
      <c r="Z337" s="42" t="s">
        <v>3260</v>
      </c>
      <c r="AA337" s="42" t="s">
        <v>34</v>
      </c>
      <c r="AB337" s="42" t="s">
        <v>34</v>
      </c>
      <c r="AC337" s="42" t="s">
        <v>34</v>
      </c>
      <c r="AD337" s="42" t="s">
        <v>462</v>
      </c>
      <c r="AE337" s="42"/>
      <c r="AF337" s="42"/>
      <c r="AG337" s="42" t="s">
        <v>463</v>
      </c>
      <c r="AH337" s="42"/>
      <c r="AI337" s="44"/>
      <c r="AJ337" s="42"/>
      <c r="AK337" s="44"/>
      <c r="AL337" s="42"/>
      <c r="AM337" s="52">
        <v>3625</v>
      </c>
      <c r="AN337" s="52">
        <v>3625</v>
      </c>
      <c r="AO337" s="52">
        <v>31125</v>
      </c>
      <c r="AP337" s="52">
        <v>0</v>
      </c>
      <c r="AQ337" s="42"/>
      <c r="AR337" s="52">
        <v>34525</v>
      </c>
      <c r="AS337" s="52">
        <v>64602825</v>
      </c>
      <c r="AT337" s="52">
        <v>0</v>
      </c>
      <c r="AU337" s="41" t="s">
        <v>2034</v>
      </c>
      <c r="AV337" s="41" t="s">
        <v>356</v>
      </c>
      <c r="AW337" s="41" t="s">
        <v>2062</v>
      </c>
      <c r="AX337" s="41" t="s">
        <v>2063</v>
      </c>
    </row>
    <row r="338" spans="1:50" x14ac:dyDescent="0.2">
      <c r="A338" s="40">
        <v>64602925</v>
      </c>
      <c r="B338" s="41" t="s">
        <v>2804</v>
      </c>
      <c r="C338" s="41" t="s">
        <v>3263</v>
      </c>
      <c r="D338" s="41" t="s">
        <v>460</v>
      </c>
      <c r="E338" s="49">
        <v>2258667</v>
      </c>
      <c r="F338" s="49">
        <v>11117</v>
      </c>
      <c r="G338" s="50">
        <v>2247550</v>
      </c>
      <c r="H338" s="42" t="s">
        <v>2615</v>
      </c>
      <c r="I338" s="42" t="s">
        <v>461</v>
      </c>
      <c r="J338" s="43" t="s">
        <v>351</v>
      </c>
      <c r="K338" s="40">
        <v>1022371659</v>
      </c>
      <c r="L338" s="41" t="s">
        <v>2065</v>
      </c>
      <c r="M338" s="41" t="s">
        <v>316</v>
      </c>
      <c r="N338" s="41" t="s">
        <v>317</v>
      </c>
      <c r="O338" s="41" t="s">
        <v>2066</v>
      </c>
      <c r="P338" s="41" t="s">
        <v>319</v>
      </c>
      <c r="Q338" s="40">
        <v>860034313</v>
      </c>
      <c r="R338" s="41" t="s">
        <v>355</v>
      </c>
      <c r="S338" s="40">
        <v>923228</v>
      </c>
      <c r="T338" s="41" t="s">
        <v>158</v>
      </c>
      <c r="U338" s="41" t="s">
        <v>159</v>
      </c>
      <c r="V338" s="41" t="s">
        <v>160</v>
      </c>
      <c r="W338" s="42" t="s">
        <v>31</v>
      </c>
      <c r="X338" s="42" t="s">
        <v>32</v>
      </c>
      <c r="Y338" s="42" t="s">
        <v>33</v>
      </c>
      <c r="Z338" s="42" t="s">
        <v>3264</v>
      </c>
      <c r="AA338" s="42" t="s">
        <v>34</v>
      </c>
      <c r="AB338" s="42" t="s">
        <v>34</v>
      </c>
      <c r="AC338" s="42" t="s">
        <v>34</v>
      </c>
      <c r="AD338" s="42" t="s">
        <v>462</v>
      </c>
      <c r="AE338" s="42"/>
      <c r="AF338" s="42"/>
      <c r="AG338" s="42" t="s">
        <v>463</v>
      </c>
      <c r="AH338" s="42"/>
      <c r="AI338" s="44"/>
      <c r="AJ338" s="42"/>
      <c r="AK338" s="44"/>
      <c r="AL338" s="42"/>
      <c r="AM338" s="52">
        <v>3325</v>
      </c>
      <c r="AN338" s="52">
        <v>3325</v>
      </c>
      <c r="AO338" s="52">
        <v>31225</v>
      </c>
      <c r="AP338" s="52">
        <v>0</v>
      </c>
      <c r="AQ338" s="42"/>
      <c r="AR338" s="52">
        <v>34625</v>
      </c>
      <c r="AS338" s="52">
        <v>64602925</v>
      </c>
      <c r="AT338" s="52">
        <v>0</v>
      </c>
      <c r="AU338" s="41" t="s">
        <v>2034</v>
      </c>
      <c r="AV338" s="41" t="s">
        <v>356</v>
      </c>
      <c r="AW338" s="41" t="s">
        <v>2068</v>
      </c>
      <c r="AX338" s="41" t="s">
        <v>2069</v>
      </c>
    </row>
    <row r="339" spans="1:50" x14ac:dyDescent="0.2">
      <c r="A339" s="40">
        <v>64603025</v>
      </c>
      <c r="B339" s="41" t="s">
        <v>2804</v>
      </c>
      <c r="C339" s="41" t="s">
        <v>3267</v>
      </c>
      <c r="D339" s="41" t="s">
        <v>460</v>
      </c>
      <c r="E339" s="49">
        <v>2258667</v>
      </c>
      <c r="F339" s="49">
        <v>11766</v>
      </c>
      <c r="G339" s="50">
        <v>2246901</v>
      </c>
      <c r="H339" s="42" t="s">
        <v>2615</v>
      </c>
      <c r="I339" s="42" t="s">
        <v>461</v>
      </c>
      <c r="J339" s="43" t="s">
        <v>351</v>
      </c>
      <c r="K339" s="40">
        <v>79822903</v>
      </c>
      <c r="L339" s="41" t="s">
        <v>2071</v>
      </c>
      <c r="M339" s="41" t="s">
        <v>316</v>
      </c>
      <c r="N339" s="41" t="s">
        <v>317</v>
      </c>
      <c r="O339" s="41" t="s">
        <v>2072</v>
      </c>
      <c r="P339" s="41" t="s">
        <v>319</v>
      </c>
      <c r="Q339" s="40">
        <v>860034313</v>
      </c>
      <c r="R339" s="41" t="s">
        <v>355</v>
      </c>
      <c r="S339" s="40">
        <v>923228</v>
      </c>
      <c r="T339" s="41" t="s">
        <v>158</v>
      </c>
      <c r="U339" s="41" t="s">
        <v>159</v>
      </c>
      <c r="V339" s="41" t="s">
        <v>160</v>
      </c>
      <c r="W339" s="42" t="s">
        <v>31</v>
      </c>
      <c r="X339" s="42" t="s">
        <v>32</v>
      </c>
      <c r="Y339" s="42" t="s">
        <v>33</v>
      </c>
      <c r="Z339" s="42" t="s">
        <v>3264</v>
      </c>
      <c r="AA339" s="42" t="s">
        <v>34</v>
      </c>
      <c r="AB339" s="42" t="s">
        <v>34</v>
      </c>
      <c r="AC339" s="42" t="s">
        <v>34</v>
      </c>
      <c r="AD339" s="42" t="s">
        <v>462</v>
      </c>
      <c r="AE339" s="42"/>
      <c r="AF339" s="42"/>
      <c r="AG339" s="42" t="s">
        <v>463</v>
      </c>
      <c r="AH339" s="42"/>
      <c r="AI339" s="44"/>
      <c r="AJ339" s="42"/>
      <c r="AK339" s="44"/>
      <c r="AL339" s="42"/>
      <c r="AM339" s="52">
        <v>3325</v>
      </c>
      <c r="AN339" s="52">
        <v>3325</v>
      </c>
      <c r="AO339" s="52">
        <v>31325</v>
      </c>
      <c r="AP339" s="52">
        <v>0</v>
      </c>
      <c r="AQ339" s="42"/>
      <c r="AR339" s="52">
        <v>34725</v>
      </c>
      <c r="AS339" s="52">
        <v>64603025</v>
      </c>
      <c r="AT339" s="52">
        <v>0</v>
      </c>
      <c r="AU339" s="41" t="s">
        <v>2034</v>
      </c>
      <c r="AV339" s="41" t="s">
        <v>356</v>
      </c>
      <c r="AW339" s="41" t="s">
        <v>2074</v>
      </c>
      <c r="AX339" s="41" t="s">
        <v>2069</v>
      </c>
    </row>
    <row r="340" spans="1:50" x14ac:dyDescent="0.2">
      <c r="A340" s="40">
        <v>64603125</v>
      </c>
      <c r="B340" s="41" t="s">
        <v>2804</v>
      </c>
      <c r="C340" s="41" t="s">
        <v>3270</v>
      </c>
      <c r="D340" s="41" t="s">
        <v>460</v>
      </c>
      <c r="E340" s="49">
        <v>2258667</v>
      </c>
      <c r="F340" s="49">
        <v>11117</v>
      </c>
      <c r="G340" s="50">
        <v>2247550</v>
      </c>
      <c r="H340" s="42" t="s">
        <v>2615</v>
      </c>
      <c r="I340" s="42" t="s">
        <v>461</v>
      </c>
      <c r="J340" s="43" t="s">
        <v>351</v>
      </c>
      <c r="K340" s="40">
        <v>3171437</v>
      </c>
      <c r="L340" s="41" t="s">
        <v>2076</v>
      </c>
      <c r="M340" s="41" t="s">
        <v>316</v>
      </c>
      <c r="N340" s="41" t="s">
        <v>317</v>
      </c>
      <c r="O340" s="41" t="s">
        <v>2077</v>
      </c>
      <c r="P340" s="41" t="s">
        <v>319</v>
      </c>
      <c r="Q340" s="40">
        <v>860003020</v>
      </c>
      <c r="R340" s="41" t="s">
        <v>393</v>
      </c>
      <c r="S340" s="40">
        <v>923228</v>
      </c>
      <c r="T340" s="41" t="s">
        <v>158</v>
      </c>
      <c r="U340" s="41" t="s">
        <v>159</v>
      </c>
      <c r="V340" s="41" t="s">
        <v>160</v>
      </c>
      <c r="W340" s="42" t="s">
        <v>31</v>
      </c>
      <c r="X340" s="42" t="s">
        <v>32</v>
      </c>
      <c r="Y340" s="42" t="s">
        <v>33</v>
      </c>
      <c r="Z340" s="42" t="s">
        <v>3264</v>
      </c>
      <c r="AA340" s="42" t="s">
        <v>34</v>
      </c>
      <c r="AB340" s="42" t="s">
        <v>34</v>
      </c>
      <c r="AC340" s="42" t="s">
        <v>34</v>
      </c>
      <c r="AD340" s="42" t="s">
        <v>462</v>
      </c>
      <c r="AE340" s="42"/>
      <c r="AF340" s="42"/>
      <c r="AG340" s="42" t="s">
        <v>463</v>
      </c>
      <c r="AH340" s="42"/>
      <c r="AI340" s="44"/>
      <c r="AJ340" s="42"/>
      <c r="AK340" s="44"/>
      <c r="AL340" s="42"/>
      <c r="AM340" s="52">
        <v>3325</v>
      </c>
      <c r="AN340" s="52">
        <v>3325</v>
      </c>
      <c r="AO340" s="52">
        <v>31425</v>
      </c>
      <c r="AP340" s="52">
        <v>0</v>
      </c>
      <c r="AQ340" s="42"/>
      <c r="AR340" s="52">
        <v>34825</v>
      </c>
      <c r="AS340" s="52">
        <v>64603125</v>
      </c>
      <c r="AT340" s="52">
        <v>0</v>
      </c>
      <c r="AU340" s="41" t="s">
        <v>2034</v>
      </c>
      <c r="AV340" s="41" t="s">
        <v>356</v>
      </c>
      <c r="AW340" s="41" t="s">
        <v>2079</v>
      </c>
      <c r="AX340" s="41" t="s">
        <v>2069</v>
      </c>
    </row>
    <row r="341" spans="1:50" x14ac:dyDescent="0.2">
      <c r="A341" s="40">
        <v>64603225</v>
      </c>
      <c r="B341" s="41" t="s">
        <v>2804</v>
      </c>
      <c r="C341" s="41" t="s">
        <v>3267</v>
      </c>
      <c r="D341" s="41" t="s">
        <v>460</v>
      </c>
      <c r="E341" s="49">
        <v>2258667</v>
      </c>
      <c r="F341" s="49">
        <v>11117</v>
      </c>
      <c r="G341" s="50">
        <v>2247550</v>
      </c>
      <c r="H341" s="42" t="s">
        <v>2615</v>
      </c>
      <c r="I341" s="42" t="s">
        <v>461</v>
      </c>
      <c r="J341" s="43" t="s">
        <v>351</v>
      </c>
      <c r="K341" s="40">
        <v>17973156</v>
      </c>
      <c r="L341" s="41" t="s">
        <v>2081</v>
      </c>
      <c r="M341" s="41" t="s">
        <v>316</v>
      </c>
      <c r="N341" s="41" t="s">
        <v>317</v>
      </c>
      <c r="O341" s="41" t="s">
        <v>2082</v>
      </c>
      <c r="P341" s="41" t="s">
        <v>319</v>
      </c>
      <c r="Q341" s="40">
        <v>860034313</v>
      </c>
      <c r="R341" s="41" t="s">
        <v>355</v>
      </c>
      <c r="S341" s="40">
        <v>923228</v>
      </c>
      <c r="T341" s="41" t="s">
        <v>158</v>
      </c>
      <c r="U341" s="41" t="s">
        <v>159</v>
      </c>
      <c r="V341" s="41" t="s">
        <v>160</v>
      </c>
      <c r="W341" s="42" t="s">
        <v>31</v>
      </c>
      <c r="X341" s="42" t="s">
        <v>32</v>
      </c>
      <c r="Y341" s="42" t="s">
        <v>33</v>
      </c>
      <c r="Z341" s="42" t="s">
        <v>3264</v>
      </c>
      <c r="AA341" s="42" t="s">
        <v>34</v>
      </c>
      <c r="AB341" s="42" t="s">
        <v>34</v>
      </c>
      <c r="AC341" s="42" t="s">
        <v>34</v>
      </c>
      <c r="AD341" s="42" t="s">
        <v>462</v>
      </c>
      <c r="AE341" s="42"/>
      <c r="AF341" s="42"/>
      <c r="AG341" s="42" t="s">
        <v>463</v>
      </c>
      <c r="AH341" s="42"/>
      <c r="AI341" s="44"/>
      <c r="AJ341" s="42"/>
      <c r="AK341" s="44"/>
      <c r="AL341" s="42"/>
      <c r="AM341" s="52">
        <v>3325</v>
      </c>
      <c r="AN341" s="52">
        <v>3325</v>
      </c>
      <c r="AO341" s="52">
        <v>31525</v>
      </c>
      <c r="AP341" s="52">
        <v>0</v>
      </c>
      <c r="AQ341" s="42"/>
      <c r="AR341" s="52">
        <v>34925</v>
      </c>
      <c r="AS341" s="52">
        <v>64603225</v>
      </c>
      <c r="AT341" s="52">
        <v>0</v>
      </c>
      <c r="AU341" s="41" t="s">
        <v>2034</v>
      </c>
      <c r="AV341" s="41" t="s">
        <v>356</v>
      </c>
      <c r="AW341" s="41" t="s">
        <v>2084</v>
      </c>
      <c r="AX341" s="41" t="s">
        <v>2069</v>
      </c>
    </row>
    <row r="342" spans="1:50" x14ac:dyDescent="0.2">
      <c r="A342" s="40">
        <v>64603325</v>
      </c>
      <c r="B342" s="41" t="s">
        <v>2804</v>
      </c>
      <c r="C342" s="41" t="s">
        <v>3275</v>
      </c>
      <c r="D342" s="41" t="s">
        <v>460</v>
      </c>
      <c r="E342" s="49">
        <v>1414400</v>
      </c>
      <c r="F342" s="49">
        <v>7350</v>
      </c>
      <c r="G342" s="50">
        <v>1407050</v>
      </c>
      <c r="H342" s="42" t="s">
        <v>2615</v>
      </c>
      <c r="I342" s="42" t="s">
        <v>461</v>
      </c>
      <c r="J342" s="43" t="s">
        <v>351</v>
      </c>
      <c r="K342" s="40">
        <v>1010209964</v>
      </c>
      <c r="L342" s="41" t="s">
        <v>2086</v>
      </c>
      <c r="M342" s="41" t="s">
        <v>316</v>
      </c>
      <c r="N342" s="41" t="s">
        <v>317</v>
      </c>
      <c r="O342" s="41" t="s">
        <v>2087</v>
      </c>
      <c r="P342" s="41" t="s">
        <v>319</v>
      </c>
      <c r="Q342" s="40">
        <v>890903938</v>
      </c>
      <c r="R342" s="41" t="s">
        <v>342</v>
      </c>
      <c r="S342" s="40">
        <v>923210</v>
      </c>
      <c r="T342" s="41" t="s">
        <v>56</v>
      </c>
      <c r="U342" s="41" t="s">
        <v>29</v>
      </c>
      <c r="V342" s="41" t="s">
        <v>30</v>
      </c>
      <c r="W342" s="42" t="s">
        <v>31</v>
      </c>
      <c r="X342" s="42" t="s">
        <v>32</v>
      </c>
      <c r="Y342" s="42" t="s">
        <v>33</v>
      </c>
      <c r="Z342" s="42" t="s">
        <v>3276</v>
      </c>
      <c r="AA342" s="42" t="s">
        <v>34</v>
      </c>
      <c r="AB342" s="42" t="s">
        <v>34</v>
      </c>
      <c r="AC342" s="42" t="s">
        <v>34</v>
      </c>
      <c r="AD342" s="42" t="s">
        <v>462</v>
      </c>
      <c r="AE342" s="42"/>
      <c r="AF342" s="42"/>
      <c r="AG342" s="42" t="s">
        <v>463</v>
      </c>
      <c r="AH342" s="42"/>
      <c r="AI342" s="44"/>
      <c r="AJ342" s="42"/>
      <c r="AK342" s="44"/>
      <c r="AL342" s="42"/>
      <c r="AM342" s="52">
        <v>1925</v>
      </c>
      <c r="AN342" s="52">
        <v>1925</v>
      </c>
      <c r="AO342" s="52">
        <v>31625</v>
      </c>
      <c r="AP342" s="52">
        <v>0</v>
      </c>
      <c r="AQ342" s="42"/>
      <c r="AR342" s="52">
        <v>35025</v>
      </c>
      <c r="AS342" s="52">
        <v>64603325</v>
      </c>
      <c r="AT342" s="52">
        <v>0</v>
      </c>
      <c r="AU342" s="41" t="s">
        <v>2034</v>
      </c>
      <c r="AV342" s="41" t="s">
        <v>356</v>
      </c>
      <c r="AW342" s="41" t="s">
        <v>2089</v>
      </c>
      <c r="AX342" s="41" t="s">
        <v>2090</v>
      </c>
    </row>
    <row r="343" spans="1:50" x14ac:dyDescent="0.2">
      <c r="A343" s="40">
        <v>64603425</v>
      </c>
      <c r="B343" s="41" t="s">
        <v>2804</v>
      </c>
      <c r="C343" s="41" t="s">
        <v>3279</v>
      </c>
      <c r="D343" s="41" t="s">
        <v>460</v>
      </c>
      <c r="E343" s="49">
        <v>2258667</v>
      </c>
      <c r="F343" s="49">
        <v>11117</v>
      </c>
      <c r="G343" s="50">
        <v>2247550</v>
      </c>
      <c r="H343" s="42" t="s">
        <v>2615</v>
      </c>
      <c r="I343" s="42" t="s">
        <v>461</v>
      </c>
      <c r="J343" s="43" t="s">
        <v>351</v>
      </c>
      <c r="K343" s="40">
        <v>1032446718</v>
      </c>
      <c r="L343" s="41" t="s">
        <v>2092</v>
      </c>
      <c r="M343" s="41" t="s">
        <v>316</v>
      </c>
      <c r="N343" s="41" t="s">
        <v>317</v>
      </c>
      <c r="O343" s="41" t="s">
        <v>2093</v>
      </c>
      <c r="P343" s="41" t="s">
        <v>319</v>
      </c>
      <c r="Q343" s="40">
        <v>890903938</v>
      </c>
      <c r="R343" s="41" t="s">
        <v>342</v>
      </c>
      <c r="S343" s="40">
        <v>923228</v>
      </c>
      <c r="T343" s="41" t="s">
        <v>158</v>
      </c>
      <c r="U343" s="41" t="s">
        <v>159</v>
      </c>
      <c r="V343" s="41" t="s">
        <v>160</v>
      </c>
      <c r="W343" s="42" t="s">
        <v>31</v>
      </c>
      <c r="X343" s="42" t="s">
        <v>32</v>
      </c>
      <c r="Y343" s="42" t="s">
        <v>33</v>
      </c>
      <c r="Z343" s="42" t="s">
        <v>3264</v>
      </c>
      <c r="AA343" s="42" t="s">
        <v>34</v>
      </c>
      <c r="AB343" s="42" t="s">
        <v>34</v>
      </c>
      <c r="AC343" s="42" t="s">
        <v>34</v>
      </c>
      <c r="AD343" s="42" t="s">
        <v>462</v>
      </c>
      <c r="AE343" s="42"/>
      <c r="AF343" s="42"/>
      <c r="AG343" s="42" t="s">
        <v>463</v>
      </c>
      <c r="AH343" s="42"/>
      <c r="AI343" s="44"/>
      <c r="AJ343" s="42"/>
      <c r="AK343" s="44"/>
      <c r="AL343" s="42"/>
      <c r="AM343" s="52">
        <v>3325</v>
      </c>
      <c r="AN343" s="52">
        <v>3325</v>
      </c>
      <c r="AO343" s="52">
        <v>31725</v>
      </c>
      <c r="AP343" s="52">
        <v>0</v>
      </c>
      <c r="AQ343" s="42"/>
      <c r="AR343" s="52">
        <v>35125</v>
      </c>
      <c r="AS343" s="52">
        <v>64603425</v>
      </c>
      <c r="AT343" s="52">
        <v>0</v>
      </c>
      <c r="AU343" s="41" t="s">
        <v>2034</v>
      </c>
      <c r="AV343" s="41" t="s">
        <v>356</v>
      </c>
      <c r="AW343" s="41" t="s">
        <v>2095</v>
      </c>
      <c r="AX343" s="41" t="s">
        <v>2069</v>
      </c>
    </row>
    <row r="344" spans="1:50" x14ac:dyDescent="0.2">
      <c r="A344" s="40">
        <v>64603525</v>
      </c>
      <c r="B344" s="41" t="s">
        <v>2804</v>
      </c>
      <c r="C344" s="41" t="s">
        <v>3282</v>
      </c>
      <c r="D344" s="41" t="s">
        <v>460</v>
      </c>
      <c r="E344" s="49">
        <v>1590584</v>
      </c>
      <c r="F344" s="49">
        <v>7109</v>
      </c>
      <c r="G344" s="50">
        <v>1583475</v>
      </c>
      <c r="H344" s="42" t="s">
        <v>2615</v>
      </c>
      <c r="I344" s="42" t="s">
        <v>461</v>
      </c>
      <c r="J344" s="43" t="s">
        <v>351</v>
      </c>
      <c r="K344" s="40">
        <v>79324276</v>
      </c>
      <c r="L344" s="41" t="s">
        <v>2097</v>
      </c>
      <c r="M344" s="41" t="s">
        <v>316</v>
      </c>
      <c r="N344" s="41" t="s">
        <v>317</v>
      </c>
      <c r="O344" s="41" t="s">
        <v>2098</v>
      </c>
      <c r="P344" s="41" t="s">
        <v>319</v>
      </c>
      <c r="Q344" s="40">
        <v>890903938</v>
      </c>
      <c r="R344" s="41" t="s">
        <v>342</v>
      </c>
      <c r="S344" s="40">
        <v>923228</v>
      </c>
      <c r="T344" s="41" t="s">
        <v>158</v>
      </c>
      <c r="U344" s="41" t="s">
        <v>159</v>
      </c>
      <c r="V344" s="41" t="s">
        <v>160</v>
      </c>
      <c r="W344" s="42" t="s">
        <v>31</v>
      </c>
      <c r="X344" s="42" t="s">
        <v>32</v>
      </c>
      <c r="Y344" s="42" t="s">
        <v>33</v>
      </c>
      <c r="Z344" s="42" t="s">
        <v>3283</v>
      </c>
      <c r="AA344" s="42" t="s">
        <v>34</v>
      </c>
      <c r="AB344" s="42" t="s">
        <v>34</v>
      </c>
      <c r="AC344" s="42" t="s">
        <v>34</v>
      </c>
      <c r="AD344" s="42" t="s">
        <v>462</v>
      </c>
      <c r="AE344" s="42"/>
      <c r="AF344" s="42"/>
      <c r="AG344" s="42" t="s">
        <v>463</v>
      </c>
      <c r="AH344" s="42"/>
      <c r="AI344" s="44"/>
      <c r="AJ344" s="42"/>
      <c r="AK344" s="44"/>
      <c r="AL344" s="42"/>
      <c r="AM344" s="52">
        <v>3325</v>
      </c>
      <c r="AN344" s="52">
        <v>3325</v>
      </c>
      <c r="AO344" s="52">
        <v>31825</v>
      </c>
      <c r="AP344" s="52">
        <v>0</v>
      </c>
      <c r="AQ344" s="42"/>
      <c r="AR344" s="52">
        <v>35225</v>
      </c>
      <c r="AS344" s="52">
        <v>64603525</v>
      </c>
      <c r="AT344" s="52">
        <v>0</v>
      </c>
      <c r="AU344" s="41" t="s">
        <v>2034</v>
      </c>
      <c r="AV344" s="41" t="s">
        <v>356</v>
      </c>
      <c r="AW344" s="41" t="s">
        <v>2100</v>
      </c>
      <c r="AX344" s="41" t="s">
        <v>2101</v>
      </c>
    </row>
    <row r="345" spans="1:50" x14ac:dyDescent="0.2">
      <c r="A345" s="40">
        <v>64603625</v>
      </c>
      <c r="B345" s="41" t="s">
        <v>2804</v>
      </c>
      <c r="C345" s="41" t="s">
        <v>3286</v>
      </c>
      <c r="D345" s="41" t="s">
        <v>460</v>
      </c>
      <c r="E345" s="49">
        <v>1287500</v>
      </c>
      <c r="F345" s="49">
        <v>6589</v>
      </c>
      <c r="G345" s="50">
        <v>1280911</v>
      </c>
      <c r="H345" s="42" t="s">
        <v>2615</v>
      </c>
      <c r="I345" s="42" t="s">
        <v>461</v>
      </c>
      <c r="J345" s="43" t="s">
        <v>351</v>
      </c>
      <c r="K345" s="40">
        <v>1026276407</v>
      </c>
      <c r="L345" s="41" t="s">
        <v>2103</v>
      </c>
      <c r="M345" s="41" t="s">
        <v>316</v>
      </c>
      <c r="N345" s="41" t="s">
        <v>317</v>
      </c>
      <c r="O345" s="41" t="s">
        <v>2104</v>
      </c>
      <c r="P345" s="41" t="s">
        <v>319</v>
      </c>
      <c r="Q345" s="40">
        <v>860007335</v>
      </c>
      <c r="R345" s="41" t="s">
        <v>381</v>
      </c>
      <c r="S345" s="40">
        <v>923242</v>
      </c>
      <c r="T345" s="41" t="s">
        <v>175</v>
      </c>
      <c r="U345" s="41" t="s">
        <v>29</v>
      </c>
      <c r="V345" s="41" t="s">
        <v>30</v>
      </c>
      <c r="W345" s="42" t="s">
        <v>31</v>
      </c>
      <c r="X345" s="42" t="s">
        <v>32</v>
      </c>
      <c r="Y345" s="42" t="s">
        <v>33</v>
      </c>
      <c r="Z345" s="42" t="s">
        <v>3287</v>
      </c>
      <c r="AA345" s="42" t="s">
        <v>34</v>
      </c>
      <c r="AB345" s="42" t="s">
        <v>34</v>
      </c>
      <c r="AC345" s="42" t="s">
        <v>34</v>
      </c>
      <c r="AD345" s="42" t="s">
        <v>462</v>
      </c>
      <c r="AE345" s="42"/>
      <c r="AF345" s="42"/>
      <c r="AG345" s="42" t="s">
        <v>463</v>
      </c>
      <c r="AH345" s="42"/>
      <c r="AI345" s="44"/>
      <c r="AJ345" s="42"/>
      <c r="AK345" s="44"/>
      <c r="AL345" s="42"/>
      <c r="AM345" s="52">
        <v>3625</v>
      </c>
      <c r="AN345" s="52">
        <v>3625</v>
      </c>
      <c r="AO345" s="52">
        <v>31925</v>
      </c>
      <c r="AP345" s="52">
        <v>0</v>
      </c>
      <c r="AQ345" s="42"/>
      <c r="AR345" s="52">
        <v>35325</v>
      </c>
      <c r="AS345" s="52">
        <v>64603625</v>
      </c>
      <c r="AT345" s="52">
        <v>0</v>
      </c>
      <c r="AU345" s="41" t="s">
        <v>2034</v>
      </c>
      <c r="AV345" s="41" t="s">
        <v>356</v>
      </c>
      <c r="AW345" s="41" t="s">
        <v>2106</v>
      </c>
      <c r="AX345" s="41" t="s">
        <v>2107</v>
      </c>
    </row>
    <row r="346" spans="1:50" x14ac:dyDescent="0.2">
      <c r="A346" s="40">
        <v>64603725</v>
      </c>
      <c r="B346" s="41" t="s">
        <v>2804</v>
      </c>
      <c r="C346" s="41" t="s">
        <v>3290</v>
      </c>
      <c r="D346" s="41" t="s">
        <v>460</v>
      </c>
      <c r="E346" s="49">
        <v>2258667</v>
      </c>
      <c r="F346" s="49">
        <v>11117</v>
      </c>
      <c r="G346" s="50">
        <v>2247550</v>
      </c>
      <c r="H346" s="42" t="s">
        <v>2615</v>
      </c>
      <c r="I346" s="42" t="s">
        <v>461</v>
      </c>
      <c r="J346" s="43" t="s">
        <v>351</v>
      </c>
      <c r="K346" s="40">
        <v>80500306</v>
      </c>
      <c r="L346" s="41" t="s">
        <v>2109</v>
      </c>
      <c r="M346" s="41" t="s">
        <v>316</v>
      </c>
      <c r="N346" s="41" t="s">
        <v>317</v>
      </c>
      <c r="O346" s="41" t="s">
        <v>2110</v>
      </c>
      <c r="P346" s="41" t="s">
        <v>319</v>
      </c>
      <c r="Q346" s="40">
        <v>860003020</v>
      </c>
      <c r="R346" s="41" t="s">
        <v>393</v>
      </c>
      <c r="S346" s="40">
        <v>923228</v>
      </c>
      <c r="T346" s="41" t="s">
        <v>158</v>
      </c>
      <c r="U346" s="41" t="s">
        <v>159</v>
      </c>
      <c r="V346" s="41" t="s">
        <v>160</v>
      </c>
      <c r="W346" s="42" t="s">
        <v>31</v>
      </c>
      <c r="X346" s="42" t="s">
        <v>32</v>
      </c>
      <c r="Y346" s="42" t="s">
        <v>33</v>
      </c>
      <c r="Z346" s="42" t="s">
        <v>3264</v>
      </c>
      <c r="AA346" s="42" t="s">
        <v>34</v>
      </c>
      <c r="AB346" s="42" t="s">
        <v>34</v>
      </c>
      <c r="AC346" s="42" t="s">
        <v>34</v>
      </c>
      <c r="AD346" s="42" t="s">
        <v>462</v>
      </c>
      <c r="AE346" s="42"/>
      <c r="AF346" s="42"/>
      <c r="AG346" s="42" t="s">
        <v>463</v>
      </c>
      <c r="AH346" s="42"/>
      <c r="AI346" s="44"/>
      <c r="AJ346" s="42"/>
      <c r="AK346" s="44"/>
      <c r="AL346" s="42"/>
      <c r="AM346" s="52">
        <v>3325</v>
      </c>
      <c r="AN346" s="52">
        <v>3325</v>
      </c>
      <c r="AO346" s="52">
        <v>32025</v>
      </c>
      <c r="AP346" s="52">
        <v>0</v>
      </c>
      <c r="AQ346" s="42"/>
      <c r="AR346" s="52">
        <v>35425</v>
      </c>
      <c r="AS346" s="52">
        <v>64603725</v>
      </c>
      <c r="AT346" s="52">
        <v>0</v>
      </c>
      <c r="AU346" s="41" t="s">
        <v>2034</v>
      </c>
      <c r="AV346" s="41" t="s">
        <v>356</v>
      </c>
      <c r="AW346" s="41" t="s">
        <v>2112</v>
      </c>
      <c r="AX346" s="41" t="s">
        <v>2069</v>
      </c>
    </row>
    <row r="347" spans="1:50" x14ac:dyDescent="0.2">
      <c r="A347" s="40">
        <v>64603825</v>
      </c>
      <c r="B347" s="41" t="s">
        <v>2804</v>
      </c>
      <c r="C347" s="41" t="s">
        <v>3293</v>
      </c>
      <c r="D347" s="41" t="s">
        <v>460</v>
      </c>
      <c r="E347" s="49">
        <v>2800000</v>
      </c>
      <c r="F347" s="49">
        <v>14365</v>
      </c>
      <c r="G347" s="50">
        <v>2785635</v>
      </c>
      <c r="H347" s="42" t="s">
        <v>2615</v>
      </c>
      <c r="I347" s="42" t="s">
        <v>461</v>
      </c>
      <c r="J347" s="43" t="s">
        <v>351</v>
      </c>
      <c r="K347" s="40">
        <v>52712359</v>
      </c>
      <c r="L347" s="41" t="s">
        <v>2135</v>
      </c>
      <c r="M347" s="41" t="s">
        <v>316</v>
      </c>
      <c r="N347" s="41" t="s">
        <v>317</v>
      </c>
      <c r="O347" s="41" t="s">
        <v>2136</v>
      </c>
      <c r="P347" s="41" t="s">
        <v>319</v>
      </c>
      <c r="Q347" s="40">
        <v>890903938</v>
      </c>
      <c r="R347" s="41" t="s">
        <v>342</v>
      </c>
      <c r="S347" s="40">
        <v>923270</v>
      </c>
      <c r="T347" s="41" t="s">
        <v>589</v>
      </c>
      <c r="U347" s="41" t="s">
        <v>590</v>
      </c>
      <c r="V347" s="41" t="s">
        <v>591</v>
      </c>
      <c r="W347" s="42" t="s">
        <v>47</v>
      </c>
      <c r="X347" s="42" t="s">
        <v>76</v>
      </c>
      <c r="Y347" s="42" t="s">
        <v>33</v>
      </c>
      <c r="Z347" s="42" t="s">
        <v>3294</v>
      </c>
      <c r="AA347" s="42" t="s">
        <v>34</v>
      </c>
      <c r="AB347" s="42" t="s">
        <v>34</v>
      </c>
      <c r="AC347" s="42" t="s">
        <v>34</v>
      </c>
      <c r="AD347" s="42" t="s">
        <v>462</v>
      </c>
      <c r="AE347" s="42"/>
      <c r="AF347" s="42"/>
      <c r="AG347" s="42" t="s">
        <v>463</v>
      </c>
      <c r="AH347" s="42"/>
      <c r="AI347" s="44"/>
      <c r="AJ347" s="42"/>
      <c r="AK347" s="44"/>
      <c r="AL347" s="42"/>
      <c r="AM347" s="52">
        <v>7125</v>
      </c>
      <c r="AN347" s="52">
        <v>7125</v>
      </c>
      <c r="AO347" s="52">
        <v>32525</v>
      </c>
      <c r="AP347" s="52">
        <v>0</v>
      </c>
      <c r="AQ347" s="42"/>
      <c r="AR347" s="52">
        <v>35525</v>
      </c>
      <c r="AS347" s="52">
        <v>64603825</v>
      </c>
      <c r="AT347" s="52">
        <v>0</v>
      </c>
      <c r="AU347" s="41" t="s">
        <v>2121</v>
      </c>
      <c r="AV347" s="41" t="s">
        <v>356</v>
      </c>
      <c r="AW347" s="41" t="s">
        <v>2138</v>
      </c>
      <c r="AX347" s="41" t="s">
        <v>2139</v>
      </c>
    </row>
    <row r="348" spans="1:50" x14ac:dyDescent="0.2">
      <c r="A348" s="40">
        <v>64603925</v>
      </c>
      <c r="B348" s="41" t="s">
        <v>2804</v>
      </c>
      <c r="C348" s="41" t="s">
        <v>3297</v>
      </c>
      <c r="D348" s="41" t="s">
        <v>460</v>
      </c>
      <c r="E348" s="49">
        <v>1400000</v>
      </c>
      <c r="F348" s="49">
        <v>7831</v>
      </c>
      <c r="G348" s="50">
        <v>1392169</v>
      </c>
      <c r="H348" s="42" t="s">
        <v>2615</v>
      </c>
      <c r="I348" s="42" t="s">
        <v>461</v>
      </c>
      <c r="J348" s="43" t="s">
        <v>351</v>
      </c>
      <c r="K348" s="40">
        <v>1030685664</v>
      </c>
      <c r="L348" s="41" t="s">
        <v>2141</v>
      </c>
      <c r="M348" s="41" t="s">
        <v>316</v>
      </c>
      <c r="N348" s="41" t="s">
        <v>317</v>
      </c>
      <c r="O348" s="41" t="s">
        <v>2142</v>
      </c>
      <c r="P348" s="41" t="s">
        <v>319</v>
      </c>
      <c r="Q348" s="40">
        <v>860034594</v>
      </c>
      <c r="R348" s="41" t="s">
        <v>374</v>
      </c>
      <c r="S348" s="40">
        <v>923269</v>
      </c>
      <c r="T348" s="41" t="s">
        <v>581</v>
      </c>
      <c r="U348" s="41" t="s">
        <v>582</v>
      </c>
      <c r="V348" s="41" t="s">
        <v>583</v>
      </c>
      <c r="W348" s="42" t="s">
        <v>47</v>
      </c>
      <c r="X348" s="42" t="s">
        <v>76</v>
      </c>
      <c r="Y348" s="42" t="s">
        <v>33</v>
      </c>
      <c r="Z348" s="42" t="s">
        <v>3298</v>
      </c>
      <c r="AA348" s="42" t="s">
        <v>34</v>
      </c>
      <c r="AB348" s="42" t="s">
        <v>34</v>
      </c>
      <c r="AC348" s="42" t="s">
        <v>34</v>
      </c>
      <c r="AD348" s="42" t="s">
        <v>462</v>
      </c>
      <c r="AE348" s="42"/>
      <c r="AF348" s="42"/>
      <c r="AG348" s="42" t="s">
        <v>463</v>
      </c>
      <c r="AH348" s="42"/>
      <c r="AI348" s="44"/>
      <c r="AJ348" s="42"/>
      <c r="AK348" s="44"/>
      <c r="AL348" s="42"/>
      <c r="AM348" s="52">
        <v>7025</v>
      </c>
      <c r="AN348" s="52">
        <v>7025</v>
      </c>
      <c r="AO348" s="52">
        <v>32625</v>
      </c>
      <c r="AP348" s="52">
        <v>0</v>
      </c>
      <c r="AQ348" s="42"/>
      <c r="AR348" s="52">
        <v>35625</v>
      </c>
      <c r="AS348" s="52">
        <v>64603925</v>
      </c>
      <c r="AT348" s="52">
        <v>0</v>
      </c>
      <c r="AU348" s="41" t="s">
        <v>2121</v>
      </c>
      <c r="AV348" s="41" t="s">
        <v>356</v>
      </c>
      <c r="AW348" s="41" t="s">
        <v>2144</v>
      </c>
      <c r="AX348" s="41" t="s">
        <v>2145</v>
      </c>
    </row>
    <row r="349" spans="1:50" x14ac:dyDescent="0.2">
      <c r="A349" s="40">
        <v>64616125</v>
      </c>
      <c r="B349" s="41" t="s">
        <v>2804</v>
      </c>
      <c r="C349" s="41" t="s">
        <v>3301</v>
      </c>
      <c r="D349" s="41" t="s">
        <v>460</v>
      </c>
      <c r="E349" s="49">
        <v>2800000</v>
      </c>
      <c r="F349" s="49">
        <v>14365</v>
      </c>
      <c r="G349" s="50">
        <v>2785635</v>
      </c>
      <c r="H349" s="42" t="s">
        <v>2615</v>
      </c>
      <c r="I349" s="42" t="s">
        <v>461</v>
      </c>
      <c r="J349" s="43" t="s">
        <v>351</v>
      </c>
      <c r="K349" s="40">
        <v>1121827031</v>
      </c>
      <c r="L349" s="41" t="s">
        <v>2151</v>
      </c>
      <c r="M349" s="41" t="s">
        <v>316</v>
      </c>
      <c r="N349" s="41" t="s">
        <v>317</v>
      </c>
      <c r="O349" s="41" t="s">
        <v>2152</v>
      </c>
      <c r="P349" s="41" t="s">
        <v>319</v>
      </c>
      <c r="Q349" s="40">
        <v>890903938</v>
      </c>
      <c r="R349" s="41" t="s">
        <v>342</v>
      </c>
      <c r="S349" s="40">
        <v>923270</v>
      </c>
      <c r="T349" s="41" t="s">
        <v>589</v>
      </c>
      <c r="U349" s="41" t="s">
        <v>590</v>
      </c>
      <c r="V349" s="41" t="s">
        <v>591</v>
      </c>
      <c r="W349" s="42" t="s">
        <v>47</v>
      </c>
      <c r="X349" s="42" t="s">
        <v>76</v>
      </c>
      <c r="Y349" s="42" t="s">
        <v>33</v>
      </c>
      <c r="Z349" s="42" t="s">
        <v>3294</v>
      </c>
      <c r="AA349" s="42" t="s">
        <v>34</v>
      </c>
      <c r="AB349" s="42" t="s">
        <v>34</v>
      </c>
      <c r="AC349" s="42" t="s">
        <v>34</v>
      </c>
      <c r="AD349" s="42" t="s">
        <v>462</v>
      </c>
      <c r="AE349" s="42"/>
      <c r="AF349" s="42"/>
      <c r="AG349" s="42" t="s">
        <v>463</v>
      </c>
      <c r="AH349" s="42"/>
      <c r="AI349" s="44"/>
      <c r="AJ349" s="42"/>
      <c r="AK349" s="44"/>
      <c r="AL349" s="42"/>
      <c r="AM349" s="52">
        <v>7125</v>
      </c>
      <c r="AN349" s="52">
        <v>7125</v>
      </c>
      <c r="AO349" s="52">
        <v>32825</v>
      </c>
      <c r="AP349" s="52">
        <v>0</v>
      </c>
      <c r="AQ349" s="42"/>
      <c r="AR349" s="52">
        <v>35825</v>
      </c>
      <c r="AS349" s="52">
        <v>64616125</v>
      </c>
      <c r="AT349" s="52">
        <v>0</v>
      </c>
      <c r="AU349" s="41" t="s">
        <v>2121</v>
      </c>
      <c r="AV349" s="41" t="s">
        <v>356</v>
      </c>
      <c r="AW349" s="41" t="s">
        <v>2154</v>
      </c>
      <c r="AX349" s="41" t="s">
        <v>2155</v>
      </c>
    </row>
    <row r="350" spans="1:50" x14ac:dyDescent="0.2">
      <c r="A350" s="40">
        <v>64616325</v>
      </c>
      <c r="B350" s="41" t="s">
        <v>2804</v>
      </c>
      <c r="C350" s="41" t="s">
        <v>3304</v>
      </c>
      <c r="D350" s="41" t="s">
        <v>460</v>
      </c>
      <c r="E350" s="49">
        <v>2800000</v>
      </c>
      <c r="F350" s="49">
        <v>14365</v>
      </c>
      <c r="G350" s="50">
        <v>2785635</v>
      </c>
      <c r="H350" s="42" t="s">
        <v>2615</v>
      </c>
      <c r="I350" s="42" t="s">
        <v>461</v>
      </c>
      <c r="J350" s="43" t="s">
        <v>351</v>
      </c>
      <c r="K350" s="40">
        <v>1098740549</v>
      </c>
      <c r="L350" s="41" t="s">
        <v>2157</v>
      </c>
      <c r="M350" s="41" t="s">
        <v>316</v>
      </c>
      <c r="N350" s="41" t="s">
        <v>317</v>
      </c>
      <c r="O350" s="41" t="s">
        <v>2158</v>
      </c>
      <c r="P350" s="41" t="s">
        <v>319</v>
      </c>
      <c r="Q350" s="40">
        <v>890903938</v>
      </c>
      <c r="R350" s="41" t="s">
        <v>342</v>
      </c>
      <c r="S350" s="40">
        <v>923270</v>
      </c>
      <c r="T350" s="41" t="s">
        <v>589</v>
      </c>
      <c r="U350" s="41" t="s">
        <v>590</v>
      </c>
      <c r="V350" s="41" t="s">
        <v>591</v>
      </c>
      <c r="W350" s="42" t="s">
        <v>47</v>
      </c>
      <c r="X350" s="42" t="s">
        <v>76</v>
      </c>
      <c r="Y350" s="42" t="s">
        <v>33</v>
      </c>
      <c r="Z350" s="42" t="s">
        <v>3294</v>
      </c>
      <c r="AA350" s="42" t="s">
        <v>34</v>
      </c>
      <c r="AB350" s="42" t="s">
        <v>34</v>
      </c>
      <c r="AC350" s="42" t="s">
        <v>34</v>
      </c>
      <c r="AD350" s="42" t="s">
        <v>462</v>
      </c>
      <c r="AE350" s="42"/>
      <c r="AF350" s="42"/>
      <c r="AG350" s="42" t="s">
        <v>463</v>
      </c>
      <c r="AH350" s="42"/>
      <c r="AI350" s="44"/>
      <c r="AJ350" s="42"/>
      <c r="AK350" s="44"/>
      <c r="AL350" s="42"/>
      <c r="AM350" s="52">
        <v>7125</v>
      </c>
      <c r="AN350" s="52">
        <v>7125</v>
      </c>
      <c r="AO350" s="52">
        <v>32925</v>
      </c>
      <c r="AP350" s="52">
        <v>0</v>
      </c>
      <c r="AQ350" s="42"/>
      <c r="AR350" s="52">
        <v>35925</v>
      </c>
      <c r="AS350" s="52">
        <v>64616325</v>
      </c>
      <c r="AT350" s="52">
        <v>0</v>
      </c>
      <c r="AU350" s="41" t="s">
        <v>2121</v>
      </c>
      <c r="AV350" s="41" t="s">
        <v>356</v>
      </c>
      <c r="AW350" s="41" t="s">
        <v>2160</v>
      </c>
      <c r="AX350" s="41" t="s">
        <v>2155</v>
      </c>
    </row>
    <row r="351" spans="1:50" x14ac:dyDescent="0.2">
      <c r="A351" s="40">
        <v>64616425</v>
      </c>
      <c r="B351" s="41" t="s">
        <v>2804</v>
      </c>
      <c r="C351" s="41" t="s">
        <v>3293</v>
      </c>
      <c r="D351" s="41" t="s">
        <v>460</v>
      </c>
      <c r="E351" s="49">
        <v>2800000</v>
      </c>
      <c r="F351" s="49">
        <v>14771</v>
      </c>
      <c r="G351" s="50">
        <v>2785229</v>
      </c>
      <c r="H351" s="42" t="s">
        <v>2615</v>
      </c>
      <c r="I351" s="42" t="s">
        <v>461</v>
      </c>
      <c r="J351" s="43" t="s">
        <v>351</v>
      </c>
      <c r="K351" s="40">
        <v>1053797721</v>
      </c>
      <c r="L351" s="41" t="s">
        <v>2162</v>
      </c>
      <c r="M351" s="41" t="s">
        <v>316</v>
      </c>
      <c r="N351" s="41" t="s">
        <v>317</v>
      </c>
      <c r="O351" s="41" t="s">
        <v>2163</v>
      </c>
      <c r="P351" s="41" t="s">
        <v>319</v>
      </c>
      <c r="Q351" s="40">
        <v>890903938</v>
      </c>
      <c r="R351" s="41" t="s">
        <v>342</v>
      </c>
      <c r="S351" s="40">
        <v>923270</v>
      </c>
      <c r="T351" s="41" t="s">
        <v>589</v>
      </c>
      <c r="U351" s="41" t="s">
        <v>590</v>
      </c>
      <c r="V351" s="41" t="s">
        <v>591</v>
      </c>
      <c r="W351" s="42" t="s">
        <v>47</v>
      </c>
      <c r="X351" s="42" t="s">
        <v>76</v>
      </c>
      <c r="Y351" s="42" t="s">
        <v>33</v>
      </c>
      <c r="Z351" s="42" t="s">
        <v>3294</v>
      </c>
      <c r="AA351" s="42" t="s">
        <v>34</v>
      </c>
      <c r="AB351" s="42" t="s">
        <v>34</v>
      </c>
      <c r="AC351" s="42" t="s">
        <v>34</v>
      </c>
      <c r="AD351" s="42" t="s">
        <v>462</v>
      </c>
      <c r="AE351" s="42"/>
      <c r="AF351" s="42"/>
      <c r="AG351" s="42" t="s">
        <v>463</v>
      </c>
      <c r="AH351" s="42"/>
      <c r="AI351" s="44"/>
      <c r="AJ351" s="42"/>
      <c r="AK351" s="44"/>
      <c r="AL351" s="42"/>
      <c r="AM351" s="52">
        <v>7125</v>
      </c>
      <c r="AN351" s="52">
        <v>7125</v>
      </c>
      <c r="AO351" s="52">
        <v>33025</v>
      </c>
      <c r="AP351" s="52">
        <v>0</v>
      </c>
      <c r="AQ351" s="42"/>
      <c r="AR351" s="52">
        <v>36025</v>
      </c>
      <c r="AS351" s="52">
        <v>64616425</v>
      </c>
      <c r="AT351" s="52">
        <v>0</v>
      </c>
      <c r="AU351" s="41" t="s">
        <v>2121</v>
      </c>
      <c r="AV351" s="41" t="s">
        <v>356</v>
      </c>
      <c r="AW351" s="41" t="s">
        <v>2165</v>
      </c>
      <c r="AX351" s="41" t="s">
        <v>2155</v>
      </c>
    </row>
    <row r="352" spans="1:50" x14ac:dyDescent="0.2">
      <c r="A352" s="40">
        <v>64616525</v>
      </c>
      <c r="B352" s="41" t="s">
        <v>2804</v>
      </c>
      <c r="C352" s="41" t="s">
        <v>3301</v>
      </c>
      <c r="D352" s="41" t="s">
        <v>460</v>
      </c>
      <c r="E352" s="49">
        <v>2800000</v>
      </c>
      <c r="F352" s="49">
        <v>14365</v>
      </c>
      <c r="G352" s="50">
        <v>2785635</v>
      </c>
      <c r="H352" s="42" t="s">
        <v>2615</v>
      </c>
      <c r="I352" s="42" t="s">
        <v>461</v>
      </c>
      <c r="J352" s="43" t="s">
        <v>351</v>
      </c>
      <c r="K352" s="40">
        <v>7179866</v>
      </c>
      <c r="L352" s="41" t="s">
        <v>2167</v>
      </c>
      <c r="M352" s="41" t="s">
        <v>316</v>
      </c>
      <c r="N352" s="41" t="s">
        <v>317</v>
      </c>
      <c r="O352" s="41" t="s">
        <v>3309</v>
      </c>
      <c r="P352" s="41" t="s">
        <v>319</v>
      </c>
      <c r="Q352" s="40">
        <v>890903938</v>
      </c>
      <c r="R352" s="41" t="s">
        <v>342</v>
      </c>
      <c r="S352" s="40">
        <v>923270</v>
      </c>
      <c r="T352" s="41" t="s">
        <v>589</v>
      </c>
      <c r="U352" s="41" t="s">
        <v>590</v>
      </c>
      <c r="V352" s="41" t="s">
        <v>591</v>
      </c>
      <c r="W352" s="42" t="s">
        <v>47</v>
      </c>
      <c r="X352" s="42" t="s">
        <v>76</v>
      </c>
      <c r="Y352" s="42" t="s">
        <v>33</v>
      </c>
      <c r="Z352" s="42" t="s">
        <v>3294</v>
      </c>
      <c r="AA352" s="42" t="s">
        <v>34</v>
      </c>
      <c r="AB352" s="42" t="s">
        <v>34</v>
      </c>
      <c r="AC352" s="42" t="s">
        <v>34</v>
      </c>
      <c r="AD352" s="42" t="s">
        <v>462</v>
      </c>
      <c r="AE352" s="42"/>
      <c r="AF352" s="42"/>
      <c r="AG352" s="42" t="s">
        <v>463</v>
      </c>
      <c r="AH352" s="42"/>
      <c r="AI352" s="44"/>
      <c r="AJ352" s="42"/>
      <c r="AK352" s="44"/>
      <c r="AL352" s="42"/>
      <c r="AM352" s="52">
        <v>7125</v>
      </c>
      <c r="AN352" s="52">
        <v>7125</v>
      </c>
      <c r="AO352" s="52">
        <v>33125</v>
      </c>
      <c r="AP352" s="52">
        <v>0</v>
      </c>
      <c r="AQ352" s="42"/>
      <c r="AR352" s="52">
        <v>36125</v>
      </c>
      <c r="AS352" s="52">
        <v>64616525</v>
      </c>
      <c r="AT352" s="52">
        <v>0</v>
      </c>
      <c r="AU352" s="41" t="s">
        <v>2121</v>
      </c>
      <c r="AV352" s="41" t="s">
        <v>356</v>
      </c>
      <c r="AW352" s="41" t="s">
        <v>2169</v>
      </c>
      <c r="AX352" s="41" t="s">
        <v>2155</v>
      </c>
    </row>
    <row r="353" spans="1:50" x14ac:dyDescent="0.2">
      <c r="A353" s="40">
        <v>64616625</v>
      </c>
      <c r="B353" s="41" t="s">
        <v>2804</v>
      </c>
      <c r="C353" s="41" t="s">
        <v>3304</v>
      </c>
      <c r="D353" s="41" t="s">
        <v>460</v>
      </c>
      <c r="E353" s="49">
        <v>2800000</v>
      </c>
      <c r="F353" s="49">
        <v>14365</v>
      </c>
      <c r="G353" s="50">
        <v>2785635</v>
      </c>
      <c r="H353" s="42" t="s">
        <v>2615</v>
      </c>
      <c r="I353" s="42" t="s">
        <v>461</v>
      </c>
      <c r="J353" s="43" t="s">
        <v>351</v>
      </c>
      <c r="K353" s="40">
        <v>11220943</v>
      </c>
      <c r="L353" s="41" t="s">
        <v>2171</v>
      </c>
      <c r="M353" s="41" t="s">
        <v>316</v>
      </c>
      <c r="N353" s="41" t="s">
        <v>317</v>
      </c>
      <c r="O353" s="41" t="s">
        <v>2172</v>
      </c>
      <c r="P353" s="41" t="s">
        <v>319</v>
      </c>
      <c r="Q353" s="40">
        <v>890903938</v>
      </c>
      <c r="R353" s="41" t="s">
        <v>342</v>
      </c>
      <c r="S353" s="40">
        <v>923269</v>
      </c>
      <c r="T353" s="41" t="s">
        <v>581</v>
      </c>
      <c r="U353" s="41" t="s">
        <v>582</v>
      </c>
      <c r="V353" s="41" t="s">
        <v>583</v>
      </c>
      <c r="W353" s="42" t="s">
        <v>47</v>
      </c>
      <c r="X353" s="42" t="s">
        <v>76</v>
      </c>
      <c r="Y353" s="42" t="s">
        <v>33</v>
      </c>
      <c r="Z353" s="42" t="s">
        <v>3294</v>
      </c>
      <c r="AA353" s="42" t="s">
        <v>34</v>
      </c>
      <c r="AB353" s="42" t="s">
        <v>34</v>
      </c>
      <c r="AC353" s="42" t="s">
        <v>34</v>
      </c>
      <c r="AD353" s="42" t="s">
        <v>462</v>
      </c>
      <c r="AE353" s="42"/>
      <c r="AF353" s="42"/>
      <c r="AG353" s="42" t="s">
        <v>463</v>
      </c>
      <c r="AH353" s="42"/>
      <c r="AI353" s="44"/>
      <c r="AJ353" s="42"/>
      <c r="AK353" s="44"/>
      <c r="AL353" s="42"/>
      <c r="AM353" s="52">
        <v>7025</v>
      </c>
      <c r="AN353" s="52">
        <v>7025</v>
      </c>
      <c r="AO353" s="52">
        <v>33225</v>
      </c>
      <c r="AP353" s="52">
        <v>0</v>
      </c>
      <c r="AQ353" s="42"/>
      <c r="AR353" s="52">
        <v>36225</v>
      </c>
      <c r="AS353" s="52">
        <v>64616625</v>
      </c>
      <c r="AT353" s="52">
        <v>0</v>
      </c>
      <c r="AU353" s="41" t="s">
        <v>2121</v>
      </c>
      <c r="AV353" s="41" t="s">
        <v>356</v>
      </c>
      <c r="AW353" s="41" t="s">
        <v>2174</v>
      </c>
      <c r="AX353" s="41" t="s">
        <v>2175</v>
      </c>
    </row>
    <row r="354" spans="1:50" x14ac:dyDescent="0.2">
      <c r="A354" s="40">
        <v>64616725</v>
      </c>
      <c r="B354" s="41" t="s">
        <v>2804</v>
      </c>
      <c r="C354" s="41" t="s">
        <v>3314</v>
      </c>
      <c r="D354" s="41" t="s">
        <v>460</v>
      </c>
      <c r="E354" s="49">
        <v>2800000</v>
      </c>
      <c r="F354" s="49">
        <v>14365</v>
      </c>
      <c r="G354" s="50">
        <v>2785635</v>
      </c>
      <c r="H354" s="42" t="s">
        <v>2615</v>
      </c>
      <c r="I354" s="42" t="s">
        <v>461</v>
      </c>
      <c r="J354" s="43" t="s">
        <v>351</v>
      </c>
      <c r="K354" s="40">
        <v>87714602</v>
      </c>
      <c r="L354" s="41" t="s">
        <v>2177</v>
      </c>
      <c r="M354" s="41" t="s">
        <v>316</v>
      </c>
      <c r="N354" s="41" t="s">
        <v>317</v>
      </c>
      <c r="O354" s="41" t="s">
        <v>3315</v>
      </c>
      <c r="P354" s="41" t="s">
        <v>319</v>
      </c>
      <c r="Q354" s="40">
        <v>890903938</v>
      </c>
      <c r="R354" s="41" t="s">
        <v>342</v>
      </c>
      <c r="S354" s="40">
        <v>923269</v>
      </c>
      <c r="T354" s="41" t="s">
        <v>581</v>
      </c>
      <c r="U354" s="41" t="s">
        <v>582</v>
      </c>
      <c r="V354" s="41" t="s">
        <v>583</v>
      </c>
      <c r="W354" s="42" t="s">
        <v>47</v>
      </c>
      <c r="X354" s="42" t="s">
        <v>76</v>
      </c>
      <c r="Y354" s="42" t="s">
        <v>33</v>
      </c>
      <c r="Z354" s="42" t="s">
        <v>3294</v>
      </c>
      <c r="AA354" s="42" t="s">
        <v>34</v>
      </c>
      <c r="AB354" s="42" t="s">
        <v>34</v>
      </c>
      <c r="AC354" s="42" t="s">
        <v>34</v>
      </c>
      <c r="AD354" s="42" t="s">
        <v>462</v>
      </c>
      <c r="AE354" s="42"/>
      <c r="AF354" s="42"/>
      <c r="AG354" s="42" t="s">
        <v>463</v>
      </c>
      <c r="AH354" s="42"/>
      <c r="AI354" s="44"/>
      <c r="AJ354" s="42"/>
      <c r="AK354" s="44"/>
      <c r="AL354" s="42"/>
      <c r="AM354" s="52">
        <v>7025</v>
      </c>
      <c r="AN354" s="52">
        <v>7025</v>
      </c>
      <c r="AO354" s="52">
        <v>33325</v>
      </c>
      <c r="AP354" s="52">
        <v>0</v>
      </c>
      <c r="AQ354" s="42"/>
      <c r="AR354" s="52">
        <v>36325</v>
      </c>
      <c r="AS354" s="52">
        <v>64616725</v>
      </c>
      <c r="AT354" s="52">
        <v>0</v>
      </c>
      <c r="AU354" s="41" t="s">
        <v>2121</v>
      </c>
      <c r="AV354" s="41" t="s">
        <v>356</v>
      </c>
      <c r="AW354" s="41" t="s">
        <v>2179</v>
      </c>
      <c r="AX354" s="41" t="s">
        <v>2175</v>
      </c>
    </row>
    <row r="355" spans="1:50" x14ac:dyDescent="0.2">
      <c r="A355" s="40">
        <v>64616825</v>
      </c>
      <c r="B355" s="41" t="s">
        <v>2804</v>
      </c>
      <c r="C355" s="41" t="s">
        <v>3301</v>
      </c>
      <c r="D355" s="41" t="s">
        <v>460</v>
      </c>
      <c r="E355" s="49">
        <v>2800000</v>
      </c>
      <c r="F355" s="49">
        <v>14365</v>
      </c>
      <c r="G355" s="50">
        <v>2785635</v>
      </c>
      <c r="H355" s="42" t="s">
        <v>2615</v>
      </c>
      <c r="I355" s="42" t="s">
        <v>461</v>
      </c>
      <c r="J355" s="43" t="s">
        <v>351</v>
      </c>
      <c r="K355" s="40">
        <v>79564002</v>
      </c>
      <c r="L355" s="41" t="s">
        <v>2181</v>
      </c>
      <c r="M355" s="41" t="s">
        <v>316</v>
      </c>
      <c r="N355" s="41" t="s">
        <v>317</v>
      </c>
      <c r="O355" s="41" t="s">
        <v>2182</v>
      </c>
      <c r="P355" s="41" t="s">
        <v>319</v>
      </c>
      <c r="Q355" s="40">
        <v>890903938</v>
      </c>
      <c r="R355" s="41" t="s">
        <v>342</v>
      </c>
      <c r="S355" s="40">
        <v>923269</v>
      </c>
      <c r="T355" s="41" t="s">
        <v>581</v>
      </c>
      <c r="U355" s="41" t="s">
        <v>582</v>
      </c>
      <c r="V355" s="41" t="s">
        <v>583</v>
      </c>
      <c r="W355" s="42" t="s">
        <v>47</v>
      </c>
      <c r="X355" s="42" t="s">
        <v>76</v>
      </c>
      <c r="Y355" s="42" t="s">
        <v>33</v>
      </c>
      <c r="Z355" s="42" t="s">
        <v>3294</v>
      </c>
      <c r="AA355" s="42" t="s">
        <v>34</v>
      </c>
      <c r="AB355" s="42" t="s">
        <v>34</v>
      </c>
      <c r="AC355" s="42" t="s">
        <v>34</v>
      </c>
      <c r="AD355" s="42" t="s">
        <v>462</v>
      </c>
      <c r="AE355" s="42"/>
      <c r="AF355" s="42"/>
      <c r="AG355" s="42" t="s">
        <v>463</v>
      </c>
      <c r="AH355" s="42"/>
      <c r="AI355" s="44"/>
      <c r="AJ355" s="42"/>
      <c r="AK355" s="44"/>
      <c r="AL355" s="42"/>
      <c r="AM355" s="52">
        <v>7025</v>
      </c>
      <c r="AN355" s="52">
        <v>7025</v>
      </c>
      <c r="AO355" s="52">
        <v>33425</v>
      </c>
      <c r="AP355" s="52">
        <v>0</v>
      </c>
      <c r="AQ355" s="42"/>
      <c r="AR355" s="52">
        <v>36425</v>
      </c>
      <c r="AS355" s="52">
        <v>64616825</v>
      </c>
      <c r="AT355" s="52">
        <v>0</v>
      </c>
      <c r="AU355" s="41" t="s">
        <v>2121</v>
      </c>
      <c r="AV355" s="41" t="s">
        <v>356</v>
      </c>
      <c r="AW355" s="41" t="s">
        <v>2184</v>
      </c>
      <c r="AX355" s="41" t="s">
        <v>2175</v>
      </c>
    </row>
    <row r="356" spans="1:50" x14ac:dyDescent="0.2">
      <c r="A356" s="40">
        <v>64616925</v>
      </c>
      <c r="B356" s="41" t="s">
        <v>2804</v>
      </c>
      <c r="C356" s="41" t="s">
        <v>3320</v>
      </c>
      <c r="D356" s="41" t="s">
        <v>460</v>
      </c>
      <c r="E356" s="49">
        <v>2800000</v>
      </c>
      <c r="F356" s="49">
        <v>14365</v>
      </c>
      <c r="G356" s="50">
        <v>2785635</v>
      </c>
      <c r="H356" s="42" t="s">
        <v>2615</v>
      </c>
      <c r="I356" s="42" t="s">
        <v>461</v>
      </c>
      <c r="J356" s="43" t="s">
        <v>351</v>
      </c>
      <c r="K356" s="40">
        <v>5471664</v>
      </c>
      <c r="L356" s="41" t="s">
        <v>2186</v>
      </c>
      <c r="M356" s="41" t="s">
        <v>316</v>
      </c>
      <c r="N356" s="41" t="s">
        <v>317</v>
      </c>
      <c r="O356" s="41" t="s">
        <v>2187</v>
      </c>
      <c r="P356" s="41" t="s">
        <v>319</v>
      </c>
      <c r="Q356" s="40">
        <v>860034313</v>
      </c>
      <c r="R356" s="41" t="s">
        <v>355</v>
      </c>
      <c r="S356" s="40">
        <v>923269</v>
      </c>
      <c r="T356" s="41" t="s">
        <v>581</v>
      </c>
      <c r="U356" s="41" t="s">
        <v>582</v>
      </c>
      <c r="V356" s="41" t="s">
        <v>583</v>
      </c>
      <c r="W356" s="42" t="s">
        <v>47</v>
      </c>
      <c r="X356" s="42" t="s">
        <v>76</v>
      </c>
      <c r="Y356" s="42" t="s">
        <v>33</v>
      </c>
      <c r="Z356" s="42" t="s">
        <v>3294</v>
      </c>
      <c r="AA356" s="42" t="s">
        <v>34</v>
      </c>
      <c r="AB356" s="42" t="s">
        <v>34</v>
      </c>
      <c r="AC356" s="42" t="s">
        <v>34</v>
      </c>
      <c r="AD356" s="42" t="s">
        <v>462</v>
      </c>
      <c r="AE356" s="42"/>
      <c r="AF356" s="42"/>
      <c r="AG356" s="42" t="s">
        <v>463</v>
      </c>
      <c r="AH356" s="42"/>
      <c r="AI356" s="44"/>
      <c r="AJ356" s="42"/>
      <c r="AK356" s="44"/>
      <c r="AL356" s="42"/>
      <c r="AM356" s="52">
        <v>7025</v>
      </c>
      <c r="AN356" s="52">
        <v>7025</v>
      </c>
      <c r="AO356" s="52">
        <v>33525</v>
      </c>
      <c r="AP356" s="52">
        <v>0</v>
      </c>
      <c r="AQ356" s="42"/>
      <c r="AR356" s="52">
        <v>36525</v>
      </c>
      <c r="AS356" s="52">
        <v>64616925</v>
      </c>
      <c r="AT356" s="52">
        <v>0</v>
      </c>
      <c r="AU356" s="41" t="s">
        <v>2121</v>
      </c>
      <c r="AV356" s="41" t="s">
        <v>356</v>
      </c>
      <c r="AW356" s="41" t="s">
        <v>2189</v>
      </c>
      <c r="AX356" s="41" t="s">
        <v>2175</v>
      </c>
    </row>
    <row r="357" spans="1:50" x14ac:dyDescent="0.2">
      <c r="A357" s="40">
        <v>64617025</v>
      </c>
      <c r="B357" s="41" t="s">
        <v>2804</v>
      </c>
      <c r="C357" s="41" t="s">
        <v>3323</v>
      </c>
      <c r="D357" s="41" t="s">
        <v>460</v>
      </c>
      <c r="E357" s="49">
        <v>927494</v>
      </c>
      <c r="F357" s="49">
        <v>3130</v>
      </c>
      <c r="G357" s="50">
        <v>924364</v>
      </c>
      <c r="H357" s="42" t="s">
        <v>2615</v>
      </c>
      <c r="I357" s="42" t="s">
        <v>461</v>
      </c>
      <c r="J357" s="43" t="s">
        <v>351</v>
      </c>
      <c r="K357" s="40">
        <v>1010040399</v>
      </c>
      <c r="L357" s="41" t="s">
        <v>3324</v>
      </c>
      <c r="M357" s="41" t="s">
        <v>316</v>
      </c>
      <c r="N357" s="41" t="s">
        <v>317</v>
      </c>
      <c r="O357" s="41" t="s">
        <v>3325</v>
      </c>
      <c r="P357" s="41" t="s">
        <v>319</v>
      </c>
      <c r="Q357" s="40">
        <v>860034313</v>
      </c>
      <c r="R357" s="41" t="s">
        <v>355</v>
      </c>
      <c r="S357" s="40">
        <v>923210</v>
      </c>
      <c r="T357" s="41" t="s">
        <v>56</v>
      </c>
      <c r="U357" s="41" t="s">
        <v>29</v>
      </c>
      <c r="V357" s="41" t="s">
        <v>30</v>
      </c>
      <c r="W357" s="42" t="s">
        <v>31</v>
      </c>
      <c r="X357" s="42" t="s">
        <v>32</v>
      </c>
      <c r="Y357" s="42" t="s">
        <v>33</v>
      </c>
      <c r="Z357" s="42" t="s">
        <v>3326</v>
      </c>
      <c r="AA357" s="42" t="s">
        <v>34</v>
      </c>
      <c r="AB357" s="42" t="s">
        <v>34</v>
      </c>
      <c r="AC357" s="42" t="s">
        <v>34</v>
      </c>
      <c r="AD357" s="42" t="s">
        <v>462</v>
      </c>
      <c r="AE357" s="42"/>
      <c r="AF357" s="42"/>
      <c r="AG357" s="42" t="s">
        <v>463</v>
      </c>
      <c r="AH357" s="42"/>
      <c r="AI357" s="44"/>
      <c r="AJ357" s="42"/>
      <c r="AK357" s="44"/>
      <c r="AL357" s="42"/>
      <c r="AM357" s="52">
        <v>1925</v>
      </c>
      <c r="AN357" s="52">
        <v>1925</v>
      </c>
      <c r="AO357" s="52">
        <v>33625</v>
      </c>
      <c r="AP357" s="52">
        <v>0</v>
      </c>
      <c r="AQ357" s="42"/>
      <c r="AR357" s="52">
        <v>36625</v>
      </c>
      <c r="AS357" s="52">
        <v>64617025</v>
      </c>
      <c r="AT357" s="52">
        <v>0</v>
      </c>
      <c r="AU357" s="41" t="s">
        <v>2631</v>
      </c>
      <c r="AV357" s="41" t="s">
        <v>356</v>
      </c>
      <c r="AW357" s="41" t="s">
        <v>3328</v>
      </c>
      <c r="AX357" s="41" t="s">
        <v>3329</v>
      </c>
    </row>
    <row r="358" spans="1:50" x14ac:dyDescent="0.2">
      <c r="A358" s="40">
        <v>64617125</v>
      </c>
      <c r="B358" s="41" t="s">
        <v>2804</v>
      </c>
      <c r="C358" s="41" t="s">
        <v>3331</v>
      </c>
      <c r="D358" s="41" t="s">
        <v>460</v>
      </c>
      <c r="E358" s="49">
        <v>1839804</v>
      </c>
      <c r="F358" s="49">
        <v>9415</v>
      </c>
      <c r="G358" s="50">
        <v>1830389</v>
      </c>
      <c r="H358" s="42" t="s">
        <v>2615</v>
      </c>
      <c r="I358" s="42" t="s">
        <v>461</v>
      </c>
      <c r="J358" s="43" t="s">
        <v>351</v>
      </c>
      <c r="K358" s="40">
        <v>80797270</v>
      </c>
      <c r="L358" s="41" t="s">
        <v>3332</v>
      </c>
      <c r="M358" s="41" t="s">
        <v>316</v>
      </c>
      <c r="N358" s="41" t="s">
        <v>317</v>
      </c>
      <c r="O358" s="41" t="s">
        <v>3333</v>
      </c>
      <c r="P358" s="41" t="s">
        <v>319</v>
      </c>
      <c r="Q358" s="40">
        <v>860034313</v>
      </c>
      <c r="R358" s="41" t="s">
        <v>355</v>
      </c>
      <c r="S358" s="40">
        <v>923211</v>
      </c>
      <c r="T358" s="41" t="s">
        <v>69</v>
      </c>
      <c r="U358" s="41" t="s">
        <v>29</v>
      </c>
      <c r="V358" s="41" t="s">
        <v>30</v>
      </c>
      <c r="W358" s="42" t="s">
        <v>31</v>
      </c>
      <c r="X358" s="42" t="s">
        <v>32</v>
      </c>
      <c r="Y358" s="42" t="s">
        <v>33</v>
      </c>
      <c r="Z358" s="42" t="s">
        <v>3334</v>
      </c>
      <c r="AA358" s="42" t="s">
        <v>34</v>
      </c>
      <c r="AB358" s="42" t="s">
        <v>34</v>
      </c>
      <c r="AC358" s="42" t="s">
        <v>34</v>
      </c>
      <c r="AD358" s="42" t="s">
        <v>462</v>
      </c>
      <c r="AE358" s="42"/>
      <c r="AF358" s="42"/>
      <c r="AG358" s="42" t="s">
        <v>463</v>
      </c>
      <c r="AH358" s="42"/>
      <c r="AI358" s="44"/>
      <c r="AJ358" s="42"/>
      <c r="AK358" s="44"/>
      <c r="AL358" s="42"/>
      <c r="AM358" s="52">
        <v>2125</v>
      </c>
      <c r="AN358" s="52">
        <v>2125</v>
      </c>
      <c r="AO358" s="52">
        <v>34425</v>
      </c>
      <c r="AP358" s="52">
        <v>0</v>
      </c>
      <c r="AQ358" s="42"/>
      <c r="AR358" s="52">
        <v>36725</v>
      </c>
      <c r="AS358" s="52">
        <v>64617125</v>
      </c>
      <c r="AT358" s="52">
        <v>0</v>
      </c>
      <c r="AU358" s="41" t="s">
        <v>2631</v>
      </c>
      <c r="AV358" s="41" t="s">
        <v>356</v>
      </c>
      <c r="AW358" s="41" t="s">
        <v>3336</v>
      </c>
      <c r="AX358" s="41" t="s">
        <v>1158</v>
      </c>
    </row>
    <row r="359" spans="1:50" x14ac:dyDescent="0.2">
      <c r="A359" s="40">
        <v>64617225</v>
      </c>
      <c r="B359" s="41" t="s">
        <v>2804</v>
      </c>
      <c r="C359" s="41" t="s">
        <v>3338</v>
      </c>
      <c r="D359" s="41" t="s">
        <v>460</v>
      </c>
      <c r="E359" s="49">
        <v>1839804</v>
      </c>
      <c r="F359" s="49">
        <v>8604</v>
      </c>
      <c r="G359" s="50">
        <v>1831200</v>
      </c>
      <c r="H359" s="42" t="s">
        <v>2615</v>
      </c>
      <c r="I359" s="42" t="s">
        <v>461</v>
      </c>
      <c r="J359" s="43" t="s">
        <v>351</v>
      </c>
      <c r="K359" s="40">
        <v>52423278</v>
      </c>
      <c r="L359" s="41" t="s">
        <v>3339</v>
      </c>
      <c r="M359" s="41" t="s">
        <v>316</v>
      </c>
      <c r="N359" s="41" t="s">
        <v>317</v>
      </c>
      <c r="O359" s="41" t="s">
        <v>3340</v>
      </c>
      <c r="P359" s="41" t="s">
        <v>319</v>
      </c>
      <c r="Q359" s="40">
        <v>890903938</v>
      </c>
      <c r="R359" s="41" t="s">
        <v>342</v>
      </c>
      <c r="S359" s="40">
        <v>923211</v>
      </c>
      <c r="T359" s="41" t="s">
        <v>69</v>
      </c>
      <c r="U359" s="41" t="s">
        <v>29</v>
      </c>
      <c r="V359" s="41" t="s">
        <v>30</v>
      </c>
      <c r="W359" s="42" t="s">
        <v>31</v>
      </c>
      <c r="X359" s="42" t="s">
        <v>32</v>
      </c>
      <c r="Y359" s="42" t="s">
        <v>33</v>
      </c>
      <c r="Z359" s="42" t="s">
        <v>3334</v>
      </c>
      <c r="AA359" s="42" t="s">
        <v>34</v>
      </c>
      <c r="AB359" s="42" t="s">
        <v>34</v>
      </c>
      <c r="AC359" s="42" t="s">
        <v>34</v>
      </c>
      <c r="AD359" s="42" t="s">
        <v>462</v>
      </c>
      <c r="AE359" s="42"/>
      <c r="AF359" s="42"/>
      <c r="AG359" s="42" t="s">
        <v>463</v>
      </c>
      <c r="AH359" s="42"/>
      <c r="AI359" s="44"/>
      <c r="AJ359" s="42"/>
      <c r="AK359" s="44"/>
      <c r="AL359" s="42"/>
      <c r="AM359" s="52">
        <v>2125</v>
      </c>
      <c r="AN359" s="52">
        <v>2125</v>
      </c>
      <c r="AO359" s="52">
        <v>34525</v>
      </c>
      <c r="AP359" s="52">
        <v>0</v>
      </c>
      <c r="AQ359" s="42"/>
      <c r="AR359" s="52">
        <v>36825</v>
      </c>
      <c r="AS359" s="52">
        <v>64617225</v>
      </c>
      <c r="AT359" s="52">
        <v>0</v>
      </c>
      <c r="AU359" s="41" t="s">
        <v>2631</v>
      </c>
      <c r="AV359" s="41" t="s">
        <v>356</v>
      </c>
      <c r="AW359" s="41" t="s">
        <v>3342</v>
      </c>
      <c r="AX359" s="41" t="s">
        <v>3343</v>
      </c>
    </row>
    <row r="360" spans="1:50" x14ac:dyDescent="0.2">
      <c r="A360" s="40">
        <v>64617325</v>
      </c>
      <c r="B360" s="41" t="s">
        <v>2804</v>
      </c>
      <c r="C360" s="41" t="s">
        <v>3345</v>
      </c>
      <c r="D360" s="41" t="s">
        <v>460</v>
      </c>
      <c r="E360" s="49">
        <v>1839804</v>
      </c>
      <c r="F360" s="49">
        <v>8604</v>
      </c>
      <c r="G360" s="50">
        <v>1831200</v>
      </c>
      <c r="H360" s="42" t="s">
        <v>2615</v>
      </c>
      <c r="I360" s="42" t="s">
        <v>461</v>
      </c>
      <c r="J360" s="43" t="s">
        <v>351</v>
      </c>
      <c r="K360" s="40">
        <v>52121132</v>
      </c>
      <c r="L360" s="41" t="s">
        <v>3346</v>
      </c>
      <c r="M360" s="41" t="s">
        <v>316</v>
      </c>
      <c r="N360" s="41" t="s">
        <v>317</v>
      </c>
      <c r="O360" s="41" t="s">
        <v>3347</v>
      </c>
      <c r="P360" s="41" t="s">
        <v>319</v>
      </c>
      <c r="Q360" s="40">
        <v>860007335</v>
      </c>
      <c r="R360" s="41" t="s">
        <v>381</v>
      </c>
      <c r="S360" s="40">
        <v>923211</v>
      </c>
      <c r="T360" s="41" t="s">
        <v>69</v>
      </c>
      <c r="U360" s="41" t="s">
        <v>29</v>
      </c>
      <c r="V360" s="41" t="s">
        <v>30</v>
      </c>
      <c r="W360" s="42" t="s">
        <v>31</v>
      </c>
      <c r="X360" s="42" t="s">
        <v>32</v>
      </c>
      <c r="Y360" s="42" t="s">
        <v>33</v>
      </c>
      <c r="Z360" s="42" t="s">
        <v>3334</v>
      </c>
      <c r="AA360" s="42" t="s">
        <v>34</v>
      </c>
      <c r="AB360" s="42" t="s">
        <v>34</v>
      </c>
      <c r="AC360" s="42" t="s">
        <v>34</v>
      </c>
      <c r="AD360" s="42" t="s">
        <v>462</v>
      </c>
      <c r="AE360" s="42"/>
      <c r="AF360" s="42"/>
      <c r="AG360" s="42" t="s">
        <v>463</v>
      </c>
      <c r="AH360" s="42"/>
      <c r="AI360" s="44"/>
      <c r="AJ360" s="42"/>
      <c r="AK360" s="44"/>
      <c r="AL360" s="42"/>
      <c r="AM360" s="52">
        <v>2125</v>
      </c>
      <c r="AN360" s="52">
        <v>2125</v>
      </c>
      <c r="AO360" s="52">
        <v>34625</v>
      </c>
      <c r="AP360" s="52">
        <v>0</v>
      </c>
      <c r="AQ360" s="42"/>
      <c r="AR360" s="52">
        <v>36925</v>
      </c>
      <c r="AS360" s="52">
        <v>64617325</v>
      </c>
      <c r="AT360" s="52">
        <v>0</v>
      </c>
      <c r="AU360" s="41" t="s">
        <v>2631</v>
      </c>
      <c r="AV360" s="41" t="s">
        <v>356</v>
      </c>
      <c r="AW360" s="41" t="s">
        <v>3349</v>
      </c>
      <c r="AX360" s="41" t="s">
        <v>1158</v>
      </c>
    </row>
    <row r="361" spans="1:50" x14ac:dyDescent="0.2">
      <c r="A361" s="40">
        <v>64617425</v>
      </c>
      <c r="B361" s="41" t="s">
        <v>2804</v>
      </c>
      <c r="C361" s="41" t="s">
        <v>3351</v>
      </c>
      <c r="D361" s="41" t="s">
        <v>460</v>
      </c>
      <c r="E361" s="49">
        <v>1839804</v>
      </c>
      <c r="F361" s="49">
        <v>8604</v>
      </c>
      <c r="G361" s="50">
        <v>1831200</v>
      </c>
      <c r="H361" s="42" t="s">
        <v>2615</v>
      </c>
      <c r="I361" s="42" t="s">
        <v>461</v>
      </c>
      <c r="J361" s="43" t="s">
        <v>351</v>
      </c>
      <c r="K361" s="40">
        <v>1015410686</v>
      </c>
      <c r="L361" s="41" t="s">
        <v>3352</v>
      </c>
      <c r="M361" s="41" t="s">
        <v>316</v>
      </c>
      <c r="N361" s="41" t="s">
        <v>317</v>
      </c>
      <c r="O361" s="41" t="s">
        <v>3353</v>
      </c>
      <c r="P361" s="41" t="s">
        <v>319</v>
      </c>
      <c r="Q361" s="40">
        <v>890903938</v>
      </c>
      <c r="R361" s="41" t="s">
        <v>342</v>
      </c>
      <c r="S361" s="40">
        <v>923211</v>
      </c>
      <c r="T361" s="41" t="s">
        <v>69</v>
      </c>
      <c r="U361" s="41" t="s">
        <v>29</v>
      </c>
      <c r="V361" s="41" t="s">
        <v>30</v>
      </c>
      <c r="W361" s="42" t="s">
        <v>31</v>
      </c>
      <c r="X361" s="42" t="s">
        <v>32</v>
      </c>
      <c r="Y361" s="42" t="s">
        <v>33</v>
      </c>
      <c r="Z361" s="42" t="s">
        <v>3334</v>
      </c>
      <c r="AA361" s="42" t="s">
        <v>34</v>
      </c>
      <c r="AB361" s="42" t="s">
        <v>34</v>
      </c>
      <c r="AC361" s="42" t="s">
        <v>34</v>
      </c>
      <c r="AD361" s="42" t="s">
        <v>462</v>
      </c>
      <c r="AE361" s="42"/>
      <c r="AF361" s="42"/>
      <c r="AG361" s="42" t="s">
        <v>463</v>
      </c>
      <c r="AH361" s="42"/>
      <c r="AI361" s="44"/>
      <c r="AJ361" s="42"/>
      <c r="AK361" s="44"/>
      <c r="AL361" s="42"/>
      <c r="AM361" s="52">
        <v>2125</v>
      </c>
      <c r="AN361" s="52">
        <v>2125</v>
      </c>
      <c r="AO361" s="52">
        <v>34725</v>
      </c>
      <c r="AP361" s="52">
        <v>0</v>
      </c>
      <c r="AQ361" s="42"/>
      <c r="AR361" s="52">
        <v>37025</v>
      </c>
      <c r="AS361" s="52">
        <v>64617425</v>
      </c>
      <c r="AT361" s="52">
        <v>0</v>
      </c>
      <c r="AU361" s="41" t="s">
        <v>2631</v>
      </c>
      <c r="AV361" s="41" t="s">
        <v>356</v>
      </c>
      <c r="AW361" s="41" t="s">
        <v>3355</v>
      </c>
      <c r="AX361" s="41" t="s">
        <v>1158</v>
      </c>
    </row>
    <row r="362" spans="1:50" x14ac:dyDescent="0.2">
      <c r="A362" s="40">
        <v>64617525</v>
      </c>
      <c r="B362" s="41" t="s">
        <v>2804</v>
      </c>
      <c r="C362" s="41" t="s">
        <v>3357</v>
      </c>
      <c r="D362" s="41" t="s">
        <v>460</v>
      </c>
      <c r="E362" s="49">
        <v>1839804</v>
      </c>
      <c r="F362" s="49">
        <v>8604</v>
      </c>
      <c r="G362" s="50">
        <v>1831200</v>
      </c>
      <c r="H362" s="42" t="s">
        <v>2615</v>
      </c>
      <c r="I362" s="42" t="s">
        <v>461</v>
      </c>
      <c r="J362" s="43" t="s">
        <v>351</v>
      </c>
      <c r="K362" s="40">
        <v>1032366666</v>
      </c>
      <c r="L362" s="41" t="s">
        <v>3358</v>
      </c>
      <c r="M362" s="41" t="s">
        <v>316</v>
      </c>
      <c r="N362" s="41" t="s">
        <v>317</v>
      </c>
      <c r="O362" s="41" t="s">
        <v>3359</v>
      </c>
      <c r="P362" s="41" t="s">
        <v>319</v>
      </c>
      <c r="Q362" s="40">
        <v>860034313</v>
      </c>
      <c r="R362" s="41" t="s">
        <v>355</v>
      </c>
      <c r="S362" s="40">
        <v>923211</v>
      </c>
      <c r="T362" s="41" t="s">
        <v>69</v>
      </c>
      <c r="U362" s="41" t="s">
        <v>29</v>
      </c>
      <c r="V362" s="41" t="s">
        <v>30</v>
      </c>
      <c r="W362" s="42" t="s">
        <v>31</v>
      </c>
      <c r="X362" s="42" t="s">
        <v>32</v>
      </c>
      <c r="Y362" s="42" t="s">
        <v>33</v>
      </c>
      <c r="Z362" s="42" t="s">
        <v>3334</v>
      </c>
      <c r="AA362" s="42" t="s">
        <v>34</v>
      </c>
      <c r="AB362" s="42" t="s">
        <v>34</v>
      </c>
      <c r="AC362" s="42" t="s">
        <v>34</v>
      </c>
      <c r="AD362" s="42" t="s">
        <v>462</v>
      </c>
      <c r="AE362" s="42"/>
      <c r="AF362" s="42"/>
      <c r="AG362" s="42" t="s">
        <v>463</v>
      </c>
      <c r="AH362" s="42"/>
      <c r="AI362" s="44"/>
      <c r="AJ362" s="42"/>
      <c r="AK362" s="44"/>
      <c r="AL362" s="42"/>
      <c r="AM362" s="52">
        <v>2125</v>
      </c>
      <c r="AN362" s="52">
        <v>2125</v>
      </c>
      <c r="AO362" s="52">
        <v>34825</v>
      </c>
      <c r="AP362" s="52">
        <v>0</v>
      </c>
      <c r="AQ362" s="42"/>
      <c r="AR362" s="52">
        <v>37125</v>
      </c>
      <c r="AS362" s="52">
        <v>64617525</v>
      </c>
      <c r="AT362" s="52">
        <v>0</v>
      </c>
      <c r="AU362" s="41" t="s">
        <v>2631</v>
      </c>
      <c r="AV362" s="41" t="s">
        <v>356</v>
      </c>
      <c r="AW362" s="41" t="s">
        <v>3361</v>
      </c>
      <c r="AX362" s="41" t="s">
        <v>1158</v>
      </c>
    </row>
    <row r="363" spans="1:50" x14ac:dyDescent="0.2">
      <c r="A363" s="40">
        <v>64617625</v>
      </c>
      <c r="B363" s="41" t="s">
        <v>2804</v>
      </c>
      <c r="C363" s="41" t="s">
        <v>3345</v>
      </c>
      <c r="D363" s="41" t="s">
        <v>460</v>
      </c>
      <c r="E363" s="49">
        <v>1839804</v>
      </c>
      <c r="F363" s="49">
        <v>8604</v>
      </c>
      <c r="G363" s="50">
        <v>1831200</v>
      </c>
      <c r="H363" s="42" t="s">
        <v>2615</v>
      </c>
      <c r="I363" s="42" t="s">
        <v>461</v>
      </c>
      <c r="J363" s="43" t="s">
        <v>351</v>
      </c>
      <c r="K363" s="40">
        <v>1012364106</v>
      </c>
      <c r="L363" s="41" t="s">
        <v>3363</v>
      </c>
      <c r="M363" s="41" t="s">
        <v>316</v>
      </c>
      <c r="N363" s="41" t="s">
        <v>317</v>
      </c>
      <c r="O363" s="41" t="s">
        <v>3364</v>
      </c>
      <c r="P363" s="41" t="s">
        <v>319</v>
      </c>
      <c r="Q363" s="40">
        <v>860007335</v>
      </c>
      <c r="R363" s="41" t="s">
        <v>381</v>
      </c>
      <c r="S363" s="40">
        <v>923211</v>
      </c>
      <c r="T363" s="41" t="s">
        <v>69</v>
      </c>
      <c r="U363" s="41" t="s">
        <v>29</v>
      </c>
      <c r="V363" s="41" t="s">
        <v>30</v>
      </c>
      <c r="W363" s="42" t="s">
        <v>31</v>
      </c>
      <c r="X363" s="42" t="s">
        <v>32</v>
      </c>
      <c r="Y363" s="42" t="s">
        <v>33</v>
      </c>
      <c r="Z363" s="42" t="s">
        <v>3334</v>
      </c>
      <c r="AA363" s="42" t="s">
        <v>34</v>
      </c>
      <c r="AB363" s="42" t="s">
        <v>34</v>
      </c>
      <c r="AC363" s="42" t="s">
        <v>34</v>
      </c>
      <c r="AD363" s="42" t="s">
        <v>462</v>
      </c>
      <c r="AE363" s="42"/>
      <c r="AF363" s="42"/>
      <c r="AG363" s="42" t="s">
        <v>463</v>
      </c>
      <c r="AH363" s="42"/>
      <c r="AI363" s="44"/>
      <c r="AJ363" s="42"/>
      <c r="AK363" s="44"/>
      <c r="AL363" s="42"/>
      <c r="AM363" s="52">
        <v>2125</v>
      </c>
      <c r="AN363" s="52">
        <v>2125</v>
      </c>
      <c r="AO363" s="52">
        <v>34925</v>
      </c>
      <c r="AP363" s="52">
        <v>0</v>
      </c>
      <c r="AQ363" s="42"/>
      <c r="AR363" s="52">
        <v>37225</v>
      </c>
      <c r="AS363" s="52">
        <v>64617625</v>
      </c>
      <c r="AT363" s="52">
        <v>0</v>
      </c>
      <c r="AU363" s="41" t="s">
        <v>2631</v>
      </c>
      <c r="AV363" s="41" t="s">
        <v>356</v>
      </c>
      <c r="AW363" s="41" t="s">
        <v>3366</v>
      </c>
      <c r="AX363" s="41" t="s">
        <v>1158</v>
      </c>
    </row>
    <row r="364" spans="1:50" x14ac:dyDescent="0.2">
      <c r="A364" s="40">
        <v>64617725</v>
      </c>
      <c r="B364" s="41" t="s">
        <v>2804</v>
      </c>
      <c r="C364" s="41" t="s">
        <v>3357</v>
      </c>
      <c r="D364" s="41" t="s">
        <v>460</v>
      </c>
      <c r="E364" s="49">
        <v>1839804</v>
      </c>
      <c r="F364" s="49">
        <v>8604</v>
      </c>
      <c r="G364" s="50">
        <v>1831200</v>
      </c>
      <c r="H364" s="42" t="s">
        <v>2615</v>
      </c>
      <c r="I364" s="42" t="s">
        <v>461</v>
      </c>
      <c r="J364" s="43" t="s">
        <v>351</v>
      </c>
      <c r="K364" s="40">
        <v>79840465</v>
      </c>
      <c r="L364" s="41" t="s">
        <v>3368</v>
      </c>
      <c r="M364" s="41" t="s">
        <v>316</v>
      </c>
      <c r="N364" s="41" t="s">
        <v>317</v>
      </c>
      <c r="O364" s="41" t="s">
        <v>3369</v>
      </c>
      <c r="P364" s="41" t="s">
        <v>319</v>
      </c>
      <c r="Q364" s="40">
        <v>860034313</v>
      </c>
      <c r="R364" s="41" t="s">
        <v>355</v>
      </c>
      <c r="S364" s="40">
        <v>923238</v>
      </c>
      <c r="T364" s="41" t="s">
        <v>569</v>
      </c>
      <c r="U364" s="41" t="s">
        <v>29</v>
      </c>
      <c r="V364" s="41" t="s">
        <v>30</v>
      </c>
      <c r="W364" s="42" t="s">
        <v>31</v>
      </c>
      <c r="X364" s="42" t="s">
        <v>32</v>
      </c>
      <c r="Y364" s="42" t="s">
        <v>33</v>
      </c>
      <c r="Z364" s="42" t="s">
        <v>3334</v>
      </c>
      <c r="AA364" s="42" t="s">
        <v>34</v>
      </c>
      <c r="AB364" s="42" t="s">
        <v>34</v>
      </c>
      <c r="AC364" s="42" t="s">
        <v>34</v>
      </c>
      <c r="AD364" s="42" t="s">
        <v>462</v>
      </c>
      <c r="AE364" s="42"/>
      <c r="AF364" s="42"/>
      <c r="AG364" s="42" t="s">
        <v>463</v>
      </c>
      <c r="AH364" s="42"/>
      <c r="AI364" s="44"/>
      <c r="AJ364" s="42"/>
      <c r="AK364" s="44"/>
      <c r="AL364" s="42"/>
      <c r="AM364" s="52">
        <v>125</v>
      </c>
      <c r="AN364" s="52">
        <v>125</v>
      </c>
      <c r="AO364" s="52">
        <v>35025</v>
      </c>
      <c r="AP364" s="52">
        <v>0</v>
      </c>
      <c r="AQ364" s="42"/>
      <c r="AR364" s="52">
        <v>37325</v>
      </c>
      <c r="AS364" s="52">
        <v>64617725</v>
      </c>
      <c r="AT364" s="52">
        <v>0</v>
      </c>
      <c r="AU364" s="41" t="s">
        <v>2631</v>
      </c>
      <c r="AV364" s="41" t="s">
        <v>356</v>
      </c>
      <c r="AW364" s="41" t="s">
        <v>3371</v>
      </c>
      <c r="AX364" s="41" t="s">
        <v>742</v>
      </c>
    </row>
    <row r="365" spans="1:50" x14ac:dyDescent="0.2">
      <c r="A365" s="40">
        <v>64617825</v>
      </c>
      <c r="B365" s="41" t="s">
        <v>2804</v>
      </c>
      <c r="C365" s="41" t="s">
        <v>3345</v>
      </c>
      <c r="D365" s="41" t="s">
        <v>460</v>
      </c>
      <c r="E365" s="49">
        <v>1839804</v>
      </c>
      <c r="F365" s="49">
        <v>8604</v>
      </c>
      <c r="G365" s="50">
        <v>1831200</v>
      </c>
      <c r="H365" s="42" t="s">
        <v>2615</v>
      </c>
      <c r="I365" s="42" t="s">
        <v>461</v>
      </c>
      <c r="J365" s="43" t="s">
        <v>351</v>
      </c>
      <c r="K365" s="40">
        <v>39668402</v>
      </c>
      <c r="L365" s="41" t="s">
        <v>3373</v>
      </c>
      <c r="M365" s="41" t="s">
        <v>316</v>
      </c>
      <c r="N365" s="41" t="s">
        <v>317</v>
      </c>
      <c r="O365" s="41" t="s">
        <v>3374</v>
      </c>
      <c r="P365" s="41" t="s">
        <v>319</v>
      </c>
      <c r="Q365" s="40">
        <v>860007335</v>
      </c>
      <c r="R365" s="41" t="s">
        <v>381</v>
      </c>
      <c r="S365" s="40">
        <v>923245</v>
      </c>
      <c r="T365" s="41" t="s">
        <v>180</v>
      </c>
      <c r="U365" s="41" t="s">
        <v>29</v>
      </c>
      <c r="V365" s="41" t="s">
        <v>30</v>
      </c>
      <c r="W365" s="42" t="s">
        <v>31</v>
      </c>
      <c r="X365" s="42" t="s">
        <v>32</v>
      </c>
      <c r="Y365" s="42" t="s">
        <v>33</v>
      </c>
      <c r="Z365" s="42" t="s">
        <v>3334</v>
      </c>
      <c r="AA365" s="42" t="s">
        <v>34</v>
      </c>
      <c r="AB365" s="42" t="s">
        <v>34</v>
      </c>
      <c r="AC365" s="42" t="s">
        <v>34</v>
      </c>
      <c r="AD365" s="42" t="s">
        <v>462</v>
      </c>
      <c r="AE365" s="42"/>
      <c r="AF365" s="42"/>
      <c r="AG365" s="42" t="s">
        <v>463</v>
      </c>
      <c r="AH365" s="42"/>
      <c r="AI365" s="44"/>
      <c r="AJ365" s="42"/>
      <c r="AK365" s="44"/>
      <c r="AL365" s="42"/>
      <c r="AM365" s="52">
        <v>3825</v>
      </c>
      <c r="AN365" s="52">
        <v>3825</v>
      </c>
      <c r="AO365" s="52">
        <v>35225</v>
      </c>
      <c r="AP365" s="52">
        <v>0</v>
      </c>
      <c r="AQ365" s="42"/>
      <c r="AR365" s="52">
        <v>37425</v>
      </c>
      <c r="AS365" s="52">
        <v>64617825</v>
      </c>
      <c r="AT365" s="52">
        <v>0</v>
      </c>
      <c r="AU365" s="41" t="s">
        <v>2632</v>
      </c>
      <c r="AV365" s="41" t="s">
        <v>356</v>
      </c>
      <c r="AW365" s="41" t="s">
        <v>3376</v>
      </c>
      <c r="AX365" s="41" t="s">
        <v>3377</v>
      </c>
    </row>
    <row r="366" spans="1:50" x14ac:dyDescent="0.2">
      <c r="A366" s="40">
        <v>64617925</v>
      </c>
      <c r="B366" s="41" t="s">
        <v>2804</v>
      </c>
      <c r="C366" s="41" t="s">
        <v>3379</v>
      </c>
      <c r="D366" s="41" t="s">
        <v>460</v>
      </c>
      <c r="E366" s="49">
        <v>1839804</v>
      </c>
      <c r="F366" s="49">
        <v>8604</v>
      </c>
      <c r="G366" s="50">
        <v>1831200</v>
      </c>
      <c r="H366" s="42" t="s">
        <v>2615</v>
      </c>
      <c r="I366" s="42" t="s">
        <v>461</v>
      </c>
      <c r="J366" s="43" t="s">
        <v>351</v>
      </c>
      <c r="K366" s="40">
        <v>1010179352</v>
      </c>
      <c r="L366" s="41" t="s">
        <v>3380</v>
      </c>
      <c r="M366" s="41" t="s">
        <v>316</v>
      </c>
      <c r="N366" s="41" t="s">
        <v>317</v>
      </c>
      <c r="O366" s="41" t="s">
        <v>3381</v>
      </c>
      <c r="P366" s="41" t="s">
        <v>319</v>
      </c>
      <c r="Q366" s="40">
        <v>860002964</v>
      </c>
      <c r="R366" s="41" t="s">
        <v>419</v>
      </c>
      <c r="S366" s="40">
        <v>923245</v>
      </c>
      <c r="T366" s="41" t="s">
        <v>180</v>
      </c>
      <c r="U366" s="41" t="s">
        <v>29</v>
      </c>
      <c r="V366" s="41" t="s">
        <v>30</v>
      </c>
      <c r="W366" s="42" t="s">
        <v>31</v>
      </c>
      <c r="X366" s="42" t="s">
        <v>32</v>
      </c>
      <c r="Y366" s="42" t="s">
        <v>33</v>
      </c>
      <c r="Z366" s="42" t="s">
        <v>3334</v>
      </c>
      <c r="AA366" s="42" t="s">
        <v>34</v>
      </c>
      <c r="AB366" s="42" t="s">
        <v>34</v>
      </c>
      <c r="AC366" s="42" t="s">
        <v>34</v>
      </c>
      <c r="AD366" s="42" t="s">
        <v>462</v>
      </c>
      <c r="AE366" s="42"/>
      <c r="AF366" s="42"/>
      <c r="AG366" s="42" t="s">
        <v>463</v>
      </c>
      <c r="AH366" s="42"/>
      <c r="AI366" s="44"/>
      <c r="AJ366" s="42"/>
      <c r="AK366" s="44"/>
      <c r="AL366" s="42"/>
      <c r="AM366" s="52">
        <v>3825</v>
      </c>
      <c r="AN366" s="52">
        <v>3825</v>
      </c>
      <c r="AO366" s="52">
        <v>35325</v>
      </c>
      <c r="AP366" s="52">
        <v>0</v>
      </c>
      <c r="AQ366" s="42"/>
      <c r="AR366" s="52">
        <v>37525</v>
      </c>
      <c r="AS366" s="52">
        <v>64617925</v>
      </c>
      <c r="AT366" s="52">
        <v>0</v>
      </c>
      <c r="AU366" s="41" t="s">
        <v>2632</v>
      </c>
      <c r="AV366" s="41" t="s">
        <v>356</v>
      </c>
      <c r="AW366" s="41" t="s">
        <v>3383</v>
      </c>
      <c r="AX366" s="41" t="s">
        <v>3377</v>
      </c>
    </row>
    <row r="367" spans="1:50" x14ac:dyDescent="0.2">
      <c r="A367" s="40">
        <v>64618025</v>
      </c>
      <c r="B367" s="41" t="s">
        <v>2804</v>
      </c>
      <c r="C367" s="41" t="s">
        <v>3385</v>
      </c>
      <c r="D367" s="41" t="s">
        <v>460</v>
      </c>
      <c r="E367" s="49">
        <v>1839804</v>
      </c>
      <c r="F367" s="49">
        <v>8604</v>
      </c>
      <c r="G367" s="50">
        <v>1831200</v>
      </c>
      <c r="H367" s="42" t="s">
        <v>2615</v>
      </c>
      <c r="I367" s="42" t="s">
        <v>461</v>
      </c>
      <c r="J367" s="43" t="s">
        <v>351</v>
      </c>
      <c r="K367" s="40">
        <v>80830134</v>
      </c>
      <c r="L367" s="41" t="s">
        <v>3386</v>
      </c>
      <c r="M367" s="41" t="s">
        <v>316</v>
      </c>
      <c r="N367" s="41" t="s">
        <v>317</v>
      </c>
      <c r="O367" s="41" t="s">
        <v>3387</v>
      </c>
      <c r="P367" s="41" t="s">
        <v>319</v>
      </c>
      <c r="Q367" s="40">
        <v>860034594</v>
      </c>
      <c r="R367" s="41" t="s">
        <v>374</v>
      </c>
      <c r="S367" s="40">
        <v>923245</v>
      </c>
      <c r="T367" s="41" t="s">
        <v>180</v>
      </c>
      <c r="U367" s="41" t="s">
        <v>29</v>
      </c>
      <c r="V367" s="41" t="s">
        <v>30</v>
      </c>
      <c r="W367" s="42" t="s">
        <v>31</v>
      </c>
      <c r="X367" s="42" t="s">
        <v>32</v>
      </c>
      <c r="Y367" s="42" t="s">
        <v>33</v>
      </c>
      <c r="Z367" s="42" t="s">
        <v>3334</v>
      </c>
      <c r="AA367" s="42" t="s">
        <v>34</v>
      </c>
      <c r="AB367" s="42" t="s">
        <v>34</v>
      </c>
      <c r="AC367" s="42" t="s">
        <v>34</v>
      </c>
      <c r="AD367" s="42" t="s">
        <v>462</v>
      </c>
      <c r="AE367" s="42"/>
      <c r="AF367" s="42"/>
      <c r="AG367" s="42" t="s">
        <v>463</v>
      </c>
      <c r="AH367" s="42"/>
      <c r="AI367" s="44"/>
      <c r="AJ367" s="42"/>
      <c r="AK367" s="44"/>
      <c r="AL367" s="42"/>
      <c r="AM367" s="52">
        <v>3825</v>
      </c>
      <c r="AN367" s="52">
        <v>3825</v>
      </c>
      <c r="AO367" s="52">
        <v>35425</v>
      </c>
      <c r="AP367" s="52">
        <v>0</v>
      </c>
      <c r="AQ367" s="42"/>
      <c r="AR367" s="52">
        <v>37625</v>
      </c>
      <c r="AS367" s="52">
        <v>64618025</v>
      </c>
      <c r="AT367" s="52">
        <v>0</v>
      </c>
      <c r="AU367" s="41" t="s">
        <v>2632</v>
      </c>
      <c r="AV367" s="41" t="s">
        <v>356</v>
      </c>
      <c r="AW367" s="41" t="s">
        <v>3389</v>
      </c>
      <c r="AX367" s="41" t="s">
        <v>3377</v>
      </c>
    </row>
    <row r="368" spans="1:50" x14ac:dyDescent="0.2">
      <c r="A368" s="40">
        <v>64618125</v>
      </c>
      <c r="B368" s="41" t="s">
        <v>2804</v>
      </c>
      <c r="C368" s="41" t="s">
        <v>3391</v>
      </c>
      <c r="D368" s="41" t="s">
        <v>460</v>
      </c>
      <c r="E368" s="49">
        <v>1839804</v>
      </c>
      <c r="F368" s="49">
        <v>9821</v>
      </c>
      <c r="G368" s="50">
        <v>1829983</v>
      </c>
      <c r="H368" s="42" t="s">
        <v>2615</v>
      </c>
      <c r="I368" s="42" t="s">
        <v>461</v>
      </c>
      <c r="J368" s="43" t="s">
        <v>351</v>
      </c>
      <c r="K368" s="40">
        <v>1073708200</v>
      </c>
      <c r="L368" s="41" t="s">
        <v>3392</v>
      </c>
      <c r="M368" s="41" t="s">
        <v>316</v>
      </c>
      <c r="N368" s="41" t="s">
        <v>317</v>
      </c>
      <c r="O368" s="41" t="s">
        <v>3393</v>
      </c>
      <c r="P368" s="41" t="s">
        <v>319</v>
      </c>
      <c r="Q368" s="40">
        <v>860002964</v>
      </c>
      <c r="R368" s="41" t="s">
        <v>419</v>
      </c>
      <c r="S368" s="40">
        <v>923245</v>
      </c>
      <c r="T368" s="41" t="s">
        <v>180</v>
      </c>
      <c r="U368" s="41" t="s">
        <v>29</v>
      </c>
      <c r="V368" s="41" t="s">
        <v>30</v>
      </c>
      <c r="W368" s="42" t="s">
        <v>31</v>
      </c>
      <c r="X368" s="42" t="s">
        <v>32</v>
      </c>
      <c r="Y368" s="42" t="s">
        <v>33</v>
      </c>
      <c r="Z368" s="42" t="s">
        <v>3334</v>
      </c>
      <c r="AA368" s="42" t="s">
        <v>34</v>
      </c>
      <c r="AB368" s="42" t="s">
        <v>34</v>
      </c>
      <c r="AC368" s="42" t="s">
        <v>34</v>
      </c>
      <c r="AD368" s="42" t="s">
        <v>462</v>
      </c>
      <c r="AE368" s="42"/>
      <c r="AF368" s="42"/>
      <c r="AG368" s="42" t="s">
        <v>463</v>
      </c>
      <c r="AH368" s="42"/>
      <c r="AI368" s="44"/>
      <c r="AJ368" s="42"/>
      <c r="AK368" s="44"/>
      <c r="AL368" s="42"/>
      <c r="AM368" s="52">
        <v>3825</v>
      </c>
      <c r="AN368" s="52">
        <v>3825</v>
      </c>
      <c r="AO368" s="52">
        <v>35525</v>
      </c>
      <c r="AP368" s="52">
        <v>0</v>
      </c>
      <c r="AQ368" s="42"/>
      <c r="AR368" s="52">
        <v>37725</v>
      </c>
      <c r="AS368" s="52">
        <v>64618125</v>
      </c>
      <c r="AT368" s="52">
        <v>0</v>
      </c>
      <c r="AU368" s="41" t="s">
        <v>2632</v>
      </c>
      <c r="AV368" s="41" t="s">
        <v>356</v>
      </c>
      <c r="AW368" s="41" t="s">
        <v>3395</v>
      </c>
      <c r="AX368" s="41" t="s">
        <v>3377</v>
      </c>
    </row>
    <row r="369" spans="1:50" x14ac:dyDescent="0.2">
      <c r="A369" s="40">
        <v>64618225</v>
      </c>
      <c r="B369" s="41" t="s">
        <v>2804</v>
      </c>
      <c r="C369" s="41" t="s">
        <v>3351</v>
      </c>
      <c r="D369" s="41" t="s">
        <v>460</v>
      </c>
      <c r="E369" s="49">
        <v>1839804</v>
      </c>
      <c r="F369" s="49">
        <v>8604</v>
      </c>
      <c r="G369" s="50">
        <v>1831200</v>
      </c>
      <c r="H369" s="42" t="s">
        <v>2615</v>
      </c>
      <c r="I369" s="42" t="s">
        <v>461</v>
      </c>
      <c r="J369" s="43" t="s">
        <v>351</v>
      </c>
      <c r="K369" s="40">
        <v>80357724</v>
      </c>
      <c r="L369" s="41" t="s">
        <v>3397</v>
      </c>
      <c r="M369" s="41" t="s">
        <v>316</v>
      </c>
      <c r="N369" s="41" t="s">
        <v>317</v>
      </c>
      <c r="O369" s="41" t="s">
        <v>3398</v>
      </c>
      <c r="P369" s="41" t="s">
        <v>319</v>
      </c>
      <c r="Q369" s="40">
        <v>890903938</v>
      </c>
      <c r="R369" s="41" t="s">
        <v>342</v>
      </c>
      <c r="S369" s="40">
        <v>923245</v>
      </c>
      <c r="T369" s="41" t="s">
        <v>180</v>
      </c>
      <c r="U369" s="41" t="s">
        <v>29</v>
      </c>
      <c r="V369" s="41" t="s">
        <v>30</v>
      </c>
      <c r="W369" s="42" t="s">
        <v>31</v>
      </c>
      <c r="X369" s="42" t="s">
        <v>32</v>
      </c>
      <c r="Y369" s="42" t="s">
        <v>33</v>
      </c>
      <c r="Z369" s="42" t="s">
        <v>3334</v>
      </c>
      <c r="AA369" s="42" t="s">
        <v>34</v>
      </c>
      <c r="AB369" s="42" t="s">
        <v>34</v>
      </c>
      <c r="AC369" s="42" t="s">
        <v>34</v>
      </c>
      <c r="AD369" s="42" t="s">
        <v>462</v>
      </c>
      <c r="AE369" s="42"/>
      <c r="AF369" s="42"/>
      <c r="AG369" s="42" t="s">
        <v>463</v>
      </c>
      <c r="AH369" s="42"/>
      <c r="AI369" s="44"/>
      <c r="AJ369" s="42"/>
      <c r="AK369" s="44"/>
      <c r="AL369" s="42"/>
      <c r="AM369" s="52">
        <v>3825</v>
      </c>
      <c r="AN369" s="52">
        <v>3825</v>
      </c>
      <c r="AO369" s="52">
        <v>35625</v>
      </c>
      <c r="AP369" s="52">
        <v>0</v>
      </c>
      <c r="AQ369" s="42"/>
      <c r="AR369" s="52">
        <v>37825</v>
      </c>
      <c r="AS369" s="52">
        <v>64618225</v>
      </c>
      <c r="AT369" s="52">
        <v>0</v>
      </c>
      <c r="AU369" s="41" t="s">
        <v>2632</v>
      </c>
      <c r="AV369" s="41" t="s">
        <v>356</v>
      </c>
      <c r="AW369" s="41" t="s">
        <v>3400</v>
      </c>
      <c r="AX369" s="41" t="s">
        <v>3377</v>
      </c>
    </row>
    <row r="370" spans="1:50" x14ac:dyDescent="0.2">
      <c r="A370" s="40">
        <v>64618325</v>
      </c>
      <c r="B370" s="41" t="s">
        <v>2804</v>
      </c>
      <c r="C370" s="41" t="s">
        <v>3331</v>
      </c>
      <c r="D370" s="41" t="s">
        <v>460</v>
      </c>
      <c r="E370" s="49">
        <v>1839804</v>
      </c>
      <c r="F370" s="49">
        <v>8604</v>
      </c>
      <c r="G370" s="50">
        <v>1831200</v>
      </c>
      <c r="H370" s="42" t="s">
        <v>2615</v>
      </c>
      <c r="I370" s="42" t="s">
        <v>461</v>
      </c>
      <c r="J370" s="43" t="s">
        <v>351</v>
      </c>
      <c r="K370" s="40">
        <v>7167348</v>
      </c>
      <c r="L370" s="41" t="s">
        <v>3402</v>
      </c>
      <c r="M370" s="41" t="s">
        <v>316</v>
      </c>
      <c r="N370" s="41" t="s">
        <v>317</v>
      </c>
      <c r="O370" s="41" t="s">
        <v>3403</v>
      </c>
      <c r="P370" s="41" t="s">
        <v>319</v>
      </c>
      <c r="Q370" s="40">
        <v>860034313</v>
      </c>
      <c r="R370" s="41" t="s">
        <v>355</v>
      </c>
      <c r="S370" s="40">
        <v>923245</v>
      </c>
      <c r="T370" s="41" t="s">
        <v>180</v>
      </c>
      <c r="U370" s="41" t="s">
        <v>29</v>
      </c>
      <c r="V370" s="41" t="s">
        <v>30</v>
      </c>
      <c r="W370" s="42" t="s">
        <v>31</v>
      </c>
      <c r="X370" s="42" t="s">
        <v>32</v>
      </c>
      <c r="Y370" s="42" t="s">
        <v>33</v>
      </c>
      <c r="Z370" s="42" t="s">
        <v>3334</v>
      </c>
      <c r="AA370" s="42" t="s">
        <v>34</v>
      </c>
      <c r="AB370" s="42" t="s">
        <v>34</v>
      </c>
      <c r="AC370" s="42" t="s">
        <v>34</v>
      </c>
      <c r="AD370" s="42" t="s">
        <v>462</v>
      </c>
      <c r="AE370" s="42"/>
      <c r="AF370" s="42"/>
      <c r="AG370" s="42" t="s">
        <v>463</v>
      </c>
      <c r="AH370" s="42"/>
      <c r="AI370" s="44"/>
      <c r="AJ370" s="42"/>
      <c r="AK370" s="44"/>
      <c r="AL370" s="42"/>
      <c r="AM370" s="52">
        <v>3825</v>
      </c>
      <c r="AN370" s="52">
        <v>3825</v>
      </c>
      <c r="AO370" s="52">
        <v>35725</v>
      </c>
      <c r="AP370" s="52">
        <v>0</v>
      </c>
      <c r="AQ370" s="42"/>
      <c r="AR370" s="52">
        <v>37925</v>
      </c>
      <c r="AS370" s="52">
        <v>64618325</v>
      </c>
      <c r="AT370" s="52">
        <v>0</v>
      </c>
      <c r="AU370" s="41" t="s">
        <v>2632</v>
      </c>
      <c r="AV370" s="41" t="s">
        <v>356</v>
      </c>
      <c r="AW370" s="41" t="s">
        <v>3406</v>
      </c>
      <c r="AX370" s="41" t="s">
        <v>3377</v>
      </c>
    </row>
    <row r="371" spans="1:50" x14ac:dyDescent="0.2">
      <c r="A371" s="40">
        <v>64618425</v>
      </c>
      <c r="B371" s="41" t="s">
        <v>2804</v>
      </c>
      <c r="C371" s="41" t="s">
        <v>3408</v>
      </c>
      <c r="D371" s="41" t="s">
        <v>460</v>
      </c>
      <c r="E371" s="49">
        <v>1839804</v>
      </c>
      <c r="F371" s="49">
        <v>8604</v>
      </c>
      <c r="G371" s="50">
        <v>1831200</v>
      </c>
      <c r="H371" s="42" t="s">
        <v>2615</v>
      </c>
      <c r="I371" s="42" t="s">
        <v>461</v>
      </c>
      <c r="J371" s="43" t="s">
        <v>351</v>
      </c>
      <c r="K371" s="40">
        <v>1022374983</v>
      </c>
      <c r="L371" s="41" t="s">
        <v>3409</v>
      </c>
      <c r="M371" s="41" t="s">
        <v>316</v>
      </c>
      <c r="N371" s="41" t="s">
        <v>317</v>
      </c>
      <c r="O371" s="41" t="s">
        <v>3410</v>
      </c>
      <c r="P371" s="41" t="s">
        <v>319</v>
      </c>
      <c r="Q371" s="40">
        <v>890903938</v>
      </c>
      <c r="R371" s="41" t="s">
        <v>342</v>
      </c>
      <c r="S371" s="40">
        <v>923245</v>
      </c>
      <c r="T371" s="41" t="s">
        <v>180</v>
      </c>
      <c r="U371" s="41" t="s">
        <v>29</v>
      </c>
      <c r="V371" s="41" t="s">
        <v>30</v>
      </c>
      <c r="W371" s="42" t="s">
        <v>31</v>
      </c>
      <c r="X371" s="42" t="s">
        <v>32</v>
      </c>
      <c r="Y371" s="42" t="s">
        <v>33</v>
      </c>
      <c r="Z371" s="42" t="s">
        <v>3334</v>
      </c>
      <c r="AA371" s="42" t="s">
        <v>34</v>
      </c>
      <c r="AB371" s="42" t="s">
        <v>34</v>
      </c>
      <c r="AC371" s="42" t="s">
        <v>34</v>
      </c>
      <c r="AD371" s="42" t="s">
        <v>462</v>
      </c>
      <c r="AE371" s="42"/>
      <c r="AF371" s="42"/>
      <c r="AG371" s="42" t="s">
        <v>463</v>
      </c>
      <c r="AH371" s="42"/>
      <c r="AI371" s="44"/>
      <c r="AJ371" s="42"/>
      <c r="AK371" s="44"/>
      <c r="AL371" s="42"/>
      <c r="AM371" s="52">
        <v>3825</v>
      </c>
      <c r="AN371" s="52">
        <v>3825</v>
      </c>
      <c r="AO371" s="52">
        <v>35825</v>
      </c>
      <c r="AP371" s="52">
        <v>0</v>
      </c>
      <c r="AQ371" s="42"/>
      <c r="AR371" s="52">
        <v>38025</v>
      </c>
      <c r="AS371" s="52">
        <v>64618425</v>
      </c>
      <c r="AT371" s="52">
        <v>0</v>
      </c>
      <c r="AU371" s="41" t="s">
        <v>2632</v>
      </c>
      <c r="AV371" s="41" t="s">
        <v>356</v>
      </c>
      <c r="AW371" s="41" t="s">
        <v>3412</v>
      </c>
      <c r="AX371" s="41" t="s">
        <v>3413</v>
      </c>
    </row>
    <row r="372" spans="1:50" x14ac:dyDescent="0.2">
      <c r="A372" s="40">
        <v>64618525</v>
      </c>
      <c r="B372" s="41" t="s">
        <v>2804</v>
      </c>
      <c r="C372" s="41" t="s">
        <v>3351</v>
      </c>
      <c r="D372" s="41" t="s">
        <v>460</v>
      </c>
      <c r="E372" s="49">
        <v>1839804</v>
      </c>
      <c r="F372" s="49">
        <v>8604</v>
      </c>
      <c r="G372" s="50">
        <v>1831200</v>
      </c>
      <c r="H372" s="42" t="s">
        <v>2615</v>
      </c>
      <c r="I372" s="42" t="s">
        <v>461</v>
      </c>
      <c r="J372" s="43" t="s">
        <v>351</v>
      </c>
      <c r="K372" s="40">
        <v>79220367</v>
      </c>
      <c r="L372" s="41" t="s">
        <v>3415</v>
      </c>
      <c r="M372" s="41" t="s">
        <v>316</v>
      </c>
      <c r="N372" s="41" t="s">
        <v>317</v>
      </c>
      <c r="O372" s="41" t="s">
        <v>3416</v>
      </c>
      <c r="P372" s="41" t="s">
        <v>319</v>
      </c>
      <c r="Q372" s="40">
        <v>890903938</v>
      </c>
      <c r="R372" s="41" t="s">
        <v>342</v>
      </c>
      <c r="S372" s="40">
        <v>923245</v>
      </c>
      <c r="T372" s="41" t="s">
        <v>180</v>
      </c>
      <c r="U372" s="41" t="s">
        <v>29</v>
      </c>
      <c r="V372" s="41" t="s">
        <v>30</v>
      </c>
      <c r="W372" s="42" t="s">
        <v>31</v>
      </c>
      <c r="X372" s="42" t="s">
        <v>32</v>
      </c>
      <c r="Y372" s="42" t="s">
        <v>33</v>
      </c>
      <c r="Z372" s="42" t="s">
        <v>3334</v>
      </c>
      <c r="AA372" s="42" t="s">
        <v>34</v>
      </c>
      <c r="AB372" s="42" t="s">
        <v>34</v>
      </c>
      <c r="AC372" s="42" t="s">
        <v>34</v>
      </c>
      <c r="AD372" s="42" t="s">
        <v>462</v>
      </c>
      <c r="AE372" s="42"/>
      <c r="AF372" s="42"/>
      <c r="AG372" s="42" t="s">
        <v>463</v>
      </c>
      <c r="AH372" s="42"/>
      <c r="AI372" s="44"/>
      <c r="AJ372" s="42"/>
      <c r="AK372" s="44"/>
      <c r="AL372" s="42"/>
      <c r="AM372" s="52">
        <v>3825</v>
      </c>
      <c r="AN372" s="52">
        <v>3825</v>
      </c>
      <c r="AO372" s="52">
        <v>35925</v>
      </c>
      <c r="AP372" s="52">
        <v>0</v>
      </c>
      <c r="AQ372" s="42"/>
      <c r="AR372" s="52">
        <v>38125</v>
      </c>
      <c r="AS372" s="52">
        <v>64618525</v>
      </c>
      <c r="AT372" s="52">
        <v>0</v>
      </c>
      <c r="AU372" s="41" t="s">
        <v>2632</v>
      </c>
      <c r="AV372" s="41" t="s">
        <v>356</v>
      </c>
      <c r="AW372" s="41" t="s">
        <v>3417</v>
      </c>
      <c r="AX372" s="41" t="s">
        <v>3377</v>
      </c>
    </row>
    <row r="373" spans="1:50" x14ac:dyDescent="0.2">
      <c r="A373" s="40">
        <v>64618625</v>
      </c>
      <c r="B373" s="41" t="s">
        <v>2804</v>
      </c>
      <c r="C373" s="41" t="s">
        <v>3408</v>
      </c>
      <c r="D373" s="41" t="s">
        <v>460</v>
      </c>
      <c r="E373" s="49">
        <v>1839804</v>
      </c>
      <c r="F373" s="49">
        <v>8604</v>
      </c>
      <c r="G373" s="50">
        <v>1831200</v>
      </c>
      <c r="H373" s="42" t="s">
        <v>2615</v>
      </c>
      <c r="I373" s="42" t="s">
        <v>461</v>
      </c>
      <c r="J373" s="43" t="s">
        <v>351</v>
      </c>
      <c r="K373" s="40">
        <v>79207730</v>
      </c>
      <c r="L373" s="41" t="s">
        <v>3419</v>
      </c>
      <c r="M373" s="41" t="s">
        <v>316</v>
      </c>
      <c r="N373" s="41" t="s">
        <v>317</v>
      </c>
      <c r="O373" s="41" t="s">
        <v>3420</v>
      </c>
      <c r="P373" s="41" t="s">
        <v>319</v>
      </c>
      <c r="Q373" s="40">
        <v>890903938</v>
      </c>
      <c r="R373" s="41" t="s">
        <v>342</v>
      </c>
      <c r="S373" s="40">
        <v>923245</v>
      </c>
      <c r="T373" s="41" t="s">
        <v>180</v>
      </c>
      <c r="U373" s="41" t="s">
        <v>29</v>
      </c>
      <c r="V373" s="41" t="s">
        <v>30</v>
      </c>
      <c r="W373" s="42" t="s">
        <v>31</v>
      </c>
      <c r="X373" s="42" t="s">
        <v>32</v>
      </c>
      <c r="Y373" s="42" t="s">
        <v>33</v>
      </c>
      <c r="Z373" s="42" t="s">
        <v>3334</v>
      </c>
      <c r="AA373" s="42" t="s">
        <v>34</v>
      </c>
      <c r="AB373" s="42" t="s">
        <v>34</v>
      </c>
      <c r="AC373" s="42" t="s">
        <v>34</v>
      </c>
      <c r="AD373" s="42" t="s">
        <v>462</v>
      </c>
      <c r="AE373" s="42"/>
      <c r="AF373" s="42"/>
      <c r="AG373" s="42" t="s">
        <v>463</v>
      </c>
      <c r="AH373" s="42"/>
      <c r="AI373" s="44"/>
      <c r="AJ373" s="42"/>
      <c r="AK373" s="44"/>
      <c r="AL373" s="42"/>
      <c r="AM373" s="52">
        <v>3825</v>
      </c>
      <c r="AN373" s="52">
        <v>3825</v>
      </c>
      <c r="AO373" s="52">
        <v>36025</v>
      </c>
      <c r="AP373" s="52">
        <v>0</v>
      </c>
      <c r="AQ373" s="42"/>
      <c r="AR373" s="52">
        <v>38225</v>
      </c>
      <c r="AS373" s="52">
        <v>64618625</v>
      </c>
      <c r="AT373" s="52">
        <v>0</v>
      </c>
      <c r="AU373" s="41" t="s">
        <v>2632</v>
      </c>
      <c r="AV373" s="41" t="s">
        <v>356</v>
      </c>
      <c r="AW373" s="41" t="s">
        <v>3421</v>
      </c>
      <c r="AX373" s="41" t="s">
        <v>748</v>
      </c>
    </row>
    <row r="374" spans="1:50" x14ac:dyDescent="0.2">
      <c r="A374" s="40">
        <v>64618725</v>
      </c>
      <c r="B374" s="41" t="s">
        <v>2804</v>
      </c>
      <c r="C374" s="41" t="s">
        <v>3338</v>
      </c>
      <c r="D374" s="41" t="s">
        <v>460</v>
      </c>
      <c r="E374" s="49">
        <v>1839804</v>
      </c>
      <c r="F374" s="49">
        <v>8604</v>
      </c>
      <c r="G374" s="50">
        <v>1831200</v>
      </c>
      <c r="H374" s="42" t="s">
        <v>2615</v>
      </c>
      <c r="I374" s="42" t="s">
        <v>461</v>
      </c>
      <c r="J374" s="43" t="s">
        <v>351</v>
      </c>
      <c r="K374" s="40">
        <v>53890046</v>
      </c>
      <c r="L374" s="41" t="s">
        <v>3423</v>
      </c>
      <c r="M374" s="41" t="s">
        <v>316</v>
      </c>
      <c r="N374" s="41" t="s">
        <v>317</v>
      </c>
      <c r="O374" s="41" t="s">
        <v>3424</v>
      </c>
      <c r="P374" s="41" t="s">
        <v>319</v>
      </c>
      <c r="Q374" s="40">
        <v>890903938</v>
      </c>
      <c r="R374" s="41" t="s">
        <v>342</v>
      </c>
      <c r="S374" s="40">
        <v>923245</v>
      </c>
      <c r="T374" s="41" t="s">
        <v>180</v>
      </c>
      <c r="U374" s="41" t="s">
        <v>29</v>
      </c>
      <c r="V374" s="41" t="s">
        <v>30</v>
      </c>
      <c r="W374" s="42" t="s">
        <v>31</v>
      </c>
      <c r="X374" s="42" t="s">
        <v>32</v>
      </c>
      <c r="Y374" s="42" t="s">
        <v>33</v>
      </c>
      <c r="Z374" s="42" t="s">
        <v>3334</v>
      </c>
      <c r="AA374" s="42" t="s">
        <v>34</v>
      </c>
      <c r="AB374" s="42" t="s">
        <v>34</v>
      </c>
      <c r="AC374" s="42" t="s">
        <v>34</v>
      </c>
      <c r="AD374" s="42" t="s">
        <v>462</v>
      </c>
      <c r="AE374" s="42"/>
      <c r="AF374" s="42"/>
      <c r="AG374" s="42" t="s">
        <v>463</v>
      </c>
      <c r="AH374" s="42"/>
      <c r="AI374" s="44"/>
      <c r="AJ374" s="42"/>
      <c r="AK374" s="44"/>
      <c r="AL374" s="42"/>
      <c r="AM374" s="52">
        <v>3825</v>
      </c>
      <c r="AN374" s="52">
        <v>3825</v>
      </c>
      <c r="AO374" s="52">
        <v>36125</v>
      </c>
      <c r="AP374" s="52">
        <v>0</v>
      </c>
      <c r="AQ374" s="42"/>
      <c r="AR374" s="52">
        <v>38325</v>
      </c>
      <c r="AS374" s="52">
        <v>64618725</v>
      </c>
      <c r="AT374" s="52">
        <v>0</v>
      </c>
      <c r="AU374" s="41" t="s">
        <v>2632</v>
      </c>
      <c r="AV374" s="41" t="s">
        <v>356</v>
      </c>
      <c r="AW374" s="41" t="s">
        <v>3425</v>
      </c>
      <c r="AX374" s="41" t="s">
        <v>748</v>
      </c>
    </row>
    <row r="375" spans="1:50" x14ac:dyDescent="0.2">
      <c r="A375" s="40">
        <v>64618825</v>
      </c>
      <c r="B375" s="41" t="s">
        <v>2804</v>
      </c>
      <c r="C375" s="41" t="s">
        <v>3379</v>
      </c>
      <c r="D375" s="41" t="s">
        <v>460</v>
      </c>
      <c r="E375" s="49">
        <v>1839804</v>
      </c>
      <c r="F375" s="49">
        <v>8604</v>
      </c>
      <c r="G375" s="50">
        <v>1831200</v>
      </c>
      <c r="H375" s="42" t="s">
        <v>2615</v>
      </c>
      <c r="I375" s="42" t="s">
        <v>461</v>
      </c>
      <c r="J375" s="43" t="s">
        <v>351</v>
      </c>
      <c r="K375" s="40">
        <v>79217310</v>
      </c>
      <c r="L375" s="41" t="s">
        <v>3427</v>
      </c>
      <c r="M375" s="41" t="s">
        <v>316</v>
      </c>
      <c r="N375" s="41" t="s">
        <v>317</v>
      </c>
      <c r="O375" s="41" t="s">
        <v>3428</v>
      </c>
      <c r="P375" s="41" t="s">
        <v>319</v>
      </c>
      <c r="Q375" s="40">
        <v>860002964</v>
      </c>
      <c r="R375" s="41" t="s">
        <v>419</v>
      </c>
      <c r="S375" s="40">
        <v>923245</v>
      </c>
      <c r="T375" s="41" t="s">
        <v>180</v>
      </c>
      <c r="U375" s="41" t="s">
        <v>29</v>
      </c>
      <c r="V375" s="41" t="s">
        <v>30</v>
      </c>
      <c r="W375" s="42" t="s">
        <v>31</v>
      </c>
      <c r="X375" s="42" t="s">
        <v>32</v>
      </c>
      <c r="Y375" s="42" t="s">
        <v>33</v>
      </c>
      <c r="Z375" s="42" t="s">
        <v>3334</v>
      </c>
      <c r="AA375" s="42" t="s">
        <v>34</v>
      </c>
      <c r="AB375" s="42" t="s">
        <v>34</v>
      </c>
      <c r="AC375" s="42" t="s">
        <v>34</v>
      </c>
      <c r="AD375" s="42" t="s">
        <v>462</v>
      </c>
      <c r="AE375" s="42"/>
      <c r="AF375" s="42"/>
      <c r="AG375" s="42" t="s">
        <v>463</v>
      </c>
      <c r="AH375" s="42"/>
      <c r="AI375" s="44"/>
      <c r="AJ375" s="42"/>
      <c r="AK375" s="44"/>
      <c r="AL375" s="42"/>
      <c r="AM375" s="52">
        <v>3825</v>
      </c>
      <c r="AN375" s="52">
        <v>3825</v>
      </c>
      <c r="AO375" s="52">
        <v>36225</v>
      </c>
      <c r="AP375" s="52">
        <v>0</v>
      </c>
      <c r="AQ375" s="42"/>
      <c r="AR375" s="52">
        <v>38425</v>
      </c>
      <c r="AS375" s="52">
        <v>64618825</v>
      </c>
      <c r="AT375" s="52">
        <v>0</v>
      </c>
      <c r="AU375" s="41" t="s">
        <v>2632</v>
      </c>
      <c r="AV375" s="41" t="s">
        <v>356</v>
      </c>
      <c r="AW375" s="41" t="s">
        <v>3429</v>
      </c>
      <c r="AX375" s="41" t="s">
        <v>3430</v>
      </c>
    </row>
    <row r="376" spans="1:50" x14ac:dyDescent="0.2">
      <c r="A376" s="40">
        <v>64618925</v>
      </c>
      <c r="B376" s="41" t="s">
        <v>2804</v>
      </c>
      <c r="C376" s="41" t="s">
        <v>3432</v>
      </c>
      <c r="D376" s="41" t="s">
        <v>460</v>
      </c>
      <c r="E376" s="49">
        <v>1839804</v>
      </c>
      <c r="F376" s="49">
        <v>9971</v>
      </c>
      <c r="G376" s="50">
        <v>1829833</v>
      </c>
      <c r="H376" s="42" t="s">
        <v>2615</v>
      </c>
      <c r="I376" s="42" t="s">
        <v>461</v>
      </c>
      <c r="J376" s="43" t="s">
        <v>351</v>
      </c>
      <c r="K376" s="40">
        <v>49729347</v>
      </c>
      <c r="L376" s="41" t="s">
        <v>3433</v>
      </c>
      <c r="M376" s="41" t="s">
        <v>316</v>
      </c>
      <c r="N376" s="41" t="s">
        <v>317</v>
      </c>
      <c r="O376" s="41" t="s">
        <v>3434</v>
      </c>
      <c r="P376" s="41" t="s">
        <v>319</v>
      </c>
      <c r="Q376" s="40">
        <v>860034594</v>
      </c>
      <c r="R376" s="41" t="s">
        <v>374</v>
      </c>
      <c r="S376" s="40">
        <v>923245</v>
      </c>
      <c r="T376" s="41" t="s">
        <v>180</v>
      </c>
      <c r="U376" s="41" t="s">
        <v>29</v>
      </c>
      <c r="V376" s="41" t="s">
        <v>30</v>
      </c>
      <c r="W376" s="42" t="s">
        <v>31</v>
      </c>
      <c r="X376" s="42" t="s">
        <v>32</v>
      </c>
      <c r="Y376" s="42" t="s">
        <v>33</v>
      </c>
      <c r="Z376" s="42" t="s">
        <v>3334</v>
      </c>
      <c r="AA376" s="42" t="s">
        <v>34</v>
      </c>
      <c r="AB376" s="42" t="s">
        <v>34</v>
      </c>
      <c r="AC376" s="42" t="s">
        <v>34</v>
      </c>
      <c r="AD376" s="42" t="s">
        <v>462</v>
      </c>
      <c r="AE376" s="42"/>
      <c r="AF376" s="42"/>
      <c r="AG376" s="42" t="s">
        <v>463</v>
      </c>
      <c r="AH376" s="42"/>
      <c r="AI376" s="44"/>
      <c r="AJ376" s="42"/>
      <c r="AK376" s="44"/>
      <c r="AL376" s="42"/>
      <c r="AM376" s="52">
        <v>3825</v>
      </c>
      <c r="AN376" s="52">
        <v>3825</v>
      </c>
      <c r="AO376" s="52">
        <v>36325</v>
      </c>
      <c r="AP376" s="52">
        <v>0</v>
      </c>
      <c r="AQ376" s="42"/>
      <c r="AR376" s="52">
        <v>38525</v>
      </c>
      <c r="AS376" s="52">
        <v>64618925</v>
      </c>
      <c r="AT376" s="52">
        <v>0</v>
      </c>
      <c r="AU376" s="41" t="s">
        <v>2632</v>
      </c>
      <c r="AV376" s="41" t="s">
        <v>356</v>
      </c>
      <c r="AW376" s="41" t="s">
        <v>3435</v>
      </c>
      <c r="AX376" s="41" t="s">
        <v>748</v>
      </c>
    </row>
    <row r="377" spans="1:50" x14ac:dyDescent="0.2">
      <c r="A377" s="40">
        <v>64619025</v>
      </c>
      <c r="B377" s="41" t="s">
        <v>2804</v>
      </c>
      <c r="C377" s="41" t="s">
        <v>3437</v>
      </c>
      <c r="D377" s="41" t="s">
        <v>460</v>
      </c>
      <c r="E377" s="49">
        <v>1839804</v>
      </c>
      <c r="F377" s="49">
        <v>8604</v>
      </c>
      <c r="G377" s="50">
        <v>1831200</v>
      </c>
      <c r="H377" s="42" t="s">
        <v>2615</v>
      </c>
      <c r="I377" s="42" t="s">
        <v>461</v>
      </c>
      <c r="J377" s="43" t="s">
        <v>351</v>
      </c>
      <c r="K377" s="40">
        <v>11317827</v>
      </c>
      <c r="L377" s="41" t="s">
        <v>3438</v>
      </c>
      <c r="M377" s="41" t="s">
        <v>316</v>
      </c>
      <c r="N377" s="41" t="s">
        <v>317</v>
      </c>
      <c r="O377" s="41" t="s">
        <v>3439</v>
      </c>
      <c r="P377" s="41" t="s">
        <v>319</v>
      </c>
      <c r="Q377" s="40">
        <v>860034313</v>
      </c>
      <c r="R377" s="41" t="s">
        <v>355</v>
      </c>
      <c r="S377" s="40">
        <v>923285</v>
      </c>
      <c r="T377" s="41" t="s">
        <v>572</v>
      </c>
      <c r="U377" s="41" t="s">
        <v>29</v>
      </c>
      <c r="V377" s="41" t="s">
        <v>30</v>
      </c>
      <c r="W377" s="42" t="s">
        <v>31</v>
      </c>
      <c r="X377" s="42" t="s">
        <v>32</v>
      </c>
      <c r="Y377" s="42" t="s">
        <v>33</v>
      </c>
      <c r="Z377" s="42" t="s">
        <v>3334</v>
      </c>
      <c r="AA377" s="42" t="s">
        <v>34</v>
      </c>
      <c r="AB377" s="42" t="s">
        <v>34</v>
      </c>
      <c r="AC377" s="42" t="s">
        <v>34</v>
      </c>
      <c r="AD377" s="42" t="s">
        <v>462</v>
      </c>
      <c r="AE377" s="42"/>
      <c r="AF377" s="42"/>
      <c r="AG377" s="42" t="s">
        <v>463</v>
      </c>
      <c r="AH377" s="42"/>
      <c r="AI377" s="44"/>
      <c r="AJ377" s="42"/>
      <c r="AK377" s="44"/>
      <c r="AL377" s="42"/>
      <c r="AM377" s="52">
        <v>4225</v>
      </c>
      <c r="AN377" s="52">
        <v>4225</v>
      </c>
      <c r="AO377" s="52">
        <v>36425</v>
      </c>
      <c r="AP377" s="52">
        <v>0</v>
      </c>
      <c r="AQ377" s="42"/>
      <c r="AR377" s="52">
        <v>38625</v>
      </c>
      <c r="AS377" s="52">
        <v>64619025</v>
      </c>
      <c r="AT377" s="52">
        <v>0</v>
      </c>
      <c r="AU377" s="41" t="s">
        <v>2632</v>
      </c>
      <c r="AV377" s="41" t="s">
        <v>356</v>
      </c>
      <c r="AW377" s="41" t="s">
        <v>3440</v>
      </c>
      <c r="AX377" s="41" t="s">
        <v>742</v>
      </c>
    </row>
    <row r="378" spans="1:50" x14ac:dyDescent="0.2">
      <c r="A378" s="40">
        <v>64619125</v>
      </c>
      <c r="B378" s="41" t="s">
        <v>2804</v>
      </c>
      <c r="C378" s="41" t="s">
        <v>3442</v>
      </c>
      <c r="D378" s="41" t="s">
        <v>460</v>
      </c>
      <c r="E378" s="49">
        <v>1839804</v>
      </c>
      <c r="F378" s="49">
        <v>8604</v>
      </c>
      <c r="G378" s="50">
        <v>1831200</v>
      </c>
      <c r="H378" s="42" t="s">
        <v>2615</v>
      </c>
      <c r="I378" s="42" t="s">
        <v>461</v>
      </c>
      <c r="J378" s="43" t="s">
        <v>351</v>
      </c>
      <c r="K378" s="40">
        <v>1022328098</v>
      </c>
      <c r="L378" s="41" t="s">
        <v>3443</v>
      </c>
      <c r="M378" s="41" t="s">
        <v>316</v>
      </c>
      <c r="N378" s="41" t="s">
        <v>317</v>
      </c>
      <c r="O378" s="41" t="s">
        <v>3444</v>
      </c>
      <c r="P378" s="41" t="s">
        <v>319</v>
      </c>
      <c r="Q378" s="40">
        <v>860034313</v>
      </c>
      <c r="R378" s="41" t="s">
        <v>355</v>
      </c>
      <c r="S378" s="40">
        <v>923285</v>
      </c>
      <c r="T378" s="41" t="s">
        <v>572</v>
      </c>
      <c r="U378" s="41" t="s">
        <v>29</v>
      </c>
      <c r="V378" s="41" t="s">
        <v>30</v>
      </c>
      <c r="W378" s="42" t="s">
        <v>31</v>
      </c>
      <c r="X378" s="42" t="s">
        <v>32</v>
      </c>
      <c r="Y378" s="42" t="s">
        <v>33</v>
      </c>
      <c r="Z378" s="42" t="s">
        <v>3334</v>
      </c>
      <c r="AA378" s="42" t="s">
        <v>34</v>
      </c>
      <c r="AB378" s="42" t="s">
        <v>34</v>
      </c>
      <c r="AC378" s="42" t="s">
        <v>34</v>
      </c>
      <c r="AD378" s="42" t="s">
        <v>462</v>
      </c>
      <c r="AE378" s="42"/>
      <c r="AF378" s="42"/>
      <c r="AG378" s="42" t="s">
        <v>463</v>
      </c>
      <c r="AH378" s="42"/>
      <c r="AI378" s="44"/>
      <c r="AJ378" s="42"/>
      <c r="AK378" s="44"/>
      <c r="AL378" s="42"/>
      <c r="AM378" s="52">
        <v>4225</v>
      </c>
      <c r="AN378" s="52">
        <v>4225</v>
      </c>
      <c r="AO378" s="52">
        <v>36525</v>
      </c>
      <c r="AP378" s="52">
        <v>0</v>
      </c>
      <c r="AQ378" s="42"/>
      <c r="AR378" s="52">
        <v>38725</v>
      </c>
      <c r="AS378" s="52">
        <v>64619125</v>
      </c>
      <c r="AT378" s="52">
        <v>0</v>
      </c>
      <c r="AU378" s="41" t="s">
        <v>2632</v>
      </c>
      <c r="AV378" s="41" t="s">
        <v>356</v>
      </c>
      <c r="AW378" s="41" t="s">
        <v>3445</v>
      </c>
      <c r="AX378" s="41" t="s">
        <v>742</v>
      </c>
    </row>
    <row r="379" spans="1:50" x14ac:dyDescent="0.2">
      <c r="A379" s="40">
        <v>64619225</v>
      </c>
      <c r="B379" s="41" t="s">
        <v>2804</v>
      </c>
      <c r="C379" s="41" t="s">
        <v>3447</v>
      </c>
      <c r="D379" s="41" t="s">
        <v>460</v>
      </c>
      <c r="E379" s="49">
        <v>1839804</v>
      </c>
      <c r="F379" s="49">
        <v>10145</v>
      </c>
      <c r="G379" s="50">
        <v>1829659</v>
      </c>
      <c r="H379" s="42" t="s">
        <v>2615</v>
      </c>
      <c r="I379" s="42" t="s">
        <v>461</v>
      </c>
      <c r="J379" s="43" t="s">
        <v>351</v>
      </c>
      <c r="K379" s="40">
        <v>1032464545</v>
      </c>
      <c r="L379" s="41" t="s">
        <v>3448</v>
      </c>
      <c r="M379" s="41" t="s">
        <v>316</v>
      </c>
      <c r="N379" s="41" t="s">
        <v>317</v>
      </c>
      <c r="O379" s="41" t="s">
        <v>3449</v>
      </c>
      <c r="P379" s="41" t="s">
        <v>319</v>
      </c>
      <c r="Q379" s="40">
        <v>860002964</v>
      </c>
      <c r="R379" s="41" t="s">
        <v>419</v>
      </c>
      <c r="S379" s="40">
        <v>923210</v>
      </c>
      <c r="T379" s="41" t="s">
        <v>56</v>
      </c>
      <c r="U379" s="41" t="s">
        <v>57</v>
      </c>
      <c r="V379" s="41" t="s">
        <v>58</v>
      </c>
      <c r="W379" s="42" t="s">
        <v>31</v>
      </c>
      <c r="X379" s="42" t="s">
        <v>32</v>
      </c>
      <c r="Y379" s="42" t="s">
        <v>33</v>
      </c>
      <c r="Z379" s="42" t="s">
        <v>3334</v>
      </c>
      <c r="AA379" s="42" t="s">
        <v>34</v>
      </c>
      <c r="AB379" s="42" t="s">
        <v>34</v>
      </c>
      <c r="AC379" s="42" t="s">
        <v>34</v>
      </c>
      <c r="AD379" s="42" t="s">
        <v>462</v>
      </c>
      <c r="AE379" s="42"/>
      <c r="AF379" s="42"/>
      <c r="AG379" s="42" t="s">
        <v>463</v>
      </c>
      <c r="AH379" s="42"/>
      <c r="AI379" s="44"/>
      <c r="AJ379" s="42"/>
      <c r="AK379" s="44"/>
      <c r="AL379" s="42"/>
      <c r="AM379" s="52">
        <v>825</v>
      </c>
      <c r="AN379" s="52">
        <v>825</v>
      </c>
      <c r="AO379" s="52">
        <v>36625</v>
      </c>
      <c r="AP379" s="52">
        <v>0</v>
      </c>
      <c r="AQ379" s="42"/>
      <c r="AR379" s="52">
        <v>38825</v>
      </c>
      <c r="AS379" s="52">
        <v>64619225</v>
      </c>
      <c r="AT379" s="52">
        <v>0</v>
      </c>
      <c r="AU379" s="41" t="s">
        <v>2632</v>
      </c>
      <c r="AV379" s="41" t="s">
        <v>356</v>
      </c>
      <c r="AW379" s="41" t="s">
        <v>3450</v>
      </c>
      <c r="AX379" s="41" t="s">
        <v>1332</v>
      </c>
    </row>
    <row r="380" spans="1:50" x14ac:dyDescent="0.2">
      <c r="A380" s="40">
        <v>64619325</v>
      </c>
      <c r="B380" s="41" t="s">
        <v>2804</v>
      </c>
      <c r="C380" s="41" t="s">
        <v>3331</v>
      </c>
      <c r="D380" s="41" t="s">
        <v>460</v>
      </c>
      <c r="E380" s="49">
        <v>1422349</v>
      </c>
      <c r="F380" s="49">
        <v>6099</v>
      </c>
      <c r="G380" s="50">
        <v>1416250</v>
      </c>
      <c r="H380" s="42" t="s">
        <v>2615</v>
      </c>
      <c r="I380" s="42" t="s">
        <v>461</v>
      </c>
      <c r="J380" s="43" t="s">
        <v>351</v>
      </c>
      <c r="K380" s="40">
        <v>1073699701</v>
      </c>
      <c r="L380" s="41" t="s">
        <v>3452</v>
      </c>
      <c r="M380" s="41" t="s">
        <v>316</v>
      </c>
      <c r="N380" s="41" t="s">
        <v>317</v>
      </c>
      <c r="O380" s="41" t="s">
        <v>3453</v>
      </c>
      <c r="P380" s="41" t="s">
        <v>319</v>
      </c>
      <c r="Q380" s="40">
        <v>860035827</v>
      </c>
      <c r="R380" s="41" t="s">
        <v>653</v>
      </c>
      <c r="S380" s="40">
        <v>923245</v>
      </c>
      <c r="T380" s="41" t="s">
        <v>180</v>
      </c>
      <c r="U380" s="41" t="s">
        <v>29</v>
      </c>
      <c r="V380" s="41" t="s">
        <v>30</v>
      </c>
      <c r="W380" s="42" t="s">
        <v>31</v>
      </c>
      <c r="X380" s="42" t="s">
        <v>32</v>
      </c>
      <c r="Y380" s="42" t="s">
        <v>33</v>
      </c>
      <c r="Z380" s="42" t="s">
        <v>3454</v>
      </c>
      <c r="AA380" s="42" t="s">
        <v>34</v>
      </c>
      <c r="AB380" s="42" t="s">
        <v>34</v>
      </c>
      <c r="AC380" s="42" t="s">
        <v>34</v>
      </c>
      <c r="AD380" s="42" t="s">
        <v>462</v>
      </c>
      <c r="AE380" s="42"/>
      <c r="AF380" s="42"/>
      <c r="AG380" s="42" t="s">
        <v>463</v>
      </c>
      <c r="AH380" s="42"/>
      <c r="AI380" s="44"/>
      <c r="AJ380" s="42"/>
      <c r="AK380" s="44"/>
      <c r="AL380" s="42"/>
      <c r="AM380" s="52">
        <v>3825</v>
      </c>
      <c r="AN380" s="52">
        <v>3825</v>
      </c>
      <c r="AO380" s="52">
        <v>36725</v>
      </c>
      <c r="AP380" s="52">
        <v>0</v>
      </c>
      <c r="AQ380" s="42"/>
      <c r="AR380" s="52">
        <v>38925</v>
      </c>
      <c r="AS380" s="52">
        <v>64619325</v>
      </c>
      <c r="AT380" s="52">
        <v>0</v>
      </c>
      <c r="AU380" s="41" t="s">
        <v>2632</v>
      </c>
      <c r="AV380" s="41" t="s">
        <v>356</v>
      </c>
      <c r="AW380" s="41" t="s">
        <v>3455</v>
      </c>
      <c r="AX380" s="41" t="s">
        <v>1332</v>
      </c>
    </row>
    <row r="381" spans="1:50" x14ac:dyDescent="0.2">
      <c r="A381" s="40">
        <v>64619425</v>
      </c>
      <c r="B381" s="41" t="s">
        <v>2804</v>
      </c>
      <c r="C381" s="41" t="s">
        <v>3442</v>
      </c>
      <c r="D381" s="41" t="s">
        <v>460</v>
      </c>
      <c r="E381" s="49">
        <v>1839804</v>
      </c>
      <c r="F381" s="49">
        <v>8604</v>
      </c>
      <c r="G381" s="50">
        <v>1831200</v>
      </c>
      <c r="H381" s="42" t="s">
        <v>2615</v>
      </c>
      <c r="I381" s="42" t="s">
        <v>461</v>
      </c>
      <c r="J381" s="43" t="s">
        <v>351</v>
      </c>
      <c r="K381" s="40">
        <v>1016100841</v>
      </c>
      <c r="L381" s="41" t="s">
        <v>3457</v>
      </c>
      <c r="M381" s="41" t="s">
        <v>316</v>
      </c>
      <c r="N381" s="41" t="s">
        <v>317</v>
      </c>
      <c r="O381" s="41" t="s">
        <v>3458</v>
      </c>
      <c r="P381" s="41" t="s">
        <v>319</v>
      </c>
      <c r="Q381" s="40">
        <v>860034313</v>
      </c>
      <c r="R381" s="41" t="s">
        <v>355</v>
      </c>
      <c r="S381" s="40">
        <v>923218</v>
      </c>
      <c r="T381" s="41" t="s">
        <v>118</v>
      </c>
      <c r="U381" s="41" t="s">
        <v>29</v>
      </c>
      <c r="V381" s="41" t="s">
        <v>30</v>
      </c>
      <c r="W381" s="42" t="s">
        <v>47</v>
      </c>
      <c r="X381" s="42" t="s">
        <v>121</v>
      </c>
      <c r="Y381" s="42" t="s">
        <v>33</v>
      </c>
      <c r="Z381" s="42" t="s">
        <v>3334</v>
      </c>
      <c r="AA381" s="42" t="s">
        <v>34</v>
      </c>
      <c r="AB381" s="42" t="s">
        <v>34</v>
      </c>
      <c r="AC381" s="42" t="s">
        <v>34</v>
      </c>
      <c r="AD381" s="42" t="s">
        <v>462</v>
      </c>
      <c r="AE381" s="42"/>
      <c r="AF381" s="42"/>
      <c r="AG381" s="42" t="s">
        <v>463</v>
      </c>
      <c r="AH381" s="42"/>
      <c r="AI381" s="44"/>
      <c r="AJ381" s="42"/>
      <c r="AK381" s="44"/>
      <c r="AL381" s="42"/>
      <c r="AM381" s="52">
        <v>2825</v>
      </c>
      <c r="AN381" s="52">
        <v>2825</v>
      </c>
      <c r="AO381" s="52">
        <v>36825</v>
      </c>
      <c r="AP381" s="52">
        <v>0</v>
      </c>
      <c r="AQ381" s="42"/>
      <c r="AR381" s="52">
        <v>39025</v>
      </c>
      <c r="AS381" s="52">
        <v>64619425</v>
      </c>
      <c r="AT381" s="52">
        <v>0</v>
      </c>
      <c r="AU381" s="41" t="s">
        <v>2632</v>
      </c>
      <c r="AV381" s="41" t="s">
        <v>356</v>
      </c>
      <c r="AW381" s="41" t="s">
        <v>3459</v>
      </c>
      <c r="AX381" s="41" t="s">
        <v>1332</v>
      </c>
    </row>
    <row r="382" spans="1:50" x14ac:dyDescent="0.2">
      <c r="A382" s="40">
        <v>64619525</v>
      </c>
      <c r="B382" s="41" t="s">
        <v>2804</v>
      </c>
      <c r="C382" s="41" t="s">
        <v>3357</v>
      </c>
      <c r="D382" s="41" t="s">
        <v>460</v>
      </c>
      <c r="E382" s="49">
        <v>1839804</v>
      </c>
      <c r="F382" s="49">
        <v>8604</v>
      </c>
      <c r="G382" s="50">
        <v>1831200</v>
      </c>
      <c r="H382" s="42" t="s">
        <v>2615</v>
      </c>
      <c r="I382" s="42" t="s">
        <v>461</v>
      </c>
      <c r="J382" s="43" t="s">
        <v>351</v>
      </c>
      <c r="K382" s="40">
        <v>1013615808</v>
      </c>
      <c r="L382" s="41" t="s">
        <v>3461</v>
      </c>
      <c r="M382" s="41" t="s">
        <v>316</v>
      </c>
      <c r="N382" s="41" t="s">
        <v>317</v>
      </c>
      <c r="O382" s="41" t="s">
        <v>3462</v>
      </c>
      <c r="P382" s="41" t="s">
        <v>319</v>
      </c>
      <c r="Q382" s="40">
        <v>860034313</v>
      </c>
      <c r="R382" s="41" t="s">
        <v>355</v>
      </c>
      <c r="S382" s="40">
        <v>923245</v>
      </c>
      <c r="T382" s="41" t="s">
        <v>180</v>
      </c>
      <c r="U382" s="41" t="s">
        <v>29</v>
      </c>
      <c r="V382" s="41" t="s">
        <v>30</v>
      </c>
      <c r="W382" s="42" t="s">
        <v>31</v>
      </c>
      <c r="X382" s="42" t="s">
        <v>32</v>
      </c>
      <c r="Y382" s="42" t="s">
        <v>33</v>
      </c>
      <c r="Z382" s="42" t="s">
        <v>3334</v>
      </c>
      <c r="AA382" s="42" t="s">
        <v>34</v>
      </c>
      <c r="AB382" s="42" t="s">
        <v>34</v>
      </c>
      <c r="AC382" s="42" t="s">
        <v>34</v>
      </c>
      <c r="AD382" s="42" t="s">
        <v>462</v>
      </c>
      <c r="AE382" s="42"/>
      <c r="AF382" s="42"/>
      <c r="AG382" s="42" t="s">
        <v>463</v>
      </c>
      <c r="AH382" s="42"/>
      <c r="AI382" s="44"/>
      <c r="AJ382" s="42"/>
      <c r="AK382" s="44"/>
      <c r="AL382" s="42"/>
      <c r="AM382" s="52">
        <v>3825</v>
      </c>
      <c r="AN382" s="52">
        <v>3825</v>
      </c>
      <c r="AO382" s="52">
        <v>36925</v>
      </c>
      <c r="AP382" s="52">
        <v>0</v>
      </c>
      <c r="AQ382" s="42"/>
      <c r="AR382" s="52">
        <v>39125</v>
      </c>
      <c r="AS382" s="52">
        <v>64619525</v>
      </c>
      <c r="AT382" s="52">
        <v>0</v>
      </c>
      <c r="AU382" s="41" t="s">
        <v>2632</v>
      </c>
      <c r="AV382" s="41" t="s">
        <v>356</v>
      </c>
      <c r="AW382" s="41" t="s">
        <v>3463</v>
      </c>
      <c r="AX382" s="41" t="s">
        <v>748</v>
      </c>
    </row>
    <row r="383" spans="1:50" x14ac:dyDescent="0.2">
      <c r="A383" s="40">
        <v>64619625</v>
      </c>
      <c r="B383" s="41" t="s">
        <v>2804</v>
      </c>
      <c r="C383" s="41" t="s">
        <v>3465</v>
      </c>
      <c r="D383" s="41" t="s">
        <v>460</v>
      </c>
      <c r="E383" s="49">
        <v>1422349</v>
      </c>
      <c r="F383" s="49">
        <v>6099</v>
      </c>
      <c r="G383" s="50">
        <v>1416250</v>
      </c>
      <c r="H383" s="42" t="s">
        <v>2615</v>
      </c>
      <c r="I383" s="42" t="s">
        <v>461</v>
      </c>
      <c r="J383" s="43" t="s">
        <v>351</v>
      </c>
      <c r="K383" s="40">
        <v>36181189</v>
      </c>
      <c r="L383" s="41" t="s">
        <v>3466</v>
      </c>
      <c r="M383" s="41" t="s">
        <v>316</v>
      </c>
      <c r="N383" s="41" t="s">
        <v>317</v>
      </c>
      <c r="O383" s="41" t="s">
        <v>3467</v>
      </c>
      <c r="P383" s="41" t="s">
        <v>319</v>
      </c>
      <c r="Q383" s="40">
        <v>860050750</v>
      </c>
      <c r="R383" s="41" t="s">
        <v>321</v>
      </c>
      <c r="S383" s="40">
        <v>923245</v>
      </c>
      <c r="T383" s="41" t="s">
        <v>180</v>
      </c>
      <c r="U383" s="41" t="s">
        <v>29</v>
      </c>
      <c r="V383" s="41" t="s">
        <v>30</v>
      </c>
      <c r="W383" s="42" t="s">
        <v>31</v>
      </c>
      <c r="X383" s="42" t="s">
        <v>32</v>
      </c>
      <c r="Y383" s="42" t="s">
        <v>33</v>
      </c>
      <c r="Z383" s="42" t="s">
        <v>3454</v>
      </c>
      <c r="AA383" s="42" t="s">
        <v>34</v>
      </c>
      <c r="AB383" s="42" t="s">
        <v>34</v>
      </c>
      <c r="AC383" s="42" t="s">
        <v>34</v>
      </c>
      <c r="AD383" s="42" t="s">
        <v>462</v>
      </c>
      <c r="AE383" s="42"/>
      <c r="AF383" s="42"/>
      <c r="AG383" s="42" t="s">
        <v>463</v>
      </c>
      <c r="AH383" s="42"/>
      <c r="AI383" s="44"/>
      <c r="AJ383" s="42"/>
      <c r="AK383" s="44"/>
      <c r="AL383" s="42"/>
      <c r="AM383" s="52">
        <v>3825</v>
      </c>
      <c r="AN383" s="52">
        <v>3825</v>
      </c>
      <c r="AO383" s="52">
        <v>37025</v>
      </c>
      <c r="AP383" s="52">
        <v>0</v>
      </c>
      <c r="AQ383" s="42"/>
      <c r="AR383" s="52">
        <v>39225</v>
      </c>
      <c r="AS383" s="52">
        <v>64619625</v>
      </c>
      <c r="AT383" s="52">
        <v>0</v>
      </c>
      <c r="AU383" s="41" t="s">
        <v>2632</v>
      </c>
      <c r="AV383" s="41" t="s">
        <v>356</v>
      </c>
      <c r="AW383" s="41" t="s">
        <v>3469</v>
      </c>
      <c r="AX383" s="41" t="s">
        <v>748</v>
      </c>
    </row>
    <row r="384" spans="1:50" x14ac:dyDescent="0.2">
      <c r="A384" s="40">
        <v>64619725</v>
      </c>
      <c r="B384" s="41" t="s">
        <v>2804</v>
      </c>
      <c r="C384" s="41" t="s">
        <v>3471</v>
      </c>
      <c r="D384" s="41" t="s">
        <v>460</v>
      </c>
      <c r="E384" s="49">
        <v>1839804</v>
      </c>
      <c r="F384" s="49">
        <v>8604</v>
      </c>
      <c r="G384" s="50">
        <v>1831200</v>
      </c>
      <c r="H384" s="42" t="s">
        <v>2615</v>
      </c>
      <c r="I384" s="42" t="s">
        <v>461</v>
      </c>
      <c r="J384" s="43" t="s">
        <v>351</v>
      </c>
      <c r="K384" s="40">
        <v>51976419</v>
      </c>
      <c r="L384" s="41" t="s">
        <v>3472</v>
      </c>
      <c r="M384" s="41" t="s">
        <v>316</v>
      </c>
      <c r="N384" s="41" t="s">
        <v>317</v>
      </c>
      <c r="O384" s="41" t="s">
        <v>3473</v>
      </c>
      <c r="P384" s="41" t="s">
        <v>319</v>
      </c>
      <c r="Q384" s="40">
        <v>860003020</v>
      </c>
      <c r="R384" s="41" t="s">
        <v>393</v>
      </c>
      <c r="S384" s="40">
        <v>923245</v>
      </c>
      <c r="T384" s="41" t="s">
        <v>180</v>
      </c>
      <c r="U384" s="41" t="s">
        <v>29</v>
      </c>
      <c r="V384" s="41" t="s">
        <v>30</v>
      </c>
      <c r="W384" s="42" t="s">
        <v>31</v>
      </c>
      <c r="X384" s="42" t="s">
        <v>32</v>
      </c>
      <c r="Y384" s="42" t="s">
        <v>33</v>
      </c>
      <c r="Z384" s="42" t="s">
        <v>3334</v>
      </c>
      <c r="AA384" s="42" t="s">
        <v>34</v>
      </c>
      <c r="AB384" s="42" t="s">
        <v>34</v>
      </c>
      <c r="AC384" s="42" t="s">
        <v>34</v>
      </c>
      <c r="AD384" s="42" t="s">
        <v>462</v>
      </c>
      <c r="AE384" s="42"/>
      <c r="AF384" s="42"/>
      <c r="AG384" s="42" t="s">
        <v>463</v>
      </c>
      <c r="AH384" s="42"/>
      <c r="AI384" s="44"/>
      <c r="AJ384" s="42"/>
      <c r="AK384" s="44"/>
      <c r="AL384" s="42"/>
      <c r="AM384" s="52">
        <v>3825</v>
      </c>
      <c r="AN384" s="52">
        <v>3825</v>
      </c>
      <c r="AO384" s="52">
        <v>37125</v>
      </c>
      <c r="AP384" s="52">
        <v>0</v>
      </c>
      <c r="AQ384" s="42"/>
      <c r="AR384" s="52">
        <v>39325</v>
      </c>
      <c r="AS384" s="52">
        <v>64619725</v>
      </c>
      <c r="AT384" s="52">
        <v>0</v>
      </c>
      <c r="AU384" s="41" t="s">
        <v>2632</v>
      </c>
      <c r="AV384" s="41" t="s">
        <v>356</v>
      </c>
      <c r="AW384" s="41" t="s">
        <v>3475</v>
      </c>
      <c r="AX384" s="41" t="s">
        <v>748</v>
      </c>
    </row>
    <row r="385" spans="1:50" x14ac:dyDescent="0.2">
      <c r="A385" s="40">
        <v>64619825</v>
      </c>
      <c r="B385" s="41" t="s">
        <v>2804</v>
      </c>
      <c r="C385" s="41" t="s">
        <v>3477</v>
      </c>
      <c r="D385" s="41" t="s">
        <v>460</v>
      </c>
      <c r="E385" s="49">
        <v>1839804</v>
      </c>
      <c r="F385" s="49">
        <v>8604</v>
      </c>
      <c r="G385" s="50">
        <v>1831200</v>
      </c>
      <c r="H385" s="42" t="s">
        <v>2615</v>
      </c>
      <c r="I385" s="42" t="s">
        <v>461</v>
      </c>
      <c r="J385" s="43" t="s">
        <v>351</v>
      </c>
      <c r="K385" s="40">
        <v>1001277409</v>
      </c>
      <c r="L385" s="41" t="s">
        <v>3478</v>
      </c>
      <c r="M385" s="41" t="s">
        <v>316</v>
      </c>
      <c r="N385" s="41" t="s">
        <v>317</v>
      </c>
      <c r="O385" s="41" t="s">
        <v>3479</v>
      </c>
      <c r="P385" s="41" t="s">
        <v>319</v>
      </c>
      <c r="Q385" s="40">
        <v>860035827</v>
      </c>
      <c r="R385" s="41" t="s">
        <v>653</v>
      </c>
      <c r="S385" s="40">
        <v>923245</v>
      </c>
      <c r="T385" s="41" t="s">
        <v>180</v>
      </c>
      <c r="U385" s="41" t="s">
        <v>29</v>
      </c>
      <c r="V385" s="41" t="s">
        <v>30</v>
      </c>
      <c r="W385" s="42" t="s">
        <v>31</v>
      </c>
      <c r="X385" s="42" t="s">
        <v>32</v>
      </c>
      <c r="Y385" s="42" t="s">
        <v>33</v>
      </c>
      <c r="Z385" s="42" t="s">
        <v>3334</v>
      </c>
      <c r="AA385" s="42" t="s">
        <v>34</v>
      </c>
      <c r="AB385" s="42" t="s">
        <v>34</v>
      </c>
      <c r="AC385" s="42" t="s">
        <v>34</v>
      </c>
      <c r="AD385" s="42" t="s">
        <v>462</v>
      </c>
      <c r="AE385" s="42"/>
      <c r="AF385" s="42"/>
      <c r="AG385" s="42" t="s">
        <v>463</v>
      </c>
      <c r="AH385" s="42"/>
      <c r="AI385" s="44"/>
      <c r="AJ385" s="42"/>
      <c r="AK385" s="44"/>
      <c r="AL385" s="42"/>
      <c r="AM385" s="52">
        <v>3825</v>
      </c>
      <c r="AN385" s="52">
        <v>3825</v>
      </c>
      <c r="AO385" s="52">
        <v>37225</v>
      </c>
      <c r="AP385" s="52">
        <v>0</v>
      </c>
      <c r="AQ385" s="42"/>
      <c r="AR385" s="52">
        <v>39425</v>
      </c>
      <c r="AS385" s="52">
        <v>64619825</v>
      </c>
      <c r="AT385" s="52">
        <v>0</v>
      </c>
      <c r="AU385" s="41" t="s">
        <v>2632</v>
      </c>
      <c r="AV385" s="41" t="s">
        <v>356</v>
      </c>
      <c r="AW385" s="41" t="s">
        <v>3481</v>
      </c>
      <c r="AX385" s="41" t="s">
        <v>3482</v>
      </c>
    </row>
    <row r="386" spans="1:50" x14ac:dyDescent="0.2">
      <c r="A386" s="40">
        <v>64619925</v>
      </c>
      <c r="B386" s="41" t="s">
        <v>2804</v>
      </c>
      <c r="C386" s="41" t="s">
        <v>3484</v>
      </c>
      <c r="D386" s="41" t="s">
        <v>460</v>
      </c>
      <c r="E386" s="49">
        <v>1839804</v>
      </c>
      <c r="F386" s="49">
        <v>10308</v>
      </c>
      <c r="G386" s="50">
        <v>1829496</v>
      </c>
      <c r="H386" s="42" t="s">
        <v>2615</v>
      </c>
      <c r="I386" s="42" t="s">
        <v>461</v>
      </c>
      <c r="J386" s="43" t="s">
        <v>351</v>
      </c>
      <c r="K386" s="40">
        <v>37862143</v>
      </c>
      <c r="L386" s="41" t="s">
        <v>3485</v>
      </c>
      <c r="M386" s="41" t="s">
        <v>316</v>
      </c>
      <c r="N386" s="41" t="s">
        <v>317</v>
      </c>
      <c r="O386" s="41" t="s">
        <v>3486</v>
      </c>
      <c r="P386" s="41" t="s">
        <v>319</v>
      </c>
      <c r="Q386" s="40">
        <v>890903938</v>
      </c>
      <c r="R386" s="41" t="s">
        <v>342</v>
      </c>
      <c r="S386" s="40">
        <v>923245</v>
      </c>
      <c r="T386" s="41" t="s">
        <v>180</v>
      </c>
      <c r="U386" s="41" t="s">
        <v>29</v>
      </c>
      <c r="V386" s="41" t="s">
        <v>30</v>
      </c>
      <c r="W386" s="42" t="s">
        <v>31</v>
      </c>
      <c r="X386" s="42" t="s">
        <v>32</v>
      </c>
      <c r="Y386" s="42" t="s">
        <v>33</v>
      </c>
      <c r="Z386" s="42" t="s">
        <v>3334</v>
      </c>
      <c r="AA386" s="42" t="s">
        <v>34</v>
      </c>
      <c r="AB386" s="42" t="s">
        <v>34</v>
      </c>
      <c r="AC386" s="42" t="s">
        <v>34</v>
      </c>
      <c r="AD386" s="42" t="s">
        <v>462</v>
      </c>
      <c r="AE386" s="42"/>
      <c r="AF386" s="42"/>
      <c r="AG386" s="42" t="s">
        <v>463</v>
      </c>
      <c r="AH386" s="42"/>
      <c r="AI386" s="44"/>
      <c r="AJ386" s="42"/>
      <c r="AK386" s="44"/>
      <c r="AL386" s="42"/>
      <c r="AM386" s="52">
        <v>3825</v>
      </c>
      <c r="AN386" s="52">
        <v>3825</v>
      </c>
      <c r="AO386" s="52">
        <v>37325</v>
      </c>
      <c r="AP386" s="52">
        <v>0</v>
      </c>
      <c r="AQ386" s="42"/>
      <c r="AR386" s="52">
        <v>39525</v>
      </c>
      <c r="AS386" s="52">
        <v>64619925</v>
      </c>
      <c r="AT386" s="52">
        <v>0</v>
      </c>
      <c r="AU386" s="41" t="s">
        <v>2632</v>
      </c>
      <c r="AV386" s="41" t="s">
        <v>356</v>
      </c>
      <c r="AW386" s="41" t="s">
        <v>3488</v>
      </c>
      <c r="AX386" s="41" t="s">
        <v>3482</v>
      </c>
    </row>
    <row r="387" spans="1:50" x14ac:dyDescent="0.2">
      <c r="A387" s="40">
        <v>64620025</v>
      </c>
      <c r="B387" s="41" t="s">
        <v>2804</v>
      </c>
      <c r="C387" s="41" t="s">
        <v>3471</v>
      </c>
      <c r="D387" s="41" t="s">
        <v>460</v>
      </c>
      <c r="E387" s="49">
        <v>1839804</v>
      </c>
      <c r="F387" s="49">
        <v>8604</v>
      </c>
      <c r="G387" s="50">
        <v>1831200</v>
      </c>
      <c r="H387" s="42" t="s">
        <v>2615</v>
      </c>
      <c r="I387" s="42" t="s">
        <v>461</v>
      </c>
      <c r="J387" s="43" t="s">
        <v>351</v>
      </c>
      <c r="K387" s="40">
        <v>1091667951</v>
      </c>
      <c r="L387" s="41" t="s">
        <v>3490</v>
      </c>
      <c r="M387" s="41" t="s">
        <v>316</v>
      </c>
      <c r="N387" s="41" t="s">
        <v>317</v>
      </c>
      <c r="O387" s="41" t="s">
        <v>3491</v>
      </c>
      <c r="P387" s="41" t="s">
        <v>319</v>
      </c>
      <c r="Q387" s="40">
        <v>860003020</v>
      </c>
      <c r="R387" s="41" t="s">
        <v>393</v>
      </c>
      <c r="S387" s="40">
        <v>923245</v>
      </c>
      <c r="T387" s="41" t="s">
        <v>180</v>
      </c>
      <c r="U387" s="41" t="s">
        <v>29</v>
      </c>
      <c r="V387" s="41" t="s">
        <v>30</v>
      </c>
      <c r="W387" s="42" t="s">
        <v>31</v>
      </c>
      <c r="X387" s="42" t="s">
        <v>32</v>
      </c>
      <c r="Y387" s="42" t="s">
        <v>33</v>
      </c>
      <c r="Z387" s="42" t="s">
        <v>3334</v>
      </c>
      <c r="AA387" s="42" t="s">
        <v>34</v>
      </c>
      <c r="AB387" s="42" t="s">
        <v>34</v>
      </c>
      <c r="AC387" s="42" t="s">
        <v>34</v>
      </c>
      <c r="AD387" s="42" t="s">
        <v>462</v>
      </c>
      <c r="AE387" s="42"/>
      <c r="AF387" s="42"/>
      <c r="AG387" s="42" t="s">
        <v>463</v>
      </c>
      <c r="AH387" s="42"/>
      <c r="AI387" s="44"/>
      <c r="AJ387" s="42"/>
      <c r="AK387" s="44"/>
      <c r="AL387" s="42"/>
      <c r="AM387" s="52">
        <v>3825</v>
      </c>
      <c r="AN387" s="52">
        <v>3825</v>
      </c>
      <c r="AO387" s="52">
        <v>37425</v>
      </c>
      <c r="AP387" s="52">
        <v>0</v>
      </c>
      <c r="AQ387" s="42"/>
      <c r="AR387" s="52">
        <v>39625</v>
      </c>
      <c r="AS387" s="52">
        <v>64620025</v>
      </c>
      <c r="AT387" s="52">
        <v>0</v>
      </c>
      <c r="AU387" s="41" t="s">
        <v>2632</v>
      </c>
      <c r="AV387" s="41" t="s">
        <v>356</v>
      </c>
      <c r="AW387" s="41" t="s">
        <v>3493</v>
      </c>
      <c r="AX387" s="41" t="s">
        <v>3482</v>
      </c>
    </row>
    <row r="388" spans="1:50" x14ac:dyDescent="0.2">
      <c r="A388" s="40">
        <v>64620125</v>
      </c>
      <c r="B388" s="41" t="s">
        <v>2804</v>
      </c>
      <c r="C388" s="41" t="s">
        <v>3408</v>
      </c>
      <c r="D388" s="41" t="s">
        <v>460</v>
      </c>
      <c r="E388" s="49">
        <v>1839804</v>
      </c>
      <c r="F388" s="49">
        <v>8604</v>
      </c>
      <c r="G388" s="50">
        <v>1831200</v>
      </c>
      <c r="H388" s="42" t="s">
        <v>2615</v>
      </c>
      <c r="I388" s="42" t="s">
        <v>461</v>
      </c>
      <c r="J388" s="43" t="s">
        <v>351</v>
      </c>
      <c r="K388" s="40">
        <v>1032488155</v>
      </c>
      <c r="L388" s="41" t="s">
        <v>3495</v>
      </c>
      <c r="M388" s="41" t="s">
        <v>316</v>
      </c>
      <c r="N388" s="41" t="s">
        <v>317</v>
      </c>
      <c r="O388" s="41" t="s">
        <v>3496</v>
      </c>
      <c r="P388" s="41" t="s">
        <v>319</v>
      </c>
      <c r="Q388" s="40">
        <v>890903938</v>
      </c>
      <c r="R388" s="41" t="s">
        <v>342</v>
      </c>
      <c r="S388" s="40">
        <v>923245</v>
      </c>
      <c r="T388" s="41" t="s">
        <v>180</v>
      </c>
      <c r="U388" s="41" t="s">
        <v>29</v>
      </c>
      <c r="V388" s="41" t="s">
        <v>30</v>
      </c>
      <c r="W388" s="42" t="s">
        <v>31</v>
      </c>
      <c r="X388" s="42" t="s">
        <v>32</v>
      </c>
      <c r="Y388" s="42" t="s">
        <v>33</v>
      </c>
      <c r="Z388" s="42" t="s">
        <v>3334</v>
      </c>
      <c r="AA388" s="42" t="s">
        <v>34</v>
      </c>
      <c r="AB388" s="42" t="s">
        <v>34</v>
      </c>
      <c r="AC388" s="42" t="s">
        <v>34</v>
      </c>
      <c r="AD388" s="42" t="s">
        <v>462</v>
      </c>
      <c r="AE388" s="42"/>
      <c r="AF388" s="42"/>
      <c r="AG388" s="42" t="s">
        <v>463</v>
      </c>
      <c r="AH388" s="42"/>
      <c r="AI388" s="44"/>
      <c r="AJ388" s="42"/>
      <c r="AK388" s="44"/>
      <c r="AL388" s="42"/>
      <c r="AM388" s="52">
        <v>3825</v>
      </c>
      <c r="AN388" s="52">
        <v>3825</v>
      </c>
      <c r="AO388" s="52">
        <v>37525</v>
      </c>
      <c r="AP388" s="52">
        <v>0</v>
      </c>
      <c r="AQ388" s="42"/>
      <c r="AR388" s="52">
        <v>39725</v>
      </c>
      <c r="AS388" s="52">
        <v>64620125</v>
      </c>
      <c r="AT388" s="52">
        <v>0</v>
      </c>
      <c r="AU388" s="41" t="s">
        <v>2632</v>
      </c>
      <c r="AV388" s="41" t="s">
        <v>356</v>
      </c>
      <c r="AW388" s="41" t="s">
        <v>3498</v>
      </c>
      <c r="AX388" s="41" t="s">
        <v>748</v>
      </c>
    </row>
    <row r="389" spans="1:50" x14ac:dyDescent="0.2">
      <c r="A389" s="40">
        <v>64620225</v>
      </c>
      <c r="B389" s="41" t="s">
        <v>2804</v>
      </c>
      <c r="C389" s="41" t="s">
        <v>3471</v>
      </c>
      <c r="D389" s="41" t="s">
        <v>460</v>
      </c>
      <c r="E389" s="49">
        <v>1839804</v>
      </c>
      <c r="F389" s="49">
        <v>8604</v>
      </c>
      <c r="G389" s="50">
        <v>1831200</v>
      </c>
      <c r="H389" s="42" t="s">
        <v>2615</v>
      </c>
      <c r="I389" s="42" t="s">
        <v>461</v>
      </c>
      <c r="J389" s="43" t="s">
        <v>351</v>
      </c>
      <c r="K389" s="40">
        <v>1073694768</v>
      </c>
      <c r="L389" s="41" t="s">
        <v>3500</v>
      </c>
      <c r="M389" s="41" t="s">
        <v>316</v>
      </c>
      <c r="N389" s="41" t="s">
        <v>317</v>
      </c>
      <c r="O389" s="41" t="s">
        <v>3501</v>
      </c>
      <c r="P389" s="41" t="s">
        <v>319</v>
      </c>
      <c r="Q389" s="40">
        <v>860003020</v>
      </c>
      <c r="R389" s="41" t="s">
        <v>393</v>
      </c>
      <c r="S389" s="40">
        <v>923245</v>
      </c>
      <c r="T389" s="41" t="s">
        <v>180</v>
      </c>
      <c r="U389" s="41" t="s">
        <v>29</v>
      </c>
      <c r="V389" s="41" t="s">
        <v>30</v>
      </c>
      <c r="W389" s="42" t="s">
        <v>31</v>
      </c>
      <c r="X389" s="42" t="s">
        <v>32</v>
      </c>
      <c r="Y389" s="42" t="s">
        <v>33</v>
      </c>
      <c r="Z389" s="42" t="s">
        <v>3334</v>
      </c>
      <c r="AA389" s="42" t="s">
        <v>34</v>
      </c>
      <c r="AB389" s="42" t="s">
        <v>34</v>
      </c>
      <c r="AC389" s="42" t="s">
        <v>34</v>
      </c>
      <c r="AD389" s="42" t="s">
        <v>462</v>
      </c>
      <c r="AE389" s="42"/>
      <c r="AF389" s="42"/>
      <c r="AG389" s="42" t="s">
        <v>463</v>
      </c>
      <c r="AH389" s="42"/>
      <c r="AI389" s="44"/>
      <c r="AJ389" s="42"/>
      <c r="AK389" s="44"/>
      <c r="AL389" s="42"/>
      <c r="AM389" s="52">
        <v>3825</v>
      </c>
      <c r="AN389" s="52">
        <v>3825</v>
      </c>
      <c r="AO389" s="52">
        <v>37625</v>
      </c>
      <c r="AP389" s="52">
        <v>0</v>
      </c>
      <c r="AQ389" s="42"/>
      <c r="AR389" s="52">
        <v>39825</v>
      </c>
      <c r="AS389" s="52">
        <v>64620225</v>
      </c>
      <c r="AT389" s="52">
        <v>0</v>
      </c>
      <c r="AU389" s="41" t="s">
        <v>2632</v>
      </c>
      <c r="AV389" s="41" t="s">
        <v>356</v>
      </c>
      <c r="AW389" s="41" t="s">
        <v>3503</v>
      </c>
      <c r="AX389" s="41" t="s">
        <v>3482</v>
      </c>
    </row>
    <row r="390" spans="1:50" x14ac:dyDescent="0.2">
      <c r="A390" s="40">
        <v>64620325</v>
      </c>
      <c r="B390" s="41" t="s">
        <v>2804</v>
      </c>
      <c r="C390" s="41" t="s">
        <v>3505</v>
      </c>
      <c r="D390" s="41" t="s">
        <v>460</v>
      </c>
      <c r="E390" s="49">
        <v>1839804</v>
      </c>
      <c r="F390" s="49">
        <v>8604</v>
      </c>
      <c r="G390" s="50">
        <v>1831200</v>
      </c>
      <c r="H390" s="42" t="s">
        <v>2615</v>
      </c>
      <c r="I390" s="42" t="s">
        <v>461</v>
      </c>
      <c r="J390" s="43" t="s">
        <v>351</v>
      </c>
      <c r="K390" s="40">
        <v>52229277</v>
      </c>
      <c r="L390" s="41" t="s">
        <v>3506</v>
      </c>
      <c r="M390" s="41" t="s">
        <v>316</v>
      </c>
      <c r="N390" s="41" t="s">
        <v>317</v>
      </c>
      <c r="O390" s="41" t="s">
        <v>3507</v>
      </c>
      <c r="P390" s="41" t="s">
        <v>319</v>
      </c>
      <c r="Q390" s="40">
        <v>860007335</v>
      </c>
      <c r="R390" s="41" t="s">
        <v>381</v>
      </c>
      <c r="S390" s="40">
        <v>923211</v>
      </c>
      <c r="T390" s="41" t="s">
        <v>69</v>
      </c>
      <c r="U390" s="41" t="s">
        <v>29</v>
      </c>
      <c r="V390" s="41" t="s">
        <v>30</v>
      </c>
      <c r="W390" s="42" t="s">
        <v>31</v>
      </c>
      <c r="X390" s="42" t="s">
        <v>32</v>
      </c>
      <c r="Y390" s="42" t="s">
        <v>33</v>
      </c>
      <c r="Z390" s="42" t="s">
        <v>3334</v>
      </c>
      <c r="AA390" s="42" t="s">
        <v>34</v>
      </c>
      <c r="AB390" s="42" t="s">
        <v>34</v>
      </c>
      <c r="AC390" s="42" t="s">
        <v>34</v>
      </c>
      <c r="AD390" s="42" t="s">
        <v>462</v>
      </c>
      <c r="AE390" s="42"/>
      <c r="AF390" s="42"/>
      <c r="AG390" s="42" t="s">
        <v>463</v>
      </c>
      <c r="AH390" s="42"/>
      <c r="AI390" s="44"/>
      <c r="AJ390" s="42"/>
      <c r="AK390" s="44"/>
      <c r="AL390" s="42"/>
      <c r="AM390" s="52">
        <v>2125</v>
      </c>
      <c r="AN390" s="52">
        <v>2125</v>
      </c>
      <c r="AO390" s="52">
        <v>37725</v>
      </c>
      <c r="AP390" s="52">
        <v>0</v>
      </c>
      <c r="AQ390" s="42"/>
      <c r="AR390" s="52">
        <v>39925</v>
      </c>
      <c r="AS390" s="52">
        <v>64620325</v>
      </c>
      <c r="AT390" s="52">
        <v>0</v>
      </c>
      <c r="AU390" s="41" t="s">
        <v>2632</v>
      </c>
      <c r="AV390" s="41" t="s">
        <v>356</v>
      </c>
      <c r="AW390" s="41" t="s">
        <v>3509</v>
      </c>
      <c r="AX390" s="41" t="s">
        <v>3343</v>
      </c>
    </row>
    <row r="391" spans="1:50" x14ac:dyDescent="0.2">
      <c r="A391" s="40">
        <v>64620425</v>
      </c>
      <c r="B391" s="41" t="s">
        <v>2804</v>
      </c>
      <c r="C391" s="41" t="s">
        <v>3511</v>
      </c>
      <c r="D391" s="41" t="s">
        <v>460</v>
      </c>
      <c r="E391" s="49">
        <v>1686487</v>
      </c>
      <c r="F391" s="49">
        <v>7684</v>
      </c>
      <c r="G391" s="50">
        <v>1678803</v>
      </c>
      <c r="H391" s="42" t="s">
        <v>2615</v>
      </c>
      <c r="I391" s="42" t="s">
        <v>461</v>
      </c>
      <c r="J391" s="43" t="s">
        <v>351</v>
      </c>
      <c r="K391" s="40">
        <v>1024480867</v>
      </c>
      <c r="L391" s="41" t="s">
        <v>3512</v>
      </c>
      <c r="M391" s="41" t="s">
        <v>316</v>
      </c>
      <c r="N391" s="41" t="s">
        <v>317</v>
      </c>
      <c r="O391" s="41" t="s">
        <v>3513</v>
      </c>
      <c r="P391" s="41" t="s">
        <v>319</v>
      </c>
      <c r="Q391" s="40">
        <v>890903938</v>
      </c>
      <c r="R391" s="41" t="s">
        <v>342</v>
      </c>
      <c r="S391" s="40">
        <v>923238</v>
      </c>
      <c r="T391" s="41" t="s">
        <v>569</v>
      </c>
      <c r="U391" s="41" t="s">
        <v>29</v>
      </c>
      <c r="V391" s="41" t="s">
        <v>30</v>
      </c>
      <c r="W391" s="42" t="s">
        <v>31</v>
      </c>
      <c r="X391" s="42" t="s">
        <v>32</v>
      </c>
      <c r="Y391" s="42" t="s">
        <v>33</v>
      </c>
      <c r="Z391" s="42" t="s">
        <v>3514</v>
      </c>
      <c r="AA391" s="42" t="s">
        <v>34</v>
      </c>
      <c r="AB391" s="42" t="s">
        <v>34</v>
      </c>
      <c r="AC391" s="42" t="s">
        <v>34</v>
      </c>
      <c r="AD391" s="42" t="s">
        <v>462</v>
      </c>
      <c r="AE391" s="42"/>
      <c r="AF391" s="42"/>
      <c r="AG391" s="42" t="s">
        <v>463</v>
      </c>
      <c r="AH391" s="42"/>
      <c r="AI391" s="44"/>
      <c r="AJ391" s="42"/>
      <c r="AK391" s="44"/>
      <c r="AL391" s="42"/>
      <c r="AM391" s="52">
        <v>125</v>
      </c>
      <c r="AN391" s="52">
        <v>125</v>
      </c>
      <c r="AO391" s="52">
        <v>37825</v>
      </c>
      <c r="AP391" s="52">
        <v>0</v>
      </c>
      <c r="AQ391" s="42"/>
      <c r="AR391" s="52">
        <v>40025</v>
      </c>
      <c r="AS391" s="52">
        <v>64620425</v>
      </c>
      <c r="AT391" s="52">
        <v>0</v>
      </c>
      <c r="AU391" s="41" t="s">
        <v>2632</v>
      </c>
      <c r="AV391" s="41" t="s">
        <v>356</v>
      </c>
      <c r="AW391" s="41" t="s">
        <v>3516</v>
      </c>
      <c r="AX391" s="41" t="s">
        <v>742</v>
      </c>
    </row>
    <row r="392" spans="1:50" x14ac:dyDescent="0.2">
      <c r="A392" s="40">
        <v>64620525</v>
      </c>
      <c r="B392" s="41" t="s">
        <v>2804</v>
      </c>
      <c r="C392" s="41" t="s">
        <v>3518</v>
      </c>
      <c r="D392" s="41" t="s">
        <v>460</v>
      </c>
      <c r="E392" s="49">
        <v>944167</v>
      </c>
      <c r="F392" s="49">
        <v>4041</v>
      </c>
      <c r="G392" s="50">
        <v>940126</v>
      </c>
      <c r="H392" s="42" t="s">
        <v>2615</v>
      </c>
      <c r="I392" s="42" t="s">
        <v>461</v>
      </c>
      <c r="J392" s="43" t="s">
        <v>351</v>
      </c>
      <c r="K392" s="40">
        <v>1012341213</v>
      </c>
      <c r="L392" s="41" t="s">
        <v>3519</v>
      </c>
      <c r="M392" s="41" t="s">
        <v>316</v>
      </c>
      <c r="N392" s="41" t="s">
        <v>317</v>
      </c>
      <c r="O392" s="41" t="s">
        <v>3520</v>
      </c>
      <c r="P392" s="41" t="s">
        <v>319</v>
      </c>
      <c r="Q392" s="40">
        <v>860003020</v>
      </c>
      <c r="R392" s="41" t="s">
        <v>393</v>
      </c>
      <c r="S392" s="40">
        <v>923210</v>
      </c>
      <c r="T392" s="41" t="s">
        <v>56</v>
      </c>
      <c r="U392" s="41" t="s">
        <v>29</v>
      </c>
      <c r="V392" s="41" t="s">
        <v>30</v>
      </c>
      <c r="W392" s="42" t="s">
        <v>31</v>
      </c>
      <c r="X392" s="42" t="s">
        <v>32</v>
      </c>
      <c r="Y392" s="42" t="s">
        <v>33</v>
      </c>
      <c r="Z392" s="42" t="s">
        <v>3521</v>
      </c>
      <c r="AA392" s="42" t="s">
        <v>34</v>
      </c>
      <c r="AB392" s="42" t="s">
        <v>34</v>
      </c>
      <c r="AC392" s="42" t="s">
        <v>34</v>
      </c>
      <c r="AD392" s="42" t="s">
        <v>462</v>
      </c>
      <c r="AE392" s="42"/>
      <c r="AF392" s="42"/>
      <c r="AG392" s="42" t="s">
        <v>463</v>
      </c>
      <c r="AH392" s="42"/>
      <c r="AI392" s="44"/>
      <c r="AJ392" s="42"/>
      <c r="AK392" s="44"/>
      <c r="AL392" s="42"/>
      <c r="AM392" s="52">
        <v>1925</v>
      </c>
      <c r="AN392" s="52">
        <v>1925</v>
      </c>
      <c r="AO392" s="52">
        <v>37925</v>
      </c>
      <c r="AP392" s="52">
        <v>0</v>
      </c>
      <c r="AQ392" s="42"/>
      <c r="AR392" s="52">
        <v>40125</v>
      </c>
      <c r="AS392" s="52">
        <v>64620525</v>
      </c>
      <c r="AT392" s="52">
        <v>0</v>
      </c>
      <c r="AU392" s="41" t="s">
        <v>2632</v>
      </c>
      <c r="AV392" s="41" t="s">
        <v>356</v>
      </c>
      <c r="AW392" s="41" t="s">
        <v>3523</v>
      </c>
      <c r="AX392" s="41" t="s">
        <v>3524</v>
      </c>
    </row>
    <row r="393" spans="1:50" x14ac:dyDescent="0.2">
      <c r="A393" s="40">
        <v>64620625</v>
      </c>
      <c r="B393" s="41" t="s">
        <v>2804</v>
      </c>
      <c r="C393" s="41" t="s">
        <v>3526</v>
      </c>
      <c r="D393" s="41" t="s">
        <v>460</v>
      </c>
      <c r="E393" s="49">
        <v>1533170</v>
      </c>
      <c r="F393" s="49">
        <v>6764</v>
      </c>
      <c r="G393" s="50">
        <v>1526406</v>
      </c>
      <c r="H393" s="42" t="s">
        <v>2615</v>
      </c>
      <c r="I393" s="42" t="s">
        <v>461</v>
      </c>
      <c r="J393" s="43" t="s">
        <v>351</v>
      </c>
      <c r="K393" s="40">
        <v>1022393720</v>
      </c>
      <c r="L393" s="41" t="s">
        <v>3527</v>
      </c>
      <c r="M393" s="41" t="s">
        <v>316</v>
      </c>
      <c r="N393" s="41" t="s">
        <v>317</v>
      </c>
      <c r="O393" s="41" t="s">
        <v>3528</v>
      </c>
      <c r="P393" s="41" t="s">
        <v>319</v>
      </c>
      <c r="Q393" s="40">
        <v>890903938</v>
      </c>
      <c r="R393" s="41" t="s">
        <v>342</v>
      </c>
      <c r="S393" s="40">
        <v>923211</v>
      </c>
      <c r="T393" s="41" t="s">
        <v>69</v>
      </c>
      <c r="U393" s="41" t="s">
        <v>29</v>
      </c>
      <c r="V393" s="41" t="s">
        <v>30</v>
      </c>
      <c r="W393" s="42" t="s">
        <v>31</v>
      </c>
      <c r="X393" s="42" t="s">
        <v>32</v>
      </c>
      <c r="Y393" s="42" t="s">
        <v>33</v>
      </c>
      <c r="Z393" s="42" t="s">
        <v>3529</v>
      </c>
      <c r="AA393" s="42" t="s">
        <v>34</v>
      </c>
      <c r="AB393" s="42" t="s">
        <v>34</v>
      </c>
      <c r="AC393" s="42" t="s">
        <v>34</v>
      </c>
      <c r="AD393" s="42" t="s">
        <v>462</v>
      </c>
      <c r="AE393" s="42"/>
      <c r="AF393" s="42"/>
      <c r="AG393" s="42" t="s">
        <v>463</v>
      </c>
      <c r="AH393" s="42"/>
      <c r="AI393" s="44"/>
      <c r="AJ393" s="42"/>
      <c r="AK393" s="44"/>
      <c r="AL393" s="42"/>
      <c r="AM393" s="52">
        <v>2125</v>
      </c>
      <c r="AN393" s="52">
        <v>2125</v>
      </c>
      <c r="AO393" s="52">
        <v>38025</v>
      </c>
      <c r="AP393" s="52">
        <v>0</v>
      </c>
      <c r="AQ393" s="42"/>
      <c r="AR393" s="52">
        <v>40225</v>
      </c>
      <c r="AS393" s="52">
        <v>64620625</v>
      </c>
      <c r="AT393" s="52">
        <v>0</v>
      </c>
      <c r="AU393" s="41" t="s">
        <v>2632</v>
      </c>
      <c r="AV393" s="41" t="s">
        <v>356</v>
      </c>
      <c r="AW393" s="41" t="s">
        <v>3531</v>
      </c>
      <c r="AX393" s="41" t="s">
        <v>1532</v>
      </c>
    </row>
    <row r="394" spans="1:50" x14ac:dyDescent="0.2">
      <c r="A394" s="40">
        <v>66430925</v>
      </c>
      <c r="B394" s="41" t="s">
        <v>3533</v>
      </c>
      <c r="C394" s="41" t="s">
        <v>3534</v>
      </c>
      <c r="D394" s="41" t="s">
        <v>460</v>
      </c>
      <c r="E394" s="49">
        <v>1993121</v>
      </c>
      <c r="F394" s="49">
        <v>9524</v>
      </c>
      <c r="G394" s="50">
        <v>1983597</v>
      </c>
      <c r="H394" s="42" t="s">
        <v>2615</v>
      </c>
      <c r="I394" s="42" t="s">
        <v>461</v>
      </c>
      <c r="J394" s="43" t="s">
        <v>351</v>
      </c>
      <c r="K394" s="40">
        <v>52854030</v>
      </c>
      <c r="L394" s="41" t="s">
        <v>973</v>
      </c>
      <c r="M394" s="41" t="s">
        <v>316</v>
      </c>
      <c r="N394" s="41" t="s">
        <v>317</v>
      </c>
      <c r="O394" s="41" t="s">
        <v>974</v>
      </c>
      <c r="P394" s="41" t="s">
        <v>319</v>
      </c>
      <c r="Q394" s="40">
        <v>860007335</v>
      </c>
      <c r="R394" s="41" t="s">
        <v>381</v>
      </c>
      <c r="S394" s="40">
        <v>923245</v>
      </c>
      <c r="T394" s="41" t="s">
        <v>180</v>
      </c>
      <c r="U394" s="41" t="s">
        <v>29</v>
      </c>
      <c r="V394" s="41" t="s">
        <v>30</v>
      </c>
      <c r="W394" s="42" t="s">
        <v>31</v>
      </c>
      <c r="X394" s="42" t="s">
        <v>32</v>
      </c>
      <c r="Y394" s="42" t="s">
        <v>33</v>
      </c>
      <c r="Z394" s="42" t="s">
        <v>3535</v>
      </c>
      <c r="AA394" s="42" t="s">
        <v>34</v>
      </c>
      <c r="AB394" s="42" t="s">
        <v>34</v>
      </c>
      <c r="AC394" s="42" t="s">
        <v>34</v>
      </c>
      <c r="AD394" s="42" t="s">
        <v>462</v>
      </c>
      <c r="AE394" s="42"/>
      <c r="AF394" s="42"/>
      <c r="AG394" s="42" t="s">
        <v>463</v>
      </c>
      <c r="AH394" s="42"/>
      <c r="AI394" s="44"/>
      <c r="AJ394" s="42"/>
      <c r="AK394" s="44"/>
      <c r="AL394" s="42"/>
      <c r="AM394" s="52">
        <v>3825</v>
      </c>
      <c r="AN394" s="52">
        <v>3825</v>
      </c>
      <c r="AO394" s="52">
        <v>9825</v>
      </c>
      <c r="AP394" s="52">
        <v>0</v>
      </c>
      <c r="AQ394" s="42"/>
      <c r="AR394" s="52">
        <v>40325</v>
      </c>
      <c r="AS394" s="52">
        <v>66430925</v>
      </c>
      <c r="AT394" s="52">
        <v>0</v>
      </c>
      <c r="AU394" s="41" t="s">
        <v>786</v>
      </c>
      <c r="AV394" s="41" t="s">
        <v>356</v>
      </c>
      <c r="AW394" s="41" t="s">
        <v>976</v>
      </c>
      <c r="AX394" s="41" t="s">
        <v>748</v>
      </c>
    </row>
    <row r="395" spans="1:50" x14ac:dyDescent="0.2">
      <c r="A395" s="40">
        <v>66431025</v>
      </c>
      <c r="B395" s="41" t="s">
        <v>3533</v>
      </c>
      <c r="C395" s="41" t="s">
        <v>3538</v>
      </c>
      <c r="D395" s="41" t="s">
        <v>460</v>
      </c>
      <c r="E395" s="49">
        <v>3219658</v>
      </c>
      <c r="F395" s="49">
        <v>16883</v>
      </c>
      <c r="G395" s="50">
        <v>3202775</v>
      </c>
      <c r="H395" s="42" t="s">
        <v>2615</v>
      </c>
      <c r="I395" s="42" t="s">
        <v>461</v>
      </c>
      <c r="J395" s="43" t="s">
        <v>351</v>
      </c>
      <c r="K395" s="40">
        <v>79443231</v>
      </c>
      <c r="L395" s="41" t="s">
        <v>1454</v>
      </c>
      <c r="M395" s="41" t="s">
        <v>316</v>
      </c>
      <c r="N395" s="41" t="s">
        <v>328</v>
      </c>
      <c r="O395" s="41" t="s">
        <v>1455</v>
      </c>
      <c r="P395" s="41" t="s">
        <v>319</v>
      </c>
      <c r="Q395" s="40">
        <v>860002964</v>
      </c>
      <c r="R395" s="41" t="s">
        <v>419</v>
      </c>
      <c r="S395" s="40">
        <v>923245</v>
      </c>
      <c r="T395" s="41" t="s">
        <v>180</v>
      </c>
      <c r="U395" s="41" t="s">
        <v>29</v>
      </c>
      <c r="V395" s="41" t="s">
        <v>30</v>
      </c>
      <c r="W395" s="42" t="s">
        <v>31</v>
      </c>
      <c r="X395" s="42" t="s">
        <v>32</v>
      </c>
      <c r="Y395" s="42" t="s">
        <v>33</v>
      </c>
      <c r="Z395" s="42" t="s">
        <v>2937</v>
      </c>
      <c r="AA395" s="42" t="s">
        <v>34</v>
      </c>
      <c r="AB395" s="42" t="s">
        <v>34</v>
      </c>
      <c r="AC395" s="42" t="s">
        <v>34</v>
      </c>
      <c r="AD395" s="42" t="s">
        <v>462</v>
      </c>
      <c r="AE395" s="42"/>
      <c r="AF395" s="42"/>
      <c r="AG395" s="42" t="s">
        <v>463</v>
      </c>
      <c r="AH395" s="42"/>
      <c r="AI395" s="44"/>
      <c r="AJ395" s="42"/>
      <c r="AK395" s="44"/>
      <c r="AL395" s="42"/>
      <c r="AM395" s="52">
        <v>3825</v>
      </c>
      <c r="AN395" s="52">
        <v>3825</v>
      </c>
      <c r="AO395" s="52">
        <v>19625</v>
      </c>
      <c r="AP395" s="52">
        <v>0</v>
      </c>
      <c r="AQ395" s="42"/>
      <c r="AR395" s="52">
        <v>40425</v>
      </c>
      <c r="AS395" s="52">
        <v>66431025</v>
      </c>
      <c r="AT395" s="52">
        <v>0</v>
      </c>
      <c r="AU395" s="41" t="s">
        <v>1326</v>
      </c>
      <c r="AV395" s="41" t="s">
        <v>356</v>
      </c>
      <c r="AW395" s="41" t="s">
        <v>1457</v>
      </c>
      <c r="AX395" s="41" t="s">
        <v>1453</v>
      </c>
    </row>
    <row r="396" spans="1:50" x14ac:dyDescent="0.2">
      <c r="A396" s="40">
        <v>66431225</v>
      </c>
      <c r="B396" s="41" t="s">
        <v>3533</v>
      </c>
      <c r="C396" s="41" t="s">
        <v>3541</v>
      </c>
      <c r="D396" s="41" t="s">
        <v>460</v>
      </c>
      <c r="E396" s="49">
        <v>3219658</v>
      </c>
      <c r="F396" s="49">
        <v>16883</v>
      </c>
      <c r="G396" s="50">
        <v>3202775</v>
      </c>
      <c r="H396" s="42" t="s">
        <v>2615</v>
      </c>
      <c r="I396" s="42" t="s">
        <v>461</v>
      </c>
      <c r="J396" s="43" t="s">
        <v>351</v>
      </c>
      <c r="K396" s="40">
        <v>79054553</v>
      </c>
      <c r="L396" s="41" t="s">
        <v>1513</v>
      </c>
      <c r="M396" s="41" t="s">
        <v>316</v>
      </c>
      <c r="N396" s="41" t="s">
        <v>317</v>
      </c>
      <c r="O396" s="41" t="s">
        <v>1514</v>
      </c>
      <c r="P396" s="41" t="s">
        <v>319</v>
      </c>
      <c r="Q396" s="40">
        <v>860034313</v>
      </c>
      <c r="R396" s="41" t="s">
        <v>355</v>
      </c>
      <c r="S396" s="40">
        <v>923245</v>
      </c>
      <c r="T396" s="41" t="s">
        <v>180</v>
      </c>
      <c r="U396" s="41" t="s">
        <v>29</v>
      </c>
      <c r="V396" s="41" t="s">
        <v>30</v>
      </c>
      <c r="W396" s="42" t="s">
        <v>31</v>
      </c>
      <c r="X396" s="42" t="s">
        <v>32</v>
      </c>
      <c r="Y396" s="42" t="s">
        <v>33</v>
      </c>
      <c r="Z396" s="42" t="s">
        <v>2937</v>
      </c>
      <c r="AA396" s="42" t="s">
        <v>34</v>
      </c>
      <c r="AB396" s="42" t="s">
        <v>34</v>
      </c>
      <c r="AC396" s="42" t="s">
        <v>34</v>
      </c>
      <c r="AD396" s="42" t="s">
        <v>462</v>
      </c>
      <c r="AE396" s="42"/>
      <c r="AF396" s="42"/>
      <c r="AG396" s="42" t="s">
        <v>463</v>
      </c>
      <c r="AH396" s="42"/>
      <c r="AI396" s="44"/>
      <c r="AJ396" s="42"/>
      <c r="AK396" s="44"/>
      <c r="AL396" s="42"/>
      <c r="AM396" s="52">
        <v>3825</v>
      </c>
      <c r="AN396" s="52">
        <v>3825</v>
      </c>
      <c r="AO396" s="52">
        <v>20825</v>
      </c>
      <c r="AP396" s="52">
        <v>0</v>
      </c>
      <c r="AQ396" s="42"/>
      <c r="AR396" s="52">
        <v>40525</v>
      </c>
      <c r="AS396" s="52">
        <v>66431225</v>
      </c>
      <c r="AT396" s="52">
        <v>0</v>
      </c>
      <c r="AU396" s="41" t="s">
        <v>1326</v>
      </c>
      <c r="AV396" s="41" t="s">
        <v>356</v>
      </c>
      <c r="AW396" s="41" t="s">
        <v>1516</v>
      </c>
      <c r="AX396" s="41" t="s">
        <v>1332</v>
      </c>
    </row>
    <row r="397" spans="1:50" x14ac:dyDescent="0.2">
      <c r="A397" s="40">
        <v>66431325</v>
      </c>
      <c r="B397" s="41" t="s">
        <v>3533</v>
      </c>
      <c r="C397" s="41" t="s">
        <v>3541</v>
      </c>
      <c r="D397" s="41" t="s">
        <v>460</v>
      </c>
      <c r="E397" s="49">
        <v>3219658</v>
      </c>
      <c r="F397" s="49">
        <v>16883</v>
      </c>
      <c r="G397" s="50">
        <v>3202775</v>
      </c>
      <c r="H397" s="42" t="s">
        <v>2615</v>
      </c>
      <c r="I397" s="42" t="s">
        <v>461</v>
      </c>
      <c r="J397" s="43" t="s">
        <v>351</v>
      </c>
      <c r="K397" s="40">
        <v>80002216</v>
      </c>
      <c r="L397" s="41" t="s">
        <v>1735</v>
      </c>
      <c r="M397" s="41" t="s">
        <v>316</v>
      </c>
      <c r="N397" s="41" t="s">
        <v>317</v>
      </c>
      <c r="O397" s="41" t="s">
        <v>1736</v>
      </c>
      <c r="P397" s="41" t="s">
        <v>319</v>
      </c>
      <c r="Q397" s="40">
        <v>860034313</v>
      </c>
      <c r="R397" s="41" t="s">
        <v>355</v>
      </c>
      <c r="S397" s="40">
        <v>923238</v>
      </c>
      <c r="T397" s="41" t="s">
        <v>569</v>
      </c>
      <c r="U397" s="41" t="s">
        <v>29</v>
      </c>
      <c r="V397" s="41" t="s">
        <v>30</v>
      </c>
      <c r="W397" s="42" t="s">
        <v>31</v>
      </c>
      <c r="X397" s="42" t="s">
        <v>32</v>
      </c>
      <c r="Y397" s="42" t="s">
        <v>33</v>
      </c>
      <c r="Z397" s="42" t="s">
        <v>2937</v>
      </c>
      <c r="AA397" s="42" t="s">
        <v>34</v>
      </c>
      <c r="AB397" s="42" t="s">
        <v>34</v>
      </c>
      <c r="AC397" s="42" t="s">
        <v>34</v>
      </c>
      <c r="AD397" s="42" t="s">
        <v>462</v>
      </c>
      <c r="AE397" s="42"/>
      <c r="AF397" s="42"/>
      <c r="AG397" s="42" t="s">
        <v>463</v>
      </c>
      <c r="AH397" s="42"/>
      <c r="AI397" s="44"/>
      <c r="AJ397" s="42"/>
      <c r="AK397" s="44"/>
      <c r="AL397" s="42"/>
      <c r="AM397" s="52">
        <v>125</v>
      </c>
      <c r="AN397" s="52">
        <v>125</v>
      </c>
      <c r="AO397" s="52">
        <v>25325</v>
      </c>
      <c r="AP397" s="52">
        <v>0</v>
      </c>
      <c r="AQ397" s="42"/>
      <c r="AR397" s="52">
        <v>40625</v>
      </c>
      <c r="AS397" s="52">
        <v>66431325</v>
      </c>
      <c r="AT397" s="52">
        <v>0</v>
      </c>
      <c r="AU397" s="41" t="s">
        <v>1526</v>
      </c>
      <c r="AV397" s="41" t="s">
        <v>356</v>
      </c>
      <c r="AW397" s="41" t="s">
        <v>1738</v>
      </c>
      <c r="AX397" s="41" t="s">
        <v>742</v>
      </c>
    </row>
    <row r="398" spans="1:50" x14ac:dyDescent="0.2">
      <c r="A398" s="40">
        <v>66431425</v>
      </c>
      <c r="B398" s="41" t="s">
        <v>3533</v>
      </c>
      <c r="C398" s="41" t="s">
        <v>3546</v>
      </c>
      <c r="D398" s="41" t="s">
        <v>460</v>
      </c>
      <c r="E398" s="49">
        <v>3219658</v>
      </c>
      <c r="F398" s="49">
        <v>16883</v>
      </c>
      <c r="G398" s="50">
        <v>3202775</v>
      </c>
      <c r="H398" s="42" t="s">
        <v>2615</v>
      </c>
      <c r="I398" s="42" t="s">
        <v>461</v>
      </c>
      <c r="J398" s="43" t="s">
        <v>351</v>
      </c>
      <c r="K398" s="40">
        <v>79977580</v>
      </c>
      <c r="L398" s="41" t="s">
        <v>1740</v>
      </c>
      <c r="M398" s="41" t="s">
        <v>316</v>
      </c>
      <c r="N398" s="41" t="s">
        <v>317</v>
      </c>
      <c r="O398" s="41" t="s">
        <v>1741</v>
      </c>
      <c r="P398" s="41" t="s">
        <v>319</v>
      </c>
      <c r="Q398" s="40">
        <v>860007335</v>
      </c>
      <c r="R398" s="41" t="s">
        <v>381</v>
      </c>
      <c r="S398" s="40">
        <v>923238</v>
      </c>
      <c r="T398" s="41" t="s">
        <v>569</v>
      </c>
      <c r="U398" s="41" t="s">
        <v>29</v>
      </c>
      <c r="V398" s="41" t="s">
        <v>30</v>
      </c>
      <c r="W398" s="42" t="s">
        <v>31</v>
      </c>
      <c r="X398" s="42" t="s">
        <v>32</v>
      </c>
      <c r="Y398" s="42" t="s">
        <v>33</v>
      </c>
      <c r="Z398" s="42" t="s">
        <v>2937</v>
      </c>
      <c r="AA398" s="42" t="s">
        <v>34</v>
      </c>
      <c r="AB398" s="42" t="s">
        <v>34</v>
      </c>
      <c r="AC398" s="42" t="s">
        <v>34</v>
      </c>
      <c r="AD398" s="42" t="s">
        <v>462</v>
      </c>
      <c r="AE398" s="42"/>
      <c r="AF398" s="42"/>
      <c r="AG398" s="42" t="s">
        <v>463</v>
      </c>
      <c r="AH398" s="42"/>
      <c r="AI398" s="44"/>
      <c r="AJ398" s="42"/>
      <c r="AK398" s="44"/>
      <c r="AL398" s="42"/>
      <c r="AM398" s="52">
        <v>125</v>
      </c>
      <c r="AN398" s="52">
        <v>125</v>
      </c>
      <c r="AO398" s="52">
        <v>25425</v>
      </c>
      <c r="AP398" s="52">
        <v>0</v>
      </c>
      <c r="AQ398" s="42"/>
      <c r="AR398" s="52">
        <v>40725</v>
      </c>
      <c r="AS398" s="52">
        <v>66431425</v>
      </c>
      <c r="AT398" s="52">
        <v>0</v>
      </c>
      <c r="AU398" s="41" t="s">
        <v>1526</v>
      </c>
      <c r="AV398" s="41" t="s">
        <v>356</v>
      </c>
      <c r="AW398" s="41" t="s">
        <v>1743</v>
      </c>
      <c r="AX398" s="41" t="s">
        <v>742</v>
      </c>
    </row>
    <row r="399" spans="1:50" x14ac:dyDescent="0.2">
      <c r="A399" s="40">
        <v>66431525</v>
      </c>
      <c r="B399" s="41" t="s">
        <v>3533</v>
      </c>
      <c r="C399" s="41" t="s">
        <v>3546</v>
      </c>
      <c r="D399" s="41" t="s">
        <v>460</v>
      </c>
      <c r="E399" s="49">
        <v>3219658</v>
      </c>
      <c r="F399" s="49">
        <v>16883</v>
      </c>
      <c r="G399" s="50">
        <v>3202775</v>
      </c>
      <c r="H399" s="42" t="s">
        <v>2615</v>
      </c>
      <c r="I399" s="42" t="s">
        <v>461</v>
      </c>
      <c r="J399" s="43" t="s">
        <v>351</v>
      </c>
      <c r="K399" s="40">
        <v>1032370727</v>
      </c>
      <c r="L399" s="41" t="s">
        <v>1744</v>
      </c>
      <c r="M399" s="41" t="s">
        <v>316</v>
      </c>
      <c r="N399" s="41" t="s">
        <v>317</v>
      </c>
      <c r="O399" s="41" t="s">
        <v>1745</v>
      </c>
      <c r="P399" s="41" t="s">
        <v>319</v>
      </c>
      <c r="Q399" s="40">
        <v>860007335</v>
      </c>
      <c r="R399" s="41" t="s">
        <v>381</v>
      </c>
      <c r="S399" s="40">
        <v>923238</v>
      </c>
      <c r="T399" s="41" t="s">
        <v>569</v>
      </c>
      <c r="U399" s="41" t="s">
        <v>29</v>
      </c>
      <c r="V399" s="41" t="s">
        <v>30</v>
      </c>
      <c r="W399" s="42" t="s">
        <v>31</v>
      </c>
      <c r="X399" s="42" t="s">
        <v>32</v>
      </c>
      <c r="Y399" s="42" t="s">
        <v>33</v>
      </c>
      <c r="Z399" s="42" t="s">
        <v>2937</v>
      </c>
      <c r="AA399" s="42" t="s">
        <v>34</v>
      </c>
      <c r="AB399" s="42" t="s">
        <v>34</v>
      </c>
      <c r="AC399" s="42" t="s">
        <v>34</v>
      </c>
      <c r="AD399" s="42" t="s">
        <v>462</v>
      </c>
      <c r="AE399" s="42"/>
      <c r="AF399" s="42"/>
      <c r="AG399" s="42" t="s">
        <v>463</v>
      </c>
      <c r="AH399" s="42"/>
      <c r="AI399" s="44"/>
      <c r="AJ399" s="42"/>
      <c r="AK399" s="44"/>
      <c r="AL399" s="42"/>
      <c r="AM399" s="52">
        <v>125</v>
      </c>
      <c r="AN399" s="52">
        <v>125</v>
      </c>
      <c r="AO399" s="52">
        <v>25525</v>
      </c>
      <c r="AP399" s="52">
        <v>0</v>
      </c>
      <c r="AQ399" s="42"/>
      <c r="AR399" s="52">
        <v>40825</v>
      </c>
      <c r="AS399" s="52">
        <v>66431525</v>
      </c>
      <c r="AT399" s="52">
        <v>0</v>
      </c>
      <c r="AU399" s="41" t="s">
        <v>1526</v>
      </c>
      <c r="AV399" s="41" t="s">
        <v>356</v>
      </c>
      <c r="AW399" s="41" t="s">
        <v>1747</v>
      </c>
      <c r="AX399" s="41" t="s">
        <v>742</v>
      </c>
    </row>
    <row r="400" spans="1:50" x14ac:dyDescent="0.2">
      <c r="A400" s="40">
        <v>66431625</v>
      </c>
      <c r="B400" s="41" t="s">
        <v>3533</v>
      </c>
      <c r="C400" s="41" t="s">
        <v>3551</v>
      </c>
      <c r="D400" s="41" t="s">
        <v>460</v>
      </c>
      <c r="E400" s="49">
        <v>3219658</v>
      </c>
      <c r="F400" s="49">
        <v>16883</v>
      </c>
      <c r="G400" s="50">
        <v>3202775</v>
      </c>
      <c r="H400" s="42" t="s">
        <v>2615</v>
      </c>
      <c r="I400" s="42" t="s">
        <v>461</v>
      </c>
      <c r="J400" s="43" t="s">
        <v>351</v>
      </c>
      <c r="K400" s="40">
        <v>39671472</v>
      </c>
      <c r="L400" s="41" t="s">
        <v>1749</v>
      </c>
      <c r="M400" s="41" t="s">
        <v>316</v>
      </c>
      <c r="N400" s="41" t="s">
        <v>317</v>
      </c>
      <c r="O400" s="41" t="s">
        <v>1750</v>
      </c>
      <c r="P400" s="41" t="s">
        <v>319</v>
      </c>
      <c r="Q400" s="40">
        <v>890903938</v>
      </c>
      <c r="R400" s="41" t="s">
        <v>342</v>
      </c>
      <c r="S400" s="40">
        <v>923238</v>
      </c>
      <c r="T400" s="41" t="s">
        <v>569</v>
      </c>
      <c r="U400" s="41" t="s">
        <v>29</v>
      </c>
      <c r="V400" s="41" t="s">
        <v>30</v>
      </c>
      <c r="W400" s="42" t="s">
        <v>31</v>
      </c>
      <c r="X400" s="42" t="s">
        <v>32</v>
      </c>
      <c r="Y400" s="42" t="s">
        <v>33</v>
      </c>
      <c r="Z400" s="42" t="s">
        <v>2937</v>
      </c>
      <c r="AA400" s="42" t="s">
        <v>34</v>
      </c>
      <c r="AB400" s="42" t="s">
        <v>34</v>
      </c>
      <c r="AC400" s="42" t="s">
        <v>34</v>
      </c>
      <c r="AD400" s="42" t="s">
        <v>462</v>
      </c>
      <c r="AE400" s="42"/>
      <c r="AF400" s="42"/>
      <c r="AG400" s="42" t="s">
        <v>463</v>
      </c>
      <c r="AH400" s="42"/>
      <c r="AI400" s="44"/>
      <c r="AJ400" s="42"/>
      <c r="AK400" s="44"/>
      <c r="AL400" s="42"/>
      <c r="AM400" s="52">
        <v>125</v>
      </c>
      <c r="AN400" s="52">
        <v>125</v>
      </c>
      <c r="AO400" s="52">
        <v>25625</v>
      </c>
      <c r="AP400" s="52">
        <v>0</v>
      </c>
      <c r="AQ400" s="42"/>
      <c r="AR400" s="52">
        <v>40925</v>
      </c>
      <c r="AS400" s="52">
        <v>66431625</v>
      </c>
      <c r="AT400" s="52">
        <v>0</v>
      </c>
      <c r="AU400" s="41" t="s">
        <v>1526</v>
      </c>
      <c r="AV400" s="41" t="s">
        <v>356</v>
      </c>
      <c r="AW400" s="41" t="s">
        <v>1752</v>
      </c>
      <c r="AX400" s="41" t="s">
        <v>742</v>
      </c>
    </row>
    <row r="401" spans="1:50" x14ac:dyDescent="0.2">
      <c r="A401" s="40">
        <v>66431725</v>
      </c>
      <c r="B401" s="41" t="s">
        <v>3533</v>
      </c>
      <c r="C401" s="41" t="s">
        <v>3554</v>
      </c>
      <c r="D401" s="41" t="s">
        <v>460</v>
      </c>
      <c r="E401" s="49">
        <v>3219658</v>
      </c>
      <c r="F401" s="49">
        <v>16883</v>
      </c>
      <c r="G401" s="50">
        <v>3202775</v>
      </c>
      <c r="H401" s="42" t="s">
        <v>2615</v>
      </c>
      <c r="I401" s="42" t="s">
        <v>461</v>
      </c>
      <c r="J401" s="43" t="s">
        <v>351</v>
      </c>
      <c r="K401" s="40">
        <v>55177634</v>
      </c>
      <c r="L401" s="41" t="s">
        <v>1754</v>
      </c>
      <c r="M401" s="41" t="s">
        <v>316</v>
      </c>
      <c r="N401" s="41" t="s">
        <v>317</v>
      </c>
      <c r="O401" s="41" t="s">
        <v>1755</v>
      </c>
      <c r="P401" s="41" t="s">
        <v>319</v>
      </c>
      <c r="Q401" s="40">
        <v>860034313</v>
      </c>
      <c r="R401" s="41" t="s">
        <v>355</v>
      </c>
      <c r="S401" s="40">
        <v>923238</v>
      </c>
      <c r="T401" s="41" t="s">
        <v>569</v>
      </c>
      <c r="U401" s="41" t="s">
        <v>29</v>
      </c>
      <c r="V401" s="41" t="s">
        <v>30</v>
      </c>
      <c r="W401" s="42" t="s">
        <v>31</v>
      </c>
      <c r="X401" s="42" t="s">
        <v>32</v>
      </c>
      <c r="Y401" s="42" t="s">
        <v>33</v>
      </c>
      <c r="Z401" s="42" t="s">
        <v>2937</v>
      </c>
      <c r="AA401" s="42" t="s">
        <v>34</v>
      </c>
      <c r="AB401" s="42" t="s">
        <v>34</v>
      </c>
      <c r="AC401" s="42" t="s">
        <v>34</v>
      </c>
      <c r="AD401" s="42" t="s">
        <v>462</v>
      </c>
      <c r="AE401" s="42"/>
      <c r="AF401" s="42"/>
      <c r="AG401" s="42" t="s">
        <v>463</v>
      </c>
      <c r="AH401" s="42"/>
      <c r="AI401" s="44"/>
      <c r="AJ401" s="42"/>
      <c r="AK401" s="44"/>
      <c r="AL401" s="42"/>
      <c r="AM401" s="52">
        <v>125</v>
      </c>
      <c r="AN401" s="52">
        <v>125</v>
      </c>
      <c r="AO401" s="52">
        <v>25725</v>
      </c>
      <c r="AP401" s="52">
        <v>0</v>
      </c>
      <c r="AQ401" s="42"/>
      <c r="AR401" s="52">
        <v>41025</v>
      </c>
      <c r="AS401" s="52">
        <v>66431725</v>
      </c>
      <c r="AT401" s="52">
        <v>0</v>
      </c>
      <c r="AU401" s="41" t="s">
        <v>1526</v>
      </c>
      <c r="AV401" s="41" t="s">
        <v>356</v>
      </c>
      <c r="AW401" s="41" t="s">
        <v>1757</v>
      </c>
      <c r="AX401" s="41" t="s">
        <v>742</v>
      </c>
    </row>
    <row r="402" spans="1:50" x14ac:dyDescent="0.2">
      <c r="A402" s="40">
        <v>66431825</v>
      </c>
      <c r="B402" s="41" t="s">
        <v>3533</v>
      </c>
      <c r="C402" s="41" t="s">
        <v>3554</v>
      </c>
      <c r="D402" s="41" t="s">
        <v>460</v>
      </c>
      <c r="E402" s="49">
        <v>3219658</v>
      </c>
      <c r="F402" s="49">
        <v>16883</v>
      </c>
      <c r="G402" s="50">
        <v>3202775</v>
      </c>
      <c r="H402" s="42" t="s">
        <v>2615</v>
      </c>
      <c r="I402" s="42" t="s">
        <v>461</v>
      </c>
      <c r="J402" s="43" t="s">
        <v>351</v>
      </c>
      <c r="K402" s="40">
        <v>3170948</v>
      </c>
      <c r="L402" s="41" t="s">
        <v>1764</v>
      </c>
      <c r="M402" s="41" t="s">
        <v>316</v>
      </c>
      <c r="N402" s="41" t="s">
        <v>317</v>
      </c>
      <c r="O402" s="41" t="s">
        <v>1765</v>
      </c>
      <c r="P402" s="41" t="s">
        <v>319</v>
      </c>
      <c r="Q402" s="40">
        <v>860034313</v>
      </c>
      <c r="R402" s="41" t="s">
        <v>355</v>
      </c>
      <c r="S402" s="40">
        <v>923238</v>
      </c>
      <c r="T402" s="41" t="s">
        <v>569</v>
      </c>
      <c r="U402" s="41" t="s">
        <v>29</v>
      </c>
      <c r="V402" s="41" t="s">
        <v>30</v>
      </c>
      <c r="W402" s="42" t="s">
        <v>31</v>
      </c>
      <c r="X402" s="42" t="s">
        <v>32</v>
      </c>
      <c r="Y402" s="42" t="s">
        <v>33</v>
      </c>
      <c r="Z402" s="42" t="s">
        <v>2937</v>
      </c>
      <c r="AA402" s="42" t="s">
        <v>34</v>
      </c>
      <c r="AB402" s="42" t="s">
        <v>34</v>
      </c>
      <c r="AC402" s="42" t="s">
        <v>34</v>
      </c>
      <c r="AD402" s="42" t="s">
        <v>462</v>
      </c>
      <c r="AE402" s="42"/>
      <c r="AF402" s="42"/>
      <c r="AG402" s="42" t="s">
        <v>463</v>
      </c>
      <c r="AH402" s="42"/>
      <c r="AI402" s="44"/>
      <c r="AJ402" s="42"/>
      <c r="AK402" s="44"/>
      <c r="AL402" s="42"/>
      <c r="AM402" s="52">
        <v>125</v>
      </c>
      <c r="AN402" s="52">
        <v>125</v>
      </c>
      <c r="AO402" s="52">
        <v>25925</v>
      </c>
      <c r="AP402" s="52">
        <v>0</v>
      </c>
      <c r="AQ402" s="42"/>
      <c r="AR402" s="52">
        <v>41225</v>
      </c>
      <c r="AS402" s="52">
        <v>66431825</v>
      </c>
      <c r="AT402" s="52">
        <v>0</v>
      </c>
      <c r="AU402" s="41" t="s">
        <v>1526</v>
      </c>
      <c r="AV402" s="41" t="s">
        <v>356</v>
      </c>
      <c r="AW402" s="41" t="s">
        <v>1767</v>
      </c>
      <c r="AX402" s="41" t="s">
        <v>742</v>
      </c>
    </row>
    <row r="403" spans="1:50" x14ac:dyDescent="0.2">
      <c r="A403" s="40">
        <v>66431925</v>
      </c>
      <c r="B403" s="41" t="s">
        <v>3533</v>
      </c>
      <c r="C403" s="41" t="s">
        <v>3559</v>
      </c>
      <c r="D403" s="41" t="s">
        <v>460</v>
      </c>
      <c r="E403" s="49">
        <v>1839804</v>
      </c>
      <c r="F403" s="49">
        <v>9821</v>
      </c>
      <c r="G403" s="50">
        <v>1829983</v>
      </c>
      <c r="H403" s="42" t="s">
        <v>2615</v>
      </c>
      <c r="I403" s="42" t="s">
        <v>461</v>
      </c>
      <c r="J403" s="43" t="s">
        <v>351</v>
      </c>
      <c r="K403" s="40">
        <v>80496354</v>
      </c>
      <c r="L403" s="41" t="s">
        <v>1769</v>
      </c>
      <c r="M403" s="41" t="s">
        <v>316</v>
      </c>
      <c r="N403" s="41" t="s">
        <v>317</v>
      </c>
      <c r="O403" s="41" t="s">
        <v>1770</v>
      </c>
      <c r="P403" s="41" t="s">
        <v>319</v>
      </c>
      <c r="Q403" s="40">
        <v>860034313</v>
      </c>
      <c r="R403" s="41" t="s">
        <v>355</v>
      </c>
      <c r="S403" s="40">
        <v>923238</v>
      </c>
      <c r="T403" s="41" t="s">
        <v>569</v>
      </c>
      <c r="U403" s="41" t="s">
        <v>29</v>
      </c>
      <c r="V403" s="41" t="s">
        <v>30</v>
      </c>
      <c r="W403" s="42" t="s">
        <v>31</v>
      </c>
      <c r="X403" s="42" t="s">
        <v>32</v>
      </c>
      <c r="Y403" s="42" t="s">
        <v>33</v>
      </c>
      <c r="Z403" s="42" t="s">
        <v>3334</v>
      </c>
      <c r="AA403" s="42" t="s">
        <v>34</v>
      </c>
      <c r="AB403" s="42" t="s">
        <v>34</v>
      </c>
      <c r="AC403" s="42" t="s">
        <v>34</v>
      </c>
      <c r="AD403" s="42" t="s">
        <v>462</v>
      </c>
      <c r="AE403" s="42"/>
      <c r="AF403" s="42"/>
      <c r="AG403" s="42" t="s">
        <v>463</v>
      </c>
      <c r="AH403" s="42"/>
      <c r="AI403" s="44"/>
      <c r="AJ403" s="42"/>
      <c r="AK403" s="44"/>
      <c r="AL403" s="42"/>
      <c r="AM403" s="52">
        <v>125</v>
      </c>
      <c r="AN403" s="52">
        <v>125</v>
      </c>
      <c r="AO403" s="52">
        <v>26025</v>
      </c>
      <c r="AP403" s="52">
        <v>0</v>
      </c>
      <c r="AQ403" s="42"/>
      <c r="AR403" s="52">
        <v>41325</v>
      </c>
      <c r="AS403" s="52">
        <v>66431925</v>
      </c>
      <c r="AT403" s="52">
        <v>0</v>
      </c>
      <c r="AU403" s="41" t="s">
        <v>1526</v>
      </c>
      <c r="AV403" s="41" t="s">
        <v>356</v>
      </c>
      <c r="AW403" s="41" t="s">
        <v>1772</v>
      </c>
      <c r="AX403" s="41" t="s">
        <v>742</v>
      </c>
    </row>
    <row r="404" spans="1:50" x14ac:dyDescent="0.2">
      <c r="A404" s="40">
        <v>66432025</v>
      </c>
      <c r="B404" s="41" t="s">
        <v>3533</v>
      </c>
      <c r="C404" s="41" t="s">
        <v>3562</v>
      </c>
      <c r="D404" s="41" t="s">
        <v>460</v>
      </c>
      <c r="E404" s="49">
        <v>3219658</v>
      </c>
      <c r="F404" s="49">
        <v>16883</v>
      </c>
      <c r="G404" s="50">
        <v>3202775</v>
      </c>
      <c r="H404" s="42" t="s">
        <v>2615</v>
      </c>
      <c r="I404" s="42" t="s">
        <v>461</v>
      </c>
      <c r="J404" s="43" t="s">
        <v>351</v>
      </c>
      <c r="K404" s="40">
        <v>1030530318</v>
      </c>
      <c r="L404" s="41" t="s">
        <v>1774</v>
      </c>
      <c r="M404" s="41" t="s">
        <v>316</v>
      </c>
      <c r="N404" s="41" t="s">
        <v>317</v>
      </c>
      <c r="O404" s="41" t="s">
        <v>1775</v>
      </c>
      <c r="P404" s="41" t="s">
        <v>319</v>
      </c>
      <c r="Q404" s="40">
        <v>860007335</v>
      </c>
      <c r="R404" s="41" t="s">
        <v>381</v>
      </c>
      <c r="S404" s="40">
        <v>923238</v>
      </c>
      <c r="T404" s="41" t="s">
        <v>569</v>
      </c>
      <c r="U404" s="41" t="s">
        <v>29</v>
      </c>
      <c r="V404" s="41" t="s">
        <v>30</v>
      </c>
      <c r="W404" s="42" t="s">
        <v>31</v>
      </c>
      <c r="X404" s="42" t="s">
        <v>32</v>
      </c>
      <c r="Y404" s="42" t="s">
        <v>33</v>
      </c>
      <c r="Z404" s="42" t="s">
        <v>2937</v>
      </c>
      <c r="AA404" s="42" t="s">
        <v>34</v>
      </c>
      <c r="AB404" s="42" t="s">
        <v>34</v>
      </c>
      <c r="AC404" s="42" t="s">
        <v>34</v>
      </c>
      <c r="AD404" s="42" t="s">
        <v>462</v>
      </c>
      <c r="AE404" s="42"/>
      <c r="AF404" s="42"/>
      <c r="AG404" s="42" t="s">
        <v>463</v>
      </c>
      <c r="AH404" s="42"/>
      <c r="AI404" s="44"/>
      <c r="AJ404" s="42"/>
      <c r="AK404" s="44"/>
      <c r="AL404" s="42"/>
      <c r="AM404" s="52">
        <v>125</v>
      </c>
      <c r="AN404" s="52">
        <v>125</v>
      </c>
      <c r="AO404" s="52">
        <v>26125</v>
      </c>
      <c r="AP404" s="52">
        <v>0</v>
      </c>
      <c r="AQ404" s="42"/>
      <c r="AR404" s="52">
        <v>41425</v>
      </c>
      <c r="AS404" s="52">
        <v>66432025</v>
      </c>
      <c r="AT404" s="52">
        <v>0</v>
      </c>
      <c r="AU404" s="41" t="s">
        <v>1526</v>
      </c>
      <c r="AV404" s="41" t="s">
        <v>356</v>
      </c>
      <c r="AW404" s="41" t="s">
        <v>1777</v>
      </c>
      <c r="AX404" s="41" t="s">
        <v>742</v>
      </c>
    </row>
    <row r="405" spans="1:50" x14ac:dyDescent="0.2">
      <c r="A405" s="40">
        <v>66432125</v>
      </c>
      <c r="B405" s="41" t="s">
        <v>3533</v>
      </c>
      <c r="C405" s="41" t="s">
        <v>3565</v>
      </c>
      <c r="D405" s="41" t="s">
        <v>460</v>
      </c>
      <c r="E405" s="49">
        <v>1839804</v>
      </c>
      <c r="F405" s="49">
        <v>10302</v>
      </c>
      <c r="G405" s="50">
        <v>1829502</v>
      </c>
      <c r="H405" s="42" t="s">
        <v>2615</v>
      </c>
      <c r="I405" s="42" t="s">
        <v>461</v>
      </c>
      <c r="J405" s="43" t="s">
        <v>351</v>
      </c>
      <c r="K405" s="40">
        <v>80737587</v>
      </c>
      <c r="L405" s="41" t="s">
        <v>3566</v>
      </c>
      <c r="M405" s="41" t="s">
        <v>316</v>
      </c>
      <c r="N405" s="41" t="s">
        <v>317</v>
      </c>
      <c r="O405" s="41" t="s">
        <v>3567</v>
      </c>
      <c r="P405" s="41" t="s">
        <v>319</v>
      </c>
      <c r="Q405" s="40">
        <v>900047981</v>
      </c>
      <c r="R405" s="41" t="s">
        <v>399</v>
      </c>
      <c r="S405" s="40">
        <v>923245</v>
      </c>
      <c r="T405" s="41" t="s">
        <v>180</v>
      </c>
      <c r="U405" s="41" t="s">
        <v>29</v>
      </c>
      <c r="V405" s="41" t="s">
        <v>30</v>
      </c>
      <c r="W405" s="42" t="s">
        <v>31</v>
      </c>
      <c r="X405" s="42" t="s">
        <v>32</v>
      </c>
      <c r="Y405" s="42" t="s">
        <v>33</v>
      </c>
      <c r="Z405" s="42" t="s">
        <v>3334</v>
      </c>
      <c r="AA405" s="42" t="s">
        <v>34</v>
      </c>
      <c r="AB405" s="42" t="s">
        <v>34</v>
      </c>
      <c r="AC405" s="42" t="s">
        <v>34</v>
      </c>
      <c r="AD405" s="42" t="s">
        <v>462</v>
      </c>
      <c r="AE405" s="42"/>
      <c r="AF405" s="42"/>
      <c r="AG405" s="42" t="s">
        <v>463</v>
      </c>
      <c r="AH405" s="42"/>
      <c r="AI405" s="44"/>
      <c r="AJ405" s="42"/>
      <c r="AK405" s="44"/>
      <c r="AL405" s="42"/>
      <c r="AM405" s="52">
        <v>3825</v>
      </c>
      <c r="AN405" s="52">
        <v>3825</v>
      </c>
      <c r="AO405" s="52">
        <v>35125</v>
      </c>
      <c r="AP405" s="52">
        <v>0</v>
      </c>
      <c r="AQ405" s="42"/>
      <c r="AR405" s="52">
        <v>41525</v>
      </c>
      <c r="AS405" s="52">
        <v>66432125</v>
      </c>
      <c r="AT405" s="52">
        <v>0</v>
      </c>
      <c r="AU405" s="41" t="s">
        <v>2631</v>
      </c>
      <c r="AV405" s="41" t="s">
        <v>356</v>
      </c>
      <c r="AW405" s="41" t="s">
        <v>3569</v>
      </c>
      <c r="AX405" s="41" t="s">
        <v>742</v>
      </c>
    </row>
    <row r="406" spans="1:50" x14ac:dyDescent="0.2">
      <c r="A406" s="40">
        <v>66482925</v>
      </c>
      <c r="B406" s="41" t="s">
        <v>3533</v>
      </c>
      <c r="C406" s="41" t="s">
        <v>3571</v>
      </c>
      <c r="D406" s="41" t="s">
        <v>460</v>
      </c>
      <c r="E406" s="49">
        <v>3063140</v>
      </c>
      <c r="F406" s="49">
        <v>0</v>
      </c>
      <c r="G406" s="50">
        <v>3063140</v>
      </c>
      <c r="H406" s="42" t="s">
        <v>2615</v>
      </c>
      <c r="I406" s="42" t="s">
        <v>461</v>
      </c>
      <c r="J406" s="43" t="s">
        <v>314</v>
      </c>
      <c r="K406" s="40">
        <v>860063875</v>
      </c>
      <c r="L406" s="41" t="s">
        <v>315</v>
      </c>
      <c r="M406" s="41" t="s">
        <v>316</v>
      </c>
      <c r="N406" s="41" t="s">
        <v>317</v>
      </c>
      <c r="O406" s="41" t="s">
        <v>318</v>
      </c>
      <c r="P406" s="41" t="s">
        <v>319</v>
      </c>
      <c r="Q406" s="40">
        <v>860050750</v>
      </c>
      <c r="R406" s="41" t="s">
        <v>321</v>
      </c>
      <c r="S406" s="40">
        <v>923210</v>
      </c>
      <c r="T406" s="41" t="s">
        <v>56</v>
      </c>
      <c r="U406" s="41" t="s">
        <v>29</v>
      </c>
      <c r="V406" s="41" t="s">
        <v>30</v>
      </c>
      <c r="W406" s="42" t="s">
        <v>47</v>
      </c>
      <c r="X406" s="42" t="s">
        <v>48</v>
      </c>
      <c r="Y406" s="42" t="s">
        <v>33</v>
      </c>
      <c r="Z406" s="42" t="s">
        <v>3572</v>
      </c>
      <c r="AA406" s="42" t="s">
        <v>34</v>
      </c>
      <c r="AB406" s="42" t="s">
        <v>34</v>
      </c>
      <c r="AC406" s="42" t="s">
        <v>34</v>
      </c>
      <c r="AD406" s="42" t="s">
        <v>462</v>
      </c>
      <c r="AE406" s="42"/>
      <c r="AF406" s="42"/>
      <c r="AG406" s="42" t="s">
        <v>463</v>
      </c>
      <c r="AH406" s="42"/>
      <c r="AI406" s="44"/>
      <c r="AJ406" s="42"/>
      <c r="AK406" s="44"/>
      <c r="AL406" s="42" t="s">
        <v>3573</v>
      </c>
      <c r="AM406" s="52">
        <v>1225</v>
      </c>
      <c r="AN406" s="52">
        <v>1225</v>
      </c>
      <c r="AO406" s="52">
        <v>44325</v>
      </c>
      <c r="AP406" s="52">
        <v>4725</v>
      </c>
      <c r="AQ406" s="42" t="s">
        <v>2804</v>
      </c>
      <c r="AR406" s="52">
        <v>41625</v>
      </c>
      <c r="AS406" s="52">
        <v>66482925</v>
      </c>
      <c r="AT406" s="52">
        <v>0</v>
      </c>
      <c r="AU406" s="41" t="s">
        <v>3576</v>
      </c>
      <c r="AV406" s="41" t="s">
        <v>323</v>
      </c>
      <c r="AW406" s="41" t="s">
        <v>3577</v>
      </c>
      <c r="AX406" s="41" t="s">
        <v>3578</v>
      </c>
    </row>
    <row r="407" spans="1:50" x14ac:dyDescent="0.2">
      <c r="A407" s="40">
        <v>67839925</v>
      </c>
      <c r="B407" s="41" t="s">
        <v>3533</v>
      </c>
      <c r="C407" s="41" t="s">
        <v>3580</v>
      </c>
      <c r="D407" s="41" t="s">
        <v>460</v>
      </c>
      <c r="E407" s="49">
        <v>1839804</v>
      </c>
      <c r="F407" s="49">
        <v>8604</v>
      </c>
      <c r="G407" s="50">
        <v>1831200</v>
      </c>
      <c r="H407" s="42" t="s">
        <v>2615</v>
      </c>
      <c r="I407" s="42" t="s">
        <v>461</v>
      </c>
      <c r="J407" s="43" t="s">
        <v>351</v>
      </c>
      <c r="K407" s="40">
        <v>1026307427</v>
      </c>
      <c r="L407" s="41" t="s">
        <v>2147</v>
      </c>
      <c r="M407" s="41" t="s">
        <v>316</v>
      </c>
      <c r="N407" s="41" t="s">
        <v>317</v>
      </c>
      <c r="O407" s="41" t="s">
        <v>3581</v>
      </c>
      <c r="P407" s="41" t="s">
        <v>319</v>
      </c>
      <c r="Q407" s="40">
        <v>860002964</v>
      </c>
      <c r="R407" s="41" t="s">
        <v>419</v>
      </c>
      <c r="S407" s="40">
        <v>923211</v>
      </c>
      <c r="T407" s="41" t="s">
        <v>69</v>
      </c>
      <c r="U407" s="41" t="s">
        <v>29</v>
      </c>
      <c r="V407" s="41" t="s">
        <v>30</v>
      </c>
      <c r="W407" s="42" t="s">
        <v>31</v>
      </c>
      <c r="X407" s="42" t="s">
        <v>32</v>
      </c>
      <c r="Y407" s="42" t="s">
        <v>33</v>
      </c>
      <c r="Z407" s="42" t="s">
        <v>3334</v>
      </c>
      <c r="AA407" s="42" t="s">
        <v>34</v>
      </c>
      <c r="AB407" s="42" t="s">
        <v>34</v>
      </c>
      <c r="AC407" s="42" t="s">
        <v>34</v>
      </c>
      <c r="AD407" s="42" t="s">
        <v>462</v>
      </c>
      <c r="AE407" s="42"/>
      <c r="AF407" s="42"/>
      <c r="AG407" s="42" t="s">
        <v>463</v>
      </c>
      <c r="AH407" s="42"/>
      <c r="AI407" s="44"/>
      <c r="AJ407" s="42"/>
      <c r="AK407" s="44"/>
      <c r="AL407" s="42" t="s">
        <v>3582</v>
      </c>
      <c r="AM407" s="52">
        <v>2125</v>
      </c>
      <c r="AN407" s="52">
        <v>2125</v>
      </c>
      <c r="AO407" s="52">
        <v>32725</v>
      </c>
      <c r="AP407" s="52">
        <v>0</v>
      </c>
      <c r="AQ407" s="42"/>
      <c r="AR407" s="52">
        <v>35725</v>
      </c>
      <c r="AS407" s="52">
        <v>67839925</v>
      </c>
      <c r="AT407" s="52">
        <v>0</v>
      </c>
      <c r="AU407" s="41" t="s">
        <v>2121</v>
      </c>
      <c r="AV407" s="41" t="s">
        <v>356</v>
      </c>
      <c r="AW407" s="41" t="s">
        <v>2149</v>
      </c>
      <c r="AX407" s="41" t="s">
        <v>1886</v>
      </c>
    </row>
    <row r="408" spans="1:50" x14ac:dyDescent="0.2">
      <c r="A408" s="40">
        <v>68528925</v>
      </c>
      <c r="B408" s="41" t="s">
        <v>3584</v>
      </c>
      <c r="C408" s="41" t="s">
        <v>4743</v>
      </c>
      <c r="D408" s="41" t="s">
        <v>460</v>
      </c>
      <c r="E408" s="49">
        <v>3219658</v>
      </c>
      <c r="F408" s="49">
        <v>557110</v>
      </c>
      <c r="G408" s="50">
        <v>2662548</v>
      </c>
      <c r="H408" s="42" t="s">
        <v>2615</v>
      </c>
      <c r="I408" s="42" t="s">
        <v>461</v>
      </c>
      <c r="J408" s="43" t="s">
        <v>351</v>
      </c>
      <c r="K408" s="40">
        <v>88216911</v>
      </c>
      <c r="L408" s="41" t="s">
        <v>1651</v>
      </c>
      <c r="M408" s="41" t="s">
        <v>316</v>
      </c>
      <c r="N408" s="41" t="s">
        <v>317</v>
      </c>
      <c r="O408" s="41" t="s">
        <v>1652</v>
      </c>
      <c r="P408" s="41" t="s">
        <v>319</v>
      </c>
      <c r="Q408" s="40">
        <v>860007335</v>
      </c>
      <c r="R408" s="41" t="s">
        <v>381</v>
      </c>
      <c r="S408" s="40">
        <v>923211</v>
      </c>
      <c r="T408" s="41" t="s">
        <v>69</v>
      </c>
      <c r="U408" s="41" t="s">
        <v>29</v>
      </c>
      <c r="V408" s="41" t="s">
        <v>30</v>
      </c>
      <c r="W408" s="42" t="s">
        <v>31</v>
      </c>
      <c r="X408" s="42" t="s">
        <v>32</v>
      </c>
      <c r="Y408" s="42" t="s">
        <v>33</v>
      </c>
      <c r="Z408" s="42" t="s">
        <v>2937</v>
      </c>
      <c r="AA408" s="42" t="s">
        <v>34</v>
      </c>
      <c r="AB408" s="42" t="s">
        <v>34</v>
      </c>
      <c r="AC408" s="42" t="s">
        <v>34</v>
      </c>
      <c r="AD408" s="42" t="s">
        <v>462</v>
      </c>
      <c r="AE408" s="42"/>
      <c r="AF408" s="42"/>
      <c r="AG408" s="42" t="s">
        <v>463</v>
      </c>
      <c r="AH408" s="42"/>
      <c r="AI408" s="44"/>
      <c r="AJ408" s="42"/>
      <c r="AK408" s="44"/>
      <c r="AL408" s="42"/>
      <c r="AM408" s="52">
        <v>2125</v>
      </c>
      <c r="AN408" s="52">
        <v>2125</v>
      </c>
      <c r="AO408" s="52">
        <v>23625</v>
      </c>
      <c r="AP408" s="52">
        <v>0</v>
      </c>
      <c r="AQ408" s="42"/>
      <c r="AR408" s="52">
        <v>29725</v>
      </c>
      <c r="AS408" s="52">
        <v>68528925</v>
      </c>
      <c r="AT408" s="52">
        <v>0</v>
      </c>
      <c r="AU408" s="41" t="s">
        <v>1526</v>
      </c>
      <c r="AV408" s="41" t="s">
        <v>356</v>
      </c>
      <c r="AW408" s="41" t="s">
        <v>1654</v>
      </c>
      <c r="AX408" s="41" t="s">
        <v>1532</v>
      </c>
    </row>
    <row r="409" spans="1:50" x14ac:dyDescent="0.2">
      <c r="A409" s="40">
        <v>68529125</v>
      </c>
      <c r="B409" s="41" t="s">
        <v>3584</v>
      </c>
      <c r="C409" s="41" t="s">
        <v>4744</v>
      </c>
      <c r="D409" s="41" t="s">
        <v>460</v>
      </c>
      <c r="E409" s="49">
        <v>3219658</v>
      </c>
      <c r="F409" s="49">
        <v>376115</v>
      </c>
      <c r="G409" s="50">
        <v>2843543</v>
      </c>
      <c r="H409" s="42" t="s">
        <v>2615</v>
      </c>
      <c r="I409" s="42" t="s">
        <v>461</v>
      </c>
      <c r="J409" s="43" t="s">
        <v>351</v>
      </c>
      <c r="K409" s="40">
        <v>88260450</v>
      </c>
      <c r="L409" s="41" t="s">
        <v>1759</v>
      </c>
      <c r="M409" s="41" t="s">
        <v>316</v>
      </c>
      <c r="N409" s="41" t="s">
        <v>317</v>
      </c>
      <c r="O409" s="41" t="s">
        <v>1760</v>
      </c>
      <c r="P409" s="41" t="s">
        <v>319</v>
      </c>
      <c r="Q409" s="40">
        <v>860007335</v>
      </c>
      <c r="R409" s="41" t="s">
        <v>381</v>
      </c>
      <c r="S409" s="40">
        <v>923238</v>
      </c>
      <c r="T409" s="41" t="s">
        <v>569</v>
      </c>
      <c r="U409" s="41" t="s">
        <v>29</v>
      </c>
      <c r="V409" s="41" t="s">
        <v>30</v>
      </c>
      <c r="W409" s="42" t="s">
        <v>31</v>
      </c>
      <c r="X409" s="42" t="s">
        <v>32</v>
      </c>
      <c r="Y409" s="42" t="s">
        <v>33</v>
      </c>
      <c r="Z409" s="42" t="s">
        <v>2937</v>
      </c>
      <c r="AA409" s="42" t="s">
        <v>34</v>
      </c>
      <c r="AB409" s="42" t="s">
        <v>34</v>
      </c>
      <c r="AC409" s="42" t="s">
        <v>34</v>
      </c>
      <c r="AD409" s="42" t="s">
        <v>462</v>
      </c>
      <c r="AE409" s="42"/>
      <c r="AF409" s="42"/>
      <c r="AG409" s="42" t="s">
        <v>463</v>
      </c>
      <c r="AH409" s="42"/>
      <c r="AI409" s="44"/>
      <c r="AJ409" s="42"/>
      <c r="AK409" s="44"/>
      <c r="AL409" s="42"/>
      <c r="AM409" s="52">
        <v>125</v>
      </c>
      <c r="AN409" s="52">
        <v>125</v>
      </c>
      <c r="AO409" s="52">
        <v>25825</v>
      </c>
      <c r="AP409" s="52">
        <v>0</v>
      </c>
      <c r="AQ409" s="42"/>
      <c r="AR409" s="52">
        <v>41125</v>
      </c>
      <c r="AS409" s="52">
        <v>68529125</v>
      </c>
      <c r="AT409" s="52">
        <v>0</v>
      </c>
      <c r="AU409" s="41" t="s">
        <v>1526</v>
      </c>
      <c r="AV409" s="41" t="s">
        <v>356</v>
      </c>
      <c r="AW409" s="41" t="s">
        <v>1762</v>
      </c>
      <c r="AX409" s="41" t="s">
        <v>742</v>
      </c>
    </row>
    <row r="410" spans="1:50" x14ac:dyDescent="0.2">
      <c r="A410" s="40">
        <v>68529225</v>
      </c>
      <c r="B410" s="41" t="s">
        <v>3584</v>
      </c>
      <c r="C410" s="41" t="s">
        <v>4745</v>
      </c>
      <c r="D410" s="41" t="s">
        <v>460</v>
      </c>
      <c r="E410" s="49">
        <v>854100</v>
      </c>
      <c r="F410" s="49">
        <v>0</v>
      </c>
      <c r="G410" s="50">
        <v>854100</v>
      </c>
      <c r="H410" s="42" t="s">
        <v>2615</v>
      </c>
      <c r="I410" s="42" t="s">
        <v>461</v>
      </c>
      <c r="J410" s="43" t="s">
        <v>3589</v>
      </c>
      <c r="K410" s="40">
        <v>1074812614</v>
      </c>
      <c r="L410" s="41" t="s">
        <v>3590</v>
      </c>
      <c r="M410" s="41" t="s">
        <v>316</v>
      </c>
      <c r="N410" s="41" t="s">
        <v>317</v>
      </c>
      <c r="O410" s="41" t="s">
        <v>3591</v>
      </c>
      <c r="P410" s="41" t="s">
        <v>319</v>
      </c>
      <c r="Q410" s="40">
        <v>860007335</v>
      </c>
      <c r="R410" s="41" t="s">
        <v>381</v>
      </c>
      <c r="S410" s="40">
        <v>923218</v>
      </c>
      <c r="T410" s="41" t="s">
        <v>118</v>
      </c>
      <c r="U410" s="41" t="s">
        <v>119</v>
      </c>
      <c r="V410" s="41" t="s">
        <v>120</v>
      </c>
      <c r="W410" s="42" t="s">
        <v>47</v>
      </c>
      <c r="X410" s="42" t="s">
        <v>121</v>
      </c>
      <c r="Y410" s="42" t="s">
        <v>33</v>
      </c>
      <c r="Z410" s="42" t="s">
        <v>3592</v>
      </c>
      <c r="AA410" s="42" t="s">
        <v>34</v>
      </c>
      <c r="AB410" s="42" t="s">
        <v>34</v>
      </c>
      <c r="AC410" s="42" t="s">
        <v>34</v>
      </c>
      <c r="AD410" s="42" t="s">
        <v>462</v>
      </c>
      <c r="AE410" s="42"/>
      <c r="AF410" s="42"/>
      <c r="AG410" s="42" t="s">
        <v>463</v>
      </c>
      <c r="AH410" s="42"/>
      <c r="AI410" s="44"/>
      <c r="AJ410" s="42"/>
      <c r="AK410" s="44"/>
      <c r="AL410" s="42"/>
      <c r="AM410" s="52">
        <v>2325</v>
      </c>
      <c r="AN410" s="52">
        <v>2325</v>
      </c>
      <c r="AO410" s="52">
        <v>39425</v>
      </c>
      <c r="AP410" s="52">
        <v>0</v>
      </c>
      <c r="AQ410" s="42"/>
      <c r="AR410" s="52">
        <v>41725</v>
      </c>
      <c r="AS410" s="52">
        <v>68529225</v>
      </c>
      <c r="AT410" s="52">
        <v>0</v>
      </c>
      <c r="AU410" s="41" t="s">
        <v>3594</v>
      </c>
      <c r="AV410" s="41" t="s">
        <v>3595</v>
      </c>
      <c r="AW410" s="41" t="s">
        <v>3596</v>
      </c>
      <c r="AX410" s="41" t="s">
        <v>3597</v>
      </c>
    </row>
    <row r="411" spans="1:50" x14ac:dyDescent="0.2">
      <c r="A411" s="40">
        <v>68529325</v>
      </c>
      <c r="B411" s="41" t="s">
        <v>3584</v>
      </c>
      <c r="C411" s="41" t="s">
        <v>4746</v>
      </c>
      <c r="D411" s="41" t="s">
        <v>460</v>
      </c>
      <c r="E411" s="49">
        <v>854100</v>
      </c>
      <c r="F411" s="49">
        <v>0</v>
      </c>
      <c r="G411" s="50">
        <v>854100</v>
      </c>
      <c r="H411" s="42" t="s">
        <v>2615</v>
      </c>
      <c r="I411" s="42" t="s">
        <v>461</v>
      </c>
      <c r="J411" s="43" t="s">
        <v>351</v>
      </c>
      <c r="K411" s="40">
        <v>79859066</v>
      </c>
      <c r="L411" s="41" t="s">
        <v>3599</v>
      </c>
      <c r="M411" s="41" t="s">
        <v>316</v>
      </c>
      <c r="N411" s="41" t="s">
        <v>317</v>
      </c>
      <c r="O411" s="41" t="s">
        <v>3600</v>
      </c>
      <c r="P411" s="41" t="s">
        <v>319</v>
      </c>
      <c r="Q411" s="40">
        <v>860007335</v>
      </c>
      <c r="R411" s="41" t="s">
        <v>381</v>
      </c>
      <c r="S411" s="40">
        <v>923218</v>
      </c>
      <c r="T411" s="41" t="s">
        <v>118</v>
      </c>
      <c r="U411" s="41" t="s">
        <v>119</v>
      </c>
      <c r="V411" s="41" t="s">
        <v>120</v>
      </c>
      <c r="W411" s="42" t="s">
        <v>47</v>
      </c>
      <c r="X411" s="42" t="s">
        <v>121</v>
      </c>
      <c r="Y411" s="42" t="s">
        <v>33</v>
      </c>
      <c r="Z411" s="42" t="s">
        <v>3592</v>
      </c>
      <c r="AA411" s="42" t="s">
        <v>34</v>
      </c>
      <c r="AB411" s="42" t="s">
        <v>34</v>
      </c>
      <c r="AC411" s="42" t="s">
        <v>34</v>
      </c>
      <c r="AD411" s="42" t="s">
        <v>462</v>
      </c>
      <c r="AE411" s="42"/>
      <c r="AF411" s="42"/>
      <c r="AG411" s="42" t="s">
        <v>463</v>
      </c>
      <c r="AH411" s="42"/>
      <c r="AI411" s="44"/>
      <c r="AJ411" s="42"/>
      <c r="AK411" s="44"/>
      <c r="AL411" s="42"/>
      <c r="AM411" s="52">
        <v>2325</v>
      </c>
      <c r="AN411" s="52">
        <v>2325</v>
      </c>
      <c r="AO411" s="52">
        <v>39525</v>
      </c>
      <c r="AP411" s="52">
        <v>0</v>
      </c>
      <c r="AQ411" s="42"/>
      <c r="AR411" s="52">
        <v>41825</v>
      </c>
      <c r="AS411" s="52">
        <v>68529325</v>
      </c>
      <c r="AT411" s="52">
        <v>0</v>
      </c>
      <c r="AU411" s="41" t="s">
        <v>3594</v>
      </c>
      <c r="AV411" s="41" t="s">
        <v>3595</v>
      </c>
      <c r="AW411" s="41" t="s">
        <v>3596</v>
      </c>
      <c r="AX411" s="41" t="s">
        <v>3597</v>
      </c>
    </row>
    <row r="412" spans="1:50" x14ac:dyDescent="0.2">
      <c r="A412" s="40">
        <v>68529425</v>
      </c>
      <c r="B412" s="41" t="s">
        <v>3584</v>
      </c>
      <c r="C412" s="41" t="s">
        <v>4746</v>
      </c>
      <c r="D412" s="41" t="s">
        <v>460</v>
      </c>
      <c r="E412" s="49">
        <v>854100</v>
      </c>
      <c r="F412" s="49">
        <v>0</v>
      </c>
      <c r="G412" s="50">
        <v>854100</v>
      </c>
      <c r="H412" s="42" t="s">
        <v>2615</v>
      </c>
      <c r="I412" s="42" t="s">
        <v>461</v>
      </c>
      <c r="J412" s="43" t="s">
        <v>3589</v>
      </c>
      <c r="K412" s="40">
        <v>1074812614</v>
      </c>
      <c r="L412" s="41" t="s">
        <v>3590</v>
      </c>
      <c r="M412" s="41" t="s">
        <v>316</v>
      </c>
      <c r="N412" s="41" t="s">
        <v>317</v>
      </c>
      <c r="O412" s="41" t="s">
        <v>3591</v>
      </c>
      <c r="P412" s="41" t="s">
        <v>319</v>
      </c>
      <c r="Q412" s="40">
        <v>860007335</v>
      </c>
      <c r="R412" s="41" t="s">
        <v>381</v>
      </c>
      <c r="S412" s="40">
        <v>923218</v>
      </c>
      <c r="T412" s="41" t="s">
        <v>118</v>
      </c>
      <c r="U412" s="41" t="s">
        <v>119</v>
      </c>
      <c r="V412" s="41" t="s">
        <v>120</v>
      </c>
      <c r="W412" s="42" t="s">
        <v>47</v>
      </c>
      <c r="X412" s="42" t="s">
        <v>121</v>
      </c>
      <c r="Y412" s="42" t="s">
        <v>33</v>
      </c>
      <c r="Z412" s="42" t="s">
        <v>3592</v>
      </c>
      <c r="AA412" s="42" t="s">
        <v>34</v>
      </c>
      <c r="AB412" s="42" t="s">
        <v>34</v>
      </c>
      <c r="AC412" s="42" t="s">
        <v>34</v>
      </c>
      <c r="AD412" s="42" t="s">
        <v>462</v>
      </c>
      <c r="AE412" s="42"/>
      <c r="AF412" s="42"/>
      <c r="AG412" s="42" t="s">
        <v>463</v>
      </c>
      <c r="AH412" s="42"/>
      <c r="AI412" s="44"/>
      <c r="AJ412" s="42"/>
      <c r="AK412" s="44"/>
      <c r="AL412" s="42"/>
      <c r="AM412" s="52">
        <v>2325</v>
      </c>
      <c r="AN412" s="52">
        <v>2325</v>
      </c>
      <c r="AO412" s="52">
        <v>45325</v>
      </c>
      <c r="AP412" s="52">
        <v>0</v>
      </c>
      <c r="AQ412" s="42"/>
      <c r="AR412" s="52">
        <v>41925</v>
      </c>
      <c r="AS412" s="52">
        <v>68529425</v>
      </c>
      <c r="AT412" s="52">
        <v>0</v>
      </c>
      <c r="AU412" s="41" t="s">
        <v>2804</v>
      </c>
      <c r="AV412" s="41" t="s">
        <v>3595</v>
      </c>
      <c r="AW412" s="41" t="s">
        <v>3605</v>
      </c>
      <c r="AX412" s="41" t="s">
        <v>3606</v>
      </c>
    </row>
    <row r="413" spans="1:50" x14ac:dyDescent="0.2">
      <c r="A413" s="40">
        <v>68529525</v>
      </c>
      <c r="B413" s="41" t="s">
        <v>3584</v>
      </c>
      <c r="C413" s="41" t="s">
        <v>4747</v>
      </c>
      <c r="D413" s="41" t="s">
        <v>460</v>
      </c>
      <c r="E413" s="49">
        <v>854100</v>
      </c>
      <c r="F413" s="49">
        <v>0</v>
      </c>
      <c r="G413" s="50">
        <v>854100</v>
      </c>
      <c r="H413" s="42" t="s">
        <v>2615</v>
      </c>
      <c r="I413" s="42" t="s">
        <v>461</v>
      </c>
      <c r="J413" s="43" t="s">
        <v>351</v>
      </c>
      <c r="K413" s="40">
        <v>79859066</v>
      </c>
      <c r="L413" s="41" t="s">
        <v>3599</v>
      </c>
      <c r="M413" s="41" t="s">
        <v>316</v>
      </c>
      <c r="N413" s="41" t="s">
        <v>317</v>
      </c>
      <c r="O413" s="41" t="s">
        <v>3600</v>
      </c>
      <c r="P413" s="41" t="s">
        <v>319</v>
      </c>
      <c r="Q413" s="40">
        <v>860007335</v>
      </c>
      <c r="R413" s="41" t="s">
        <v>381</v>
      </c>
      <c r="S413" s="40">
        <v>923218</v>
      </c>
      <c r="T413" s="41" t="s">
        <v>118</v>
      </c>
      <c r="U413" s="41" t="s">
        <v>119</v>
      </c>
      <c r="V413" s="41" t="s">
        <v>120</v>
      </c>
      <c r="W413" s="42" t="s">
        <v>47</v>
      </c>
      <c r="X413" s="42" t="s">
        <v>121</v>
      </c>
      <c r="Y413" s="42" t="s">
        <v>33</v>
      </c>
      <c r="Z413" s="42" t="s">
        <v>3592</v>
      </c>
      <c r="AA413" s="42" t="s">
        <v>34</v>
      </c>
      <c r="AB413" s="42" t="s">
        <v>34</v>
      </c>
      <c r="AC413" s="42" t="s">
        <v>34</v>
      </c>
      <c r="AD413" s="42" t="s">
        <v>462</v>
      </c>
      <c r="AE413" s="42"/>
      <c r="AF413" s="42"/>
      <c r="AG413" s="42" t="s">
        <v>463</v>
      </c>
      <c r="AH413" s="42"/>
      <c r="AI413" s="44"/>
      <c r="AJ413" s="42"/>
      <c r="AK413" s="44"/>
      <c r="AL413" s="42"/>
      <c r="AM413" s="52">
        <v>2325</v>
      </c>
      <c r="AN413" s="52">
        <v>2325</v>
      </c>
      <c r="AO413" s="52">
        <v>45425</v>
      </c>
      <c r="AP413" s="52">
        <v>0</v>
      </c>
      <c r="AQ413" s="42"/>
      <c r="AR413" s="52">
        <v>42025</v>
      </c>
      <c r="AS413" s="52">
        <v>68529525</v>
      </c>
      <c r="AT413" s="52">
        <v>0</v>
      </c>
      <c r="AU413" s="41" t="s">
        <v>2804</v>
      </c>
      <c r="AV413" s="41" t="s">
        <v>3595</v>
      </c>
      <c r="AW413" s="41" t="s">
        <v>3605</v>
      </c>
      <c r="AX413" s="41" t="s">
        <v>3606</v>
      </c>
    </row>
    <row r="414" spans="1:50" x14ac:dyDescent="0.2">
      <c r="A414" s="40">
        <v>68529625</v>
      </c>
      <c r="B414" s="41" t="s">
        <v>3584</v>
      </c>
      <c r="C414" s="41" t="s">
        <v>4748</v>
      </c>
      <c r="D414" s="41" t="s">
        <v>460</v>
      </c>
      <c r="E414" s="49">
        <v>854100</v>
      </c>
      <c r="F414" s="49">
        <v>0</v>
      </c>
      <c r="G414" s="50">
        <v>854100</v>
      </c>
      <c r="H414" s="42" t="s">
        <v>2615</v>
      </c>
      <c r="I414" s="42" t="s">
        <v>461</v>
      </c>
      <c r="J414" s="43" t="s">
        <v>351</v>
      </c>
      <c r="K414" s="40">
        <v>53009124</v>
      </c>
      <c r="L414" s="41" t="s">
        <v>3611</v>
      </c>
      <c r="M414" s="41" t="s">
        <v>316</v>
      </c>
      <c r="N414" s="41" t="s">
        <v>317</v>
      </c>
      <c r="O414" s="41" t="s">
        <v>3612</v>
      </c>
      <c r="P414" s="41" t="s">
        <v>319</v>
      </c>
      <c r="Q414" s="40">
        <v>860034313</v>
      </c>
      <c r="R414" s="41" t="s">
        <v>355</v>
      </c>
      <c r="S414" s="40">
        <v>923218</v>
      </c>
      <c r="T414" s="41" t="s">
        <v>118</v>
      </c>
      <c r="U414" s="41" t="s">
        <v>119</v>
      </c>
      <c r="V414" s="41" t="s">
        <v>120</v>
      </c>
      <c r="W414" s="42" t="s">
        <v>47</v>
      </c>
      <c r="X414" s="42" t="s">
        <v>121</v>
      </c>
      <c r="Y414" s="42" t="s">
        <v>33</v>
      </c>
      <c r="Z414" s="42" t="s">
        <v>3592</v>
      </c>
      <c r="AA414" s="42" t="s">
        <v>34</v>
      </c>
      <c r="AB414" s="42" t="s">
        <v>34</v>
      </c>
      <c r="AC414" s="42" t="s">
        <v>34</v>
      </c>
      <c r="AD414" s="42" t="s">
        <v>462</v>
      </c>
      <c r="AE414" s="42"/>
      <c r="AF414" s="42"/>
      <c r="AG414" s="42" t="s">
        <v>463</v>
      </c>
      <c r="AH414" s="42"/>
      <c r="AI414" s="44"/>
      <c r="AJ414" s="42"/>
      <c r="AK414" s="44"/>
      <c r="AL414" s="42"/>
      <c r="AM414" s="52">
        <v>2325</v>
      </c>
      <c r="AN414" s="52">
        <v>2325</v>
      </c>
      <c r="AO414" s="52">
        <v>45525</v>
      </c>
      <c r="AP414" s="52">
        <v>0</v>
      </c>
      <c r="AQ414" s="42"/>
      <c r="AR414" s="52">
        <v>42125</v>
      </c>
      <c r="AS414" s="52">
        <v>68529625</v>
      </c>
      <c r="AT414" s="52">
        <v>0</v>
      </c>
      <c r="AU414" s="41" t="s">
        <v>2804</v>
      </c>
      <c r="AV414" s="41" t="s">
        <v>3595</v>
      </c>
      <c r="AW414" s="41" t="s">
        <v>3605</v>
      </c>
      <c r="AX414" s="41" t="s">
        <v>3606</v>
      </c>
    </row>
    <row r="415" spans="1:50" x14ac:dyDescent="0.2">
      <c r="A415" s="40">
        <v>68529725</v>
      </c>
      <c r="B415" s="41" t="s">
        <v>3584</v>
      </c>
      <c r="C415" s="41" t="s">
        <v>4749</v>
      </c>
      <c r="D415" s="41" t="s">
        <v>460</v>
      </c>
      <c r="E415" s="49">
        <v>854100</v>
      </c>
      <c r="F415" s="49">
        <v>0</v>
      </c>
      <c r="G415" s="50">
        <v>854100</v>
      </c>
      <c r="H415" s="42" t="s">
        <v>2615</v>
      </c>
      <c r="I415" s="42" t="s">
        <v>461</v>
      </c>
      <c r="J415" s="43" t="s">
        <v>351</v>
      </c>
      <c r="K415" s="40">
        <v>52875741</v>
      </c>
      <c r="L415" s="41" t="s">
        <v>3616</v>
      </c>
      <c r="M415" s="41" t="s">
        <v>316</v>
      </c>
      <c r="N415" s="41" t="s">
        <v>317</v>
      </c>
      <c r="O415" s="41" t="s">
        <v>3617</v>
      </c>
      <c r="P415" s="41" t="s">
        <v>319</v>
      </c>
      <c r="Q415" s="40">
        <v>860034313</v>
      </c>
      <c r="R415" s="41" t="s">
        <v>355</v>
      </c>
      <c r="S415" s="40">
        <v>923218</v>
      </c>
      <c r="T415" s="41" t="s">
        <v>118</v>
      </c>
      <c r="U415" s="41" t="s">
        <v>119</v>
      </c>
      <c r="V415" s="41" t="s">
        <v>120</v>
      </c>
      <c r="W415" s="42" t="s">
        <v>47</v>
      </c>
      <c r="X415" s="42" t="s">
        <v>121</v>
      </c>
      <c r="Y415" s="42" t="s">
        <v>33</v>
      </c>
      <c r="Z415" s="42" t="s">
        <v>3592</v>
      </c>
      <c r="AA415" s="42" t="s">
        <v>34</v>
      </c>
      <c r="AB415" s="42" t="s">
        <v>34</v>
      </c>
      <c r="AC415" s="42" t="s">
        <v>34</v>
      </c>
      <c r="AD415" s="42" t="s">
        <v>462</v>
      </c>
      <c r="AE415" s="42"/>
      <c r="AF415" s="42"/>
      <c r="AG415" s="42" t="s">
        <v>463</v>
      </c>
      <c r="AH415" s="42"/>
      <c r="AI415" s="44"/>
      <c r="AJ415" s="42"/>
      <c r="AK415" s="44"/>
      <c r="AL415" s="42"/>
      <c r="AM415" s="52">
        <v>2325</v>
      </c>
      <c r="AN415" s="52">
        <v>2325</v>
      </c>
      <c r="AO415" s="52">
        <v>45625</v>
      </c>
      <c r="AP415" s="52">
        <v>0</v>
      </c>
      <c r="AQ415" s="42"/>
      <c r="AR415" s="52">
        <v>42225</v>
      </c>
      <c r="AS415" s="52">
        <v>68529725</v>
      </c>
      <c r="AT415" s="52">
        <v>0</v>
      </c>
      <c r="AU415" s="41" t="s">
        <v>2804</v>
      </c>
      <c r="AV415" s="41" t="s">
        <v>3595</v>
      </c>
      <c r="AW415" s="41" t="s">
        <v>3605</v>
      </c>
      <c r="AX415" s="41" t="s">
        <v>3606</v>
      </c>
    </row>
    <row r="416" spans="1:50" x14ac:dyDescent="0.2">
      <c r="A416" s="40">
        <v>68529825</v>
      </c>
      <c r="B416" s="41" t="s">
        <v>3584</v>
      </c>
      <c r="C416" s="41" t="s">
        <v>4750</v>
      </c>
      <c r="D416" s="41" t="s">
        <v>460</v>
      </c>
      <c r="E416" s="49">
        <v>854100</v>
      </c>
      <c r="F416" s="49">
        <v>0</v>
      </c>
      <c r="G416" s="50">
        <v>854100</v>
      </c>
      <c r="H416" s="42" t="s">
        <v>2615</v>
      </c>
      <c r="I416" s="42" t="s">
        <v>461</v>
      </c>
      <c r="J416" s="43" t="s">
        <v>351</v>
      </c>
      <c r="K416" s="40">
        <v>39671704</v>
      </c>
      <c r="L416" s="41" t="s">
        <v>3621</v>
      </c>
      <c r="M416" s="41" t="s">
        <v>316</v>
      </c>
      <c r="N416" s="41" t="s">
        <v>317</v>
      </c>
      <c r="O416" s="41" t="s">
        <v>3622</v>
      </c>
      <c r="P416" s="41" t="s">
        <v>319</v>
      </c>
      <c r="Q416" s="40">
        <v>860034313</v>
      </c>
      <c r="R416" s="41" t="s">
        <v>355</v>
      </c>
      <c r="S416" s="40">
        <v>923218</v>
      </c>
      <c r="T416" s="41" t="s">
        <v>118</v>
      </c>
      <c r="U416" s="41" t="s">
        <v>119</v>
      </c>
      <c r="V416" s="41" t="s">
        <v>120</v>
      </c>
      <c r="W416" s="42" t="s">
        <v>47</v>
      </c>
      <c r="X416" s="42" t="s">
        <v>121</v>
      </c>
      <c r="Y416" s="42" t="s">
        <v>33</v>
      </c>
      <c r="Z416" s="42" t="s">
        <v>3592</v>
      </c>
      <c r="AA416" s="42" t="s">
        <v>34</v>
      </c>
      <c r="AB416" s="42" t="s">
        <v>34</v>
      </c>
      <c r="AC416" s="42" t="s">
        <v>34</v>
      </c>
      <c r="AD416" s="42" t="s">
        <v>462</v>
      </c>
      <c r="AE416" s="42"/>
      <c r="AF416" s="42"/>
      <c r="AG416" s="42" t="s">
        <v>463</v>
      </c>
      <c r="AH416" s="42"/>
      <c r="AI416" s="44"/>
      <c r="AJ416" s="42"/>
      <c r="AK416" s="44"/>
      <c r="AL416" s="42"/>
      <c r="AM416" s="52">
        <v>2325</v>
      </c>
      <c r="AN416" s="52">
        <v>2325</v>
      </c>
      <c r="AO416" s="52">
        <v>45725</v>
      </c>
      <c r="AP416" s="52">
        <v>0</v>
      </c>
      <c r="AQ416" s="42"/>
      <c r="AR416" s="52">
        <v>42325</v>
      </c>
      <c r="AS416" s="52">
        <v>68529825</v>
      </c>
      <c r="AT416" s="52">
        <v>0</v>
      </c>
      <c r="AU416" s="41" t="s">
        <v>2804</v>
      </c>
      <c r="AV416" s="41" t="s">
        <v>3595</v>
      </c>
      <c r="AW416" s="41" t="s">
        <v>3605</v>
      </c>
      <c r="AX416" s="41" t="s">
        <v>3606</v>
      </c>
    </row>
    <row r="417" spans="1:50" x14ac:dyDescent="0.2">
      <c r="A417" s="40">
        <v>68529925</v>
      </c>
      <c r="B417" s="41" t="s">
        <v>3584</v>
      </c>
      <c r="C417" s="41" t="s">
        <v>4751</v>
      </c>
      <c r="D417" s="41" t="s">
        <v>460</v>
      </c>
      <c r="E417" s="49">
        <v>854100</v>
      </c>
      <c r="F417" s="49">
        <v>0</v>
      </c>
      <c r="G417" s="50">
        <v>854100</v>
      </c>
      <c r="H417" s="42" t="s">
        <v>2615</v>
      </c>
      <c r="I417" s="42" t="s">
        <v>461</v>
      </c>
      <c r="J417" s="43" t="s">
        <v>351</v>
      </c>
      <c r="K417" s="40">
        <v>1072194174</v>
      </c>
      <c r="L417" s="41" t="s">
        <v>3625</v>
      </c>
      <c r="M417" s="41" t="s">
        <v>316</v>
      </c>
      <c r="N417" s="41" t="s">
        <v>317</v>
      </c>
      <c r="O417" s="41" t="s">
        <v>3626</v>
      </c>
      <c r="P417" s="41" t="s">
        <v>319</v>
      </c>
      <c r="Q417" s="40">
        <v>860034313</v>
      </c>
      <c r="R417" s="41" t="s">
        <v>355</v>
      </c>
      <c r="S417" s="40">
        <v>923218</v>
      </c>
      <c r="T417" s="41" t="s">
        <v>118</v>
      </c>
      <c r="U417" s="41" t="s">
        <v>119</v>
      </c>
      <c r="V417" s="41" t="s">
        <v>120</v>
      </c>
      <c r="W417" s="42" t="s">
        <v>47</v>
      </c>
      <c r="X417" s="42" t="s">
        <v>121</v>
      </c>
      <c r="Y417" s="42" t="s">
        <v>33</v>
      </c>
      <c r="Z417" s="42" t="s">
        <v>3592</v>
      </c>
      <c r="AA417" s="42" t="s">
        <v>34</v>
      </c>
      <c r="AB417" s="42" t="s">
        <v>34</v>
      </c>
      <c r="AC417" s="42" t="s">
        <v>34</v>
      </c>
      <c r="AD417" s="42" t="s">
        <v>462</v>
      </c>
      <c r="AE417" s="42"/>
      <c r="AF417" s="42"/>
      <c r="AG417" s="42" t="s">
        <v>463</v>
      </c>
      <c r="AH417" s="42"/>
      <c r="AI417" s="44"/>
      <c r="AJ417" s="42"/>
      <c r="AK417" s="44"/>
      <c r="AL417" s="42"/>
      <c r="AM417" s="52">
        <v>2325</v>
      </c>
      <c r="AN417" s="52">
        <v>2325</v>
      </c>
      <c r="AO417" s="52">
        <v>45825</v>
      </c>
      <c r="AP417" s="52">
        <v>0</v>
      </c>
      <c r="AQ417" s="42"/>
      <c r="AR417" s="52">
        <v>42425</v>
      </c>
      <c r="AS417" s="52">
        <v>68529925</v>
      </c>
      <c r="AT417" s="52">
        <v>0</v>
      </c>
      <c r="AU417" s="41" t="s">
        <v>2804</v>
      </c>
      <c r="AV417" s="41" t="s">
        <v>3595</v>
      </c>
      <c r="AW417" s="41" t="s">
        <v>3605</v>
      </c>
      <c r="AX417" s="41" t="s">
        <v>3606</v>
      </c>
    </row>
    <row r="418" spans="1:50" x14ac:dyDescent="0.2">
      <c r="A418" s="40">
        <v>68530025</v>
      </c>
      <c r="B418" s="41" t="s">
        <v>3584</v>
      </c>
      <c r="C418" s="41" t="s">
        <v>4752</v>
      </c>
      <c r="D418" s="41" t="s">
        <v>460</v>
      </c>
      <c r="E418" s="49">
        <v>854100</v>
      </c>
      <c r="F418" s="49">
        <v>0</v>
      </c>
      <c r="G418" s="50">
        <v>854100</v>
      </c>
      <c r="H418" s="42" t="s">
        <v>2615</v>
      </c>
      <c r="I418" s="42" t="s">
        <v>461</v>
      </c>
      <c r="J418" s="43" t="s">
        <v>351</v>
      </c>
      <c r="K418" s="40">
        <v>1020798098</v>
      </c>
      <c r="L418" s="41" t="s">
        <v>3629</v>
      </c>
      <c r="M418" s="41" t="s">
        <v>316</v>
      </c>
      <c r="N418" s="41" t="s">
        <v>317</v>
      </c>
      <c r="O418" s="41" t="s">
        <v>3630</v>
      </c>
      <c r="P418" s="41" t="s">
        <v>319</v>
      </c>
      <c r="Q418" s="40">
        <v>890903938</v>
      </c>
      <c r="R418" s="41" t="s">
        <v>342</v>
      </c>
      <c r="S418" s="40">
        <v>923218</v>
      </c>
      <c r="T418" s="41" t="s">
        <v>118</v>
      </c>
      <c r="U418" s="41" t="s">
        <v>119</v>
      </c>
      <c r="V418" s="41" t="s">
        <v>120</v>
      </c>
      <c r="W418" s="42" t="s">
        <v>47</v>
      </c>
      <c r="X418" s="42" t="s">
        <v>121</v>
      </c>
      <c r="Y418" s="42" t="s">
        <v>33</v>
      </c>
      <c r="Z418" s="42" t="s">
        <v>3592</v>
      </c>
      <c r="AA418" s="42" t="s">
        <v>34</v>
      </c>
      <c r="AB418" s="42" t="s">
        <v>34</v>
      </c>
      <c r="AC418" s="42" t="s">
        <v>34</v>
      </c>
      <c r="AD418" s="42" t="s">
        <v>462</v>
      </c>
      <c r="AE418" s="42"/>
      <c r="AF418" s="42"/>
      <c r="AG418" s="42" t="s">
        <v>463</v>
      </c>
      <c r="AH418" s="42"/>
      <c r="AI418" s="44"/>
      <c r="AJ418" s="42"/>
      <c r="AK418" s="44"/>
      <c r="AL418" s="42"/>
      <c r="AM418" s="52">
        <v>2325</v>
      </c>
      <c r="AN418" s="52">
        <v>2325</v>
      </c>
      <c r="AO418" s="52">
        <v>45925</v>
      </c>
      <c r="AP418" s="52">
        <v>0</v>
      </c>
      <c r="AQ418" s="42"/>
      <c r="AR418" s="52">
        <v>42525</v>
      </c>
      <c r="AS418" s="52">
        <v>68530025</v>
      </c>
      <c r="AT418" s="52">
        <v>0</v>
      </c>
      <c r="AU418" s="41" t="s">
        <v>2804</v>
      </c>
      <c r="AV418" s="41" t="s">
        <v>3595</v>
      </c>
      <c r="AW418" s="41" t="s">
        <v>3605</v>
      </c>
      <c r="AX418" s="41" t="s">
        <v>3606</v>
      </c>
    </row>
    <row r="419" spans="1:50" x14ac:dyDescent="0.2">
      <c r="A419" s="40">
        <v>68530125</v>
      </c>
      <c r="B419" s="41" t="s">
        <v>3584</v>
      </c>
      <c r="C419" s="41" t="s">
        <v>4751</v>
      </c>
      <c r="D419" s="41" t="s">
        <v>460</v>
      </c>
      <c r="E419" s="49">
        <v>854100</v>
      </c>
      <c r="F419" s="49">
        <v>0</v>
      </c>
      <c r="G419" s="50">
        <v>854100</v>
      </c>
      <c r="H419" s="42" t="s">
        <v>2615</v>
      </c>
      <c r="I419" s="42" t="s">
        <v>461</v>
      </c>
      <c r="J419" s="43" t="s">
        <v>351</v>
      </c>
      <c r="K419" s="40">
        <v>1024521632</v>
      </c>
      <c r="L419" s="41" t="s">
        <v>3634</v>
      </c>
      <c r="M419" s="41" t="s">
        <v>316</v>
      </c>
      <c r="N419" s="41" t="s">
        <v>317</v>
      </c>
      <c r="O419" s="41" t="s">
        <v>3635</v>
      </c>
      <c r="P419" s="41" t="s">
        <v>319</v>
      </c>
      <c r="Q419" s="40">
        <v>860034313</v>
      </c>
      <c r="R419" s="41" t="s">
        <v>355</v>
      </c>
      <c r="S419" s="40">
        <v>923218</v>
      </c>
      <c r="T419" s="41" t="s">
        <v>118</v>
      </c>
      <c r="U419" s="41" t="s">
        <v>119</v>
      </c>
      <c r="V419" s="41" t="s">
        <v>120</v>
      </c>
      <c r="W419" s="42" t="s">
        <v>47</v>
      </c>
      <c r="X419" s="42" t="s">
        <v>121</v>
      </c>
      <c r="Y419" s="42" t="s">
        <v>33</v>
      </c>
      <c r="Z419" s="42" t="s">
        <v>3592</v>
      </c>
      <c r="AA419" s="42" t="s">
        <v>34</v>
      </c>
      <c r="AB419" s="42" t="s">
        <v>34</v>
      </c>
      <c r="AC419" s="42" t="s">
        <v>34</v>
      </c>
      <c r="AD419" s="42" t="s">
        <v>462</v>
      </c>
      <c r="AE419" s="42"/>
      <c r="AF419" s="42"/>
      <c r="AG419" s="42" t="s">
        <v>463</v>
      </c>
      <c r="AH419" s="42"/>
      <c r="AI419" s="44"/>
      <c r="AJ419" s="42"/>
      <c r="AK419" s="44"/>
      <c r="AL419" s="42"/>
      <c r="AM419" s="52">
        <v>2325</v>
      </c>
      <c r="AN419" s="52">
        <v>2325</v>
      </c>
      <c r="AO419" s="52">
        <v>46025</v>
      </c>
      <c r="AP419" s="52">
        <v>0</v>
      </c>
      <c r="AQ419" s="42"/>
      <c r="AR419" s="52">
        <v>42625</v>
      </c>
      <c r="AS419" s="52">
        <v>68530125</v>
      </c>
      <c r="AT419" s="52">
        <v>0</v>
      </c>
      <c r="AU419" s="41" t="s">
        <v>2804</v>
      </c>
      <c r="AV419" s="41" t="s">
        <v>3595</v>
      </c>
      <c r="AW419" s="41" t="s">
        <v>3605</v>
      </c>
      <c r="AX419" s="41" t="s">
        <v>3606</v>
      </c>
    </row>
    <row r="420" spans="1:50" x14ac:dyDescent="0.2">
      <c r="A420" s="40">
        <v>68530225</v>
      </c>
      <c r="B420" s="41" t="s">
        <v>3584</v>
      </c>
      <c r="C420" s="41" t="s">
        <v>4753</v>
      </c>
      <c r="D420" s="41" t="s">
        <v>460</v>
      </c>
      <c r="E420" s="49">
        <v>854100</v>
      </c>
      <c r="F420" s="49">
        <v>0</v>
      </c>
      <c r="G420" s="50">
        <v>854100</v>
      </c>
      <c r="H420" s="42" t="s">
        <v>2615</v>
      </c>
      <c r="I420" s="42" t="s">
        <v>461</v>
      </c>
      <c r="J420" s="43" t="s">
        <v>351</v>
      </c>
      <c r="K420" s="40">
        <v>40770881</v>
      </c>
      <c r="L420" s="41" t="s">
        <v>3639</v>
      </c>
      <c r="M420" s="41" t="s">
        <v>316</v>
      </c>
      <c r="N420" s="41" t="s">
        <v>317</v>
      </c>
      <c r="O420" s="41" t="s">
        <v>3640</v>
      </c>
      <c r="P420" s="41" t="s">
        <v>319</v>
      </c>
      <c r="Q420" s="40">
        <v>890903938</v>
      </c>
      <c r="R420" s="41" t="s">
        <v>342</v>
      </c>
      <c r="S420" s="40">
        <v>923218</v>
      </c>
      <c r="T420" s="41" t="s">
        <v>118</v>
      </c>
      <c r="U420" s="41" t="s">
        <v>119</v>
      </c>
      <c r="V420" s="41" t="s">
        <v>120</v>
      </c>
      <c r="W420" s="42" t="s">
        <v>47</v>
      </c>
      <c r="X420" s="42" t="s">
        <v>121</v>
      </c>
      <c r="Y420" s="42" t="s">
        <v>33</v>
      </c>
      <c r="Z420" s="42" t="s">
        <v>3592</v>
      </c>
      <c r="AA420" s="42" t="s">
        <v>34</v>
      </c>
      <c r="AB420" s="42" t="s">
        <v>34</v>
      </c>
      <c r="AC420" s="42" t="s">
        <v>34</v>
      </c>
      <c r="AD420" s="42" t="s">
        <v>462</v>
      </c>
      <c r="AE420" s="42"/>
      <c r="AF420" s="42"/>
      <c r="AG420" s="42" t="s">
        <v>463</v>
      </c>
      <c r="AH420" s="42"/>
      <c r="AI420" s="44"/>
      <c r="AJ420" s="42"/>
      <c r="AK420" s="44"/>
      <c r="AL420" s="42"/>
      <c r="AM420" s="52">
        <v>2325</v>
      </c>
      <c r="AN420" s="52">
        <v>2325</v>
      </c>
      <c r="AO420" s="52">
        <v>46125</v>
      </c>
      <c r="AP420" s="52">
        <v>0</v>
      </c>
      <c r="AQ420" s="42"/>
      <c r="AR420" s="52">
        <v>42725</v>
      </c>
      <c r="AS420" s="52">
        <v>68530225</v>
      </c>
      <c r="AT420" s="52">
        <v>0</v>
      </c>
      <c r="AU420" s="41" t="s">
        <v>2804</v>
      </c>
      <c r="AV420" s="41" t="s">
        <v>3595</v>
      </c>
      <c r="AW420" s="41" t="s">
        <v>3605</v>
      </c>
      <c r="AX420" s="41" t="s">
        <v>3606</v>
      </c>
    </row>
    <row r="421" spans="1:50" x14ac:dyDescent="0.2">
      <c r="A421" s="40">
        <v>68530325</v>
      </c>
      <c r="B421" s="41" t="s">
        <v>3584</v>
      </c>
      <c r="C421" s="41" t="s">
        <v>4754</v>
      </c>
      <c r="D421" s="41" t="s">
        <v>460</v>
      </c>
      <c r="E421" s="49">
        <v>854100</v>
      </c>
      <c r="F421" s="49">
        <v>0</v>
      </c>
      <c r="G421" s="50">
        <v>854100</v>
      </c>
      <c r="H421" s="42" t="s">
        <v>2615</v>
      </c>
      <c r="I421" s="42" t="s">
        <v>461</v>
      </c>
      <c r="J421" s="43" t="s">
        <v>351</v>
      </c>
      <c r="K421" s="40">
        <v>51720650</v>
      </c>
      <c r="L421" s="41" t="s">
        <v>3644</v>
      </c>
      <c r="M421" s="41" t="s">
        <v>316</v>
      </c>
      <c r="N421" s="41" t="s">
        <v>317</v>
      </c>
      <c r="O421" s="41" t="s">
        <v>3645</v>
      </c>
      <c r="P421" s="41" t="s">
        <v>319</v>
      </c>
      <c r="Q421" s="40">
        <v>860034313</v>
      </c>
      <c r="R421" s="41" t="s">
        <v>355</v>
      </c>
      <c r="S421" s="40">
        <v>923218</v>
      </c>
      <c r="T421" s="41" t="s">
        <v>118</v>
      </c>
      <c r="U421" s="41" t="s">
        <v>119</v>
      </c>
      <c r="V421" s="41" t="s">
        <v>120</v>
      </c>
      <c r="W421" s="42" t="s">
        <v>47</v>
      </c>
      <c r="X421" s="42" t="s">
        <v>121</v>
      </c>
      <c r="Y421" s="42" t="s">
        <v>33</v>
      </c>
      <c r="Z421" s="42" t="s">
        <v>3592</v>
      </c>
      <c r="AA421" s="42" t="s">
        <v>34</v>
      </c>
      <c r="AB421" s="42" t="s">
        <v>34</v>
      </c>
      <c r="AC421" s="42" t="s">
        <v>34</v>
      </c>
      <c r="AD421" s="42" t="s">
        <v>462</v>
      </c>
      <c r="AE421" s="42"/>
      <c r="AF421" s="42"/>
      <c r="AG421" s="42" t="s">
        <v>463</v>
      </c>
      <c r="AH421" s="42"/>
      <c r="AI421" s="44"/>
      <c r="AJ421" s="42"/>
      <c r="AK421" s="44"/>
      <c r="AL421" s="42"/>
      <c r="AM421" s="52">
        <v>2325</v>
      </c>
      <c r="AN421" s="52">
        <v>2325</v>
      </c>
      <c r="AO421" s="52">
        <v>46225</v>
      </c>
      <c r="AP421" s="52">
        <v>0</v>
      </c>
      <c r="AQ421" s="42"/>
      <c r="AR421" s="52">
        <v>42825</v>
      </c>
      <c r="AS421" s="52">
        <v>68530325</v>
      </c>
      <c r="AT421" s="52">
        <v>0</v>
      </c>
      <c r="AU421" s="41" t="s">
        <v>2804</v>
      </c>
      <c r="AV421" s="41" t="s">
        <v>3595</v>
      </c>
      <c r="AW421" s="41" t="s">
        <v>3605</v>
      </c>
      <c r="AX421" s="41" t="s">
        <v>3606</v>
      </c>
    </row>
    <row r="422" spans="1:50" x14ac:dyDescent="0.2">
      <c r="A422" s="40">
        <v>68530425</v>
      </c>
      <c r="B422" s="41" t="s">
        <v>3584</v>
      </c>
      <c r="C422" s="41" t="s">
        <v>4755</v>
      </c>
      <c r="D422" s="41" t="s">
        <v>460</v>
      </c>
      <c r="E422" s="49">
        <v>854100</v>
      </c>
      <c r="F422" s="49">
        <v>0</v>
      </c>
      <c r="G422" s="50">
        <v>854100</v>
      </c>
      <c r="H422" s="42" t="s">
        <v>2615</v>
      </c>
      <c r="I422" s="42" t="s">
        <v>461</v>
      </c>
      <c r="J422" s="43" t="s">
        <v>3589</v>
      </c>
      <c r="K422" s="40">
        <v>1072190235</v>
      </c>
      <c r="L422" s="41" t="s">
        <v>3649</v>
      </c>
      <c r="M422" s="41" t="s">
        <v>316</v>
      </c>
      <c r="N422" s="41" t="s">
        <v>317</v>
      </c>
      <c r="O422" s="41" t="s">
        <v>3650</v>
      </c>
      <c r="P422" s="41" t="s">
        <v>319</v>
      </c>
      <c r="Q422" s="40">
        <v>890903938</v>
      </c>
      <c r="R422" s="41" t="s">
        <v>342</v>
      </c>
      <c r="S422" s="40">
        <v>923218</v>
      </c>
      <c r="T422" s="41" t="s">
        <v>118</v>
      </c>
      <c r="U422" s="41" t="s">
        <v>119</v>
      </c>
      <c r="V422" s="41" t="s">
        <v>120</v>
      </c>
      <c r="W422" s="42" t="s">
        <v>47</v>
      </c>
      <c r="X422" s="42" t="s">
        <v>121</v>
      </c>
      <c r="Y422" s="42" t="s">
        <v>33</v>
      </c>
      <c r="Z422" s="42" t="s">
        <v>3592</v>
      </c>
      <c r="AA422" s="42" t="s">
        <v>34</v>
      </c>
      <c r="AB422" s="42" t="s">
        <v>34</v>
      </c>
      <c r="AC422" s="42" t="s">
        <v>34</v>
      </c>
      <c r="AD422" s="42" t="s">
        <v>462</v>
      </c>
      <c r="AE422" s="42"/>
      <c r="AF422" s="42"/>
      <c r="AG422" s="42" t="s">
        <v>463</v>
      </c>
      <c r="AH422" s="42"/>
      <c r="AI422" s="44"/>
      <c r="AJ422" s="42"/>
      <c r="AK422" s="44"/>
      <c r="AL422" s="42"/>
      <c r="AM422" s="52">
        <v>2325</v>
      </c>
      <c r="AN422" s="52">
        <v>2325</v>
      </c>
      <c r="AO422" s="52">
        <v>46325</v>
      </c>
      <c r="AP422" s="52">
        <v>0</v>
      </c>
      <c r="AQ422" s="42"/>
      <c r="AR422" s="52">
        <v>42925</v>
      </c>
      <c r="AS422" s="52">
        <v>68530425</v>
      </c>
      <c r="AT422" s="52">
        <v>0</v>
      </c>
      <c r="AU422" s="41" t="s">
        <v>2804</v>
      </c>
      <c r="AV422" s="41" t="s">
        <v>3595</v>
      </c>
      <c r="AW422" s="41" t="s">
        <v>3605</v>
      </c>
      <c r="AX422" s="41" t="s">
        <v>3606</v>
      </c>
    </row>
    <row r="423" spans="1:50" x14ac:dyDescent="0.2">
      <c r="A423" s="40">
        <v>68530525</v>
      </c>
      <c r="B423" s="41" t="s">
        <v>3584</v>
      </c>
      <c r="C423" s="41" t="s">
        <v>4754</v>
      </c>
      <c r="D423" s="41" t="s">
        <v>460</v>
      </c>
      <c r="E423" s="49">
        <v>854100</v>
      </c>
      <c r="F423" s="49">
        <v>0</v>
      </c>
      <c r="G423" s="50">
        <v>854100</v>
      </c>
      <c r="H423" s="42" t="s">
        <v>2615</v>
      </c>
      <c r="I423" s="42" t="s">
        <v>461</v>
      </c>
      <c r="J423" s="43" t="s">
        <v>351</v>
      </c>
      <c r="K423" s="40">
        <v>53041854</v>
      </c>
      <c r="L423" s="41" t="s">
        <v>3654</v>
      </c>
      <c r="M423" s="41" t="s">
        <v>316</v>
      </c>
      <c r="N423" s="41" t="s">
        <v>317</v>
      </c>
      <c r="O423" s="41" t="s">
        <v>3655</v>
      </c>
      <c r="P423" s="41" t="s">
        <v>319</v>
      </c>
      <c r="Q423" s="40">
        <v>860034313</v>
      </c>
      <c r="R423" s="41" t="s">
        <v>355</v>
      </c>
      <c r="S423" s="40">
        <v>923218</v>
      </c>
      <c r="T423" s="41" t="s">
        <v>118</v>
      </c>
      <c r="U423" s="41" t="s">
        <v>119</v>
      </c>
      <c r="V423" s="41" t="s">
        <v>120</v>
      </c>
      <c r="W423" s="42" t="s">
        <v>47</v>
      </c>
      <c r="X423" s="42" t="s">
        <v>121</v>
      </c>
      <c r="Y423" s="42" t="s">
        <v>33</v>
      </c>
      <c r="Z423" s="42" t="s">
        <v>3592</v>
      </c>
      <c r="AA423" s="42" t="s">
        <v>34</v>
      </c>
      <c r="AB423" s="42" t="s">
        <v>34</v>
      </c>
      <c r="AC423" s="42" t="s">
        <v>34</v>
      </c>
      <c r="AD423" s="42" t="s">
        <v>462</v>
      </c>
      <c r="AE423" s="42"/>
      <c r="AF423" s="42"/>
      <c r="AG423" s="42" t="s">
        <v>463</v>
      </c>
      <c r="AH423" s="42"/>
      <c r="AI423" s="44"/>
      <c r="AJ423" s="42"/>
      <c r="AK423" s="44"/>
      <c r="AL423" s="42"/>
      <c r="AM423" s="52">
        <v>2325</v>
      </c>
      <c r="AN423" s="52">
        <v>2325</v>
      </c>
      <c r="AO423" s="52">
        <v>46425</v>
      </c>
      <c r="AP423" s="52">
        <v>0</v>
      </c>
      <c r="AQ423" s="42"/>
      <c r="AR423" s="52">
        <v>43025</v>
      </c>
      <c r="AS423" s="52">
        <v>68530525</v>
      </c>
      <c r="AT423" s="52">
        <v>0</v>
      </c>
      <c r="AU423" s="41" t="s">
        <v>2804</v>
      </c>
      <c r="AV423" s="41" t="s">
        <v>3595</v>
      </c>
      <c r="AW423" s="41" t="s">
        <v>3605</v>
      </c>
      <c r="AX423" s="41" t="s">
        <v>3606</v>
      </c>
    </row>
    <row r="424" spans="1:50" x14ac:dyDescent="0.2">
      <c r="A424" s="40">
        <v>68530625</v>
      </c>
      <c r="B424" s="41" t="s">
        <v>3584</v>
      </c>
      <c r="C424" s="41" t="s">
        <v>4756</v>
      </c>
      <c r="D424" s="41" t="s">
        <v>460</v>
      </c>
      <c r="E424" s="49">
        <v>854100</v>
      </c>
      <c r="F424" s="49">
        <v>0</v>
      </c>
      <c r="G424" s="50">
        <v>854100</v>
      </c>
      <c r="H424" s="42" t="s">
        <v>2615</v>
      </c>
      <c r="I424" s="42" t="s">
        <v>461</v>
      </c>
      <c r="J424" s="43" t="s">
        <v>351</v>
      </c>
      <c r="K424" s="40">
        <v>79757881</v>
      </c>
      <c r="L424" s="41" t="s">
        <v>3659</v>
      </c>
      <c r="M424" s="41" t="s">
        <v>316</v>
      </c>
      <c r="N424" s="41" t="s">
        <v>317</v>
      </c>
      <c r="O424" s="41" t="s">
        <v>3660</v>
      </c>
      <c r="P424" s="41" t="s">
        <v>319</v>
      </c>
      <c r="Q424" s="40">
        <v>860034313</v>
      </c>
      <c r="R424" s="41" t="s">
        <v>355</v>
      </c>
      <c r="S424" s="40">
        <v>923218</v>
      </c>
      <c r="T424" s="41" t="s">
        <v>118</v>
      </c>
      <c r="U424" s="41" t="s">
        <v>119</v>
      </c>
      <c r="V424" s="41" t="s">
        <v>120</v>
      </c>
      <c r="W424" s="42" t="s">
        <v>47</v>
      </c>
      <c r="X424" s="42" t="s">
        <v>121</v>
      </c>
      <c r="Y424" s="42" t="s">
        <v>33</v>
      </c>
      <c r="Z424" s="42" t="s">
        <v>3592</v>
      </c>
      <c r="AA424" s="42" t="s">
        <v>34</v>
      </c>
      <c r="AB424" s="42" t="s">
        <v>34</v>
      </c>
      <c r="AC424" s="42" t="s">
        <v>34</v>
      </c>
      <c r="AD424" s="42" t="s">
        <v>462</v>
      </c>
      <c r="AE424" s="42"/>
      <c r="AF424" s="42"/>
      <c r="AG424" s="42" t="s">
        <v>463</v>
      </c>
      <c r="AH424" s="42"/>
      <c r="AI424" s="44"/>
      <c r="AJ424" s="42"/>
      <c r="AK424" s="44"/>
      <c r="AL424" s="42"/>
      <c r="AM424" s="52">
        <v>2325</v>
      </c>
      <c r="AN424" s="52">
        <v>2325</v>
      </c>
      <c r="AO424" s="52">
        <v>46525</v>
      </c>
      <c r="AP424" s="52">
        <v>0</v>
      </c>
      <c r="AQ424" s="42"/>
      <c r="AR424" s="52">
        <v>43125</v>
      </c>
      <c r="AS424" s="52">
        <v>68530625</v>
      </c>
      <c r="AT424" s="52">
        <v>0</v>
      </c>
      <c r="AU424" s="41" t="s">
        <v>2804</v>
      </c>
      <c r="AV424" s="41" t="s">
        <v>3595</v>
      </c>
      <c r="AW424" s="41" t="s">
        <v>3605</v>
      </c>
      <c r="AX424" s="41" t="s">
        <v>3606</v>
      </c>
    </row>
    <row r="425" spans="1:50" x14ac:dyDescent="0.2">
      <c r="A425" s="40">
        <v>68530725</v>
      </c>
      <c r="B425" s="41" t="s">
        <v>3584</v>
      </c>
      <c r="C425" s="41" t="s">
        <v>4757</v>
      </c>
      <c r="D425" s="41" t="s">
        <v>460</v>
      </c>
      <c r="E425" s="49">
        <v>854100</v>
      </c>
      <c r="F425" s="49">
        <v>0</v>
      </c>
      <c r="G425" s="50">
        <v>854100</v>
      </c>
      <c r="H425" s="42" t="s">
        <v>2615</v>
      </c>
      <c r="I425" s="42" t="s">
        <v>461</v>
      </c>
      <c r="J425" s="43" t="s">
        <v>351</v>
      </c>
      <c r="K425" s="40">
        <v>1007664842</v>
      </c>
      <c r="L425" s="41" t="s">
        <v>3664</v>
      </c>
      <c r="M425" s="41" t="s">
        <v>316</v>
      </c>
      <c r="N425" s="41" t="s">
        <v>317</v>
      </c>
      <c r="O425" s="41" t="s">
        <v>3665</v>
      </c>
      <c r="P425" s="41" t="s">
        <v>319</v>
      </c>
      <c r="Q425" s="40">
        <v>860034313</v>
      </c>
      <c r="R425" s="41" t="s">
        <v>355</v>
      </c>
      <c r="S425" s="40">
        <v>923218</v>
      </c>
      <c r="T425" s="41" t="s">
        <v>118</v>
      </c>
      <c r="U425" s="41" t="s">
        <v>119</v>
      </c>
      <c r="V425" s="41" t="s">
        <v>120</v>
      </c>
      <c r="W425" s="42" t="s">
        <v>47</v>
      </c>
      <c r="X425" s="42" t="s">
        <v>121</v>
      </c>
      <c r="Y425" s="42" t="s">
        <v>33</v>
      </c>
      <c r="Z425" s="42" t="s">
        <v>3592</v>
      </c>
      <c r="AA425" s="42" t="s">
        <v>34</v>
      </c>
      <c r="AB425" s="42" t="s">
        <v>34</v>
      </c>
      <c r="AC425" s="42" t="s">
        <v>34</v>
      </c>
      <c r="AD425" s="42" t="s">
        <v>462</v>
      </c>
      <c r="AE425" s="42"/>
      <c r="AF425" s="42"/>
      <c r="AG425" s="42" t="s">
        <v>463</v>
      </c>
      <c r="AH425" s="42"/>
      <c r="AI425" s="44"/>
      <c r="AJ425" s="42"/>
      <c r="AK425" s="44"/>
      <c r="AL425" s="42"/>
      <c r="AM425" s="52">
        <v>2325</v>
      </c>
      <c r="AN425" s="52">
        <v>2325</v>
      </c>
      <c r="AO425" s="52">
        <v>46625</v>
      </c>
      <c r="AP425" s="52">
        <v>0</v>
      </c>
      <c r="AQ425" s="42"/>
      <c r="AR425" s="52">
        <v>43225</v>
      </c>
      <c r="AS425" s="52">
        <v>68530725</v>
      </c>
      <c r="AT425" s="52">
        <v>0</v>
      </c>
      <c r="AU425" s="41" t="s">
        <v>2804</v>
      </c>
      <c r="AV425" s="41" t="s">
        <v>3595</v>
      </c>
      <c r="AW425" s="41" t="s">
        <v>3605</v>
      </c>
      <c r="AX425" s="41" t="s">
        <v>3606</v>
      </c>
    </row>
    <row r="426" spans="1:50" x14ac:dyDescent="0.2">
      <c r="A426" s="40">
        <v>68530825</v>
      </c>
      <c r="B426" s="41" t="s">
        <v>3584</v>
      </c>
      <c r="C426" s="41" t="s">
        <v>4756</v>
      </c>
      <c r="D426" s="41" t="s">
        <v>460</v>
      </c>
      <c r="E426" s="49">
        <v>854100</v>
      </c>
      <c r="F426" s="49">
        <v>0</v>
      </c>
      <c r="G426" s="50">
        <v>854100</v>
      </c>
      <c r="H426" s="42" t="s">
        <v>2615</v>
      </c>
      <c r="I426" s="42" t="s">
        <v>461</v>
      </c>
      <c r="J426" s="43" t="s">
        <v>351</v>
      </c>
      <c r="K426" s="40">
        <v>1003642581</v>
      </c>
      <c r="L426" s="41" t="s">
        <v>3669</v>
      </c>
      <c r="M426" s="41" t="s">
        <v>316</v>
      </c>
      <c r="N426" s="41" t="s">
        <v>317</v>
      </c>
      <c r="O426" s="41" t="s">
        <v>3670</v>
      </c>
      <c r="P426" s="41" t="s">
        <v>319</v>
      </c>
      <c r="Q426" s="40">
        <v>860034313</v>
      </c>
      <c r="R426" s="41" t="s">
        <v>355</v>
      </c>
      <c r="S426" s="40">
        <v>923218</v>
      </c>
      <c r="T426" s="41" t="s">
        <v>118</v>
      </c>
      <c r="U426" s="41" t="s">
        <v>119</v>
      </c>
      <c r="V426" s="41" t="s">
        <v>120</v>
      </c>
      <c r="W426" s="42" t="s">
        <v>47</v>
      </c>
      <c r="X426" s="42" t="s">
        <v>121</v>
      </c>
      <c r="Y426" s="42" t="s">
        <v>33</v>
      </c>
      <c r="Z426" s="42" t="s">
        <v>3592</v>
      </c>
      <c r="AA426" s="42" t="s">
        <v>34</v>
      </c>
      <c r="AB426" s="42" t="s">
        <v>34</v>
      </c>
      <c r="AC426" s="42" t="s">
        <v>34</v>
      </c>
      <c r="AD426" s="42" t="s">
        <v>462</v>
      </c>
      <c r="AE426" s="42"/>
      <c r="AF426" s="42"/>
      <c r="AG426" s="42" t="s">
        <v>463</v>
      </c>
      <c r="AH426" s="42"/>
      <c r="AI426" s="44"/>
      <c r="AJ426" s="42"/>
      <c r="AK426" s="44"/>
      <c r="AL426" s="42"/>
      <c r="AM426" s="52">
        <v>2325</v>
      </c>
      <c r="AN426" s="52">
        <v>2325</v>
      </c>
      <c r="AO426" s="52">
        <v>46725</v>
      </c>
      <c r="AP426" s="52">
        <v>0</v>
      </c>
      <c r="AQ426" s="42"/>
      <c r="AR426" s="52">
        <v>43325</v>
      </c>
      <c r="AS426" s="52">
        <v>68530825</v>
      </c>
      <c r="AT426" s="52">
        <v>0</v>
      </c>
      <c r="AU426" s="41" t="s">
        <v>2804</v>
      </c>
      <c r="AV426" s="41" t="s">
        <v>3595</v>
      </c>
      <c r="AW426" s="41" t="s">
        <v>3605</v>
      </c>
      <c r="AX426" s="41" t="s">
        <v>3606</v>
      </c>
    </row>
    <row r="427" spans="1:50" x14ac:dyDescent="0.2">
      <c r="A427" s="40">
        <v>68530925</v>
      </c>
      <c r="B427" s="41" t="s">
        <v>3584</v>
      </c>
      <c r="C427" s="41" t="s">
        <v>4753</v>
      </c>
      <c r="D427" s="41" t="s">
        <v>460</v>
      </c>
      <c r="E427" s="49">
        <v>854100</v>
      </c>
      <c r="F427" s="49">
        <v>0</v>
      </c>
      <c r="G427" s="50">
        <v>854100</v>
      </c>
      <c r="H427" s="42" t="s">
        <v>2615</v>
      </c>
      <c r="I427" s="42" t="s">
        <v>461</v>
      </c>
      <c r="J427" s="43" t="s">
        <v>351</v>
      </c>
      <c r="K427" s="40">
        <v>53891808</v>
      </c>
      <c r="L427" s="41" t="s">
        <v>3674</v>
      </c>
      <c r="M427" s="41" t="s">
        <v>316</v>
      </c>
      <c r="N427" s="41" t="s">
        <v>317</v>
      </c>
      <c r="O427" s="41" t="s">
        <v>3675</v>
      </c>
      <c r="P427" s="41" t="s">
        <v>319</v>
      </c>
      <c r="Q427" s="40">
        <v>890903938</v>
      </c>
      <c r="R427" s="41" t="s">
        <v>342</v>
      </c>
      <c r="S427" s="40">
        <v>923218</v>
      </c>
      <c r="T427" s="41" t="s">
        <v>118</v>
      </c>
      <c r="U427" s="41" t="s">
        <v>119</v>
      </c>
      <c r="V427" s="41" t="s">
        <v>120</v>
      </c>
      <c r="W427" s="42" t="s">
        <v>47</v>
      </c>
      <c r="X427" s="42" t="s">
        <v>121</v>
      </c>
      <c r="Y427" s="42" t="s">
        <v>33</v>
      </c>
      <c r="Z427" s="42" t="s">
        <v>3592</v>
      </c>
      <c r="AA427" s="42" t="s">
        <v>34</v>
      </c>
      <c r="AB427" s="42" t="s">
        <v>34</v>
      </c>
      <c r="AC427" s="42" t="s">
        <v>34</v>
      </c>
      <c r="AD427" s="42" t="s">
        <v>462</v>
      </c>
      <c r="AE427" s="42"/>
      <c r="AF427" s="42"/>
      <c r="AG427" s="42" t="s">
        <v>463</v>
      </c>
      <c r="AH427" s="42"/>
      <c r="AI427" s="44"/>
      <c r="AJ427" s="42"/>
      <c r="AK427" s="44"/>
      <c r="AL427" s="42"/>
      <c r="AM427" s="52">
        <v>2325</v>
      </c>
      <c r="AN427" s="52">
        <v>2325</v>
      </c>
      <c r="AO427" s="52">
        <v>46825</v>
      </c>
      <c r="AP427" s="52">
        <v>0</v>
      </c>
      <c r="AQ427" s="42"/>
      <c r="AR427" s="52">
        <v>43425</v>
      </c>
      <c r="AS427" s="52">
        <v>68530925</v>
      </c>
      <c r="AT427" s="52">
        <v>0</v>
      </c>
      <c r="AU427" s="41" t="s">
        <v>2804</v>
      </c>
      <c r="AV427" s="41" t="s">
        <v>3595</v>
      </c>
      <c r="AW427" s="41" t="s">
        <v>3605</v>
      </c>
      <c r="AX427" s="41" t="s">
        <v>3606</v>
      </c>
    </row>
    <row r="428" spans="1:50" x14ac:dyDescent="0.2">
      <c r="A428" s="40">
        <v>68531025</v>
      </c>
      <c r="B428" s="41" t="s">
        <v>3584</v>
      </c>
      <c r="C428" s="41" t="s">
        <v>4758</v>
      </c>
      <c r="D428" s="41" t="s">
        <v>460</v>
      </c>
      <c r="E428" s="49">
        <v>854100</v>
      </c>
      <c r="F428" s="49">
        <v>0</v>
      </c>
      <c r="G428" s="50">
        <v>854100</v>
      </c>
      <c r="H428" s="42" t="s">
        <v>2615</v>
      </c>
      <c r="I428" s="42" t="s">
        <v>461</v>
      </c>
      <c r="J428" s="43" t="s">
        <v>351</v>
      </c>
      <c r="K428" s="40">
        <v>1013681696</v>
      </c>
      <c r="L428" s="41" t="s">
        <v>3679</v>
      </c>
      <c r="M428" s="41" t="s">
        <v>316</v>
      </c>
      <c r="N428" s="41" t="s">
        <v>317</v>
      </c>
      <c r="O428" s="41" t="s">
        <v>3680</v>
      </c>
      <c r="P428" s="41" t="s">
        <v>319</v>
      </c>
      <c r="Q428" s="40">
        <v>890903938</v>
      </c>
      <c r="R428" s="41" t="s">
        <v>342</v>
      </c>
      <c r="S428" s="40">
        <v>923218</v>
      </c>
      <c r="T428" s="41" t="s">
        <v>118</v>
      </c>
      <c r="U428" s="41" t="s">
        <v>119</v>
      </c>
      <c r="V428" s="41" t="s">
        <v>120</v>
      </c>
      <c r="W428" s="42" t="s">
        <v>47</v>
      </c>
      <c r="X428" s="42" t="s">
        <v>121</v>
      </c>
      <c r="Y428" s="42" t="s">
        <v>33</v>
      </c>
      <c r="Z428" s="42" t="s">
        <v>3592</v>
      </c>
      <c r="AA428" s="42" t="s">
        <v>34</v>
      </c>
      <c r="AB428" s="42" t="s">
        <v>34</v>
      </c>
      <c r="AC428" s="42" t="s">
        <v>34</v>
      </c>
      <c r="AD428" s="42" t="s">
        <v>462</v>
      </c>
      <c r="AE428" s="42"/>
      <c r="AF428" s="42"/>
      <c r="AG428" s="42" t="s">
        <v>463</v>
      </c>
      <c r="AH428" s="42"/>
      <c r="AI428" s="44"/>
      <c r="AJ428" s="42"/>
      <c r="AK428" s="44"/>
      <c r="AL428" s="42"/>
      <c r="AM428" s="52">
        <v>2325</v>
      </c>
      <c r="AN428" s="52">
        <v>2325</v>
      </c>
      <c r="AO428" s="52">
        <v>46925</v>
      </c>
      <c r="AP428" s="52">
        <v>0</v>
      </c>
      <c r="AQ428" s="42"/>
      <c r="AR428" s="52">
        <v>43525</v>
      </c>
      <c r="AS428" s="52">
        <v>68531025</v>
      </c>
      <c r="AT428" s="52">
        <v>0</v>
      </c>
      <c r="AU428" s="41" t="s">
        <v>2804</v>
      </c>
      <c r="AV428" s="41" t="s">
        <v>3595</v>
      </c>
      <c r="AW428" s="41" t="s">
        <v>3605</v>
      </c>
      <c r="AX428" s="41" t="s">
        <v>3606</v>
      </c>
    </row>
    <row r="429" spans="1:50" x14ac:dyDescent="0.2">
      <c r="A429" s="40">
        <v>68531125</v>
      </c>
      <c r="B429" s="41" t="s">
        <v>3584</v>
      </c>
      <c r="C429" s="41" t="s">
        <v>4755</v>
      </c>
      <c r="D429" s="41" t="s">
        <v>460</v>
      </c>
      <c r="E429" s="49">
        <v>854100</v>
      </c>
      <c r="F429" s="49">
        <v>0</v>
      </c>
      <c r="G429" s="50">
        <v>854100</v>
      </c>
      <c r="H429" s="42" t="s">
        <v>2615</v>
      </c>
      <c r="I429" s="42" t="s">
        <v>461</v>
      </c>
      <c r="J429" s="43" t="s">
        <v>351</v>
      </c>
      <c r="K429" s="40">
        <v>39725500</v>
      </c>
      <c r="L429" s="41" t="s">
        <v>3684</v>
      </c>
      <c r="M429" s="41" t="s">
        <v>316</v>
      </c>
      <c r="N429" s="41" t="s">
        <v>317</v>
      </c>
      <c r="O429" s="41" t="s">
        <v>3685</v>
      </c>
      <c r="P429" s="41" t="s">
        <v>319</v>
      </c>
      <c r="Q429" s="40">
        <v>890903938</v>
      </c>
      <c r="R429" s="41" t="s">
        <v>342</v>
      </c>
      <c r="S429" s="40">
        <v>923218</v>
      </c>
      <c r="T429" s="41" t="s">
        <v>118</v>
      </c>
      <c r="U429" s="41" t="s">
        <v>119</v>
      </c>
      <c r="V429" s="41" t="s">
        <v>120</v>
      </c>
      <c r="W429" s="42" t="s">
        <v>47</v>
      </c>
      <c r="X429" s="42" t="s">
        <v>121</v>
      </c>
      <c r="Y429" s="42" t="s">
        <v>33</v>
      </c>
      <c r="Z429" s="42" t="s">
        <v>3592</v>
      </c>
      <c r="AA429" s="42" t="s">
        <v>34</v>
      </c>
      <c r="AB429" s="42" t="s">
        <v>34</v>
      </c>
      <c r="AC429" s="42" t="s">
        <v>34</v>
      </c>
      <c r="AD429" s="42" t="s">
        <v>462</v>
      </c>
      <c r="AE429" s="42"/>
      <c r="AF429" s="42"/>
      <c r="AG429" s="42" t="s">
        <v>463</v>
      </c>
      <c r="AH429" s="42"/>
      <c r="AI429" s="44"/>
      <c r="AJ429" s="42"/>
      <c r="AK429" s="44"/>
      <c r="AL429" s="42"/>
      <c r="AM429" s="52">
        <v>2325</v>
      </c>
      <c r="AN429" s="52">
        <v>2325</v>
      </c>
      <c r="AO429" s="52">
        <v>47025</v>
      </c>
      <c r="AP429" s="52">
        <v>0</v>
      </c>
      <c r="AQ429" s="42"/>
      <c r="AR429" s="52">
        <v>43625</v>
      </c>
      <c r="AS429" s="52">
        <v>68531125</v>
      </c>
      <c r="AT429" s="52">
        <v>0</v>
      </c>
      <c r="AU429" s="41" t="s">
        <v>2804</v>
      </c>
      <c r="AV429" s="41" t="s">
        <v>3595</v>
      </c>
      <c r="AW429" s="41" t="s">
        <v>3605</v>
      </c>
      <c r="AX429" s="41" t="s">
        <v>3606</v>
      </c>
    </row>
    <row r="430" spans="1:50" x14ac:dyDescent="0.2">
      <c r="A430" s="40">
        <v>68531225</v>
      </c>
      <c r="B430" s="41" t="s">
        <v>3584</v>
      </c>
      <c r="C430" s="41" t="s">
        <v>4759</v>
      </c>
      <c r="D430" s="41" t="s">
        <v>460</v>
      </c>
      <c r="E430" s="49">
        <v>854100</v>
      </c>
      <c r="F430" s="49">
        <v>0</v>
      </c>
      <c r="G430" s="50">
        <v>854100</v>
      </c>
      <c r="H430" s="42" t="s">
        <v>2615</v>
      </c>
      <c r="I430" s="42" t="s">
        <v>461</v>
      </c>
      <c r="J430" s="43" t="s">
        <v>351</v>
      </c>
      <c r="K430" s="40">
        <v>52527470</v>
      </c>
      <c r="L430" s="41" t="s">
        <v>3689</v>
      </c>
      <c r="M430" s="41" t="s">
        <v>316</v>
      </c>
      <c r="N430" s="41" t="s">
        <v>317</v>
      </c>
      <c r="O430" s="41" t="s">
        <v>3690</v>
      </c>
      <c r="P430" s="41" t="s">
        <v>319</v>
      </c>
      <c r="Q430" s="40">
        <v>890903938</v>
      </c>
      <c r="R430" s="41" t="s">
        <v>342</v>
      </c>
      <c r="S430" s="40">
        <v>923218</v>
      </c>
      <c r="T430" s="41" t="s">
        <v>118</v>
      </c>
      <c r="U430" s="41" t="s">
        <v>119</v>
      </c>
      <c r="V430" s="41" t="s">
        <v>120</v>
      </c>
      <c r="W430" s="42" t="s">
        <v>47</v>
      </c>
      <c r="X430" s="42" t="s">
        <v>121</v>
      </c>
      <c r="Y430" s="42" t="s">
        <v>33</v>
      </c>
      <c r="Z430" s="42" t="s">
        <v>3592</v>
      </c>
      <c r="AA430" s="42" t="s">
        <v>34</v>
      </c>
      <c r="AB430" s="42" t="s">
        <v>34</v>
      </c>
      <c r="AC430" s="42" t="s">
        <v>34</v>
      </c>
      <c r="AD430" s="42" t="s">
        <v>462</v>
      </c>
      <c r="AE430" s="42"/>
      <c r="AF430" s="42"/>
      <c r="AG430" s="42" t="s">
        <v>463</v>
      </c>
      <c r="AH430" s="42"/>
      <c r="AI430" s="44"/>
      <c r="AJ430" s="42"/>
      <c r="AK430" s="44"/>
      <c r="AL430" s="42"/>
      <c r="AM430" s="52">
        <v>2325</v>
      </c>
      <c r="AN430" s="52">
        <v>2325</v>
      </c>
      <c r="AO430" s="52">
        <v>47125</v>
      </c>
      <c r="AP430" s="52">
        <v>0</v>
      </c>
      <c r="AQ430" s="42"/>
      <c r="AR430" s="52">
        <v>43725</v>
      </c>
      <c r="AS430" s="52">
        <v>68531225</v>
      </c>
      <c r="AT430" s="52">
        <v>0</v>
      </c>
      <c r="AU430" s="41" t="s">
        <v>2804</v>
      </c>
      <c r="AV430" s="41" t="s">
        <v>3595</v>
      </c>
      <c r="AW430" s="41" t="s">
        <v>3605</v>
      </c>
      <c r="AX430" s="41" t="s">
        <v>3606</v>
      </c>
    </row>
    <row r="431" spans="1:50" x14ac:dyDescent="0.2">
      <c r="A431" s="40">
        <v>68531325</v>
      </c>
      <c r="B431" s="41" t="s">
        <v>3584</v>
      </c>
      <c r="C431" s="41" t="s">
        <v>4756</v>
      </c>
      <c r="D431" s="41" t="s">
        <v>460</v>
      </c>
      <c r="E431" s="49">
        <v>854100</v>
      </c>
      <c r="F431" s="49">
        <v>0</v>
      </c>
      <c r="G431" s="50">
        <v>854100</v>
      </c>
      <c r="H431" s="42" t="s">
        <v>2615</v>
      </c>
      <c r="I431" s="42" t="s">
        <v>461</v>
      </c>
      <c r="J431" s="43" t="s">
        <v>351</v>
      </c>
      <c r="K431" s="40">
        <v>1024514769</v>
      </c>
      <c r="L431" s="41" t="s">
        <v>3694</v>
      </c>
      <c r="M431" s="41" t="s">
        <v>316</v>
      </c>
      <c r="N431" s="41" t="s">
        <v>317</v>
      </c>
      <c r="O431" s="41" t="s">
        <v>3695</v>
      </c>
      <c r="P431" s="41" t="s">
        <v>319</v>
      </c>
      <c r="Q431" s="40">
        <v>860034313</v>
      </c>
      <c r="R431" s="41" t="s">
        <v>355</v>
      </c>
      <c r="S431" s="40">
        <v>923218</v>
      </c>
      <c r="T431" s="41" t="s">
        <v>118</v>
      </c>
      <c r="U431" s="41" t="s">
        <v>119</v>
      </c>
      <c r="V431" s="41" t="s">
        <v>120</v>
      </c>
      <c r="W431" s="42" t="s">
        <v>47</v>
      </c>
      <c r="X431" s="42" t="s">
        <v>121</v>
      </c>
      <c r="Y431" s="42" t="s">
        <v>33</v>
      </c>
      <c r="Z431" s="42" t="s">
        <v>3592</v>
      </c>
      <c r="AA431" s="42" t="s">
        <v>34</v>
      </c>
      <c r="AB431" s="42" t="s">
        <v>34</v>
      </c>
      <c r="AC431" s="42" t="s">
        <v>34</v>
      </c>
      <c r="AD431" s="42" t="s">
        <v>462</v>
      </c>
      <c r="AE431" s="42"/>
      <c r="AF431" s="42"/>
      <c r="AG431" s="42" t="s">
        <v>463</v>
      </c>
      <c r="AH431" s="42"/>
      <c r="AI431" s="44"/>
      <c r="AJ431" s="42"/>
      <c r="AK431" s="44"/>
      <c r="AL431" s="42"/>
      <c r="AM431" s="52">
        <v>2325</v>
      </c>
      <c r="AN431" s="52">
        <v>2325</v>
      </c>
      <c r="AO431" s="52">
        <v>47225</v>
      </c>
      <c r="AP431" s="52">
        <v>0</v>
      </c>
      <c r="AQ431" s="42"/>
      <c r="AR431" s="52">
        <v>43825</v>
      </c>
      <c r="AS431" s="52">
        <v>68531325</v>
      </c>
      <c r="AT431" s="52">
        <v>0</v>
      </c>
      <c r="AU431" s="41" t="s">
        <v>2804</v>
      </c>
      <c r="AV431" s="41" t="s">
        <v>3595</v>
      </c>
      <c r="AW431" s="41" t="s">
        <v>3605</v>
      </c>
      <c r="AX431" s="41" t="s">
        <v>3606</v>
      </c>
    </row>
    <row r="432" spans="1:50" x14ac:dyDescent="0.2">
      <c r="A432" s="40">
        <v>68531425</v>
      </c>
      <c r="B432" s="41" t="s">
        <v>3584</v>
      </c>
      <c r="C432" s="41" t="s">
        <v>4760</v>
      </c>
      <c r="D432" s="41" t="s">
        <v>460</v>
      </c>
      <c r="E432" s="49">
        <v>854100</v>
      </c>
      <c r="F432" s="49">
        <v>0</v>
      </c>
      <c r="G432" s="50">
        <v>854100</v>
      </c>
      <c r="H432" s="42" t="s">
        <v>2615</v>
      </c>
      <c r="I432" s="42" t="s">
        <v>461</v>
      </c>
      <c r="J432" s="43" t="s">
        <v>351</v>
      </c>
      <c r="K432" s="40">
        <v>3179291</v>
      </c>
      <c r="L432" s="41" t="s">
        <v>3699</v>
      </c>
      <c r="M432" s="41" t="s">
        <v>316</v>
      </c>
      <c r="N432" s="41" t="s">
        <v>317</v>
      </c>
      <c r="O432" s="41" t="s">
        <v>3700</v>
      </c>
      <c r="P432" s="41" t="s">
        <v>319</v>
      </c>
      <c r="Q432" s="40">
        <v>890903938</v>
      </c>
      <c r="R432" s="41" t="s">
        <v>342</v>
      </c>
      <c r="S432" s="40">
        <v>923218</v>
      </c>
      <c r="T432" s="41" t="s">
        <v>118</v>
      </c>
      <c r="U432" s="41" t="s">
        <v>119</v>
      </c>
      <c r="V432" s="41" t="s">
        <v>120</v>
      </c>
      <c r="W432" s="42" t="s">
        <v>47</v>
      </c>
      <c r="X432" s="42" t="s">
        <v>121</v>
      </c>
      <c r="Y432" s="42" t="s">
        <v>33</v>
      </c>
      <c r="Z432" s="42" t="s">
        <v>3592</v>
      </c>
      <c r="AA432" s="42" t="s">
        <v>34</v>
      </c>
      <c r="AB432" s="42" t="s">
        <v>34</v>
      </c>
      <c r="AC432" s="42" t="s">
        <v>34</v>
      </c>
      <c r="AD432" s="42" t="s">
        <v>462</v>
      </c>
      <c r="AE432" s="42"/>
      <c r="AF432" s="42"/>
      <c r="AG432" s="42" t="s">
        <v>463</v>
      </c>
      <c r="AH432" s="42"/>
      <c r="AI432" s="44"/>
      <c r="AJ432" s="42"/>
      <c r="AK432" s="44"/>
      <c r="AL432" s="42"/>
      <c r="AM432" s="52">
        <v>2325</v>
      </c>
      <c r="AN432" s="52">
        <v>2325</v>
      </c>
      <c r="AO432" s="52">
        <v>47325</v>
      </c>
      <c r="AP432" s="52">
        <v>0</v>
      </c>
      <c r="AQ432" s="42"/>
      <c r="AR432" s="52">
        <v>43925</v>
      </c>
      <c r="AS432" s="52">
        <v>68531425</v>
      </c>
      <c r="AT432" s="52">
        <v>0</v>
      </c>
      <c r="AU432" s="41" t="s">
        <v>2804</v>
      </c>
      <c r="AV432" s="41" t="s">
        <v>3595</v>
      </c>
      <c r="AW432" s="41" t="s">
        <v>3605</v>
      </c>
      <c r="AX432" s="41" t="s">
        <v>3606</v>
      </c>
    </row>
    <row r="433" spans="1:50" x14ac:dyDescent="0.2">
      <c r="A433" s="40">
        <v>68531525</v>
      </c>
      <c r="B433" s="41" t="s">
        <v>3584</v>
      </c>
      <c r="C433" s="41" t="s">
        <v>4761</v>
      </c>
      <c r="D433" s="41" t="s">
        <v>460</v>
      </c>
      <c r="E433" s="49">
        <v>854100</v>
      </c>
      <c r="F433" s="49">
        <v>0</v>
      </c>
      <c r="G433" s="50">
        <v>854100</v>
      </c>
      <c r="H433" s="42" t="s">
        <v>2615</v>
      </c>
      <c r="I433" s="42" t="s">
        <v>461</v>
      </c>
      <c r="J433" s="43" t="s">
        <v>351</v>
      </c>
      <c r="K433" s="40">
        <v>1007388734</v>
      </c>
      <c r="L433" s="41" t="s">
        <v>3704</v>
      </c>
      <c r="M433" s="41" t="s">
        <v>316</v>
      </c>
      <c r="N433" s="41" t="s">
        <v>317</v>
      </c>
      <c r="O433" s="41" t="s">
        <v>3705</v>
      </c>
      <c r="P433" s="41" t="s">
        <v>319</v>
      </c>
      <c r="Q433" s="40">
        <v>860035827</v>
      </c>
      <c r="R433" s="41" t="s">
        <v>653</v>
      </c>
      <c r="S433" s="40">
        <v>923218</v>
      </c>
      <c r="T433" s="41" t="s">
        <v>118</v>
      </c>
      <c r="U433" s="41" t="s">
        <v>119</v>
      </c>
      <c r="V433" s="41" t="s">
        <v>120</v>
      </c>
      <c r="W433" s="42" t="s">
        <v>47</v>
      </c>
      <c r="X433" s="42" t="s">
        <v>121</v>
      </c>
      <c r="Y433" s="42" t="s">
        <v>33</v>
      </c>
      <c r="Z433" s="42" t="s">
        <v>3592</v>
      </c>
      <c r="AA433" s="42" t="s">
        <v>34</v>
      </c>
      <c r="AB433" s="42" t="s">
        <v>34</v>
      </c>
      <c r="AC433" s="42" t="s">
        <v>34</v>
      </c>
      <c r="AD433" s="42" t="s">
        <v>462</v>
      </c>
      <c r="AE433" s="42"/>
      <c r="AF433" s="42"/>
      <c r="AG433" s="42" t="s">
        <v>463</v>
      </c>
      <c r="AH433" s="42"/>
      <c r="AI433" s="44"/>
      <c r="AJ433" s="42"/>
      <c r="AK433" s="44"/>
      <c r="AL433" s="42"/>
      <c r="AM433" s="52">
        <v>2325</v>
      </c>
      <c r="AN433" s="52">
        <v>2325</v>
      </c>
      <c r="AO433" s="52">
        <v>47425</v>
      </c>
      <c r="AP433" s="52">
        <v>0</v>
      </c>
      <c r="AQ433" s="42"/>
      <c r="AR433" s="52">
        <v>44025</v>
      </c>
      <c r="AS433" s="52">
        <v>68531525</v>
      </c>
      <c r="AT433" s="52">
        <v>0</v>
      </c>
      <c r="AU433" s="41" t="s">
        <v>2804</v>
      </c>
      <c r="AV433" s="41" t="s">
        <v>3595</v>
      </c>
      <c r="AW433" s="41" t="s">
        <v>3605</v>
      </c>
      <c r="AX433" s="41" t="s">
        <v>3606</v>
      </c>
    </row>
    <row r="434" spans="1:50" x14ac:dyDescent="0.2">
      <c r="A434" s="40">
        <v>68531625</v>
      </c>
      <c r="B434" s="41" t="s">
        <v>3584</v>
      </c>
      <c r="C434" s="41" t="s">
        <v>4762</v>
      </c>
      <c r="D434" s="41" t="s">
        <v>460</v>
      </c>
      <c r="E434" s="49">
        <v>854100</v>
      </c>
      <c r="F434" s="49">
        <v>0</v>
      </c>
      <c r="G434" s="50">
        <v>854100</v>
      </c>
      <c r="H434" s="42" t="s">
        <v>2615</v>
      </c>
      <c r="I434" s="42" t="s">
        <v>461</v>
      </c>
      <c r="J434" s="43" t="s">
        <v>351</v>
      </c>
      <c r="K434" s="40">
        <v>1072188338</v>
      </c>
      <c r="L434" s="41" t="s">
        <v>3709</v>
      </c>
      <c r="M434" s="41" t="s">
        <v>316</v>
      </c>
      <c r="N434" s="41" t="s">
        <v>317</v>
      </c>
      <c r="O434" s="41" t="s">
        <v>3710</v>
      </c>
      <c r="P434" s="41" t="s">
        <v>319</v>
      </c>
      <c r="Q434" s="40">
        <v>860034313</v>
      </c>
      <c r="R434" s="41" t="s">
        <v>355</v>
      </c>
      <c r="S434" s="40">
        <v>923218</v>
      </c>
      <c r="T434" s="41" t="s">
        <v>118</v>
      </c>
      <c r="U434" s="41" t="s">
        <v>119</v>
      </c>
      <c r="V434" s="41" t="s">
        <v>120</v>
      </c>
      <c r="W434" s="42" t="s">
        <v>47</v>
      </c>
      <c r="X434" s="42" t="s">
        <v>121</v>
      </c>
      <c r="Y434" s="42" t="s">
        <v>33</v>
      </c>
      <c r="Z434" s="42" t="s">
        <v>3592</v>
      </c>
      <c r="AA434" s="42" t="s">
        <v>34</v>
      </c>
      <c r="AB434" s="42" t="s">
        <v>34</v>
      </c>
      <c r="AC434" s="42" t="s">
        <v>34</v>
      </c>
      <c r="AD434" s="42" t="s">
        <v>462</v>
      </c>
      <c r="AE434" s="42"/>
      <c r="AF434" s="42"/>
      <c r="AG434" s="42" t="s">
        <v>463</v>
      </c>
      <c r="AH434" s="42"/>
      <c r="AI434" s="44"/>
      <c r="AJ434" s="42"/>
      <c r="AK434" s="44"/>
      <c r="AL434" s="42"/>
      <c r="AM434" s="52">
        <v>2325</v>
      </c>
      <c r="AN434" s="52">
        <v>2325</v>
      </c>
      <c r="AO434" s="52">
        <v>47525</v>
      </c>
      <c r="AP434" s="52">
        <v>0</v>
      </c>
      <c r="AQ434" s="42"/>
      <c r="AR434" s="52">
        <v>44125</v>
      </c>
      <c r="AS434" s="52">
        <v>68531625</v>
      </c>
      <c r="AT434" s="52">
        <v>0</v>
      </c>
      <c r="AU434" s="41" t="s">
        <v>2804</v>
      </c>
      <c r="AV434" s="41" t="s">
        <v>3595</v>
      </c>
      <c r="AW434" s="41" t="s">
        <v>3605</v>
      </c>
      <c r="AX434" s="41" t="s">
        <v>3606</v>
      </c>
    </row>
    <row r="435" spans="1:50" x14ac:dyDescent="0.2">
      <c r="A435" s="40">
        <v>68531725</v>
      </c>
      <c r="B435" s="41" t="s">
        <v>3584</v>
      </c>
      <c r="C435" s="41" t="s">
        <v>4758</v>
      </c>
      <c r="D435" s="41" t="s">
        <v>460</v>
      </c>
      <c r="E435" s="49">
        <v>854100</v>
      </c>
      <c r="F435" s="49">
        <v>0</v>
      </c>
      <c r="G435" s="50">
        <v>854100</v>
      </c>
      <c r="H435" s="42" t="s">
        <v>2615</v>
      </c>
      <c r="I435" s="42" t="s">
        <v>461</v>
      </c>
      <c r="J435" s="43" t="s">
        <v>3714</v>
      </c>
      <c r="K435" s="40">
        <v>5935943</v>
      </c>
      <c r="L435" s="41" t="s">
        <v>3715</v>
      </c>
      <c r="M435" s="41" t="s">
        <v>316</v>
      </c>
      <c r="N435" s="41" t="s">
        <v>317</v>
      </c>
      <c r="O435" s="41" t="s">
        <v>3716</v>
      </c>
      <c r="P435" s="41" t="s">
        <v>319</v>
      </c>
      <c r="Q435" s="40">
        <v>890903938</v>
      </c>
      <c r="R435" s="41" t="s">
        <v>342</v>
      </c>
      <c r="S435" s="40">
        <v>923218</v>
      </c>
      <c r="T435" s="41" t="s">
        <v>118</v>
      </c>
      <c r="U435" s="41" t="s">
        <v>119</v>
      </c>
      <c r="V435" s="41" t="s">
        <v>120</v>
      </c>
      <c r="W435" s="42" t="s">
        <v>47</v>
      </c>
      <c r="X435" s="42" t="s">
        <v>121</v>
      </c>
      <c r="Y435" s="42" t="s">
        <v>33</v>
      </c>
      <c r="Z435" s="42" t="s">
        <v>3592</v>
      </c>
      <c r="AA435" s="42" t="s">
        <v>34</v>
      </c>
      <c r="AB435" s="42" t="s">
        <v>34</v>
      </c>
      <c r="AC435" s="42" t="s">
        <v>34</v>
      </c>
      <c r="AD435" s="42" t="s">
        <v>462</v>
      </c>
      <c r="AE435" s="42"/>
      <c r="AF435" s="42"/>
      <c r="AG435" s="42" t="s">
        <v>463</v>
      </c>
      <c r="AH435" s="42"/>
      <c r="AI435" s="44"/>
      <c r="AJ435" s="42"/>
      <c r="AK435" s="44"/>
      <c r="AL435" s="42"/>
      <c r="AM435" s="52">
        <v>2325</v>
      </c>
      <c r="AN435" s="52">
        <v>2325</v>
      </c>
      <c r="AO435" s="52">
        <v>47625</v>
      </c>
      <c r="AP435" s="52">
        <v>0</v>
      </c>
      <c r="AQ435" s="42"/>
      <c r="AR435" s="52">
        <v>44225</v>
      </c>
      <c r="AS435" s="52">
        <v>68531725</v>
      </c>
      <c r="AT435" s="52">
        <v>0</v>
      </c>
      <c r="AU435" s="41" t="s">
        <v>2804</v>
      </c>
      <c r="AV435" s="41" t="s">
        <v>3595</v>
      </c>
      <c r="AW435" s="41" t="s">
        <v>3605</v>
      </c>
      <c r="AX435" s="41" t="s">
        <v>3606</v>
      </c>
    </row>
    <row r="436" spans="1:50" x14ac:dyDescent="0.2">
      <c r="A436" s="40">
        <v>68531825</v>
      </c>
      <c r="B436" s="41" t="s">
        <v>3584</v>
      </c>
      <c r="C436" s="41" t="s">
        <v>4763</v>
      </c>
      <c r="D436" s="41" t="s">
        <v>460</v>
      </c>
      <c r="E436" s="49">
        <v>854100</v>
      </c>
      <c r="F436" s="49">
        <v>0</v>
      </c>
      <c r="G436" s="50">
        <v>854100</v>
      </c>
      <c r="H436" s="42" t="s">
        <v>2615</v>
      </c>
      <c r="I436" s="42" t="s">
        <v>461</v>
      </c>
      <c r="J436" s="43" t="s">
        <v>351</v>
      </c>
      <c r="K436" s="40">
        <v>1003642059</v>
      </c>
      <c r="L436" s="41" t="s">
        <v>3720</v>
      </c>
      <c r="M436" s="41" t="s">
        <v>316</v>
      </c>
      <c r="N436" s="41" t="s">
        <v>317</v>
      </c>
      <c r="O436" s="41" t="s">
        <v>3721</v>
      </c>
      <c r="P436" s="41" t="s">
        <v>319</v>
      </c>
      <c r="Q436" s="40">
        <v>890903938</v>
      </c>
      <c r="R436" s="41" t="s">
        <v>342</v>
      </c>
      <c r="S436" s="40">
        <v>923218</v>
      </c>
      <c r="T436" s="41" t="s">
        <v>118</v>
      </c>
      <c r="U436" s="41" t="s">
        <v>119</v>
      </c>
      <c r="V436" s="41" t="s">
        <v>120</v>
      </c>
      <c r="W436" s="42" t="s">
        <v>47</v>
      </c>
      <c r="X436" s="42" t="s">
        <v>121</v>
      </c>
      <c r="Y436" s="42" t="s">
        <v>33</v>
      </c>
      <c r="Z436" s="42" t="s">
        <v>3592</v>
      </c>
      <c r="AA436" s="42" t="s">
        <v>34</v>
      </c>
      <c r="AB436" s="42" t="s">
        <v>34</v>
      </c>
      <c r="AC436" s="42" t="s">
        <v>34</v>
      </c>
      <c r="AD436" s="42" t="s">
        <v>462</v>
      </c>
      <c r="AE436" s="42"/>
      <c r="AF436" s="42"/>
      <c r="AG436" s="42" t="s">
        <v>463</v>
      </c>
      <c r="AH436" s="42"/>
      <c r="AI436" s="44"/>
      <c r="AJ436" s="42"/>
      <c r="AK436" s="44"/>
      <c r="AL436" s="42"/>
      <c r="AM436" s="52">
        <v>2325</v>
      </c>
      <c r="AN436" s="52">
        <v>2325</v>
      </c>
      <c r="AO436" s="52">
        <v>47725</v>
      </c>
      <c r="AP436" s="52">
        <v>0</v>
      </c>
      <c r="AQ436" s="42"/>
      <c r="AR436" s="52">
        <v>44325</v>
      </c>
      <c r="AS436" s="52">
        <v>68531825</v>
      </c>
      <c r="AT436" s="52">
        <v>0</v>
      </c>
      <c r="AU436" s="41" t="s">
        <v>2804</v>
      </c>
      <c r="AV436" s="41" t="s">
        <v>3595</v>
      </c>
      <c r="AW436" s="41" t="s">
        <v>3605</v>
      </c>
      <c r="AX436" s="41" t="s">
        <v>3606</v>
      </c>
    </row>
    <row r="437" spans="1:50" x14ac:dyDescent="0.2">
      <c r="A437" s="40">
        <v>68532025</v>
      </c>
      <c r="B437" s="41" t="s">
        <v>3584</v>
      </c>
      <c r="C437" s="41" t="s">
        <v>4763</v>
      </c>
      <c r="D437" s="41" t="s">
        <v>460</v>
      </c>
      <c r="E437" s="49">
        <v>854100</v>
      </c>
      <c r="F437" s="49">
        <v>0</v>
      </c>
      <c r="G437" s="50">
        <v>854100</v>
      </c>
      <c r="H437" s="42" t="s">
        <v>2615</v>
      </c>
      <c r="I437" s="42" t="s">
        <v>461</v>
      </c>
      <c r="J437" s="43" t="s">
        <v>351</v>
      </c>
      <c r="K437" s="40">
        <v>1012339622</v>
      </c>
      <c r="L437" s="41" t="s">
        <v>3724</v>
      </c>
      <c r="M437" s="41" t="s">
        <v>316</v>
      </c>
      <c r="N437" s="41" t="s">
        <v>317</v>
      </c>
      <c r="O437" s="41" t="s">
        <v>3725</v>
      </c>
      <c r="P437" s="41" t="s">
        <v>319</v>
      </c>
      <c r="Q437" s="40">
        <v>890903938</v>
      </c>
      <c r="R437" s="41" t="s">
        <v>342</v>
      </c>
      <c r="S437" s="40">
        <v>923218</v>
      </c>
      <c r="T437" s="41" t="s">
        <v>118</v>
      </c>
      <c r="U437" s="41" t="s">
        <v>119</v>
      </c>
      <c r="V437" s="41" t="s">
        <v>120</v>
      </c>
      <c r="W437" s="42" t="s">
        <v>47</v>
      </c>
      <c r="X437" s="42" t="s">
        <v>121</v>
      </c>
      <c r="Y437" s="42" t="s">
        <v>33</v>
      </c>
      <c r="Z437" s="42" t="s">
        <v>3592</v>
      </c>
      <c r="AA437" s="42" t="s">
        <v>34</v>
      </c>
      <c r="AB437" s="42" t="s">
        <v>34</v>
      </c>
      <c r="AC437" s="42" t="s">
        <v>34</v>
      </c>
      <c r="AD437" s="42" t="s">
        <v>462</v>
      </c>
      <c r="AE437" s="42"/>
      <c r="AF437" s="42"/>
      <c r="AG437" s="42" t="s">
        <v>463</v>
      </c>
      <c r="AH437" s="42"/>
      <c r="AI437" s="44"/>
      <c r="AJ437" s="42"/>
      <c r="AK437" s="44"/>
      <c r="AL437" s="42"/>
      <c r="AM437" s="52">
        <v>2325</v>
      </c>
      <c r="AN437" s="52">
        <v>2325</v>
      </c>
      <c r="AO437" s="52">
        <v>47825</v>
      </c>
      <c r="AP437" s="52">
        <v>0</v>
      </c>
      <c r="AQ437" s="42"/>
      <c r="AR437" s="52">
        <v>44425</v>
      </c>
      <c r="AS437" s="52">
        <v>68532025</v>
      </c>
      <c r="AT437" s="52">
        <v>0</v>
      </c>
      <c r="AU437" s="41" t="s">
        <v>2804</v>
      </c>
      <c r="AV437" s="41" t="s">
        <v>3595</v>
      </c>
      <c r="AW437" s="41" t="s">
        <v>3605</v>
      </c>
      <c r="AX437" s="41" t="s">
        <v>3606</v>
      </c>
    </row>
    <row r="438" spans="1:50" x14ac:dyDescent="0.2">
      <c r="A438" s="40">
        <v>68532225</v>
      </c>
      <c r="B438" s="41" t="s">
        <v>3584</v>
      </c>
      <c r="C438" s="41" t="s">
        <v>4764</v>
      </c>
      <c r="D438" s="41" t="s">
        <v>460</v>
      </c>
      <c r="E438" s="49">
        <v>854100</v>
      </c>
      <c r="F438" s="49">
        <v>0</v>
      </c>
      <c r="G438" s="50">
        <v>854100</v>
      </c>
      <c r="H438" s="42" t="s">
        <v>2615</v>
      </c>
      <c r="I438" s="42" t="s">
        <v>461</v>
      </c>
      <c r="J438" s="43" t="s">
        <v>3589</v>
      </c>
      <c r="K438" s="40">
        <v>1043139348</v>
      </c>
      <c r="L438" s="41" t="s">
        <v>3729</v>
      </c>
      <c r="M438" s="41" t="s">
        <v>316</v>
      </c>
      <c r="N438" s="41" t="s">
        <v>317</v>
      </c>
      <c r="O438" s="41" t="s">
        <v>3730</v>
      </c>
      <c r="P438" s="41" t="s">
        <v>319</v>
      </c>
      <c r="Q438" s="40">
        <v>890903938</v>
      </c>
      <c r="R438" s="41" t="s">
        <v>342</v>
      </c>
      <c r="S438" s="40">
        <v>923218</v>
      </c>
      <c r="T438" s="41" t="s">
        <v>118</v>
      </c>
      <c r="U438" s="41" t="s">
        <v>119</v>
      </c>
      <c r="V438" s="41" t="s">
        <v>120</v>
      </c>
      <c r="W438" s="42" t="s">
        <v>47</v>
      </c>
      <c r="X438" s="42" t="s">
        <v>121</v>
      </c>
      <c r="Y438" s="42" t="s">
        <v>33</v>
      </c>
      <c r="Z438" s="42" t="s">
        <v>3592</v>
      </c>
      <c r="AA438" s="42" t="s">
        <v>34</v>
      </c>
      <c r="AB438" s="42" t="s">
        <v>34</v>
      </c>
      <c r="AC438" s="42" t="s">
        <v>34</v>
      </c>
      <c r="AD438" s="42" t="s">
        <v>462</v>
      </c>
      <c r="AE438" s="42"/>
      <c r="AF438" s="42"/>
      <c r="AG438" s="42" t="s">
        <v>463</v>
      </c>
      <c r="AH438" s="42"/>
      <c r="AI438" s="44"/>
      <c r="AJ438" s="42"/>
      <c r="AK438" s="44"/>
      <c r="AL438" s="42"/>
      <c r="AM438" s="52">
        <v>2325</v>
      </c>
      <c r="AN438" s="52">
        <v>2325</v>
      </c>
      <c r="AO438" s="52">
        <v>47925</v>
      </c>
      <c r="AP438" s="52">
        <v>0</v>
      </c>
      <c r="AQ438" s="42"/>
      <c r="AR438" s="52">
        <v>44525</v>
      </c>
      <c r="AS438" s="52">
        <v>68532225</v>
      </c>
      <c r="AT438" s="52">
        <v>0</v>
      </c>
      <c r="AU438" s="41" t="s">
        <v>2804</v>
      </c>
      <c r="AV438" s="41" t="s">
        <v>3595</v>
      </c>
      <c r="AW438" s="41" t="s">
        <v>3605</v>
      </c>
      <c r="AX438" s="41" t="s">
        <v>3606</v>
      </c>
    </row>
    <row r="439" spans="1:50" x14ac:dyDescent="0.2">
      <c r="A439" s="40">
        <v>68532325</v>
      </c>
      <c r="B439" s="41" t="s">
        <v>3584</v>
      </c>
      <c r="C439" s="41" t="s">
        <v>4760</v>
      </c>
      <c r="D439" s="41" t="s">
        <v>460</v>
      </c>
      <c r="E439" s="49">
        <v>854100</v>
      </c>
      <c r="F439" s="49">
        <v>0</v>
      </c>
      <c r="G439" s="50">
        <v>854100</v>
      </c>
      <c r="H439" s="42" t="s">
        <v>2615</v>
      </c>
      <c r="I439" s="42" t="s">
        <v>461</v>
      </c>
      <c r="J439" s="43" t="s">
        <v>3589</v>
      </c>
      <c r="K439" s="40">
        <v>1049022400</v>
      </c>
      <c r="L439" s="41" t="s">
        <v>3734</v>
      </c>
      <c r="M439" s="41" t="s">
        <v>316</v>
      </c>
      <c r="N439" s="41" t="s">
        <v>317</v>
      </c>
      <c r="O439" s="41" t="s">
        <v>3735</v>
      </c>
      <c r="P439" s="41" t="s">
        <v>319</v>
      </c>
      <c r="Q439" s="40">
        <v>890903938</v>
      </c>
      <c r="R439" s="41" t="s">
        <v>342</v>
      </c>
      <c r="S439" s="40">
        <v>923218</v>
      </c>
      <c r="T439" s="41" t="s">
        <v>118</v>
      </c>
      <c r="U439" s="41" t="s">
        <v>119</v>
      </c>
      <c r="V439" s="41" t="s">
        <v>120</v>
      </c>
      <c r="W439" s="42" t="s">
        <v>47</v>
      </c>
      <c r="X439" s="42" t="s">
        <v>121</v>
      </c>
      <c r="Y439" s="42" t="s">
        <v>33</v>
      </c>
      <c r="Z439" s="42" t="s">
        <v>3592</v>
      </c>
      <c r="AA439" s="42" t="s">
        <v>34</v>
      </c>
      <c r="AB439" s="42" t="s">
        <v>34</v>
      </c>
      <c r="AC439" s="42" t="s">
        <v>34</v>
      </c>
      <c r="AD439" s="42" t="s">
        <v>462</v>
      </c>
      <c r="AE439" s="42"/>
      <c r="AF439" s="42"/>
      <c r="AG439" s="42" t="s">
        <v>463</v>
      </c>
      <c r="AH439" s="42"/>
      <c r="AI439" s="44"/>
      <c r="AJ439" s="42"/>
      <c r="AK439" s="44"/>
      <c r="AL439" s="42"/>
      <c r="AM439" s="52">
        <v>2325</v>
      </c>
      <c r="AN439" s="52">
        <v>2325</v>
      </c>
      <c r="AO439" s="52">
        <v>48025</v>
      </c>
      <c r="AP439" s="52">
        <v>0</v>
      </c>
      <c r="AQ439" s="42"/>
      <c r="AR439" s="52">
        <v>44625</v>
      </c>
      <c r="AS439" s="52">
        <v>68532325</v>
      </c>
      <c r="AT439" s="52">
        <v>0</v>
      </c>
      <c r="AU439" s="41" t="s">
        <v>2804</v>
      </c>
      <c r="AV439" s="41" t="s">
        <v>3595</v>
      </c>
      <c r="AW439" s="41" t="s">
        <v>3605</v>
      </c>
      <c r="AX439" s="41" t="s">
        <v>3606</v>
      </c>
    </row>
    <row r="440" spans="1:50" x14ac:dyDescent="0.2">
      <c r="A440" s="40">
        <v>68532425</v>
      </c>
      <c r="B440" s="41" t="s">
        <v>3584</v>
      </c>
      <c r="C440" s="41" t="s">
        <v>4765</v>
      </c>
      <c r="D440" s="41" t="s">
        <v>460</v>
      </c>
      <c r="E440" s="49">
        <v>854100</v>
      </c>
      <c r="F440" s="49">
        <v>0</v>
      </c>
      <c r="G440" s="50">
        <v>854100</v>
      </c>
      <c r="H440" s="42" t="s">
        <v>2615</v>
      </c>
      <c r="I440" s="42" t="s">
        <v>461</v>
      </c>
      <c r="J440" s="43" t="s">
        <v>351</v>
      </c>
      <c r="K440" s="40">
        <v>1030596508</v>
      </c>
      <c r="L440" s="41" t="s">
        <v>3739</v>
      </c>
      <c r="M440" s="41" t="s">
        <v>316</v>
      </c>
      <c r="N440" s="41" t="s">
        <v>317</v>
      </c>
      <c r="O440" s="41" t="s">
        <v>3740</v>
      </c>
      <c r="P440" s="41" t="s">
        <v>319</v>
      </c>
      <c r="Q440" s="40">
        <v>860007738</v>
      </c>
      <c r="R440" s="41" t="s">
        <v>784</v>
      </c>
      <c r="S440" s="40">
        <v>923218</v>
      </c>
      <c r="T440" s="41" t="s">
        <v>118</v>
      </c>
      <c r="U440" s="41" t="s">
        <v>119</v>
      </c>
      <c r="V440" s="41" t="s">
        <v>120</v>
      </c>
      <c r="W440" s="42" t="s">
        <v>47</v>
      </c>
      <c r="X440" s="42" t="s">
        <v>121</v>
      </c>
      <c r="Y440" s="42" t="s">
        <v>33</v>
      </c>
      <c r="Z440" s="42" t="s">
        <v>3592</v>
      </c>
      <c r="AA440" s="42" t="s">
        <v>34</v>
      </c>
      <c r="AB440" s="42" t="s">
        <v>34</v>
      </c>
      <c r="AC440" s="42" t="s">
        <v>34</v>
      </c>
      <c r="AD440" s="42" t="s">
        <v>462</v>
      </c>
      <c r="AE440" s="42"/>
      <c r="AF440" s="42"/>
      <c r="AG440" s="42" t="s">
        <v>463</v>
      </c>
      <c r="AH440" s="42"/>
      <c r="AI440" s="44"/>
      <c r="AJ440" s="42"/>
      <c r="AK440" s="44"/>
      <c r="AL440" s="42"/>
      <c r="AM440" s="52">
        <v>2325</v>
      </c>
      <c r="AN440" s="52">
        <v>2325</v>
      </c>
      <c r="AO440" s="52">
        <v>48125</v>
      </c>
      <c r="AP440" s="52">
        <v>0</v>
      </c>
      <c r="AQ440" s="42"/>
      <c r="AR440" s="52">
        <v>44725</v>
      </c>
      <c r="AS440" s="52">
        <v>68532425</v>
      </c>
      <c r="AT440" s="52">
        <v>0</v>
      </c>
      <c r="AU440" s="41" t="s">
        <v>2804</v>
      </c>
      <c r="AV440" s="41" t="s">
        <v>3595</v>
      </c>
      <c r="AW440" s="41" t="s">
        <v>3605</v>
      </c>
      <c r="AX440" s="41" t="s">
        <v>3606</v>
      </c>
    </row>
    <row r="441" spans="1:50" x14ac:dyDescent="0.2">
      <c r="A441" s="40">
        <v>68532625</v>
      </c>
      <c r="B441" s="41" t="s">
        <v>3584</v>
      </c>
      <c r="C441" s="41" t="s">
        <v>4766</v>
      </c>
      <c r="D441" s="41" t="s">
        <v>460</v>
      </c>
      <c r="E441" s="49">
        <v>854100</v>
      </c>
      <c r="F441" s="49">
        <v>0</v>
      </c>
      <c r="G441" s="50">
        <v>854100</v>
      </c>
      <c r="H441" s="42" t="s">
        <v>2615</v>
      </c>
      <c r="I441" s="42" t="s">
        <v>461</v>
      </c>
      <c r="J441" s="43" t="s">
        <v>3589</v>
      </c>
      <c r="K441" s="40">
        <v>1116782386</v>
      </c>
      <c r="L441" s="41" t="s">
        <v>3744</v>
      </c>
      <c r="M441" s="41" t="s">
        <v>316</v>
      </c>
      <c r="N441" s="41" t="s">
        <v>317</v>
      </c>
      <c r="O441" s="41" t="s">
        <v>3745</v>
      </c>
      <c r="P441" s="41" t="s">
        <v>319</v>
      </c>
      <c r="Q441" s="40">
        <v>890903938</v>
      </c>
      <c r="R441" s="41" t="s">
        <v>342</v>
      </c>
      <c r="S441" s="40">
        <v>923218</v>
      </c>
      <c r="T441" s="41" t="s">
        <v>118</v>
      </c>
      <c r="U441" s="41" t="s">
        <v>119</v>
      </c>
      <c r="V441" s="41" t="s">
        <v>120</v>
      </c>
      <c r="W441" s="42" t="s">
        <v>47</v>
      </c>
      <c r="X441" s="42" t="s">
        <v>121</v>
      </c>
      <c r="Y441" s="42" t="s">
        <v>33</v>
      </c>
      <c r="Z441" s="42" t="s">
        <v>3592</v>
      </c>
      <c r="AA441" s="42" t="s">
        <v>34</v>
      </c>
      <c r="AB441" s="42" t="s">
        <v>34</v>
      </c>
      <c r="AC441" s="42" t="s">
        <v>34</v>
      </c>
      <c r="AD441" s="42" t="s">
        <v>462</v>
      </c>
      <c r="AE441" s="42"/>
      <c r="AF441" s="42"/>
      <c r="AG441" s="42" t="s">
        <v>463</v>
      </c>
      <c r="AH441" s="42"/>
      <c r="AI441" s="44"/>
      <c r="AJ441" s="42"/>
      <c r="AK441" s="44"/>
      <c r="AL441" s="42"/>
      <c r="AM441" s="52">
        <v>2325</v>
      </c>
      <c r="AN441" s="52">
        <v>2325</v>
      </c>
      <c r="AO441" s="52">
        <v>48225</v>
      </c>
      <c r="AP441" s="52">
        <v>0</v>
      </c>
      <c r="AQ441" s="42"/>
      <c r="AR441" s="52">
        <v>44825</v>
      </c>
      <c r="AS441" s="52">
        <v>68532625</v>
      </c>
      <c r="AT441" s="52">
        <v>0</v>
      </c>
      <c r="AU441" s="41" t="s">
        <v>2804</v>
      </c>
      <c r="AV441" s="41" t="s">
        <v>3595</v>
      </c>
      <c r="AW441" s="41" t="s">
        <v>3605</v>
      </c>
      <c r="AX441" s="41" t="s">
        <v>3606</v>
      </c>
    </row>
    <row r="442" spans="1:50" x14ac:dyDescent="0.2">
      <c r="A442" s="40">
        <v>68532725</v>
      </c>
      <c r="B442" s="41" t="s">
        <v>3584</v>
      </c>
      <c r="C442" s="41" t="s">
        <v>4766</v>
      </c>
      <c r="D442" s="41" t="s">
        <v>460</v>
      </c>
      <c r="E442" s="49">
        <v>854100</v>
      </c>
      <c r="F442" s="49">
        <v>0</v>
      </c>
      <c r="G442" s="50">
        <v>854100</v>
      </c>
      <c r="H442" s="42" t="s">
        <v>2615</v>
      </c>
      <c r="I442" s="42" t="s">
        <v>461</v>
      </c>
      <c r="J442" s="43" t="s">
        <v>3589</v>
      </c>
      <c r="K442" s="40">
        <v>1025534807</v>
      </c>
      <c r="L442" s="41" t="s">
        <v>3749</v>
      </c>
      <c r="M442" s="41" t="s">
        <v>316</v>
      </c>
      <c r="N442" s="41" t="s">
        <v>317</v>
      </c>
      <c r="O442" s="41" t="s">
        <v>3750</v>
      </c>
      <c r="P442" s="41" t="s">
        <v>319</v>
      </c>
      <c r="Q442" s="40">
        <v>890903938</v>
      </c>
      <c r="R442" s="41" t="s">
        <v>342</v>
      </c>
      <c r="S442" s="40">
        <v>923218</v>
      </c>
      <c r="T442" s="41" t="s">
        <v>118</v>
      </c>
      <c r="U442" s="41" t="s">
        <v>119</v>
      </c>
      <c r="V442" s="41" t="s">
        <v>120</v>
      </c>
      <c r="W442" s="42" t="s">
        <v>47</v>
      </c>
      <c r="X442" s="42" t="s">
        <v>121</v>
      </c>
      <c r="Y442" s="42" t="s">
        <v>33</v>
      </c>
      <c r="Z442" s="42" t="s">
        <v>3592</v>
      </c>
      <c r="AA442" s="42" t="s">
        <v>34</v>
      </c>
      <c r="AB442" s="42" t="s">
        <v>34</v>
      </c>
      <c r="AC442" s="42" t="s">
        <v>34</v>
      </c>
      <c r="AD442" s="42" t="s">
        <v>462</v>
      </c>
      <c r="AE442" s="42"/>
      <c r="AF442" s="42"/>
      <c r="AG442" s="42" t="s">
        <v>463</v>
      </c>
      <c r="AH442" s="42"/>
      <c r="AI442" s="44"/>
      <c r="AJ442" s="42"/>
      <c r="AK442" s="44"/>
      <c r="AL442" s="42"/>
      <c r="AM442" s="52">
        <v>2325</v>
      </c>
      <c r="AN442" s="52">
        <v>2325</v>
      </c>
      <c r="AO442" s="52">
        <v>48325</v>
      </c>
      <c r="AP442" s="52">
        <v>0</v>
      </c>
      <c r="AQ442" s="42"/>
      <c r="AR442" s="52">
        <v>44925</v>
      </c>
      <c r="AS442" s="52">
        <v>68532725</v>
      </c>
      <c r="AT442" s="52">
        <v>0</v>
      </c>
      <c r="AU442" s="41" t="s">
        <v>2804</v>
      </c>
      <c r="AV442" s="41" t="s">
        <v>3595</v>
      </c>
      <c r="AW442" s="41" t="s">
        <v>3605</v>
      </c>
      <c r="AX442" s="41" t="s">
        <v>3606</v>
      </c>
    </row>
    <row r="443" spans="1:50" x14ac:dyDescent="0.2">
      <c r="A443" s="40">
        <v>68532825</v>
      </c>
      <c r="B443" s="41" t="s">
        <v>3584</v>
      </c>
      <c r="C443" s="41" t="s">
        <v>4763</v>
      </c>
      <c r="D443" s="41" t="s">
        <v>460</v>
      </c>
      <c r="E443" s="49">
        <v>854100</v>
      </c>
      <c r="F443" s="49">
        <v>0</v>
      </c>
      <c r="G443" s="50">
        <v>854100</v>
      </c>
      <c r="H443" s="42" t="s">
        <v>2615</v>
      </c>
      <c r="I443" s="42" t="s">
        <v>461</v>
      </c>
      <c r="J443" s="43" t="s">
        <v>351</v>
      </c>
      <c r="K443" s="40">
        <v>52095819</v>
      </c>
      <c r="L443" s="41" t="s">
        <v>3754</v>
      </c>
      <c r="M443" s="41" t="s">
        <v>316</v>
      </c>
      <c r="N443" s="41" t="s">
        <v>317</v>
      </c>
      <c r="O443" s="41" t="s">
        <v>3755</v>
      </c>
      <c r="P443" s="41" t="s">
        <v>319</v>
      </c>
      <c r="Q443" s="40">
        <v>890903938</v>
      </c>
      <c r="R443" s="41" t="s">
        <v>342</v>
      </c>
      <c r="S443" s="40">
        <v>923218</v>
      </c>
      <c r="T443" s="41" t="s">
        <v>118</v>
      </c>
      <c r="U443" s="41" t="s">
        <v>119</v>
      </c>
      <c r="V443" s="41" t="s">
        <v>120</v>
      </c>
      <c r="W443" s="42" t="s">
        <v>47</v>
      </c>
      <c r="X443" s="42" t="s">
        <v>121</v>
      </c>
      <c r="Y443" s="42" t="s">
        <v>33</v>
      </c>
      <c r="Z443" s="42" t="s">
        <v>3592</v>
      </c>
      <c r="AA443" s="42" t="s">
        <v>34</v>
      </c>
      <c r="AB443" s="42" t="s">
        <v>34</v>
      </c>
      <c r="AC443" s="42" t="s">
        <v>34</v>
      </c>
      <c r="AD443" s="42" t="s">
        <v>462</v>
      </c>
      <c r="AE443" s="42"/>
      <c r="AF443" s="42"/>
      <c r="AG443" s="42" t="s">
        <v>463</v>
      </c>
      <c r="AH443" s="42"/>
      <c r="AI443" s="44"/>
      <c r="AJ443" s="42"/>
      <c r="AK443" s="44"/>
      <c r="AL443" s="42"/>
      <c r="AM443" s="52">
        <v>2325</v>
      </c>
      <c r="AN443" s="52">
        <v>2325</v>
      </c>
      <c r="AO443" s="52">
        <v>48425</v>
      </c>
      <c r="AP443" s="52">
        <v>0</v>
      </c>
      <c r="AQ443" s="42"/>
      <c r="AR443" s="52">
        <v>45025</v>
      </c>
      <c r="AS443" s="52">
        <v>68532825</v>
      </c>
      <c r="AT443" s="52">
        <v>0</v>
      </c>
      <c r="AU443" s="41" t="s">
        <v>2804</v>
      </c>
      <c r="AV443" s="41" t="s">
        <v>3595</v>
      </c>
      <c r="AW443" s="41" t="s">
        <v>3605</v>
      </c>
      <c r="AX443" s="41" t="s">
        <v>3606</v>
      </c>
    </row>
    <row r="444" spans="1:50" x14ac:dyDescent="0.2">
      <c r="A444" s="40">
        <v>68532925</v>
      </c>
      <c r="B444" s="41" t="s">
        <v>3584</v>
      </c>
      <c r="C444" s="41" t="s">
        <v>4767</v>
      </c>
      <c r="D444" s="41" t="s">
        <v>460</v>
      </c>
      <c r="E444" s="49">
        <v>854100</v>
      </c>
      <c r="F444" s="49">
        <v>0</v>
      </c>
      <c r="G444" s="50">
        <v>854100</v>
      </c>
      <c r="H444" s="42" t="s">
        <v>2615</v>
      </c>
      <c r="I444" s="42" t="s">
        <v>461</v>
      </c>
      <c r="J444" s="43" t="s">
        <v>3589</v>
      </c>
      <c r="K444" s="40">
        <v>1024494407</v>
      </c>
      <c r="L444" s="41" t="s">
        <v>3759</v>
      </c>
      <c r="M444" s="41" t="s">
        <v>316</v>
      </c>
      <c r="N444" s="41" t="s">
        <v>317</v>
      </c>
      <c r="O444" s="41" t="s">
        <v>3760</v>
      </c>
      <c r="P444" s="41" t="s">
        <v>319</v>
      </c>
      <c r="Q444" s="40">
        <v>860034313</v>
      </c>
      <c r="R444" s="41" t="s">
        <v>355</v>
      </c>
      <c r="S444" s="40">
        <v>923218</v>
      </c>
      <c r="T444" s="41" t="s">
        <v>118</v>
      </c>
      <c r="U444" s="41" t="s">
        <v>119</v>
      </c>
      <c r="V444" s="41" t="s">
        <v>120</v>
      </c>
      <c r="W444" s="42" t="s">
        <v>47</v>
      </c>
      <c r="X444" s="42" t="s">
        <v>121</v>
      </c>
      <c r="Y444" s="42" t="s">
        <v>33</v>
      </c>
      <c r="Z444" s="42" t="s">
        <v>3592</v>
      </c>
      <c r="AA444" s="42" t="s">
        <v>34</v>
      </c>
      <c r="AB444" s="42" t="s">
        <v>34</v>
      </c>
      <c r="AC444" s="42" t="s">
        <v>34</v>
      </c>
      <c r="AD444" s="42" t="s">
        <v>462</v>
      </c>
      <c r="AE444" s="42"/>
      <c r="AF444" s="42"/>
      <c r="AG444" s="42" t="s">
        <v>463</v>
      </c>
      <c r="AH444" s="42"/>
      <c r="AI444" s="44"/>
      <c r="AJ444" s="42"/>
      <c r="AK444" s="44"/>
      <c r="AL444" s="42"/>
      <c r="AM444" s="52">
        <v>2325</v>
      </c>
      <c r="AN444" s="52">
        <v>2325</v>
      </c>
      <c r="AO444" s="52">
        <v>48525</v>
      </c>
      <c r="AP444" s="52">
        <v>0</v>
      </c>
      <c r="AQ444" s="42"/>
      <c r="AR444" s="52">
        <v>45125</v>
      </c>
      <c r="AS444" s="52">
        <v>68532925</v>
      </c>
      <c r="AT444" s="52">
        <v>0</v>
      </c>
      <c r="AU444" s="41" t="s">
        <v>2804</v>
      </c>
      <c r="AV444" s="41" t="s">
        <v>3595</v>
      </c>
      <c r="AW444" s="41" t="s">
        <v>3605</v>
      </c>
      <c r="AX444" s="41" t="s">
        <v>3606</v>
      </c>
    </row>
    <row r="445" spans="1:50" x14ac:dyDescent="0.2">
      <c r="A445" s="40">
        <v>68533025</v>
      </c>
      <c r="B445" s="41" t="s">
        <v>3584</v>
      </c>
      <c r="C445" s="41" t="s">
        <v>4753</v>
      </c>
      <c r="D445" s="41" t="s">
        <v>460</v>
      </c>
      <c r="E445" s="49">
        <v>854100</v>
      </c>
      <c r="F445" s="49">
        <v>0</v>
      </c>
      <c r="G445" s="50">
        <v>854100</v>
      </c>
      <c r="H445" s="42" t="s">
        <v>2615</v>
      </c>
      <c r="I445" s="42" t="s">
        <v>461</v>
      </c>
      <c r="J445" s="43" t="s">
        <v>351</v>
      </c>
      <c r="K445" s="40">
        <v>39671337</v>
      </c>
      <c r="L445" s="41" t="s">
        <v>3764</v>
      </c>
      <c r="M445" s="41" t="s">
        <v>316</v>
      </c>
      <c r="N445" s="41" t="s">
        <v>317</v>
      </c>
      <c r="O445" s="41" t="s">
        <v>3765</v>
      </c>
      <c r="P445" s="41" t="s">
        <v>319</v>
      </c>
      <c r="Q445" s="40">
        <v>890903938</v>
      </c>
      <c r="R445" s="41" t="s">
        <v>342</v>
      </c>
      <c r="S445" s="40">
        <v>923218</v>
      </c>
      <c r="T445" s="41" t="s">
        <v>118</v>
      </c>
      <c r="U445" s="41" t="s">
        <v>119</v>
      </c>
      <c r="V445" s="41" t="s">
        <v>120</v>
      </c>
      <c r="W445" s="42" t="s">
        <v>47</v>
      </c>
      <c r="X445" s="42" t="s">
        <v>121</v>
      </c>
      <c r="Y445" s="42" t="s">
        <v>33</v>
      </c>
      <c r="Z445" s="42" t="s">
        <v>3592</v>
      </c>
      <c r="AA445" s="42" t="s">
        <v>34</v>
      </c>
      <c r="AB445" s="42" t="s">
        <v>34</v>
      </c>
      <c r="AC445" s="42" t="s">
        <v>34</v>
      </c>
      <c r="AD445" s="42" t="s">
        <v>462</v>
      </c>
      <c r="AE445" s="42"/>
      <c r="AF445" s="42"/>
      <c r="AG445" s="42" t="s">
        <v>463</v>
      </c>
      <c r="AH445" s="42"/>
      <c r="AI445" s="44"/>
      <c r="AJ445" s="42"/>
      <c r="AK445" s="44"/>
      <c r="AL445" s="42"/>
      <c r="AM445" s="52">
        <v>2325</v>
      </c>
      <c r="AN445" s="52">
        <v>2325</v>
      </c>
      <c r="AO445" s="52">
        <v>48625</v>
      </c>
      <c r="AP445" s="52">
        <v>0</v>
      </c>
      <c r="AQ445" s="42"/>
      <c r="AR445" s="52">
        <v>45225</v>
      </c>
      <c r="AS445" s="52">
        <v>68533025</v>
      </c>
      <c r="AT445" s="52">
        <v>0</v>
      </c>
      <c r="AU445" s="41" t="s">
        <v>2804</v>
      </c>
      <c r="AV445" s="41" t="s">
        <v>3595</v>
      </c>
      <c r="AW445" s="41" t="s">
        <v>3605</v>
      </c>
      <c r="AX445" s="41" t="s">
        <v>3606</v>
      </c>
    </row>
    <row r="446" spans="1:50" x14ac:dyDescent="0.2">
      <c r="A446" s="40">
        <v>68533125</v>
      </c>
      <c r="B446" s="41" t="s">
        <v>3584</v>
      </c>
      <c r="C446" s="41" t="s">
        <v>4768</v>
      </c>
      <c r="D446" s="41" t="s">
        <v>460</v>
      </c>
      <c r="E446" s="49">
        <v>854100</v>
      </c>
      <c r="F446" s="49">
        <v>0</v>
      </c>
      <c r="G446" s="50">
        <v>854100</v>
      </c>
      <c r="H446" s="42" t="s">
        <v>2615</v>
      </c>
      <c r="I446" s="42" t="s">
        <v>461</v>
      </c>
      <c r="J446" s="43" t="s">
        <v>351</v>
      </c>
      <c r="K446" s="40">
        <v>1072189988</v>
      </c>
      <c r="L446" s="41" t="s">
        <v>3769</v>
      </c>
      <c r="M446" s="41" t="s">
        <v>316</v>
      </c>
      <c r="N446" s="41" t="s">
        <v>317</v>
      </c>
      <c r="O446" s="41" t="s">
        <v>3770</v>
      </c>
      <c r="P446" s="41" t="s">
        <v>319</v>
      </c>
      <c r="Q446" s="40">
        <v>890903938</v>
      </c>
      <c r="R446" s="41" t="s">
        <v>342</v>
      </c>
      <c r="S446" s="40">
        <v>923218</v>
      </c>
      <c r="T446" s="41" t="s">
        <v>118</v>
      </c>
      <c r="U446" s="41" t="s">
        <v>119</v>
      </c>
      <c r="V446" s="41" t="s">
        <v>120</v>
      </c>
      <c r="W446" s="42" t="s">
        <v>47</v>
      </c>
      <c r="X446" s="42" t="s">
        <v>121</v>
      </c>
      <c r="Y446" s="42" t="s">
        <v>33</v>
      </c>
      <c r="Z446" s="42" t="s">
        <v>3592</v>
      </c>
      <c r="AA446" s="42" t="s">
        <v>34</v>
      </c>
      <c r="AB446" s="42" t="s">
        <v>34</v>
      </c>
      <c r="AC446" s="42" t="s">
        <v>34</v>
      </c>
      <c r="AD446" s="42" t="s">
        <v>462</v>
      </c>
      <c r="AE446" s="42"/>
      <c r="AF446" s="42"/>
      <c r="AG446" s="42" t="s">
        <v>463</v>
      </c>
      <c r="AH446" s="42"/>
      <c r="AI446" s="44"/>
      <c r="AJ446" s="42"/>
      <c r="AK446" s="44"/>
      <c r="AL446" s="42"/>
      <c r="AM446" s="52">
        <v>2325</v>
      </c>
      <c r="AN446" s="52">
        <v>2325</v>
      </c>
      <c r="AO446" s="52">
        <v>48725</v>
      </c>
      <c r="AP446" s="52">
        <v>0</v>
      </c>
      <c r="AQ446" s="42"/>
      <c r="AR446" s="52">
        <v>45325</v>
      </c>
      <c r="AS446" s="52">
        <v>68533125</v>
      </c>
      <c r="AT446" s="52">
        <v>0</v>
      </c>
      <c r="AU446" s="41" t="s">
        <v>2804</v>
      </c>
      <c r="AV446" s="41" t="s">
        <v>3595</v>
      </c>
      <c r="AW446" s="41" t="s">
        <v>3605</v>
      </c>
      <c r="AX446" s="41" t="s">
        <v>3606</v>
      </c>
    </row>
    <row r="447" spans="1:50" x14ac:dyDescent="0.2">
      <c r="A447" s="40">
        <v>68533225</v>
      </c>
      <c r="B447" s="41" t="s">
        <v>3584</v>
      </c>
      <c r="C447" s="41" t="s">
        <v>4769</v>
      </c>
      <c r="D447" s="41" t="s">
        <v>460</v>
      </c>
      <c r="E447" s="49">
        <v>854100</v>
      </c>
      <c r="F447" s="49">
        <v>0</v>
      </c>
      <c r="G447" s="50">
        <v>854100</v>
      </c>
      <c r="H447" s="42" t="s">
        <v>2615</v>
      </c>
      <c r="I447" s="42" t="s">
        <v>461</v>
      </c>
      <c r="J447" s="43" t="s">
        <v>351</v>
      </c>
      <c r="K447" s="40">
        <v>79183716</v>
      </c>
      <c r="L447" s="41" t="s">
        <v>3773</v>
      </c>
      <c r="M447" s="41" t="s">
        <v>316</v>
      </c>
      <c r="N447" s="41" t="s">
        <v>317</v>
      </c>
      <c r="O447" s="41" t="s">
        <v>3774</v>
      </c>
      <c r="P447" s="41" t="s">
        <v>319</v>
      </c>
      <c r="Q447" s="40">
        <v>890903938</v>
      </c>
      <c r="R447" s="41" t="s">
        <v>342</v>
      </c>
      <c r="S447" s="40">
        <v>923218</v>
      </c>
      <c r="T447" s="41" t="s">
        <v>118</v>
      </c>
      <c r="U447" s="41" t="s">
        <v>119</v>
      </c>
      <c r="V447" s="41" t="s">
        <v>120</v>
      </c>
      <c r="W447" s="42" t="s">
        <v>47</v>
      </c>
      <c r="X447" s="42" t="s">
        <v>121</v>
      </c>
      <c r="Y447" s="42" t="s">
        <v>33</v>
      </c>
      <c r="Z447" s="42" t="s">
        <v>3592</v>
      </c>
      <c r="AA447" s="42" t="s">
        <v>34</v>
      </c>
      <c r="AB447" s="42" t="s">
        <v>34</v>
      </c>
      <c r="AC447" s="42" t="s">
        <v>34</v>
      </c>
      <c r="AD447" s="42" t="s">
        <v>462</v>
      </c>
      <c r="AE447" s="42"/>
      <c r="AF447" s="42"/>
      <c r="AG447" s="42" t="s">
        <v>463</v>
      </c>
      <c r="AH447" s="42"/>
      <c r="AI447" s="44"/>
      <c r="AJ447" s="42"/>
      <c r="AK447" s="44"/>
      <c r="AL447" s="42"/>
      <c r="AM447" s="52">
        <v>2325</v>
      </c>
      <c r="AN447" s="52">
        <v>2325</v>
      </c>
      <c r="AO447" s="52">
        <v>48825</v>
      </c>
      <c r="AP447" s="52">
        <v>0</v>
      </c>
      <c r="AQ447" s="42"/>
      <c r="AR447" s="52">
        <v>45425</v>
      </c>
      <c r="AS447" s="52">
        <v>68533225</v>
      </c>
      <c r="AT447" s="52">
        <v>0</v>
      </c>
      <c r="AU447" s="41" t="s">
        <v>2804</v>
      </c>
      <c r="AV447" s="41" t="s">
        <v>3595</v>
      </c>
      <c r="AW447" s="41" t="s">
        <v>3605</v>
      </c>
      <c r="AX447" s="41" t="s">
        <v>3606</v>
      </c>
    </row>
    <row r="448" spans="1:50" x14ac:dyDescent="0.2">
      <c r="A448" s="40">
        <v>68787025</v>
      </c>
      <c r="B448" s="41" t="s">
        <v>3584</v>
      </c>
      <c r="C448" s="41" t="s">
        <v>4770</v>
      </c>
      <c r="D448" s="41" t="s">
        <v>460</v>
      </c>
      <c r="E448" s="49">
        <v>1330860</v>
      </c>
      <c r="F448" s="49">
        <v>0</v>
      </c>
      <c r="G448" s="50">
        <v>1330860</v>
      </c>
      <c r="H448" s="42" t="s">
        <v>2615</v>
      </c>
      <c r="I448" s="42" t="s">
        <v>461</v>
      </c>
      <c r="J448" s="43" t="s">
        <v>314</v>
      </c>
      <c r="K448" s="40">
        <v>860063875</v>
      </c>
      <c r="L448" s="41" t="s">
        <v>315</v>
      </c>
      <c r="M448" s="41" t="s">
        <v>316</v>
      </c>
      <c r="N448" s="41" t="s">
        <v>317</v>
      </c>
      <c r="O448" s="41" t="s">
        <v>318</v>
      </c>
      <c r="P448" s="41" t="s">
        <v>319</v>
      </c>
      <c r="Q448" s="40">
        <v>860050750</v>
      </c>
      <c r="R448" s="41" t="s">
        <v>321</v>
      </c>
      <c r="S448" s="40">
        <v>923210</v>
      </c>
      <c r="T448" s="41" t="s">
        <v>56</v>
      </c>
      <c r="U448" s="41" t="s">
        <v>29</v>
      </c>
      <c r="V448" s="41" t="s">
        <v>30</v>
      </c>
      <c r="W448" s="42" t="s">
        <v>47</v>
      </c>
      <c r="X448" s="42" t="s">
        <v>48</v>
      </c>
      <c r="Y448" s="42" t="s">
        <v>33</v>
      </c>
      <c r="Z448" s="42" t="s">
        <v>3777</v>
      </c>
      <c r="AA448" s="42" t="s">
        <v>34</v>
      </c>
      <c r="AB448" s="42" t="s">
        <v>34</v>
      </c>
      <c r="AC448" s="42" t="s">
        <v>34</v>
      </c>
      <c r="AD448" s="42" t="s">
        <v>462</v>
      </c>
      <c r="AE448" s="42"/>
      <c r="AF448" s="42"/>
      <c r="AG448" s="42" t="s">
        <v>463</v>
      </c>
      <c r="AH448" s="42"/>
      <c r="AI448" s="44"/>
      <c r="AJ448" s="42"/>
      <c r="AK448" s="44"/>
      <c r="AL448" s="42" t="s">
        <v>3778</v>
      </c>
      <c r="AM448" s="52">
        <v>1225</v>
      </c>
      <c r="AN448" s="52">
        <v>1225</v>
      </c>
      <c r="AO448" s="52">
        <v>49025</v>
      </c>
      <c r="AP448" s="52">
        <v>4825</v>
      </c>
      <c r="AQ448" s="42" t="s">
        <v>3533</v>
      </c>
      <c r="AR448" s="52">
        <v>45525</v>
      </c>
      <c r="AS448" s="52">
        <v>68787025</v>
      </c>
      <c r="AT448" s="52">
        <v>0</v>
      </c>
      <c r="AU448" s="41" t="s">
        <v>2804</v>
      </c>
      <c r="AV448" s="41" t="s">
        <v>323</v>
      </c>
      <c r="AW448" s="41" t="s">
        <v>347</v>
      </c>
      <c r="AX448" s="41" t="s">
        <v>3780</v>
      </c>
    </row>
    <row r="449" spans="1:50" x14ac:dyDescent="0.2">
      <c r="A449" s="40">
        <v>68819625</v>
      </c>
      <c r="B449" s="41" t="s">
        <v>3584</v>
      </c>
      <c r="C449" s="41" t="s">
        <v>4771</v>
      </c>
      <c r="D449" s="41" t="s">
        <v>460</v>
      </c>
      <c r="E449" s="49">
        <v>611970</v>
      </c>
      <c r="F449" s="49">
        <v>0</v>
      </c>
      <c r="G449" s="50">
        <v>611970</v>
      </c>
      <c r="H449" s="42" t="s">
        <v>2615</v>
      </c>
      <c r="I449" s="42" t="s">
        <v>461</v>
      </c>
      <c r="J449" s="43" t="s">
        <v>314</v>
      </c>
      <c r="K449" s="40">
        <v>860063875</v>
      </c>
      <c r="L449" s="41" t="s">
        <v>315</v>
      </c>
      <c r="M449" s="41" t="s">
        <v>316</v>
      </c>
      <c r="N449" s="41" t="s">
        <v>317</v>
      </c>
      <c r="O449" s="41" t="s">
        <v>318</v>
      </c>
      <c r="P449" s="41" t="s">
        <v>319</v>
      </c>
      <c r="Q449" s="40">
        <v>860050750</v>
      </c>
      <c r="R449" s="41" t="s">
        <v>321</v>
      </c>
      <c r="S449" s="40">
        <v>923210</v>
      </c>
      <c r="T449" s="41" t="s">
        <v>56</v>
      </c>
      <c r="U449" s="41" t="s">
        <v>29</v>
      </c>
      <c r="V449" s="41" t="s">
        <v>30</v>
      </c>
      <c r="W449" s="42" t="s">
        <v>47</v>
      </c>
      <c r="X449" s="42" t="s">
        <v>48</v>
      </c>
      <c r="Y449" s="42" t="s">
        <v>33</v>
      </c>
      <c r="Z449" s="42" t="s">
        <v>3782</v>
      </c>
      <c r="AA449" s="42" t="s">
        <v>34</v>
      </c>
      <c r="AB449" s="42" t="s">
        <v>34</v>
      </c>
      <c r="AC449" s="42" t="s">
        <v>34</v>
      </c>
      <c r="AD449" s="42" t="s">
        <v>462</v>
      </c>
      <c r="AE449" s="42"/>
      <c r="AF449" s="42"/>
      <c r="AG449" s="42" t="s">
        <v>463</v>
      </c>
      <c r="AH449" s="42"/>
      <c r="AI449" s="44"/>
      <c r="AJ449" s="42"/>
      <c r="AK449" s="44"/>
      <c r="AL449" s="42" t="s">
        <v>3783</v>
      </c>
      <c r="AM449" s="52">
        <v>1225</v>
      </c>
      <c r="AN449" s="52">
        <v>1225</v>
      </c>
      <c r="AO449" s="52">
        <v>49525</v>
      </c>
      <c r="AP449" s="52">
        <v>4925</v>
      </c>
      <c r="AQ449" s="42" t="s">
        <v>3533</v>
      </c>
      <c r="AR449" s="52">
        <v>45625</v>
      </c>
      <c r="AS449" s="52">
        <v>68819625</v>
      </c>
      <c r="AT449" s="52">
        <v>0</v>
      </c>
      <c r="AU449" s="41" t="s">
        <v>3533</v>
      </c>
      <c r="AV449" s="41" t="s">
        <v>323</v>
      </c>
      <c r="AW449" s="41" t="s">
        <v>3785</v>
      </c>
      <c r="AX449" s="41" t="s">
        <v>3786</v>
      </c>
    </row>
    <row r="450" spans="1:50" x14ac:dyDescent="0.2">
      <c r="A450" s="40">
        <v>70407125</v>
      </c>
      <c r="B450" s="41" t="s">
        <v>4653</v>
      </c>
      <c r="C450" s="41" t="s">
        <v>4772</v>
      </c>
      <c r="D450" s="41" t="s">
        <v>460</v>
      </c>
      <c r="E450" s="49">
        <v>122500</v>
      </c>
      <c r="F450" s="49">
        <v>0</v>
      </c>
      <c r="G450" s="50">
        <v>122500</v>
      </c>
      <c r="H450" s="42" t="s">
        <v>2625</v>
      </c>
      <c r="I450" s="42" t="s">
        <v>461</v>
      </c>
      <c r="J450" s="43" t="s">
        <v>314</v>
      </c>
      <c r="K450" s="40">
        <v>900171710</v>
      </c>
      <c r="L450" s="41" t="s">
        <v>634</v>
      </c>
      <c r="M450" s="41" t="s">
        <v>316</v>
      </c>
      <c r="N450" s="41" t="s">
        <v>328</v>
      </c>
      <c r="O450" s="41" t="s">
        <v>2206</v>
      </c>
      <c r="P450" s="41" t="s">
        <v>319</v>
      </c>
      <c r="Q450" s="40">
        <v>890903938</v>
      </c>
      <c r="R450" s="41" t="s">
        <v>342</v>
      </c>
      <c r="S450" s="40">
        <v>923210</v>
      </c>
      <c r="T450" s="41" t="s">
        <v>56</v>
      </c>
      <c r="U450" s="41" t="s">
        <v>29</v>
      </c>
      <c r="V450" s="41" t="s">
        <v>30</v>
      </c>
      <c r="W450" s="42" t="s">
        <v>47</v>
      </c>
      <c r="X450" s="42" t="s">
        <v>48</v>
      </c>
      <c r="Y450" s="42" t="s">
        <v>33</v>
      </c>
      <c r="Z450" s="42" t="s">
        <v>4773</v>
      </c>
      <c r="AA450" s="42" t="s">
        <v>34</v>
      </c>
      <c r="AB450" s="42" t="s">
        <v>34</v>
      </c>
      <c r="AC450" s="42" t="s">
        <v>34</v>
      </c>
      <c r="AD450" s="42" t="s">
        <v>462</v>
      </c>
      <c r="AE450" s="42" t="s">
        <v>2207</v>
      </c>
      <c r="AF450" s="42" t="s">
        <v>2206</v>
      </c>
      <c r="AG450" s="42" t="s">
        <v>463</v>
      </c>
      <c r="AH450" s="42"/>
      <c r="AI450" s="44"/>
      <c r="AJ450" s="42"/>
      <c r="AK450" s="44"/>
      <c r="AL450" s="42" t="s">
        <v>4774</v>
      </c>
      <c r="AM450" s="52">
        <v>1225</v>
      </c>
      <c r="AN450" s="52">
        <v>1225</v>
      </c>
      <c r="AO450" s="52">
        <v>48925</v>
      </c>
      <c r="AP450" s="52">
        <v>5125</v>
      </c>
      <c r="AQ450" s="42" t="s">
        <v>4653</v>
      </c>
      <c r="AR450" s="52">
        <v>45825</v>
      </c>
      <c r="AS450" s="52">
        <v>70407125</v>
      </c>
      <c r="AT450" s="52">
        <v>0</v>
      </c>
      <c r="AU450" s="41" t="s">
        <v>2804</v>
      </c>
      <c r="AV450" s="41" t="s">
        <v>323</v>
      </c>
      <c r="AW450" s="41" t="s">
        <v>4244</v>
      </c>
      <c r="AX450" s="41" t="s">
        <v>4245</v>
      </c>
    </row>
    <row r="451" spans="1:50" x14ac:dyDescent="0.2">
      <c r="A451" s="40">
        <v>70461525</v>
      </c>
      <c r="B451" s="41" t="s">
        <v>4653</v>
      </c>
      <c r="C451" s="41" t="s">
        <v>4775</v>
      </c>
      <c r="D451" s="41" t="s">
        <v>460</v>
      </c>
      <c r="E451" s="49">
        <v>4671695</v>
      </c>
      <c r="F451" s="49">
        <v>674474</v>
      </c>
      <c r="G451" s="50">
        <v>3997221</v>
      </c>
      <c r="H451" s="42" t="s">
        <v>2615</v>
      </c>
      <c r="I451" s="42" t="s">
        <v>461</v>
      </c>
      <c r="J451" s="43" t="s">
        <v>351</v>
      </c>
      <c r="K451" s="40">
        <v>11313776</v>
      </c>
      <c r="L451" s="41" t="s">
        <v>676</v>
      </c>
      <c r="M451" s="41" t="s">
        <v>316</v>
      </c>
      <c r="N451" s="41" t="s">
        <v>317</v>
      </c>
      <c r="O451" s="41" t="s">
        <v>2123</v>
      </c>
      <c r="P451" s="41" t="s">
        <v>319</v>
      </c>
      <c r="Q451" s="40">
        <v>890903938</v>
      </c>
      <c r="R451" s="41" t="s">
        <v>342</v>
      </c>
      <c r="S451" s="40">
        <v>923211</v>
      </c>
      <c r="T451" s="41" t="s">
        <v>69</v>
      </c>
      <c r="U451" s="41" t="s">
        <v>29</v>
      </c>
      <c r="V451" s="41" t="s">
        <v>30</v>
      </c>
      <c r="W451" s="42" t="s">
        <v>31</v>
      </c>
      <c r="X451" s="42" t="s">
        <v>32</v>
      </c>
      <c r="Y451" s="42" t="s">
        <v>33</v>
      </c>
      <c r="Z451" s="42" t="s">
        <v>2950</v>
      </c>
      <c r="AA451" s="42" t="s">
        <v>34</v>
      </c>
      <c r="AB451" s="42" t="s">
        <v>34</v>
      </c>
      <c r="AC451" s="42" t="s">
        <v>34</v>
      </c>
      <c r="AD451" s="42" t="s">
        <v>462</v>
      </c>
      <c r="AE451" s="42"/>
      <c r="AF451" s="42"/>
      <c r="AG451" s="42" t="s">
        <v>463</v>
      </c>
      <c r="AH451" s="42"/>
      <c r="AI451" s="44"/>
      <c r="AJ451" s="42"/>
      <c r="AK451" s="44"/>
      <c r="AL451" s="42" t="s">
        <v>4776</v>
      </c>
      <c r="AM451" s="52">
        <v>1125</v>
      </c>
      <c r="AN451" s="52">
        <v>1025</v>
      </c>
      <c r="AO451" s="52">
        <v>3525</v>
      </c>
      <c r="AP451" s="52">
        <v>0</v>
      </c>
      <c r="AQ451" s="42"/>
      <c r="AR451" s="52">
        <v>15425</v>
      </c>
      <c r="AS451" s="52">
        <v>70461525</v>
      </c>
      <c r="AT451" s="52">
        <v>0</v>
      </c>
      <c r="AU451" s="41" t="s">
        <v>639</v>
      </c>
      <c r="AV451" s="41" t="s">
        <v>356</v>
      </c>
      <c r="AW451" s="41" t="s">
        <v>677</v>
      </c>
      <c r="AX451" s="41" t="s">
        <v>678</v>
      </c>
    </row>
    <row r="452" spans="1:50" x14ac:dyDescent="0.2">
      <c r="A452" s="40">
        <v>71227025</v>
      </c>
      <c r="B452" s="41" t="s">
        <v>3585</v>
      </c>
      <c r="C452" s="41" t="s">
        <v>4777</v>
      </c>
      <c r="D452" s="41" t="s">
        <v>460</v>
      </c>
      <c r="E452" s="49">
        <v>1160767</v>
      </c>
      <c r="F452" s="49">
        <v>4530</v>
      </c>
      <c r="G452" s="50">
        <v>1156237</v>
      </c>
      <c r="H452" s="42" t="s">
        <v>2615</v>
      </c>
      <c r="I452" s="42" t="s">
        <v>461</v>
      </c>
      <c r="J452" s="43" t="s">
        <v>351</v>
      </c>
      <c r="K452" s="40">
        <v>79217930</v>
      </c>
      <c r="L452" s="41" t="s">
        <v>1971</v>
      </c>
      <c r="M452" s="41" t="s">
        <v>316</v>
      </c>
      <c r="N452" s="41" t="s">
        <v>317</v>
      </c>
      <c r="O452" s="41" t="s">
        <v>3949</v>
      </c>
      <c r="P452" s="41" t="s">
        <v>319</v>
      </c>
      <c r="Q452" s="40">
        <v>860003020</v>
      </c>
      <c r="R452" s="41" t="s">
        <v>393</v>
      </c>
      <c r="S452" s="40">
        <v>923210</v>
      </c>
      <c r="T452" s="41" t="s">
        <v>56</v>
      </c>
      <c r="U452" s="41" t="s">
        <v>29</v>
      </c>
      <c r="V452" s="41" t="s">
        <v>30</v>
      </c>
      <c r="W452" s="42" t="s">
        <v>31</v>
      </c>
      <c r="X452" s="42" t="s">
        <v>32</v>
      </c>
      <c r="Y452" s="42" t="s">
        <v>33</v>
      </c>
      <c r="Z452" s="42" t="s">
        <v>4778</v>
      </c>
      <c r="AA452" s="42" t="s">
        <v>34</v>
      </c>
      <c r="AB452" s="42" t="s">
        <v>34</v>
      </c>
      <c r="AC452" s="42" t="s">
        <v>34</v>
      </c>
      <c r="AD452" s="42" t="s">
        <v>462</v>
      </c>
      <c r="AE452" s="42"/>
      <c r="AF452" s="42"/>
      <c r="AG452" s="42" t="s">
        <v>463</v>
      </c>
      <c r="AH452" s="42"/>
      <c r="AI452" s="44"/>
      <c r="AJ452" s="42"/>
      <c r="AK452" s="44"/>
      <c r="AL452" s="42" t="s">
        <v>4779</v>
      </c>
      <c r="AM452" s="52">
        <v>1925</v>
      </c>
      <c r="AN452" s="52">
        <v>1925</v>
      </c>
      <c r="AO452" s="52">
        <v>29625</v>
      </c>
      <c r="AP452" s="52">
        <v>0</v>
      </c>
      <c r="AQ452" s="42"/>
      <c r="AR452" s="52">
        <v>33925</v>
      </c>
      <c r="AS452" s="52">
        <v>71227025</v>
      </c>
      <c r="AT452" s="52">
        <v>0</v>
      </c>
      <c r="AU452" s="41" t="s">
        <v>1923</v>
      </c>
      <c r="AV452" s="41" t="s">
        <v>356</v>
      </c>
      <c r="AW452" s="41" t="s">
        <v>1973</v>
      </c>
      <c r="AX452" s="41" t="s">
        <v>1974</v>
      </c>
    </row>
    <row r="453" spans="1:50" x14ac:dyDescent="0.2">
      <c r="A453" s="40">
        <v>71243425</v>
      </c>
      <c r="B453" s="41" t="s">
        <v>3585</v>
      </c>
      <c r="C453" s="41" t="s">
        <v>4780</v>
      </c>
      <c r="D453" s="41" t="s">
        <v>460</v>
      </c>
      <c r="E453" s="49">
        <v>3219658</v>
      </c>
      <c r="F453" s="49">
        <v>1107065</v>
      </c>
      <c r="G453" s="50">
        <v>2112593</v>
      </c>
      <c r="H453" s="42" t="s">
        <v>2615</v>
      </c>
      <c r="I453" s="42" t="s">
        <v>461</v>
      </c>
      <c r="J453" s="43" t="s">
        <v>351</v>
      </c>
      <c r="K453" s="40">
        <v>93401524</v>
      </c>
      <c r="L453" s="41" t="s">
        <v>1392</v>
      </c>
      <c r="M453" s="41" t="s">
        <v>316</v>
      </c>
      <c r="N453" s="41" t="s">
        <v>317</v>
      </c>
      <c r="O453" s="41" t="s">
        <v>3947</v>
      </c>
      <c r="P453" s="41" t="s">
        <v>319</v>
      </c>
      <c r="Q453" s="40">
        <v>860007335</v>
      </c>
      <c r="R453" s="41" t="s">
        <v>381</v>
      </c>
      <c r="S453" s="40">
        <v>923245</v>
      </c>
      <c r="T453" s="41" t="s">
        <v>180</v>
      </c>
      <c r="U453" s="41" t="s">
        <v>29</v>
      </c>
      <c r="V453" s="41" t="s">
        <v>30</v>
      </c>
      <c r="W453" s="42" t="s">
        <v>31</v>
      </c>
      <c r="X453" s="42" t="s">
        <v>32</v>
      </c>
      <c r="Y453" s="42" t="s">
        <v>33</v>
      </c>
      <c r="Z453" s="42" t="s">
        <v>2937</v>
      </c>
      <c r="AA453" s="42" t="s">
        <v>34</v>
      </c>
      <c r="AB453" s="42" t="s">
        <v>34</v>
      </c>
      <c r="AC453" s="42" t="s">
        <v>34</v>
      </c>
      <c r="AD453" s="42" t="s">
        <v>462</v>
      </c>
      <c r="AE453" s="42"/>
      <c r="AF453" s="42"/>
      <c r="AG453" s="42" t="s">
        <v>463</v>
      </c>
      <c r="AH453" s="42"/>
      <c r="AI453" s="44"/>
      <c r="AJ453" s="42"/>
      <c r="AK453" s="44"/>
      <c r="AL453" s="42" t="s">
        <v>4781</v>
      </c>
      <c r="AM453" s="52">
        <v>3825</v>
      </c>
      <c r="AN453" s="52">
        <v>3825</v>
      </c>
      <c r="AO453" s="52">
        <v>18425</v>
      </c>
      <c r="AP453" s="52">
        <v>0</v>
      </c>
      <c r="AQ453" s="42"/>
      <c r="AR453" s="52">
        <v>24725</v>
      </c>
      <c r="AS453" s="52">
        <v>71243425</v>
      </c>
      <c r="AT453" s="52">
        <v>0</v>
      </c>
      <c r="AU453" s="41" t="s">
        <v>1326</v>
      </c>
      <c r="AV453" s="41" t="s">
        <v>356</v>
      </c>
      <c r="AW453" s="41" t="s">
        <v>1394</v>
      </c>
      <c r="AX453" s="41" t="s">
        <v>1332</v>
      </c>
    </row>
    <row r="454" spans="1:50" x14ac:dyDescent="0.2">
      <c r="A454" s="40">
        <v>71247225</v>
      </c>
      <c r="B454" s="41" t="s">
        <v>3585</v>
      </c>
      <c r="C454" s="41" t="s">
        <v>4782</v>
      </c>
      <c r="D454" s="41" t="s">
        <v>460</v>
      </c>
      <c r="E454" s="49">
        <v>3219658</v>
      </c>
      <c r="F454" s="49">
        <v>16883</v>
      </c>
      <c r="G454" s="50">
        <v>3202775</v>
      </c>
      <c r="H454" s="42" t="s">
        <v>2615</v>
      </c>
      <c r="I454" s="42" t="s">
        <v>461</v>
      </c>
      <c r="J454" s="43" t="s">
        <v>351</v>
      </c>
      <c r="K454" s="40">
        <v>39728459</v>
      </c>
      <c r="L454" s="41" t="s">
        <v>1707</v>
      </c>
      <c r="M454" s="41" t="s">
        <v>316</v>
      </c>
      <c r="N454" s="41" t="s">
        <v>317</v>
      </c>
      <c r="O454" s="41" t="s">
        <v>3948</v>
      </c>
      <c r="P454" s="41" t="s">
        <v>319</v>
      </c>
      <c r="Q454" s="40">
        <v>860007335</v>
      </c>
      <c r="R454" s="41" t="s">
        <v>381</v>
      </c>
      <c r="S454" s="40">
        <v>923238</v>
      </c>
      <c r="T454" s="41" t="s">
        <v>569</v>
      </c>
      <c r="U454" s="41" t="s">
        <v>29</v>
      </c>
      <c r="V454" s="41" t="s">
        <v>30</v>
      </c>
      <c r="W454" s="42" t="s">
        <v>31</v>
      </c>
      <c r="X454" s="42" t="s">
        <v>32</v>
      </c>
      <c r="Y454" s="42" t="s">
        <v>33</v>
      </c>
      <c r="Z454" s="42" t="s">
        <v>2937</v>
      </c>
      <c r="AA454" s="42" t="s">
        <v>34</v>
      </c>
      <c r="AB454" s="42" t="s">
        <v>34</v>
      </c>
      <c r="AC454" s="42" t="s">
        <v>34</v>
      </c>
      <c r="AD454" s="42" t="s">
        <v>462</v>
      </c>
      <c r="AE454" s="42"/>
      <c r="AF454" s="42"/>
      <c r="AG454" s="42" t="s">
        <v>463</v>
      </c>
      <c r="AH454" s="42"/>
      <c r="AI454" s="44"/>
      <c r="AJ454" s="42"/>
      <c r="AK454" s="44"/>
      <c r="AL454" s="42" t="s">
        <v>4783</v>
      </c>
      <c r="AM454" s="52">
        <v>125</v>
      </c>
      <c r="AN454" s="52">
        <v>125</v>
      </c>
      <c r="AO454" s="52">
        <v>24725</v>
      </c>
      <c r="AP454" s="52">
        <v>0</v>
      </c>
      <c r="AQ454" s="42"/>
      <c r="AR454" s="52">
        <v>30825</v>
      </c>
      <c r="AS454" s="52">
        <v>71247225</v>
      </c>
      <c r="AT454" s="52">
        <v>0</v>
      </c>
      <c r="AU454" s="41" t="s">
        <v>1526</v>
      </c>
      <c r="AV454" s="41" t="s">
        <v>356</v>
      </c>
      <c r="AW454" s="41" t="s">
        <v>1709</v>
      </c>
      <c r="AX454" s="41" t="s">
        <v>742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6F2A-E18D-4997-A8BD-9757887DEC81}">
  <sheetPr codeName="Hoja8">
    <tabColor theme="6" tint="0.39997558519241921"/>
  </sheetPr>
  <dimension ref="A1:S5003"/>
  <sheetViews>
    <sheetView zoomScale="70" zoomScaleNormal="70" workbookViewId="0">
      <selection activeCell="K20" sqref="K20"/>
    </sheetView>
  </sheetViews>
  <sheetFormatPr baseColWidth="10" defaultColWidth="11.5" defaultRowHeight="15" x14ac:dyDescent="0.2"/>
  <cols>
    <col min="1" max="1" width="19.5" customWidth="1"/>
    <col min="2" max="2" width="25.5" style="2" customWidth="1"/>
    <col min="3" max="3" width="24.1640625" style="5" customWidth="1"/>
    <col min="4" max="4" width="24.83203125" style="5" customWidth="1"/>
    <col min="5" max="5" width="11.33203125" customWidth="1"/>
    <col min="6" max="6" width="18.5" customWidth="1"/>
    <col min="7" max="7" width="39" customWidth="1"/>
    <col min="9" max="9" width="12.83203125" customWidth="1"/>
    <col min="10" max="10" width="18.1640625" style="58" bestFit="1" customWidth="1"/>
    <col min="11" max="11" width="24.5" style="58" customWidth="1"/>
    <col min="12" max="12" width="21.5" style="58" customWidth="1"/>
    <col min="13" max="13" width="31.6640625" style="58" customWidth="1"/>
    <col min="14" max="14" width="26.5" customWidth="1"/>
    <col min="15" max="15" width="34" customWidth="1"/>
    <col min="16" max="16" width="24.5" customWidth="1"/>
    <col min="17" max="17" width="18.5" customWidth="1"/>
    <col min="18" max="18" width="23" customWidth="1"/>
    <col min="19" max="19" width="15.6640625" customWidth="1"/>
  </cols>
  <sheetData>
    <row r="1" spans="1:19" x14ac:dyDescent="0.2">
      <c r="A1" s="8" t="s">
        <v>468</v>
      </c>
      <c r="B1" s="8" t="s">
        <v>0</v>
      </c>
      <c r="C1" s="11" t="s">
        <v>1</v>
      </c>
      <c r="D1" s="11" t="s">
        <v>2</v>
      </c>
      <c r="E1" s="8" t="s">
        <v>4</v>
      </c>
      <c r="F1" s="8" t="s">
        <v>5</v>
      </c>
      <c r="G1" s="8" t="s">
        <v>7</v>
      </c>
      <c r="H1" s="8" t="s">
        <v>9</v>
      </c>
      <c r="I1" s="8" t="s">
        <v>10</v>
      </c>
      <c r="J1" s="7" t="s">
        <v>12</v>
      </c>
      <c r="K1" s="7" t="s">
        <v>13</v>
      </c>
      <c r="L1" s="7" t="s">
        <v>469</v>
      </c>
      <c r="M1" s="7" t="s">
        <v>15</v>
      </c>
      <c r="N1" s="8" t="s">
        <v>16</v>
      </c>
      <c r="O1" s="8" t="s">
        <v>18</v>
      </c>
      <c r="P1" s="8" t="s">
        <v>19</v>
      </c>
      <c r="Q1" s="8" t="s">
        <v>20</v>
      </c>
      <c r="R1" s="8" t="s">
        <v>21</v>
      </c>
      <c r="S1" s="8" t="s">
        <v>22</v>
      </c>
    </row>
    <row r="2" spans="1:19" x14ac:dyDescent="0.2">
      <c r="A2" t="s">
        <v>2541</v>
      </c>
      <c r="B2">
        <v>125</v>
      </c>
      <c r="C2" s="5">
        <v>45667</v>
      </c>
      <c r="D2" s="5">
        <v>45667.462500000001</v>
      </c>
      <c r="E2" t="s">
        <v>80</v>
      </c>
      <c r="F2">
        <v>923238</v>
      </c>
      <c r="G2" t="s">
        <v>29</v>
      </c>
      <c r="H2" t="s">
        <v>31</v>
      </c>
      <c r="I2" t="s">
        <v>32</v>
      </c>
      <c r="J2" s="57">
        <v>1277032372</v>
      </c>
      <c r="K2" s="57">
        <v>227270653</v>
      </c>
      <c r="L2" s="57">
        <v>1277032372</v>
      </c>
      <c r="M2" s="57">
        <v>227270653</v>
      </c>
      <c r="N2" t="s">
        <v>35</v>
      </c>
      <c r="O2">
        <v>0</v>
      </c>
      <c r="P2" t="s">
        <v>3845</v>
      </c>
      <c r="Q2" t="s">
        <v>4608</v>
      </c>
      <c r="R2">
        <v>0</v>
      </c>
      <c r="S2">
        <v>0</v>
      </c>
    </row>
    <row r="3" spans="1:19" x14ac:dyDescent="0.2">
      <c r="A3" t="s">
        <v>2542</v>
      </c>
      <c r="B3">
        <v>225</v>
      </c>
      <c r="C3" s="5">
        <v>45667</v>
      </c>
      <c r="D3" s="5">
        <v>45667.465277777781</v>
      </c>
      <c r="E3" t="s">
        <v>27</v>
      </c>
      <c r="F3">
        <v>923238</v>
      </c>
      <c r="G3" t="s">
        <v>29</v>
      </c>
      <c r="H3" t="s">
        <v>31</v>
      </c>
      <c r="I3" t="s">
        <v>32</v>
      </c>
      <c r="J3" s="57">
        <v>141294000</v>
      </c>
      <c r="K3" s="57">
        <v>0</v>
      </c>
      <c r="L3" s="57">
        <v>0</v>
      </c>
      <c r="M3" s="57">
        <v>0</v>
      </c>
      <c r="N3" t="s">
        <v>39</v>
      </c>
      <c r="O3">
        <v>0</v>
      </c>
      <c r="P3">
        <v>0</v>
      </c>
      <c r="Q3">
        <v>0</v>
      </c>
      <c r="R3">
        <v>0</v>
      </c>
      <c r="S3">
        <v>0</v>
      </c>
    </row>
    <row r="4" spans="1:19" x14ac:dyDescent="0.2">
      <c r="A4" t="s">
        <v>2543</v>
      </c>
      <c r="B4">
        <v>325</v>
      </c>
      <c r="C4" s="5">
        <v>45667</v>
      </c>
      <c r="D4" s="5">
        <v>45667.468055555553</v>
      </c>
      <c r="E4" t="s">
        <v>80</v>
      </c>
      <c r="F4">
        <v>923238</v>
      </c>
      <c r="G4" t="s">
        <v>29</v>
      </c>
      <c r="H4" t="s">
        <v>31</v>
      </c>
      <c r="I4" t="s">
        <v>32</v>
      </c>
      <c r="J4" s="57">
        <v>280000000</v>
      </c>
      <c r="K4" s="57">
        <v>253951603</v>
      </c>
      <c r="L4" s="57">
        <v>280000000</v>
      </c>
      <c r="M4" s="57">
        <v>253951603</v>
      </c>
      <c r="N4" t="s">
        <v>42</v>
      </c>
      <c r="O4" t="s">
        <v>3846</v>
      </c>
      <c r="P4" t="s">
        <v>4610</v>
      </c>
      <c r="Q4" t="s">
        <v>3847</v>
      </c>
      <c r="R4">
        <v>0</v>
      </c>
      <c r="S4">
        <v>0</v>
      </c>
    </row>
    <row r="5" spans="1:19" x14ac:dyDescent="0.2">
      <c r="A5" t="s">
        <v>2544</v>
      </c>
      <c r="B5">
        <v>425</v>
      </c>
      <c r="C5" s="5">
        <v>45667</v>
      </c>
      <c r="D5" s="5">
        <v>45667.477083333331</v>
      </c>
      <c r="E5" t="s">
        <v>27</v>
      </c>
      <c r="F5">
        <v>923209</v>
      </c>
      <c r="G5" t="s">
        <v>29</v>
      </c>
      <c r="H5" t="s">
        <v>47</v>
      </c>
      <c r="I5" t="s">
        <v>48</v>
      </c>
      <c r="J5" s="57">
        <v>31702061</v>
      </c>
      <c r="K5" s="57">
        <v>0</v>
      </c>
      <c r="L5" s="57">
        <v>0</v>
      </c>
      <c r="M5" s="57">
        <v>0</v>
      </c>
      <c r="N5" t="s">
        <v>49</v>
      </c>
      <c r="O5">
        <v>0</v>
      </c>
      <c r="P5">
        <v>0</v>
      </c>
      <c r="Q5">
        <v>0</v>
      </c>
      <c r="R5">
        <v>0</v>
      </c>
      <c r="S5">
        <v>0</v>
      </c>
    </row>
    <row r="6" spans="1:19" x14ac:dyDescent="0.2">
      <c r="A6" t="s">
        <v>2545</v>
      </c>
      <c r="B6">
        <v>525</v>
      </c>
      <c r="C6" s="5">
        <v>45667</v>
      </c>
      <c r="D6" s="5">
        <v>45667.479861111111</v>
      </c>
      <c r="E6" t="s">
        <v>27</v>
      </c>
      <c r="F6">
        <v>923209</v>
      </c>
      <c r="G6" t="s">
        <v>29</v>
      </c>
      <c r="H6" t="s">
        <v>31</v>
      </c>
      <c r="I6" t="s">
        <v>32</v>
      </c>
      <c r="J6" s="57">
        <v>172800</v>
      </c>
      <c r="K6" s="57">
        <v>172800</v>
      </c>
      <c r="L6" s="57">
        <v>172800</v>
      </c>
      <c r="M6" s="57">
        <v>172800</v>
      </c>
      <c r="N6" t="s">
        <v>52</v>
      </c>
      <c r="O6">
        <v>0</v>
      </c>
      <c r="P6">
        <v>0</v>
      </c>
      <c r="Q6">
        <v>0</v>
      </c>
      <c r="R6">
        <v>0</v>
      </c>
      <c r="S6">
        <v>0</v>
      </c>
    </row>
    <row r="7" spans="1:19" x14ac:dyDescent="0.2">
      <c r="A7" t="s">
        <v>505</v>
      </c>
      <c r="B7">
        <v>625</v>
      </c>
      <c r="C7" s="5">
        <v>45667</v>
      </c>
      <c r="D7" s="5">
        <v>45667.48541666667</v>
      </c>
      <c r="E7" t="s">
        <v>80</v>
      </c>
      <c r="F7">
        <v>923210</v>
      </c>
      <c r="G7" t="s">
        <v>57</v>
      </c>
      <c r="H7" t="s">
        <v>31</v>
      </c>
      <c r="I7" t="s">
        <v>32</v>
      </c>
      <c r="J7" s="57">
        <v>15026000</v>
      </c>
      <c r="K7" s="57">
        <v>14456416</v>
      </c>
      <c r="L7" s="57">
        <v>15026000</v>
      </c>
      <c r="M7" s="57">
        <v>14456416</v>
      </c>
      <c r="N7" t="s">
        <v>59</v>
      </c>
      <c r="O7">
        <v>0</v>
      </c>
      <c r="P7" t="s">
        <v>4611</v>
      </c>
      <c r="Q7">
        <v>47485325</v>
      </c>
      <c r="R7">
        <v>0</v>
      </c>
      <c r="S7">
        <v>0</v>
      </c>
    </row>
    <row r="8" spans="1:19" x14ac:dyDescent="0.2">
      <c r="A8" t="s">
        <v>506</v>
      </c>
      <c r="B8">
        <v>725</v>
      </c>
      <c r="C8" s="5">
        <v>45667</v>
      </c>
      <c r="D8" s="5">
        <v>45667.490277777775</v>
      </c>
      <c r="E8" t="s">
        <v>27</v>
      </c>
      <c r="F8">
        <v>923210</v>
      </c>
      <c r="G8" t="s">
        <v>57</v>
      </c>
      <c r="H8" t="s">
        <v>31</v>
      </c>
      <c r="I8" t="s">
        <v>32</v>
      </c>
      <c r="J8" s="57">
        <v>120204000</v>
      </c>
      <c r="K8" s="57">
        <v>0</v>
      </c>
      <c r="L8" s="57">
        <v>0</v>
      </c>
      <c r="M8" s="57">
        <v>0</v>
      </c>
      <c r="N8" t="s">
        <v>62</v>
      </c>
      <c r="O8">
        <v>0</v>
      </c>
      <c r="P8">
        <v>0</v>
      </c>
      <c r="Q8">
        <v>0</v>
      </c>
      <c r="R8">
        <v>0</v>
      </c>
      <c r="S8">
        <v>0</v>
      </c>
    </row>
    <row r="9" spans="1:19" x14ac:dyDescent="0.2">
      <c r="A9" t="s">
        <v>2546</v>
      </c>
      <c r="B9">
        <v>825</v>
      </c>
      <c r="C9" s="5">
        <v>45667</v>
      </c>
      <c r="D9" s="5">
        <v>45667.495833333334</v>
      </c>
      <c r="E9" t="s">
        <v>80</v>
      </c>
      <c r="F9">
        <v>923210</v>
      </c>
      <c r="G9" t="s">
        <v>57</v>
      </c>
      <c r="H9" t="s">
        <v>31</v>
      </c>
      <c r="I9" t="s">
        <v>32</v>
      </c>
      <c r="J9" s="57">
        <v>601016000</v>
      </c>
      <c r="K9" s="57">
        <v>111799679</v>
      </c>
      <c r="L9" s="57">
        <v>601016000</v>
      </c>
      <c r="M9" s="57">
        <v>111799679</v>
      </c>
      <c r="N9" t="s">
        <v>65</v>
      </c>
      <c r="O9">
        <v>0</v>
      </c>
      <c r="P9" t="s">
        <v>3850</v>
      </c>
      <c r="Q9" t="s">
        <v>3851</v>
      </c>
      <c r="R9">
        <v>0</v>
      </c>
      <c r="S9">
        <v>0</v>
      </c>
    </row>
    <row r="10" spans="1:19" x14ac:dyDescent="0.2">
      <c r="A10" t="s">
        <v>2547</v>
      </c>
      <c r="B10">
        <v>925</v>
      </c>
      <c r="C10" s="5">
        <v>45667</v>
      </c>
      <c r="D10" s="5">
        <v>45667.49722222222</v>
      </c>
      <c r="E10" t="s">
        <v>80</v>
      </c>
      <c r="F10">
        <v>923211</v>
      </c>
      <c r="G10" t="s">
        <v>29</v>
      </c>
      <c r="H10" t="s">
        <v>31</v>
      </c>
      <c r="I10" t="s">
        <v>32</v>
      </c>
      <c r="J10" s="57">
        <v>56049047</v>
      </c>
      <c r="K10" s="57">
        <v>49274676</v>
      </c>
      <c r="L10" s="57">
        <v>56049047</v>
      </c>
      <c r="M10" s="57">
        <v>49274676</v>
      </c>
      <c r="N10" t="s">
        <v>70</v>
      </c>
      <c r="O10">
        <v>0</v>
      </c>
      <c r="P10" t="s">
        <v>4612</v>
      </c>
      <c r="Q10" t="s">
        <v>3853</v>
      </c>
      <c r="R10">
        <v>0</v>
      </c>
      <c r="S10">
        <v>0</v>
      </c>
    </row>
    <row r="11" spans="1:19" x14ac:dyDescent="0.2">
      <c r="A11" t="s">
        <v>2548</v>
      </c>
      <c r="B11">
        <v>1025</v>
      </c>
      <c r="C11" s="5">
        <v>45667</v>
      </c>
      <c r="D11" s="5">
        <v>45667.505555555559</v>
      </c>
      <c r="E11" t="s">
        <v>80</v>
      </c>
      <c r="F11">
        <v>923211</v>
      </c>
      <c r="G11" t="s">
        <v>29</v>
      </c>
      <c r="H11" t="s">
        <v>31</v>
      </c>
      <c r="I11" t="s">
        <v>32</v>
      </c>
      <c r="J11" s="57">
        <v>93433900</v>
      </c>
      <c r="K11" s="57">
        <v>0</v>
      </c>
      <c r="L11" s="57">
        <v>93433900</v>
      </c>
      <c r="M11" s="57">
        <v>0</v>
      </c>
      <c r="N11" t="s">
        <v>73</v>
      </c>
      <c r="O11">
        <v>0</v>
      </c>
      <c r="P11" t="s">
        <v>3854</v>
      </c>
      <c r="Q11" t="s">
        <v>4613</v>
      </c>
      <c r="R11">
        <v>0</v>
      </c>
      <c r="S11">
        <v>0</v>
      </c>
    </row>
    <row r="12" spans="1:19" x14ac:dyDescent="0.2">
      <c r="A12" t="s">
        <v>2223</v>
      </c>
      <c r="B12">
        <v>1125</v>
      </c>
      <c r="C12" s="5">
        <v>45667</v>
      </c>
      <c r="D12" s="5">
        <v>45667.523611111108</v>
      </c>
      <c r="E12" t="s">
        <v>27</v>
      </c>
      <c r="F12">
        <v>923210</v>
      </c>
      <c r="G12" t="s">
        <v>29</v>
      </c>
      <c r="H12" t="s">
        <v>47</v>
      </c>
      <c r="I12" t="s">
        <v>76</v>
      </c>
      <c r="J12" s="57">
        <v>89656032</v>
      </c>
      <c r="K12" s="57">
        <v>89656032</v>
      </c>
      <c r="L12" s="57">
        <v>89656032</v>
      </c>
      <c r="M12" s="57">
        <v>89656032</v>
      </c>
      <c r="N12" t="s">
        <v>77</v>
      </c>
      <c r="O12">
        <v>0</v>
      </c>
      <c r="P12">
        <v>0</v>
      </c>
      <c r="Q12">
        <v>0</v>
      </c>
      <c r="R12">
        <v>0</v>
      </c>
      <c r="S12">
        <v>0</v>
      </c>
    </row>
    <row r="13" spans="1:19" x14ac:dyDescent="0.2">
      <c r="A13" t="s">
        <v>2225</v>
      </c>
      <c r="B13">
        <v>1225</v>
      </c>
      <c r="C13" s="5">
        <v>45667</v>
      </c>
      <c r="D13" s="5">
        <v>45667.546527777777</v>
      </c>
      <c r="E13" t="s">
        <v>80</v>
      </c>
      <c r="F13">
        <v>923210</v>
      </c>
      <c r="G13" t="s">
        <v>29</v>
      </c>
      <c r="H13" t="s">
        <v>47</v>
      </c>
      <c r="I13" t="s">
        <v>48</v>
      </c>
      <c r="J13" s="57">
        <v>250000000</v>
      </c>
      <c r="K13" s="57" t="e">
        <v>#VALUE!</v>
      </c>
      <c r="L13" s="57">
        <v>250000000</v>
      </c>
      <c r="M13" s="57" t="e">
        <v>#VALUE!</v>
      </c>
      <c r="N13" t="s">
        <v>81</v>
      </c>
      <c r="O13" t="s">
        <v>4615</v>
      </c>
      <c r="P13" t="s">
        <v>4616</v>
      </c>
      <c r="Q13" t="s">
        <v>4617</v>
      </c>
      <c r="R13">
        <v>0</v>
      </c>
      <c r="S13">
        <v>0</v>
      </c>
    </row>
    <row r="14" spans="1:19" x14ac:dyDescent="0.2">
      <c r="A14" t="s">
        <v>2549</v>
      </c>
      <c r="B14">
        <v>1325</v>
      </c>
      <c r="C14" s="5">
        <v>45667</v>
      </c>
      <c r="D14" s="5">
        <v>45667.554861111108</v>
      </c>
      <c r="E14" t="s">
        <v>80</v>
      </c>
      <c r="F14">
        <v>923210</v>
      </c>
      <c r="G14" t="s">
        <v>84</v>
      </c>
      <c r="H14" t="s">
        <v>47</v>
      </c>
      <c r="I14" t="s">
        <v>48</v>
      </c>
      <c r="J14" s="57">
        <v>25750000</v>
      </c>
      <c r="K14" s="57">
        <v>0</v>
      </c>
      <c r="L14" s="57">
        <v>25857700</v>
      </c>
      <c r="M14" s="57">
        <v>0</v>
      </c>
      <c r="N14" t="s">
        <v>86</v>
      </c>
      <c r="O14">
        <v>0</v>
      </c>
      <c r="P14">
        <v>0</v>
      </c>
      <c r="Q14">
        <v>0</v>
      </c>
      <c r="R14">
        <v>0</v>
      </c>
      <c r="S14">
        <v>0</v>
      </c>
    </row>
    <row r="15" spans="1:19" x14ac:dyDescent="0.2">
      <c r="A15" t="s">
        <v>2550</v>
      </c>
      <c r="B15">
        <v>1425</v>
      </c>
      <c r="C15" s="5">
        <v>45667</v>
      </c>
      <c r="D15" s="5">
        <v>45667.568749999999</v>
      </c>
      <c r="E15" t="s">
        <v>27</v>
      </c>
      <c r="F15">
        <v>923210</v>
      </c>
      <c r="G15" t="s">
        <v>29</v>
      </c>
      <c r="H15" t="s">
        <v>31</v>
      </c>
      <c r="I15" t="s">
        <v>32</v>
      </c>
      <c r="J15" s="57">
        <v>25837331</v>
      </c>
      <c r="K15" s="57">
        <v>0</v>
      </c>
      <c r="L15" s="57">
        <v>0</v>
      </c>
      <c r="M15" s="57">
        <v>0</v>
      </c>
      <c r="N15" t="s">
        <v>89</v>
      </c>
      <c r="O15">
        <v>0</v>
      </c>
      <c r="P15">
        <v>0</v>
      </c>
      <c r="Q15">
        <v>0</v>
      </c>
      <c r="R15">
        <v>0</v>
      </c>
      <c r="S15">
        <v>0</v>
      </c>
    </row>
    <row r="16" spans="1:19" x14ac:dyDescent="0.2">
      <c r="A16" t="s">
        <v>2551</v>
      </c>
      <c r="B16">
        <v>1525</v>
      </c>
      <c r="C16" s="5">
        <v>45667</v>
      </c>
      <c r="D16" s="5">
        <v>45667.571527777778</v>
      </c>
      <c r="E16" t="s">
        <v>27</v>
      </c>
      <c r="F16">
        <v>923210</v>
      </c>
      <c r="G16" t="s">
        <v>29</v>
      </c>
      <c r="H16" t="s">
        <v>31</v>
      </c>
      <c r="I16" t="s">
        <v>32</v>
      </c>
      <c r="J16" s="57">
        <v>53652156</v>
      </c>
      <c r="K16" s="57">
        <v>53652156</v>
      </c>
      <c r="L16" s="57">
        <v>53652156</v>
      </c>
      <c r="M16" s="57">
        <v>53652156</v>
      </c>
      <c r="N16" t="s">
        <v>92</v>
      </c>
      <c r="O16">
        <v>0</v>
      </c>
      <c r="P16">
        <v>0</v>
      </c>
      <c r="Q16">
        <v>0</v>
      </c>
      <c r="R16">
        <v>0</v>
      </c>
      <c r="S16">
        <v>0</v>
      </c>
    </row>
    <row r="17" spans="1:19" x14ac:dyDescent="0.2">
      <c r="A17" t="s">
        <v>2552</v>
      </c>
      <c r="B17">
        <v>1625</v>
      </c>
      <c r="C17" s="5">
        <v>45667</v>
      </c>
      <c r="D17" s="5">
        <v>45667.574999999997</v>
      </c>
      <c r="E17" t="s">
        <v>80</v>
      </c>
      <c r="F17">
        <v>923210</v>
      </c>
      <c r="G17" t="s">
        <v>29</v>
      </c>
      <c r="H17" t="s">
        <v>31</v>
      </c>
      <c r="I17" t="s">
        <v>32</v>
      </c>
      <c r="J17" s="57">
        <v>21424000</v>
      </c>
      <c r="K17" s="57">
        <v>18110709</v>
      </c>
      <c r="L17" s="57">
        <v>21424000</v>
      </c>
      <c r="M17" s="57">
        <v>18110709</v>
      </c>
      <c r="N17" t="s">
        <v>95</v>
      </c>
      <c r="O17">
        <v>0</v>
      </c>
      <c r="P17" t="s">
        <v>4619</v>
      </c>
      <c r="Q17" t="s">
        <v>3856</v>
      </c>
      <c r="R17">
        <v>0</v>
      </c>
      <c r="S17">
        <v>0</v>
      </c>
    </row>
    <row r="18" spans="1:19" x14ac:dyDescent="0.2">
      <c r="A18" t="s">
        <v>2553</v>
      </c>
      <c r="B18">
        <v>1725</v>
      </c>
      <c r="C18" s="5">
        <v>45667</v>
      </c>
      <c r="D18" s="5">
        <v>45667.577777777777</v>
      </c>
      <c r="E18" t="s">
        <v>27</v>
      </c>
      <c r="F18">
        <v>923210</v>
      </c>
      <c r="G18" t="s">
        <v>29</v>
      </c>
      <c r="H18" t="s">
        <v>47</v>
      </c>
      <c r="I18" t="s">
        <v>48</v>
      </c>
      <c r="J18" s="57">
        <v>96800000</v>
      </c>
      <c r="K18" s="57">
        <v>0</v>
      </c>
      <c r="L18" s="57">
        <v>0</v>
      </c>
      <c r="M18" s="57">
        <v>0</v>
      </c>
      <c r="N18" t="s">
        <v>98</v>
      </c>
      <c r="O18">
        <v>0</v>
      </c>
      <c r="P18">
        <v>0</v>
      </c>
      <c r="Q18">
        <v>0</v>
      </c>
      <c r="R18">
        <v>0</v>
      </c>
      <c r="S18">
        <v>0</v>
      </c>
    </row>
    <row r="19" spans="1:19" x14ac:dyDescent="0.2">
      <c r="A19" t="s">
        <v>2554</v>
      </c>
      <c r="B19">
        <v>1825</v>
      </c>
      <c r="C19" s="5">
        <v>45667</v>
      </c>
      <c r="D19" s="5">
        <v>45667.580555555556</v>
      </c>
      <c r="E19" t="s">
        <v>27</v>
      </c>
      <c r="F19">
        <v>923210</v>
      </c>
      <c r="G19" t="s">
        <v>29</v>
      </c>
      <c r="H19" t="s">
        <v>47</v>
      </c>
      <c r="I19" t="s">
        <v>101</v>
      </c>
      <c r="J19" s="57">
        <v>4613885</v>
      </c>
      <c r="K19" s="57">
        <v>4613885</v>
      </c>
      <c r="L19" s="57">
        <v>4613885</v>
      </c>
      <c r="M19" s="57">
        <v>4613885</v>
      </c>
      <c r="N19" t="s">
        <v>102</v>
      </c>
      <c r="O19">
        <v>0</v>
      </c>
      <c r="P19">
        <v>0</v>
      </c>
      <c r="Q19">
        <v>0</v>
      </c>
      <c r="R19">
        <v>0</v>
      </c>
      <c r="S19">
        <v>0</v>
      </c>
    </row>
    <row r="20" spans="1:19" x14ac:dyDescent="0.2">
      <c r="A20" t="s">
        <v>2555</v>
      </c>
      <c r="B20">
        <v>1925</v>
      </c>
      <c r="C20" s="5">
        <v>45667</v>
      </c>
      <c r="D20" s="5">
        <v>45667.584027777775</v>
      </c>
      <c r="E20" t="s">
        <v>80</v>
      </c>
      <c r="F20">
        <v>923210</v>
      </c>
      <c r="G20" t="s">
        <v>29</v>
      </c>
      <c r="H20" t="s">
        <v>31</v>
      </c>
      <c r="I20" t="s">
        <v>32</v>
      </c>
      <c r="J20" s="57">
        <v>985067590</v>
      </c>
      <c r="K20" s="57">
        <v>11426872</v>
      </c>
      <c r="L20" s="57">
        <v>985067590</v>
      </c>
      <c r="M20" s="57">
        <v>11426872</v>
      </c>
      <c r="N20" t="s">
        <v>105</v>
      </c>
      <c r="O20">
        <v>0</v>
      </c>
      <c r="P20" t="s">
        <v>3858</v>
      </c>
      <c r="Q20" t="s">
        <v>4620</v>
      </c>
      <c r="R20">
        <v>0</v>
      </c>
      <c r="S20">
        <v>0</v>
      </c>
    </row>
    <row r="21" spans="1:19" x14ac:dyDescent="0.2">
      <c r="A21" t="s">
        <v>2556</v>
      </c>
      <c r="B21">
        <v>2025</v>
      </c>
      <c r="C21" s="5">
        <v>45667</v>
      </c>
      <c r="D21" s="5">
        <v>45667.586805555555</v>
      </c>
      <c r="E21" t="s">
        <v>27</v>
      </c>
      <c r="F21">
        <v>923210</v>
      </c>
      <c r="G21" t="s">
        <v>29</v>
      </c>
      <c r="H21" t="s">
        <v>31</v>
      </c>
      <c r="I21" t="s">
        <v>32</v>
      </c>
      <c r="J21" s="57">
        <v>20250000</v>
      </c>
      <c r="K21" s="57">
        <v>0</v>
      </c>
      <c r="L21" s="57">
        <v>0</v>
      </c>
      <c r="M21" s="57">
        <v>0</v>
      </c>
      <c r="N21" t="s">
        <v>108</v>
      </c>
      <c r="O21">
        <v>0</v>
      </c>
      <c r="P21">
        <v>0</v>
      </c>
      <c r="Q21">
        <v>0</v>
      </c>
      <c r="R21">
        <v>0</v>
      </c>
      <c r="S21">
        <v>0</v>
      </c>
    </row>
    <row r="22" spans="1:19" x14ac:dyDescent="0.2">
      <c r="A22" t="s">
        <v>2557</v>
      </c>
      <c r="B22">
        <v>2125</v>
      </c>
      <c r="C22" s="5">
        <v>45667</v>
      </c>
      <c r="D22" s="5">
        <v>45667.620833333334</v>
      </c>
      <c r="E22" t="s">
        <v>80</v>
      </c>
      <c r="F22">
        <v>923211</v>
      </c>
      <c r="G22" t="s">
        <v>29</v>
      </c>
      <c r="H22" t="s">
        <v>31</v>
      </c>
      <c r="I22" t="s">
        <v>32</v>
      </c>
      <c r="J22" s="57">
        <v>5069351435</v>
      </c>
      <c r="K22" s="57">
        <v>386895919</v>
      </c>
      <c r="L22" s="57">
        <v>5069351435</v>
      </c>
      <c r="M22" s="57">
        <v>386895919</v>
      </c>
      <c r="N22" t="s">
        <v>111</v>
      </c>
      <c r="O22">
        <v>0</v>
      </c>
      <c r="P22" t="s">
        <v>3859</v>
      </c>
      <c r="Q22" t="s">
        <v>3860</v>
      </c>
      <c r="R22">
        <v>0</v>
      </c>
      <c r="S22">
        <v>0</v>
      </c>
    </row>
    <row r="23" spans="1:19" x14ac:dyDescent="0.2">
      <c r="A23" t="s">
        <v>2558</v>
      </c>
      <c r="B23">
        <v>2225</v>
      </c>
      <c r="C23" s="5">
        <v>45667</v>
      </c>
      <c r="D23" s="5">
        <v>45667.623611111114</v>
      </c>
      <c r="E23" t="s">
        <v>27</v>
      </c>
      <c r="F23">
        <v>923211</v>
      </c>
      <c r="G23" t="s">
        <v>29</v>
      </c>
      <c r="H23" t="s">
        <v>31</v>
      </c>
      <c r="I23" t="s">
        <v>32</v>
      </c>
      <c r="J23" s="57">
        <v>142424659</v>
      </c>
      <c r="K23" s="57">
        <v>0</v>
      </c>
      <c r="L23" s="57">
        <v>0</v>
      </c>
      <c r="M23" s="57">
        <v>0</v>
      </c>
      <c r="N23" t="s">
        <v>114</v>
      </c>
      <c r="O23">
        <v>0</v>
      </c>
      <c r="P23">
        <v>0</v>
      </c>
      <c r="Q23">
        <v>0</v>
      </c>
      <c r="R23">
        <v>0</v>
      </c>
      <c r="S23">
        <v>0</v>
      </c>
    </row>
    <row r="24" spans="1:19" x14ac:dyDescent="0.2">
      <c r="A24" t="s">
        <v>2559</v>
      </c>
      <c r="B24">
        <v>2325</v>
      </c>
      <c r="C24" s="5">
        <v>45667</v>
      </c>
      <c r="D24" s="5">
        <v>45667.65902777778</v>
      </c>
      <c r="E24" t="s">
        <v>80</v>
      </c>
      <c r="F24">
        <v>923218</v>
      </c>
      <c r="G24" t="s">
        <v>119</v>
      </c>
      <c r="H24" t="s">
        <v>47</v>
      </c>
      <c r="I24" t="s">
        <v>121</v>
      </c>
      <c r="J24" s="57">
        <v>1029684265</v>
      </c>
      <c r="K24" s="57">
        <v>997228465</v>
      </c>
      <c r="L24" s="57">
        <v>1029684265</v>
      </c>
      <c r="M24" s="57">
        <v>997228465</v>
      </c>
      <c r="N24" t="s">
        <v>122</v>
      </c>
      <c r="O24">
        <v>0</v>
      </c>
      <c r="P24" t="s">
        <v>3862</v>
      </c>
      <c r="Q24" t="s">
        <v>3863</v>
      </c>
      <c r="R24">
        <v>0</v>
      </c>
      <c r="S24">
        <v>0</v>
      </c>
    </row>
    <row r="25" spans="1:19" x14ac:dyDescent="0.2">
      <c r="A25" t="s">
        <v>2560</v>
      </c>
      <c r="B25">
        <v>2425</v>
      </c>
      <c r="C25" s="5">
        <v>45667</v>
      </c>
      <c r="D25" s="5">
        <v>45667.662499999999</v>
      </c>
      <c r="E25" t="s">
        <v>27</v>
      </c>
      <c r="F25">
        <v>923218</v>
      </c>
      <c r="G25" t="s">
        <v>29</v>
      </c>
      <c r="H25" t="s">
        <v>47</v>
      </c>
      <c r="I25" t="s">
        <v>121</v>
      </c>
      <c r="J25" s="57">
        <v>77333333</v>
      </c>
      <c r="K25" s="57">
        <v>77333333</v>
      </c>
      <c r="L25" s="57">
        <v>77333333</v>
      </c>
      <c r="M25" s="57">
        <v>77333333</v>
      </c>
      <c r="N25" t="s">
        <v>125</v>
      </c>
      <c r="O25">
        <v>0</v>
      </c>
      <c r="P25">
        <v>0</v>
      </c>
      <c r="Q25">
        <v>0</v>
      </c>
      <c r="R25">
        <v>0</v>
      </c>
      <c r="S25">
        <v>0</v>
      </c>
    </row>
    <row r="26" spans="1:19" x14ac:dyDescent="0.2">
      <c r="A26" t="s">
        <v>2561</v>
      </c>
      <c r="B26">
        <v>2525</v>
      </c>
      <c r="C26" s="5">
        <v>45667</v>
      </c>
      <c r="D26" s="5">
        <v>45667.667361111111</v>
      </c>
      <c r="E26" t="s">
        <v>27</v>
      </c>
      <c r="F26">
        <v>923218</v>
      </c>
      <c r="G26" t="s">
        <v>29</v>
      </c>
      <c r="H26" t="s">
        <v>47</v>
      </c>
      <c r="I26" t="s">
        <v>121</v>
      </c>
      <c r="J26" s="57">
        <v>74862263</v>
      </c>
      <c r="K26" s="57">
        <v>0</v>
      </c>
      <c r="L26" s="57">
        <v>0</v>
      </c>
      <c r="M26" s="57">
        <v>0</v>
      </c>
      <c r="N26" t="s">
        <v>128</v>
      </c>
      <c r="O26">
        <v>0</v>
      </c>
      <c r="P26">
        <v>0</v>
      </c>
      <c r="Q26">
        <v>0</v>
      </c>
      <c r="R26">
        <v>0</v>
      </c>
      <c r="S26">
        <v>0</v>
      </c>
    </row>
    <row r="27" spans="1:19" x14ac:dyDescent="0.2">
      <c r="A27" t="s">
        <v>2562</v>
      </c>
      <c r="B27">
        <v>2625</v>
      </c>
      <c r="C27" s="5">
        <v>45667</v>
      </c>
      <c r="D27" s="5">
        <v>45667.671527777777</v>
      </c>
      <c r="E27" t="s">
        <v>27</v>
      </c>
      <c r="F27">
        <v>923218</v>
      </c>
      <c r="G27" t="s">
        <v>29</v>
      </c>
      <c r="H27" t="s">
        <v>47</v>
      </c>
      <c r="I27" t="s">
        <v>121</v>
      </c>
      <c r="J27" s="57">
        <v>41443028</v>
      </c>
      <c r="K27" s="57">
        <v>0</v>
      </c>
      <c r="L27" s="57">
        <v>0</v>
      </c>
      <c r="M27" s="57">
        <v>0</v>
      </c>
      <c r="N27" t="s">
        <v>131</v>
      </c>
      <c r="O27">
        <v>0</v>
      </c>
      <c r="P27">
        <v>0</v>
      </c>
      <c r="Q27">
        <v>0</v>
      </c>
      <c r="R27">
        <v>0</v>
      </c>
      <c r="S27">
        <v>0</v>
      </c>
    </row>
    <row r="28" spans="1:19" x14ac:dyDescent="0.2">
      <c r="A28" t="s">
        <v>2563</v>
      </c>
      <c r="B28">
        <v>2725</v>
      </c>
      <c r="C28" s="5">
        <v>45667</v>
      </c>
      <c r="D28" s="5">
        <v>45667.679861111108</v>
      </c>
      <c r="E28" t="s">
        <v>27</v>
      </c>
      <c r="F28">
        <v>923218</v>
      </c>
      <c r="G28" t="s">
        <v>29</v>
      </c>
      <c r="H28" t="s">
        <v>47</v>
      </c>
      <c r="I28" t="s">
        <v>121</v>
      </c>
      <c r="J28" s="57">
        <v>29425719</v>
      </c>
      <c r="K28" s="57">
        <v>0</v>
      </c>
      <c r="L28" s="57">
        <v>0</v>
      </c>
      <c r="M28" s="57">
        <v>0</v>
      </c>
      <c r="N28" t="s">
        <v>134</v>
      </c>
      <c r="O28">
        <v>0</v>
      </c>
      <c r="P28">
        <v>0</v>
      </c>
      <c r="Q28">
        <v>0</v>
      </c>
      <c r="R28">
        <v>0</v>
      </c>
      <c r="S28">
        <v>0</v>
      </c>
    </row>
    <row r="29" spans="1:19" x14ac:dyDescent="0.2">
      <c r="A29" t="s">
        <v>2564</v>
      </c>
      <c r="B29">
        <v>2825</v>
      </c>
      <c r="C29" s="5">
        <v>45667</v>
      </c>
      <c r="D29" s="5">
        <v>45667.683333333334</v>
      </c>
      <c r="E29" t="s">
        <v>80</v>
      </c>
      <c r="F29">
        <v>923218</v>
      </c>
      <c r="G29" t="s">
        <v>29</v>
      </c>
      <c r="H29" t="s">
        <v>47</v>
      </c>
      <c r="I29" t="s">
        <v>121</v>
      </c>
      <c r="J29" s="57">
        <v>155254590</v>
      </c>
      <c r="K29" s="57">
        <v>65104174</v>
      </c>
      <c r="L29" s="57">
        <v>155254590</v>
      </c>
      <c r="M29" s="57">
        <v>65104174</v>
      </c>
      <c r="N29" t="s">
        <v>137</v>
      </c>
      <c r="O29">
        <v>0</v>
      </c>
      <c r="P29">
        <v>39025</v>
      </c>
      <c r="Q29">
        <v>64619425</v>
      </c>
      <c r="R29">
        <v>0</v>
      </c>
      <c r="S29">
        <v>0</v>
      </c>
    </row>
    <row r="30" spans="1:19" x14ac:dyDescent="0.2">
      <c r="A30" t="s">
        <v>2565</v>
      </c>
      <c r="B30">
        <v>2925</v>
      </c>
      <c r="C30" s="5">
        <v>45667</v>
      </c>
      <c r="D30" s="5">
        <v>45667.714583333334</v>
      </c>
      <c r="E30" t="s">
        <v>27</v>
      </c>
      <c r="F30">
        <v>923227</v>
      </c>
      <c r="G30" t="s">
        <v>142</v>
      </c>
      <c r="H30" t="s">
        <v>31</v>
      </c>
      <c r="I30" t="s">
        <v>32</v>
      </c>
      <c r="J30" s="57">
        <v>100000000</v>
      </c>
      <c r="K30" s="57">
        <v>0</v>
      </c>
      <c r="L30" s="57">
        <v>0</v>
      </c>
      <c r="M30" s="57">
        <v>0</v>
      </c>
      <c r="N30" t="s">
        <v>144</v>
      </c>
      <c r="O30">
        <v>0</v>
      </c>
      <c r="P30">
        <v>0</v>
      </c>
      <c r="Q30">
        <v>0</v>
      </c>
      <c r="R30">
        <v>0</v>
      </c>
      <c r="S30">
        <v>0</v>
      </c>
    </row>
    <row r="31" spans="1:19" x14ac:dyDescent="0.2">
      <c r="A31" t="s">
        <v>2566</v>
      </c>
      <c r="B31">
        <v>3025</v>
      </c>
      <c r="C31" s="5">
        <v>45667</v>
      </c>
      <c r="D31" s="5">
        <v>45667.716666666667</v>
      </c>
      <c r="E31" t="s">
        <v>27</v>
      </c>
      <c r="F31">
        <v>923227</v>
      </c>
      <c r="G31" t="s">
        <v>142</v>
      </c>
      <c r="H31" t="s">
        <v>31</v>
      </c>
      <c r="I31" t="s">
        <v>32</v>
      </c>
      <c r="J31" s="57">
        <v>150000000</v>
      </c>
      <c r="K31" s="57">
        <v>150000000</v>
      </c>
      <c r="L31" s="57">
        <v>150000000</v>
      </c>
      <c r="M31" s="57">
        <v>150000000</v>
      </c>
      <c r="N31" t="s">
        <v>147</v>
      </c>
      <c r="O31">
        <v>0</v>
      </c>
      <c r="P31">
        <v>0</v>
      </c>
      <c r="Q31">
        <v>0</v>
      </c>
      <c r="R31">
        <v>0</v>
      </c>
      <c r="S31">
        <v>0</v>
      </c>
    </row>
    <row r="32" spans="1:19" x14ac:dyDescent="0.2">
      <c r="A32" t="s">
        <v>2567</v>
      </c>
      <c r="B32">
        <v>3125</v>
      </c>
      <c r="C32" s="5">
        <v>45667</v>
      </c>
      <c r="D32" s="5">
        <v>45667.720138888886</v>
      </c>
      <c r="E32" t="s">
        <v>27</v>
      </c>
      <c r="F32">
        <v>923227</v>
      </c>
      <c r="G32" t="s">
        <v>142</v>
      </c>
      <c r="H32" t="s">
        <v>31</v>
      </c>
      <c r="I32" t="s">
        <v>32</v>
      </c>
      <c r="J32" s="57">
        <v>809700</v>
      </c>
      <c r="K32" s="57">
        <v>809700</v>
      </c>
      <c r="L32" s="57">
        <v>809700</v>
      </c>
      <c r="M32" s="57">
        <v>809700</v>
      </c>
      <c r="N32" t="s">
        <v>150</v>
      </c>
      <c r="O32">
        <v>0</v>
      </c>
      <c r="P32">
        <v>0</v>
      </c>
      <c r="Q32">
        <v>0</v>
      </c>
      <c r="R32">
        <v>0</v>
      </c>
      <c r="S32">
        <v>0</v>
      </c>
    </row>
    <row r="33" spans="1:19" x14ac:dyDescent="0.2">
      <c r="A33" t="s">
        <v>2568</v>
      </c>
      <c r="B33">
        <v>3225</v>
      </c>
      <c r="C33" s="5">
        <v>45667</v>
      </c>
      <c r="D33" s="5">
        <v>45667.722222222219</v>
      </c>
      <c r="E33" t="s">
        <v>80</v>
      </c>
      <c r="F33">
        <v>923227</v>
      </c>
      <c r="G33" t="s">
        <v>142</v>
      </c>
      <c r="H33" t="s">
        <v>31</v>
      </c>
      <c r="I33" t="s">
        <v>32</v>
      </c>
      <c r="J33" s="57">
        <v>164230925</v>
      </c>
      <c r="K33" s="57">
        <v>0</v>
      </c>
      <c r="L33" s="57">
        <v>193145600</v>
      </c>
      <c r="M33" s="57">
        <v>0</v>
      </c>
      <c r="N33" t="s">
        <v>153</v>
      </c>
      <c r="O33">
        <v>0</v>
      </c>
      <c r="P33" t="s">
        <v>3866</v>
      </c>
      <c r="Q33" t="s">
        <v>3867</v>
      </c>
      <c r="R33">
        <v>0</v>
      </c>
      <c r="S33">
        <v>0</v>
      </c>
    </row>
    <row r="34" spans="1:19" x14ac:dyDescent="0.2">
      <c r="A34" t="s">
        <v>2569</v>
      </c>
      <c r="B34">
        <v>3325</v>
      </c>
      <c r="C34" s="5">
        <v>45668</v>
      </c>
      <c r="D34" s="5">
        <v>45668.327777777777</v>
      </c>
      <c r="E34" t="s">
        <v>80</v>
      </c>
      <c r="F34">
        <v>923228</v>
      </c>
      <c r="G34" t="s">
        <v>159</v>
      </c>
      <c r="H34" t="s">
        <v>31</v>
      </c>
      <c r="I34" t="s">
        <v>32</v>
      </c>
      <c r="J34" s="57">
        <v>329120000</v>
      </c>
      <c r="K34" s="57">
        <v>2568276</v>
      </c>
      <c r="L34" s="57">
        <v>329120000</v>
      </c>
      <c r="M34" s="57">
        <v>2568276</v>
      </c>
      <c r="N34" t="s">
        <v>161</v>
      </c>
      <c r="O34">
        <v>0</v>
      </c>
      <c r="P34" t="s">
        <v>3868</v>
      </c>
      <c r="Q34" t="s">
        <v>3869</v>
      </c>
      <c r="R34">
        <v>0</v>
      </c>
      <c r="S34">
        <v>0</v>
      </c>
    </row>
    <row r="35" spans="1:19" x14ac:dyDescent="0.2">
      <c r="A35" t="s">
        <v>2570</v>
      </c>
      <c r="B35">
        <v>3325</v>
      </c>
      <c r="C35" s="5">
        <v>45668</v>
      </c>
      <c r="D35" s="5">
        <v>45668.327777777777</v>
      </c>
      <c r="E35" t="s">
        <v>80</v>
      </c>
      <c r="F35">
        <v>923286</v>
      </c>
      <c r="G35" t="s">
        <v>159</v>
      </c>
      <c r="H35" t="s">
        <v>31</v>
      </c>
      <c r="I35" t="s">
        <v>32</v>
      </c>
      <c r="J35" s="57">
        <v>19360000</v>
      </c>
      <c r="K35" s="57">
        <v>19360000</v>
      </c>
      <c r="L35" s="57">
        <v>19360000</v>
      </c>
      <c r="M35" s="57">
        <v>19360000</v>
      </c>
      <c r="N35" t="s">
        <v>161</v>
      </c>
      <c r="O35">
        <v>0</v>
      </c>
      <c r="P35" t="s">
        <v>3868</v>
      </c>
      <c r="Q35" t="s">
        <v>3869</v>
      </c>
      <c r="R35">
        <v>0</v>
      </c>
      <c r="S35">
        <v>0</v>
      </c>
    </row>
    <row r="36" spans="1:19" x14ac:dyDescent="0.2">
      <c r="A36" t="s">
        <v>2571</v>
      </c>
      <c r="B36">
        <v>3325</v>
      </c>
      <c r="C36" s="5">
        <v>45668</v>
      </c>
      <c r="D36" s="5">
        <v>45668.327777777777</v>
      </c>
      <c r="E36" t="s">
        <v>80</v>
      </c>
      <c r="F36">
        <v>923284</v>
      </c>
      <c r="G36" t="s">
        <v>159</v>
      </c>
      <c r="H36" t="s">
        <v>31</v>
      </c>
      <c r="I36" t="s">
        <v>32</v>
      </c>
      <c r="J36" s="57">
        <v>121000000</v>
      </c>
      <c r="K36" s="57">
        <v>484000</v>
      </c>
      <c r="L36" s="57">
        <v>121000000</v>
      </c>
      <c r="M36" s="57">
        <v>484000</v>
      </c>
      <c r="N36" t="s">
        <v>161</v>
      </c>
      <c r="O36">
        <v>0</v>
      </c>
      <c r="P36" t="s">
        <v>3868</v>
      </c>
      <c r="Q36" t="s">
        <v>3869</v>
      </c>
      <c r="R36">
        <v>0</v>
      </c>
      <c r="S36">
        <v>0</v>
      </c>
    </row>
    <row r="37" spans="1:19" x14ac:dyDescent="0.2">
      <c r="A37" t="s">
        <v>3902</v>
      </c>
      <c r="B37">
        <v>3425</v>
      </c>
      <c r="C37" s="5">
        <v>45668</v>
      </c>
      <c r="D37" s="5">
        <v>45668.335416666669</v>
      </c>
      <c r="E37" t="s">
        <v>80</v>
      </c>
      <c r="F37">
        <v>923286</v>
      </c>
      <c r="G37" t="s">
        <v>159</v>
      </c>
      <c r="H37" t="s">
        <v>31</v>
      </c>
      <c r="I37" t="s">
        <v>32</v>
      </c>
      <c r="J37" s="57">
        <v>0</v>
      </c>
      <c r="K37" s="57">
        <v>3000000</v>
      </c>
      <c r="L37" s="57">
        <v>3000000</v>
      </c>
      <c r="M37" s="57">
        <v>3000000</v>
      </c>
      <c r="N37" t="s">
        <v>168</v>
      </c>
      <c r="O37">
        <v>0</v>
      </c>
      <c r="P37" t="s">
        <v>4624</v>
      </c>
      <c r="Q37">
        <v>47483325</v>
      </c>
      <c r="R37">
        <v>0</v>
      </c>
      <c r="S37">
        <v>0</v>
      </c>
    </row>
    <row r="38" spans="1:19" x14ac:dyDescent="0.2">
      <c r="A38" t="s">
        <v>2573</v>
      </c>
      <c r="B38">
        <v>3425</v>
      </c>
      <c r="C38" s="5">
        <v>45668</v>
      </c>
      <c r="D38" s="5">
        <v>45668.335416666669</v>
      </c>
      <c r="E38" t="s">
        <v>80</v>
      </c>
      <c r="F38">
        <v>923228</v>
      </c>
      <c r="G38" t="s">
        <v>159</v>
      </c>
      <c r="H38" t="s">
        <v>31</v>
      </c>
      <c r="I38" t="s">
        <v>32</v>
      </c>
      <c r="J38" s="57">
        <v>10148000</v>
      </c>
      <c r="K38" s="57">
        <v>18731263</v>
      </c>
      <c r="L38" s="57">
        <v>20148000</v>
      </c>
      <c r="M38" s="57">
        <v>18731263</v>
      </c>
      <c r="N38" t="s">
        <v>168</v>
      </c>
      <c r="O38">
        <v>0</v>
      </c>
      <c r="P38" t="s">
        <v>4624</v>
      </c>
      <c r="Q38">
        <v>47483325</v>
      </c>
      <c r="R38">
        <v>0</v>
      </c>
      <c r="S38">
        <v>0</v>
      </c>
    </row>
    <row r="39" spans="1:19" x14ac:dyDescent="0.2">
      <c r="A39" t="s">
        <v>2572</v>
      </c>
      <c r="B39">
        <v>3425</v>
      </c>
      <c r="C39" s="5">
        <v>45668</v>
      </c>
      <c r="D39" s="5">
        <v>45668.335416666669</v>
      </c>
      <c r="E39" t="s">
        <v>80</v>
      </c>
      <c r="F39">
        <v>923284</v>
      </c>
      <c r="G39" t="s">
        <v>159</v>
      </c>
      <c r="H39" t="s">
        <v>31</v>
      </c>
      <c r="I39" t="s">
        <v>32</v>
      </c>
      <c r="J39" s="57">
        <v>0</v>
      </c>
      <c r="K39" s="57">
        <v>13093117</v>
      </c>
      <c r="L39" s="57">
        <v>13810000</v>
      </c>
      <c r="M39" s="57">
        <v>13093117</v>
      </c>
      <c r="N39" t="s">
        <v>168</v>
      </c>
      <c r="O39">
        <v>0</v>
      </c>
      <c r="P39" t="s">
        <v>4624</v>
      </c>
      <c r="Q39">
        <v>47483325</v>
      </c>
      <c r="R39">
        <v>0</v>
      </c>
      <c r="S39">
        <v>0</v>
      </c>
    </row>
    <row r="40" spans="1:19" x14ac:dyDescent="0.2">
      <c r="A40" t="s">
        <v>2574</v>
      </c>
      <c r="B40">
        <v>3525</v>
      </c>
      <c r="C40" s="5">
        <v>45668</v>
      </c>
      <c r="D40" s="5">
        <v>45668.352777777778</v>
      </c>
      <c r="E40" t="s">
        <v>80</v>
      </c>
      <c r="F40">
        <v>923228</v>
      </c>
      <c r="G40" t="s">
        <v>159</v>
      </c>
      <c r="H40" t="s">
        <v>31</v>
      </c>
      <c r="I40" t="s">
        <v>32</v>
      </c>
      <c r="J40" s="57">
        <v>29480000</v>
      </c>
      <c r="K40" s="57">
        <v>0</v>
      </c>
      <c r="L40" s="57">
        <v>29480000</v>
      </c>
      <c r="M40" s="57">
        <v>0</v>
      </c>
      <c r="N40" t="s">
        <v>171</v>
      </c>
      <c r="O40">
        <v>0</v>
      </c>
      <c r="P40">
        <v>15925</v>
      </c>
      <c r="Q40">
        <v>64542825</v>
      </c>
      <c r="R40">
        <v>0</v>
      </c>
      <c r="S40">
        <v>0</v>
      </c>
    </row>
    <row r="41" spans="1:19" x14ac:dyDescent="0.2">
      <c r="A41" t="s">
        <v>3903</v>
      </c>
      <c r="B41">
        <v>3625</v>
      </c>
      <c r="C41" s="5">
        <v>45668</v>
      </c>
      <c r="D41" s="5">
        <v>45668.363888888889</v>
      </c>
      <c r="E41" t="s">
        <v>80</v>
      </c>
      <c r="F41">
        <v>923242</v>
      </c>
      <c r="G41" t="s">
        <v>29</v>
      </c>
      <c r="H41" t="s">
        <v>47</v>
      </c>
      <c r="I41" t="s">
        <v>48</v>
      </c>
      <c r="J41" s="57">
        <v>0</v>
      </c>
      <c r="K41" s="57">
        <v>220578</v>
      </c>
      <c r="L41" s="57">
        <v>31345822</v>
      </c>
      <c r="M41" s="57">
        <v>220578</v>
      </c>
      <c r="N41" t="s">
        <v>176</v>
      </c>
      <c r="O41">
        <v>0</v>
      </c>
      <c r="P41" t="s">
        <v>3871</v>
      </c>
      <c r="Q41" t="s">
        <v>3872</v>
      </c>
      <c r="R41">
        <v>0</v>
      </c>
      <c r="S41">
        <v>0</v>
      </c>
    </row>
    <row r="42" spans="1:19" x14ac:dyDescent="0.2">
      <c r="A42" t="s">
        <v>2575</v>
      </c>
      <c r="B42">
        <v>3625</v>
      </c>
      <c r="C42" s="5">
        <v>45668</v>
      </c>
      <c r="D42" s="5">
        <v>45668.363888888889</v>
      </c>
      <c r="E42" t="s">
        <v>80</v>
      </c>
      <c r="F42">
        <v>923242</v>
      </c>
      <c r="G42" t="s">
        <v>29</v>
      </c>
      <c r="H42" t="s">
        <v>31</v>
      </c>
      <c r="I42" t="s">
        <v>32</v>
      </c>
      <c r="J42" s="57">
        <v>423005721</v>
      </c>
      <c r="K42" s="57">
        <v>69515419</v>
      </c>
      <c r="L42" s="57">
        <v>423005721</v>
      </c>
      <c r="M42" s="57">
        <v>69515419</v>
      </c>
      <c r="N42" t="s">
        <v>176</v>
      </c>
      <c r="O42">
        <v>0</v>
      </c>
      <c r="P42" t="s">
        <v>3871</v>
      </c>
      <c r="Q42" t="s">
        <v>3872</v>
      </c>
      <c r="R42">
        <v>0</v>
      </c>
      <c r="S42">
        <v>0</v>
      </c>
    </row>
    <row r="43" spans="1:19" x14ac:dyDescent="0.2">
      <c r="A43" t="s">
        <v>2576</v>
      </c>
      <c r="B43">
        <v>3725</v>
      </c>
      <c r="C43" s="5">
        <v>45668</v>
      </c>
      <c r="D43" s="5">
        <v>45668.370138888888</v>
      </c>
      <c r="E43" t="s">
        <v>27</v>
      </c>
      <c r="F43">
        <v>923245</v>
      </c>
      <c r="G43" t="s">
        <v>29</v>
      </c>
      <c r="H43" t="s">
        <v>31</v>
      </c>
      <c r="I43" t="s">
        <v>32</v>
      </c>
      <c r="J43" s="57">
        <v>406238966</v>
      </c>
      <c r="K43" s="57">
        <v>0</v>
      </c>
      <c r="L43" s="57">
        <v>0</v>
      </c>
      <c r="M43" s="57">
        <v>0</v>
      </c>
      <c r="N43" t="s">
        <v>181</v>
      </c>
      <c r="O43">
        <v>0</v>
      </c>
      <c r="P43">
        <v>0</v>
      </c>
      <c r="Q43">
        <v>0</v>
      </c>
      <c r="R43">
        <v>0</v>
      </c>
      <c r="S43">
        <v>0</v>
      </c>
    </row>
    <row r="44" spans="1:19" x14ac:dyDescent="0.2">
      <c r="A44" t="s">
        <v>2577</v>
      </c>
      <c r="B44">
        <v>3825</v>
      </c>
      <c r="C44" s="5">
        <v>45668</v>
      </c>
      <c r="D44" s="5">
        <v>45668.377083333333</v>
      </c>
      <c r="E44" t="s">
        <v>80</v>
      </c>
      <c r="F44">
        <v>923245</v>
      </c>
      <c r="G44" t="s">
        <v>29</v>
      </c>
      <c r="H44" t="s">
        <v>31</v>
      </c>
      <c r="I44" t="s">
        <v>32</v>
      </c>
      <c r="J44" s="57">
        <v>7847025402</v>
      </c>
      <c r="K44" s="57">
        <v>543719959</v>
      </c>
      <c r="L44" s="57">
        <v>7847025402</v>
      </c>
      <c r="M44" s="57">
        <v>543719959</v>
      </c>
      <c r="N44" t="s">
        <v>184</v>
      </c>
      <c r="O44">
        <v>0</v>
      </c>
      <c r="P44" t="s">
        <v>3874</v>
      </c>
      <c r="Q44" t="s">
        <v>4625</v>
      </c>
      <c r="R44">
        <v>0</v>
      </c>
      <c r="S44">
        <v>0</v>
      </c>
    </row>
    <row r="45" spans="1:19" x14ac:dyDescent="0.2">
      <c r="A45" t="s">
        <v>2578</v>
      </c>
      <c r="B45">
        <v>3925</v>
      </c>
      <c r="C45" s="5">
        <v>45668</v>
      </c>
      <c r="D45" s="5">
        <v>45668.381249999999</v>
      </c>
      <c r="E45" t="s">
        <v>27</v>
      </c>
      <c r="F45">
        <v>923244</v>
      </c>
      <c r="G45" t="s">
        <v>119</v>
      </c>
      <c r="H45" t="s">
        <v>47</v>
      </c>
      <c r="I45" t="s">
        <v>48</v>
      </c>
      <c r="J45" s="57">
        <v>255274500</v>
      </c>
      <c r="K45" s="57">
        <v>255274500</v>
      </c>
      <c r="L45" s="57">
        <v>255274500</v>
      </c>
      <c r="M45" s="57">
        <v>255274500</v>
      </c>
      <c r="N45" t="s">
        <v>189</v>
      </c>
      <c r="O45">
        <v>0</v>
      </c>
      <c r="P45">
        <v>0</v>
      </c>
      <c r="Q45">
        <v>0</v>
      </c>
      <c r="R45">
        <v>0</v>
      </c>
      <c r="S45">
        <v>0</v>
      </c>
    </row>
    <row r="46" spans="1:19" x14ac:dyDescent="0.2">
      <c r="A46" t="s">
        <v>2579</v>
      </c>
      <c r="B46">
        <v>4025</v>
      </c>
      <c r="C46" s="5">
        <v>45668</v>
      </c>
      <c r="D46" s="5">
        <v>45668.385416666664</v>
      </c>
      <c r="E46" t="s">
        <v>27</v>
      </c>
      <c r="F46">
        <v>923244</v>
      </c>
      <c r="G46" t="s">
        <v>29</v>
      </c>
      <c r="H46" t="s">
        <v>47</v>
      </c>
      <c r="I46" t="s">
        <v>48</v>
      </c>
      <c r="J46" s="57">
        <v>8692251</v>
      </c>
      <c r="K46" s="57">
        <v>0</v>
      </c>
      <c r="L46" s="57">
        <v>0</v>
      </c>
      <c r="M46" s="57">
        <v>0</v>
      </c>
      <c r="N46" t="s">
        <v>98</v>
      </c>
      <c r="O46">
        <v>0</v>
      </c>
      <c r="P46">
        <v>0</v>
      </c>
      <c r="Q46">
        <v>0</v>
      </c>
      <c r="R46">
        <v>0</v>
      </c>
      <c r="S46">
        <v>0</v>
      </c>
    </row>
    <row r="47" spans="1:19" x14ac:dyDescent="0.2">
      <c r="A47" t="s">
        <v>2580</v>
      </c>
      <c r="B47">
        <v>4125</v>
      </c>
      <c r="C47" s="5">
        <v>45668</v>
      </c>
      <c r="D47" s="5">
        <v>45668.392361111109</v>
      </c>
      <c r="E47" t="s">
        <v>80</v>
      </c>
      <c r="F47">
        <v>923245</v>
      </c>
      <c r="G47" t="s">
        <v>29</v>
      </c>
      <c r="H47" t="s">
        <v>31</v>
      </c>
      <c r="I47" t="s">
        <v>32</v>
      </c>
      <c r="J47" s="57">
        <v>16900000</v>
      </c>
      <c r="K47" s="57">
        <v>16677942</v>
      </c>
      <c r="L47" s="57">
        <v>16900000</v>
      </c>
      <c r="M47" s="57">
        <v>16677942</v>
      </c>
      <c r="N47" t="s">
        <v>194</v>
      </c>
      <c r="O47">
        <v>0</v>
      </c>
      <c r="P47">
        <v>0</v>
      </c>
      <c r="Q47">
        <v>0</v>
      </c>
      <c r="R47">
        <v>0</v>
      </c>
      <c r="S47">
        <v>0</v>
      </c>
    </row>
    <row r="48" spans="1:19" x14ac:dyDescent="0.2">
      <c r="A48" t="s">
        <v>2581</v>
      </c>
      <c r="B48">
        <v>4225</v>
      </c>
      <c r="C48" s="5">
        <v>45668</v>
      </c>
      <c r="D48" s="5">
        <v>45668.401388888888</v>
      </c>
      <c r="E48" t="s">
        <v>80</v>
      </c>
      <c r="F48">
        <v>923285</v>
      </c>
      <c r="G48" t="s">
        <v>29</v>
      </c>
      <c r="H48" t="s">
        <v>31</v>
      </c>
      <c r="I48" t="s">
        <v>32</v>
      </c>
      <c r="J48" s="57">
        <v>185551954</v>
      </c>
      <c r="K48" s="57">
        <v>44193650</v>
      </c>
      <c r="L48" s="57">
        <v>185551954</v>
      </c>
      <c r="M48" s="57">
        <v>44193650</v>
      </c>
      <c r="N48" t="s">
        <v>198</v>
      </c>
      <c r="O48">
        <v>0</v>
      </c>
      <c r="P48" t="s">
        <v>3876</v>
      </c>
      <c r="Q48" t="s">
        <v>3877</v>
      </c>
      <c r="R48">
        <v>0</v>
      </c>
      <c r="S48">
        <v>0</v>
      </c>
    </row>
    <row r="49" spans="1:19" x14ac:dyDescent="0.2">
      <c r="A49" t="s">
        <v>2582</v>
      </c>
      <c r="B49">
        <v>4325</v>
      </c>
      <c r="C49" s="5">
        <v>45668</v>
      </c>
      <c r="D49" s="5">
        <v>45668.406944444447</v>
      </c>
      <c r="E49" t="s">
        <v>27</v>
      </c>
      <c r="F49">
        <v>923285</v>
      </c>
      <c r="G49" t="s">
        <v>29</v>
      </c>
      <c r="H49" t="s">
        <v>31</v>
      </c>
      <c r="I49" t="s">
        <v>32</v>
      </c>
      <c r="J49" s="57">
        <v>42676949</v>
      </c>
      <c r="K49" s="57">
        <v>0</v>
      </c>
      <c r="L49" s="57">
        <v>0</v>
      </c>
      <c r="M49" s="57">
        <v>0</v>
      </c>
      <c r="N49" t="s">
        <v>201</v>
      </c>
      <c r="O49">
        <v>0</v>
      </c>
      <c r="P49">
        <v>0</v>
      </c>
      <c r="Q49">
        <v>0</v>
      </c>
      <c r="R49">
        <v>0</v>
      </c>
      <c r="S49">
        <v>0</v>
      </c>
    </row>
    <row r="50" spans="1:19" x14ac:dyDescent="0.2">
      <c r="A50" t="s">
        <v>2583</v>
      </c>
      <c r="B50">
        <v>4425</v>
      </c>
      <c r="C50" s="5">
        <v>45668</v>
      </c>
      <c r="D50" s="5">
        <v>45668.410416666666</v>
      </c>
      <c r="E50" t="s">
        <v>80</v>
      </c>
      <c r="F50">
        <v>923285</v>
      </c>
      <c r="G50" t="s">
        <v>29</v>
      </c>
      <c r="H50" t="s">
        <v>31</v>
      </c>
      <c r="I50" t="s">
        <v>32</v>
      </c>
      <c r="J50" s="57">
        <v>50787088</v>
      </c>
      <c r="K50" s="57">
        <v>47739383</v>
      </c>
      <c r="L50" s="57">
        <v>50787088</v>
      </c>
      <c r="M50" s="57">
        <v>47739383</v>
      </c>
      <c r="N50" t="s">
        <v>204</v>
      </c>
      <c r="O50">
        <v>0</v>
      </c>
      <c r="P50" t="s">
        <v>4627</v>
      </c>
      <c r="Q50" t="s">
        <v>3879</v>
      </c>
      <c r="R50">
        <v>0</v>
      </c>
      <c r="S50">
        <v>0</v>
      </c>
    </row>
    <row r="51" spans="1:19" x14ac:dyDescent="0.2">
      <c r="A51" t="s">
        <v>2584</v>
      </c>
      <c r="B51">
        <v>4525</v>
      </c>
      <c r="C51" s="5">
        <v>45668</v>
      </c>
      <c r="D51" s="5">
        <v>45668.423611111109</v>
      </c>
      <c r="E51" t="s">
        <v>80</v>
      </c>
      <c r="F51">
        <v>923290</v>
      </c>
      <c r="G51" t="s">
        <v>29</v>
      </c>
      <c r="H51" t="s">
        <v>31</v>
      </c>
      <c r="I51" t="s">
        <v>32</v>
      </c>
      <c r="J51" s="57">
        <v>23894352</v>
      </c>
      <c r="K51" s="57">
        <v>2</v>
      </c>
      <c r="L51" s="57">
        <v>23894352</v>
      </c>
      <c r="M51" s="57">
        <v>2</v>
      </c>
      <c r="N51" t="s">
        <v>209</v>
      </c>
      <c r="O51">
        <v>0</v>
      </c>
      <c r="P51">
        <v>32925</v>
      </c>
      <c r="Q51">
        <v>64601325</v>
      </c>
      <c r="R51">
        <v>0</v>
      </c>
      <c r="S51">
        <v>0</v>
      </c>
    </row>
    <row r="52" spans="1:19" x14ac:dyDescent="0.2">
      <c r="A52" t="s">
        <v>2585</v>
      </c>
      <c r="B52">
        <v>4625</v>
      </c>
      <c r="C52" s="5">
        <v>45668</v>
      </c>
      <c r="D52" s="5">
        <v>45668.429166666669</v>
      </c>
      <c r="E52" t="s">
        <v>27</v>
      </c>
      <c r="F52">
        <v>923290</v>
      </c>
      <c r="G52" t="s">
        <v>29</v>
      </c>
      <c r="H52" t="s">
        <v>31</v>
      </c>
      <c r="I52" t="s">
        <v>32</v>
      </c>
      <c r="J52" s="57">
        <v>15000000</v>
      </c>
      <c r="K52" s="57">
        <v>15000000</v>
      </c>
      <c r="L52" s="57">
        <v>15000000</v>
      </c>
      <c r="M52" s="57">
        <v>15000000</v>
      </c>
      <c r="N52" t="s">
        <v>212</v>
      </c>
      <c r="O52">
        <v>0</v>
      </c>
      <c r="P52">
        <v>0</v>
      </c>
      <c r="Q52">
        <v>0</v>
      </c>
      <c r="R52">
        <v>0</v>
      </c>
      <c r="S52">
        <v>0</v>
      </c>
    </row>
    <row r="53" spans="1:19" x14ac:dyDescent="0.2">
      <c r="A53" t="s">
        <v>2586</v>
      </c>
      <c r="B53">
        <v>4725</v>
      </c>
      <c r="C53" s="5">
        <v>45668</v>
      </c>
      <c r="D53" s="5">
        <v>45668.433333333334</v>
      </c>
      <c r="E53" t="s">
        <v>27</v>
      </c>
      <c r="F53">
        <v>923290</v>
      </c>
      <c r="G53" t="s">
        <v>142</v>
      </c>
      <c r="H53" t="s">
        <v>47</v>
      </c>
      <c r="I53" t="s">
        <v>48</v>
      </c>
      <c r="J53" s="57">
        <v>20000000</v>
      </c>
      <c r="K53" s="57">
        <v>0</v>
      </c>
      <c r="L53" s="57">
        <v>0</v>
      </c>
      <c r="M53" s="57">
        <v>0</v>
      </c>
      <c r="N53" t="s">
        <v>215</v>
      </c>
      <c r="O53">
        <v>0</v>
      </c>
      <c r="P53">
        <v>0</v>
      </c>
      <c r="Q53">
        <v>0</v>
      </c>
      <c r="R53">
        <v>0</v>
      </c>
      <c r="S53">
        <v>0</v>
      </c>
    </row>
    <row r="54" spans="1:19" x14ac:dyDescent="0.2">
      <c r="A54" t="s">
        <v>2587</v>
      </c>
      <c r="B54">
        <v>4825</v>
      </c>
      <c r="C54" s="5">
        <v>45668</v>
      </c>
      <c r="D54" s="5">
        <v>45668.438194444447</v>
      </c>
      <c r="E54" t="s">
        <v>80</v>
      </c>
      <c r="F54">
        <v>923290</v>
      </c>
      <c r="G54" t="s">
        <v>29</v>
      </c>
      <c r="H54" t="s">
        <v>31</v>
      </c>
      <c r="I54" t="s">
        <v>32</v>
      </c>
      <c r="J54" s="57">
        <v>15000000</v>
      </c>
      <c r="K54" s="57">
        <v>14880161</v>
      </c>
      <c r="L54" s="57">
        <v>15000000</v>
      </c>
      <c r="M54" s="57">
        <v>14880161</v>
      </c>
      <c r="N54" t="s">
        <v>218</v>
      </c>
      <c r="O54">
        <v>0</v>
      </c>
      <c r="P54">
        <v>5925</v>
      </c>
      <c r="Q54">
        <v>47484125</v>
      </c>
      <c r="R54">
        <v>0</v>
      </c>
      <c r="S54">
        <v>0</v>
      </c>
    </row>
    <row r="55" spans="1:19" x14ac:dyDescent="0.2">
      <c r="A55" t="s">
        <v>2588</v>
      </c>
      <c r="B55">
        <v>4925</v>
      </c>
      <c r="C55" s="5">
        <v>45668</v>
      </c>
      <c r="D55" s="5">
        <v>45668.441666666666</v>
      </c>
      <c r="E55" t="s">
        <v>80</v>
      </c>
      <c r="F55">
        <v>923290</v>
      </c>
      <c r="G55" t="s">
        <v>29</v>
      </c>
      <c r="H55" t="s">
        <v>31</v>
      </c>
      <c r="I55" t="s">
        <v>32</v>
      </c>
      <c r="J55" s="57">
        <v>14950000</v>
      </c>
      <c r="K55" s="57">
        <v>12723270</v>
      </c>
      <c r="L55" s="57">
        <v>14950000</v>
      </c>
      <c r="M55" s="57">
        <v>12723270</v>
      </c>
      <c r="N55" t="s">
        <v>221</v>
      </c>
      <c r="O55">
        <v>0</v>
      </c>
      <c r="P55" t="s">
        <v>4629</v>
      </c>
      <c r="Q55" t="s">
        <v>3880</v>
      </c>
      <c r="R55">
        <v>0</v>
      </c>
      <c r="S55">
        <v>0</v>
      </c>
    </row>
    <row r="56" spans="1:19" x14ac:dyDescent="0.2">
      <c r="A56" t="s">
        <v>2589</v>
      </c>
      <c r="B56">
        <v>5025</v>
      </c>
      <c r="C56" s="5">
        <v>45668</v>
      </c>
      <c r="D56" s="5">
        <v>45668.447916666664</v>
      </c>
      <c r="E56" t="s">
        <v>80</v>
      </c>
      <c r="F56">
        <v>923290</v>
      </c>
      <c r="G56" t="s">
        <v>29</v>
      </c>
      <c r="H56" t="s">
        <v>31</v>
      </c>
      <c r="I56" t="s">
        <v>32</v>
      </c>
      <c r="J56" s="57">
        <v>124390000</v>
      </c>
      <c r="K56" s="57">
        <v>30000000</v>
      </c>
      <c r="L56" s="57">
        <v>124390000</v>
      </c>
      <c r="M56" s="57">
        <v>30000000</v>
      </c>
      <c r="N56" t="s">
        <v>224</v>
      </c>
      <c r="O56">
        <v>0</v>
      </c>
      <c r="P56" t="s">
        <v>3881</v>
      </c>
      <c r="Q56" t="s">
        <v>3882</v>
      </c>
      <c r="R56">
        <v>0</v>
      </c>
      <c r="S56">
        <v>0</v>
      </c>
    </row>
    <row r="57" spans="1:19" x14ac:dyDescent="0.2">
      <c r="A57" t="s">
        <v>2590</v>
      </c>
      <c r="B57">
        <v>5125</v>
      </c>
      <c r="C57" s="5">
        <v>45668</v>
      </c>
      <c r="D57" s="5">
        <v>45668.456250000003</v>
      </c>
      <c r="E57" t="s">
        <v>27</v>
      </c>
      <c r="F57">
        <v>923242</v>
      </c>
      <c r="G57" t="s">
        <v>29</v>
      </c>
      <c r="H57" t="s">
        <v>47</v>
      </c>
      <c r="I57" t="s">
        <v>48</v>
      </c>
      <c r="J57" s="57">
        <v>470301019</v>
      </c>
      <c r="K57" s="57">
        <v>352801019</v>
      </c>
      <c r="L57" s="57">
        <v>352801019</v>
      </c>
      <c r="M57" s="57">
        <v>352801019</v>
      </c>
      <c r="N57" t="s">
        <v>227</v>
      </c>
      <c r="O57">
        <v>0</v>
      </c>
      <c r="P57">
        <v>0</v>
      </c>
      <c r="Q57">
        <v>0</v>
      </c>
      <c r="R57">
        <v>0</v>
      </c>
      <c r="S57">
        <v>0</v>
      </c>
    </row>
    <row r="58" spans="1:19" x14ac:dyDescent="0.2">
      <c r="A58" t="s">
        <v>2591</v>
      </c>
      <c r="B58">
        <v>5225</v>
      </c>
      <c r="C58" s="5">
        <v>45668</v>
      </c>
      <c r="D58" s="5">
        <v>45668.461111111108</v>
      </c>
      <c r="E58" t="s">
        <v>27</v>
      </c>
      <c r="F58">
        <v>923234</v>
      </c>
      <c r="G58" t="s">
        <v>29</v>
      </c>
      <c r="H58" t="s">
        <v>47</v>
      </c>
      <c r="I58" t="s">
        <v>48</v>
      </c>
      <c r="J58" s="57">
        <v>2000000</v>
      </c>
      <c r="K58" s="57">
        <v>2000000</v>
      </c>
      <c r="L58" s="57">
        <v>2000000</v>
      </c>
      <c r="M58" s="57">
        <v>2000000</v>
      </c>
      <c r="N58" t="s">
        <v>232</v>
      </c>
      <c r="O58">
        <v>0</v>
      </c>
      <c r="P58">
        <v>0</v>
      </c>
      <c r="Q58">
        <v>0</v>
      </c>
      <c r="R58">
        <v>0</v>
      </c>
      <c r="S58">
        <v>0</v>
      </c>
    </row>
    <row r="59" spans="1:19" x14ac:dyDescent="0.2">
      <c r="A59" t="s">
        <v>2592</v>
      </c>
      <c r="B59">
        <v>5325</v>
      </c>
      <c r="C59" s="5">
        <v>45668</v>
      </c>
      <c r="D59" s="5">
        <v>45668.464583333334</v>
      </c>
      <c r="E59" t="s">
        <v>27</v>
      </c>
      <c r="F59">
        <v>923234</v>
      </c>
      <c r="G59" t="s">
        <v>29</v>
      </c>
      <c r="H59" t="s">
        <v>47</v>
      </c>
      <c r="I59" t="s">
        <v>48</v>
      </c>
      <c r="J59" s="57">
        <v>24000000</v>
      </c>
      <c r="K59" s="57">
        <v>0</v>
      </c>
      <c r="L59" s="57">
        <v>0</v>
      </c>
      <c r="M59" s="57">
        <v>0</v>
      </c>
      <c r="N59" t="s">
        <v>235</v>
      </c>
      <c r="O59">
        <v>0</v>
      </c>
      <c r="P59">
        <v>0</v>
      </c>
      <c r="Q59">
        <v>0</v>
      </c>
      <c r="R59">
        <v>0</v>
      </c>
      <c r="S59">
        <v>0</v>
      </c>
    </row>
    <row r="60" spans="1:19" x14ac:dyDescent="0.2">
      <c r="A60" t="s">
        <v>2593</v>
      </c>
      <c r="B60">
        <v>5425</v>
      </c>
      <c r="C60" s="5">
        <v>45668</v>
      </c>
      <c r="D60" s="5">
        <v>45668.495138888888</v>
      </c>
      <c r="E60" t="s">
        <v>80</v>
      </c>
      <c r="F60">
        <v>923224</v>
      </c>
      <c r="G60" t="s">
        <v>240</v>
      </c>
      <c r="H60" t="s">
        <v>47</v>
      </c>
      <c r="I60" t="s">
        <v>76</v>
      </c>
      <c r="J60" s="57">
        <v>150550077</v>
      </c>
      <c r="K60" s="57">
        <v>0</v>
      </c>
      <c r="L60" s="57">
        <v>150550077</v>
      </c>
      <c r="M60" s="57">
        <v>0</v>
      </c>
      <c r="N60" t="s">
        <v>242</v>
      </c>
      <c r="O60">
        <v>0</v>
      </c>
      <c r="P60" t="s">
        <v>3883</v>
      </c>
      <c r="Q60" t="s">
        <v>3884</v>
      </c>
      <c r="R60">
        <v>0</v>
      </c>
      <c r="S60">
        <v>0</v>
      </c>
    </row>
    <row r="61" spans="1:19" x14ac:dyDescent="0.2">
      <c r="A61" t="s">
        <v>2594</v>
      </c>
      <c r="B61">
        <v>5525</v>
      </c>
      <c r="C61" s="5">
        <v>45668</v>
      </c>
      <c r="D61" s="5">
        <v>45668.500694444447</v>
      </c>
      <c r="E61" t="s">
        <v>27</v>
      </c>
      <c r="F61">
        <v>923224</v>
      </c>
      <c r="G61" t="s">
        <v>246</v>
      </c>
      <c r="H61" t="s">
        <v>47</v>
      </c>
      <c r="I61" t="s">
        <v>76</v>
      </c>
      <c r="J61" s="57">
        <v>3315165652</v>
      </c>
      <c r="K61" s="57">
        <v>3315165652</v>
      </c>
      <c r="L61" s="57">
        <v>3315165652</v>
      </c>
      <c r="M61" s="57">
        <v>3315165652</v>
      </c>
      <c r="N61" t="s">
        <v>248</v>
      </c>
      <c r="O61">
        <v>0</v>
      </c>
      <c r="P61">
        <v>0</v>
      </c>
      <c r="Q61">
        <v>0</v>
      </c>
      <c r="R61">
        <v>0</v>
      </c>
      <c r="S61">
        <v>0</v>
      </c>
    </row>
    <row r="62" spans="1:19" x14ac:dyDescent="0.2">
      <c r="A62" t="s">
        <v>2595</v>
      </c>
      <c r="B62">
        <v>5625</v>
      </c>
      <c r="C62" s="5">
        <v>45668</v>
      </c>
      <c r="D62" s="5">
        <v>45668.55972222222</v>
      </c>
      <c r="E62" t="s">
        <v>27</v>
      </c>
      <c r="F62">
        <v>923224</v>
      </c>
      <c r="G62" t="s">
        <v>251</v>
      </c>
      <c r="H62" t="s">
        <v>47</v>
      </c>
      <c r="I62" t="s">
        <v>76</v>
      </c>
      <c r="J62" s="57">
        <v>125000000</v>
      </c>
      <c r="K62" s="57">
        <v>0</v>
      </c>
      <c r="L62" s="57">
        <v>0</v>
      </c>
      <c r="M62" s="57">
        <v>0</v>
      </c>
      <c r="N62" t="s">
        <v>253</v>
      </c>
      <c r="O62">
        <v>0</v>
      </c>
      <c r="P62">
        <v>0</v>
      </c>
      <c r="Q62">
        <v>0</v>
      </c>
      <c r="R62">
        <v>0</v>
      </c>
      <c r="S62">
        <v>0</v>
      </c>
    </row>
    <row r="63" spans="1:19" x14ac:dyDescent="0.2">
      <c r="A63" t="s">
        <v>2596</v>
      </c>
      <c r="B63">
        <v>5725</v>
      </c>
      <c r="C63" s="5">
        <v>45668</v>
      </c>
      <c r="D63" s="5">
        <v>45668.575694444444</v>
      </c>
      <c r="E63" t="s">
        <v>27</v>
      </c>
      <c r="F63">
        <v>923224</v>
      </c>
      <c r="G63" t="s">
        <v>251</v>
      </c>
      <c r="H63" t="s">
        <v>47</v>
      </c>
      <c r="I63" t="s">
        <v>76</v>
      </c>
      <c r="J63" s="57">
        <v>130000000</v>
      </c>
      <c r="K63" s="57">
        <v>0</v>
      </c>
      <c r="L63" s="57">
        <v>0</v>
      </c>
      <c r="M63" s="57">
        <v>0</v>
      </c>
      <c r="N63" t="s">
        <v>256</v>
      </c>
      <c r="O63">
        <v>0</v>
      </c>
      <c r="P63">
        <v>0</v>
      </c>
      <c r="Q63">
        <v>0</v>
      </c>
      <c r="R63">
        <v>0</v>
      </c>
      <c r="S63">
        <v>0</v>
      </c>
    </row>
    <row r="64" spans="1:19" x14ac:dyDescent="0.2">
      <c r="A64" t="s">
        <v>2597</v>
      </c>
      <c r="B64">
        <v>5825</v>
      </c>
      <c r="C64" s="5">
        <v>45668</v>
      </c>
      <c r="D64" s="5">
        <v>45668.599305555559</v>
      </c>
      <c r="E64" t="s">
        <v>27</v>
      </c>
      <c r="F64">
        <v>923224</v>
      </c>
      <c r="G64" t="s">
        <v>251</v>
      </c>
      <c r="H64" t="s">
        <v>47</v>
      </c>
      <c r="I64" t="s">
        <v>76</v>
      </c>
      <c r="J64" s="57">
        <v>93860000</v>
      </c>
      <c r="K64" s="57">
        <v>93860000</v>
      </c>
      <c r="L64" s="57">
        <v>93860000</v>
      </c>
      <c r="M64" s="57">
        <v>93860000</v>
      </c>
      <c r="N64" t="s">
        <v>259</v>
      </c>
      <c r="O64">
        <v>0</v>
      </c>
      <c r="P64">
        <v>0</v>
      </c>
      <c r="Q64">
        <v>0</v>
      </c>
      <c r="R64">
        <v>0</v>
      </c>
      <c r="S64">
        <v>0</v>
      </c>
    </row>
    <row r="65" spans="1:19" x14ac:dyDescent="0.2">
      <c r="A65" t="s">
        <v>2598</v>
      </c>
      <c r="B65">
        <v>5925</v>
      </c>
      <c r="C65" s="5">
        <v>45668</v>
      </c>
      <c r="D65" s="5">
        <v>45668.609722222223</v>
      </c>
      <c r="E65" t="s">
        <v>27</v>
      </c>
      <c r="F65">
        <v>923224</v>
      </c>
      <c r="G65" t="s">
        <v>251</v>
      </c>
      <c r="H65" t="s">
        <v>47</v>
      </c>
      <c r="I65" t="s">
        <v>76</v>
      </c>
      <c r="J65" s="57">
        <v>28171024</v>
      </c>
      <c r="K65" s="57">
        <v>28171024</v>
      </c>
      <c r="L65" s="57">
        <v>28171024</v>
      </c>
      <c r="M65" s="57">
        <v>28171024</v>
      </c>
      <c r="N65" t="s">
        <v>262</v>
      </c>
      <c r="O65">
        <v>0</v>
      </c>
      <c r="P65">
        <v>0</v>
      </c>
      <c r="Q65">
        <v>0</v>
      </c>
      <c r="R65">
        <v>0</v>
      </c>
      <c r="S65">
        <v>0</v>
      </c>
    </row>
    <row r="66" spans="1:19" x14ac:dyDescent="0.2">
      <c r="A66" t="s">
        <v>2599</v>
      </c>
      <c r="B66">
        <v>6025</v>
      </c>
      <c r="C66" s="5">
        <v>45668</v>
      </c>
      <c r="D66" s="5">
        <v>45668.620138888888</v>
      </c>
      <c r="E66" t="s">
        <v>27</v>
      </c>
      <c r="F66">
        <v>923224</v>
      </c>
      <c r="G66" t="s">
        <v>251</v>
      </c>
      <c r="H66" t="s">
        <v>47</v>
      </c>
      <c r="I66" t="s">
        <v>76</v>
      </c>
      <c r="J66" s="57">
        <v>76344910</v>
      </c>
      <c r="K66" s="57">
        <v>76344910</v>
      </c>
      <c r="L66" s="57">
        <v>76344910</v>
      </c>
      <c r="M66" s="57">
        <v>76344910</v>
      </c>
      <c r="N66" t="s">
        <v>265</v>
      </c>
      <c r="O66">
        <v>0</v>
      </c>
      <c r="P66">
        <v>0</v>
      </c>
      <c r="Q66">
        <v>0</v>
      </c>
      <c r="R66">
        <v>0</v>
      </c>
      <c r="S66">
        <v>0</v>
      </c>
    </row>
    <row r="67" spans="1:19" x14ac:dyDescent="0.2">
      <c r="A67" t="s">
        <v>2600</v>
      </c>
      <c r="B67">
        <v>6125</v>
      </c>
      <c r="C67" s="5">
        <v>45668</v>
      </c>
      <c r="D67" s="5">
        <v>45668.623611111114</v>
      </c>
      <c r="E67" t="s">
        <v>27</v>
      </c>
      <c r="F67">
        <v>923224</v>
      </c>
      <c r="G67" t="s">
        <v>251</v>
      </c>
      <c r="H67" t="s">
        <v>47</v>
      </c>
      <c r="I67" t="s">
        <v>76</v>
      </c>
      <c r="J67" s="57">
        <v>14095550</v>
      </c>
      <c r="K67" s="57">
        <v>14095550</v>
      </c>
      <c r="L67" s="57">
        <v>14095550</v>
      </c>
      <c r="M67" s="57">
        <v>14095550</v>
      </c>
      <c r="N67" t="s">
        <v>268</v>
      </c>
      <c r="O67">
        <v>0</v>
      </c>
      <c r="P67">
        <v>0</v>
      </c>
      <c r="Q67">
        <v>0</v>
      </c>
      <c r="R67">
        <v>0</v>
      </c>
      <c r="S67">
        <v>0</v>
      </c>
    </row>
    <row r="68" spans="1:19" x14ac:dyDescent="0.2">
      <c r="A68" t="s">
        <v>2601</v>
      </c>
      <c r="B68">
        <v>6225</v>
      </c>
      <c r="C68" s="5">
        <v>45668</v>
      </c>
      <c r="D68" s="5">
        <v>45668.62777777778</v>
      </c>
      <c r="E68" t="s">
        <v>27</v>
      </c>
      <c r="F68">
        <v>923224</v>
      </c>
      <c r="G68" t="s">
        <v>251</v>
      </c>
      <c r="H68" t="s">
        <v>47</v>
      </c>
      <c r="I68" t="s">
        <v>76</v>
      </c>
      <c r="J68" s="57">
        <v>113886250</v>
      </c>
      <c r="K68" s="57">
        <v>0</v>
      </c>
      <c r="L68" s="57">
        <v>0</v>
      </c>
      <c r="M68" s="57">
        <v>0</v>
      </c>
      <c r="N68" t="s">
        <v>271</v>
      </c>
      <c r="O68">
        <v>0</v>
      </c>
      <c r="P68">
        <v>0</v>
      </c>
      <c r="Q68">
        <v>0</v>
      </c>
      <c r="R68">
        <v>0</v>
      </c>
      <c r="S68">
        <v>0</v>
      </c>
    </row>
    <row r="69" spans="1:19" x14ac:dyDescent="0.2">
      <c r="A69" t="s">
        <v>2602</v>
      </c>
      <c r="B69">
        <v>6325</v>
      </c>
      <c r="C69" s="5">
        <v>45668</v>
      </c>
      <c r="D69" s="5">
        <v>45668.632638888892</v>
      </c>
      <c r="E69" t="s">
        <v>27</v>
      </c>
      <c r="F69">
        <v>923224</v>
      </c>
      <c r="G69" t="s">
        <v>251</v>
      </c>
      <c r="H69" t="s">
        <v>47</v>
      </c>
      <c r="I69" t="s">
        <v>76</v>
      </c>
      <c r="J69" s="57">
        <v>23332000</v>
      </c>
      <c r="K69" s="57">
        <v>23332000</v>
      </c>
      <c r="L69" s="57">
        <v>23332000</v>
      </c>
      <c r="M69" s="57">
        <v>23332000</v>
      </c>
      <c r="N69" t="s">
        <v>274</v>
      </c>
      <c r="O69">
        <v>0</v>
      </c>
      <c r="P69">
        <v>0</v>
      </c>
      <c r="Q69">
        <v>0</v>
      </c>
      <c r="R69">
        <v>0</v>
      </c>
      <c r="S69">
        <v>0</v>
      </c>
    </row>
    <row r="70" spans="1:19" x14ac:dyDescent="0.2">
      <c r="A70" t="s">
        <v>2603</v>
      </c>
      <c r="B70">
        <v>6425</v>
      </c>
      <c r="C70" s="5">
        <v>45668</v>
      </c>
      <c r="D70" s="5">
        <v>45668.636805555558</v>
      </c>
      <c r="E70" t="s">
        <v>27</v>
      </c>
      <c r="F70">
        <v>923224</v>
      </c>
      <c r="G70" t="s">
        <v>251</v>
      </c>
      <c r="H70" t="s">
        <v>47</v>
      </c>
      <c r="I70" t="s">
        <v>76</v>
      </c>
      <c r="J70" s="57">
        <v>13870000</v>
      </c>
      <c r="K70" s="57">
        <v>13870000</v>
      </c>
      <c r="L70" s="57">
        <v>13870000</v>
      </c>
      <c r="M70" s="57">
        <v>13870000</v>
      </c>
      <c r="N70" t="s">
        <v>277</v>
      </c>
      <c r="O70">
        <v>0</v>
      </c>
      <c r="P70">
        <v>0</v>
      </c>
      <c r="Q70">
        <v>0</v>
      </c>
      <c r="R70">
        <v>0</v>
      </c>
      <c r="S70">
        <v>0</v>
      </c>
    </row>
    <row r="71" spans="1:19" x14ac:dyDescent="0.2">
      <c r="A71" t="s">
        <v>2604</v>
      </c>
      <c r="B71">
        <v>6525</v>
      </c>
      <c r="C71" s="5">
        <v>45668</v>
      </c>
      <c r="D71" s="5">
        <v>45668.64166666667</v>
      </c>
      <c r="E71" t="s">
        <v>27</v>
      </c>
      <c r="F71">
        <v>923224</v>
      </c>
      <c r="G71" t="s">
        <v>251</v>
      </c>
      <c r="H71" t="s">
        <v>47</v>
      </c>
      <c r="I71" t="s">
        <v>76</v>
      </c>
      <c r="J71" s="57">
        <v>4500000</v>
      </c>
      <c r="K71" s="57">
        <v>4500000</v>
      </c>
      <c r="L71" s="57">
        <v>4500000</v>
      </c>
      <c r="M71" s="57">
        <v>4500000</v>
      </c>
      <c r="N71" t="s">
        <v>280</v>
      </c>
      <c r="O71">
        <v>0</v>
      </c>
      <c r="P71">
        <v>0</v>
      </c>
      <c r="Q71">
        <v>0</v>
      </c>
      <c r="R71">
        <v>0</v>
      </c>
      <c r="S71">
        <v>0</v>
      </c>
    </row>
    <row r="72" spans="1:19" x14ac:dyDescent="0.2">
      <c r="A72" t="s">
        <v>2605</v>
      </c>
      <c r="B72">
        <v>6625</v>
      </c>
      <c r="C72" s="5">
        <v>45668</v>
      </c>
      <c r="D72" s="5">
        <v>45668.646527777775</v>
      </c>
      <c r="E72" t="s">
        <v>27</v>
      </c>
      <c r="F72">
        <v>923224</v>
      </c>
      <c r="G72" t="s">
        <v>251</v>
      </c>
      <c r="H72" t="s">
        <v>47</v>
      </c>
      <c r="I72" t="s">
        <v>76</v>
      </c>
      <c r="J72" s="57">
        <v>4000000</v>
      </c>
      <c r="K72" s="57">
        <v>4000000</v>
      </c>
      <c r="L72" s="57">
        <v>4000000</v>
      </c>
      <c r="M72" s="57">
        <v>4000000</v>
      </c>
      <c r="N72" t="s">
        <v>283</v>
      </c>
      <c r="O72">
        <v>0</v>
      </c>
      <c r="P72">
        <v>0</v>
      </c>
      <c r="Q72">
        <v>0</v>
      </c>
      <c r="R72">
        <v>0</v>
      </c>
      <c r="S72">
        <v>0</v>
      </c>
    </row>
    <row r="73" spans="1:19" x14ac:dyDescent="0.2">
      <c r="A73" t="s">
        <v>2606</v>
      </c>
      <c r="B73">
        <v>6725</v>
      </c>
      <c r="C73" s="5">
        <v>45668</v>
      </c>
      <c r="D73" s="5">
        <v>45668.652777777781</v>
      </c>
      <c r="E73" t="s">
        <v>27</v>
      </c>
      <c r="F73">
        <v>923224</v>
      </c>
      <c r="G73" t="s">
        <v>251</v>
      </c>
      <c r="H73" t="s">
        <v>47</v>
      </c>
      <c r="I73" t="s">
        <v>76</v>
      </c>
      <c r="J73" s="57">
        <v>53163250</v>
      </c>
      <c r="K73" s="57">
        <v>53163250</v>
      </c>
      <c r="L73" s="57">
        <v>53163250</v>
      </c>
      <c r="M73" s="57">
        <v>53163250</v>
      </c>
      <c r="N73" t="s">
        <v>286</v>
      </c>
      <c r="O73">
        <v>0</v>
      </c>
      <c r="P73">
        <v>0</v>
      </c>
      <c r="Q73">
        <v>0</v>
      </c>
      <c r="R73">
        <v>0</v>
      </c>
      <c r="S73">
        <v>0</v>
      </c>
    </row>
    <row r="74" spans="1:19" x14ac:dyDescent="0.2">
      <c r="A74" t="s">
        <v>2607</v>
      </c>
      <c r="B74">
        <v>6825</v>
      </c>
      <c r="C74" s="5">
        <v>45668</v>
      </c>
      <c r="D74" s="5">
        <v>45668.661111111112</v>
      </c>
      <c r="E74" t="s">
        <v>27</v>
      </c>
      <c r="F74">
        <v>923224</v>
      </c>
      <c r="G74" t="s">
        <v>240</v>
      </c>
      <c r="H74" t="s">
        <v>47</v>
      </c>
      <c r="I74" t="s">
        <v>76</v>
      </c>
      <c r="J74" s="57">
        <v>500000</v>
      </c>
      <c r="K74" s="57">
        <v>500000</v>
      </c>
      <c r="L74" s="57">
        <v>500000</v>
      </c>
      <c r="M74" s="57">
        <v>500000</v>
      </c>
      <c r="N74" t="s">
        <v>289</v>
      </c>
      <c r="O74">
        <v>0</v>
      </c>
      <c r="P74">
        <v>0</v>
      </c>
      <c r="Q74">
        <v>0</v>
      </c>
      <c r="R74">
        <v>0</v>
      </c>
      <c r="S74">
        <v>0</v>
      </c>
    </row>
    <row r="75" spans="1:19" x14ac:dyDescent="0.2">
      <c r="A75" t="s">
        <v>2608</v>
      </c>
      <c r="B75">
        <v>6925</v>
      </c>
      <c r="C75" s="5">
        <v>45681</v>
      </c>
      <c r="D75" s="5">
        <v>45681.634027777778</v>
      </c>
      <c r="E75" t="s">
        <v>27</v>
      </c>
      <c r="F75">
        <v>923227</v>
      </c>
      <c r="G75" t="s">
        <v>142</v>
      </c>
      <c r="H75" t="s">
        <v>31</v>
      </c>
      <c r="I75" t="s">
        <v>32</v>
      </c>
      <c r="J75" s="57">
        <v>4286313580</v>
      </c>
      <c r="K75" s="57">
        <v>4286313580</v>
      </c>
      <c r="L75" s="57">
        <v>4286313580</v>
      </c>
      <c r="M75" s="57">
        <v>4286313580</v>
      </c>
      <c r="N75" t="s">
        <v>293</v>
      </c>
      <c r="O75">
        <v>0</v>
      </c>
      <c r="P75">
        <v>0</v>
      </c>
      <c r="Q75">
        <v>0</v>
      </c>
      <c r="R75">
        <v>0</v>
      </c>
      <c r="S75">
        <v>0</v>
      </c>
    </row>
    <row r="76" spans="1:19" x14ac:dyDescent="0.2">
      <c r="A76" t="s">
        <v>2609</v>
      </c>
      <c r="B76">
        <v>6925</v>
      </c>
      <c r="C76" s="5">
        <v>45681</v>
      </c>
      <c r="D76" s="5">
        <v>45681.634027777778</v>
      </c>
      <c r="E76" t="s">
        <v>27</v>
      </c>
      <c r="F76">
        <v>923210</v>
      </c>
      <c r="G76" t="s">
        <v>29</v>
      </c>
      <c r="H76" t="s">
        <v>31</v>
      </c>
      <c r="I76" t="s">
        <v>32</v>
      </c>
      <c r="J76" s="57">
        <v>2662479258</v>
      </c>
      <c r="K76" s="57">
        <v>2662479258</v>
      </c>
      <c r="L76" s="57">
        <v>2662479258</v>
      </c>
      <c r="M76" s="57">
        <v>2662479258</v>
      </c>
      <c r="N76" t="s">
        <v>293</v>
      </c>
      <c r="O76">
        <v>0</v>
      </c>
      <c r="P76">
        <v>0</v>
      </c>
      <c r="Q76">
        <v>0</v>
      </c>
      <c r="R76">
        <v>0</v>
      </c>
      <c r="S76">
        <v>0</v>
      </c>
    </row>
    <row r="77" spans="1:19" x14ac:dyDescent="0.2">
      <c r="A77" t="s">
        <v>2610</v>
      </c>
      <c r="B77">
        <v>7025</v>
      </c>
      <c r="C77" s="5">
        <v>45695</v>
      </c>
      <c r="D77" s="5">
        <v>45695.456944444442</v>
      </c>
      <c r="E77" t="s">
        <v>80</v>
      </c>
      <c r="F77">
        <v>923269</v>
      </c>
      <c r="G77" t="s">
        <v>582</v>
      </c>
      <c r="H77" t="s">
        <v>47</v>
      </c>
      <c r="I77" t="s">
        <v>76</v>
      </c>
      <c r="J77" s="57">
        <v>264600000</v>
      </c>
      <c r="K77" s="57">
        <v>0</v>
      </c>
      <c r="L77" s="57">
        <v>264600000</v>
      </c>
      <c r="M77" s="57">
        <v>0</v>
      </c>
      <c r="N77" t="s">
        <v>584</v>
      </c>
      <c r="O77">
        <v>0</v>
      </c>
      <c r="P77" t="s">
        <v>3885</v>
      </c>
      <c r="Q77" t="s">
        <v>3886</v>
      </c>
      <c r="R77">
        <v>0</v>
      </c>
      <c r="S77">
        <v>0</v>
      </c>
    </row>
    <row r="78" spans="1:19" x14ac:dyDescent="0.2">
      <c r="A78" t="s">
        <v>2611</v>
      </c>
      <c r="B78">
        <v>7125</v>
      </c>
      <c r="C78" s="5">
        <v>45695</v>
      </c>
      <c r="D78" s="5">
        <v>45695.462500000001</v>
      </c>
      <c r="E78" t="s">
        <v>80</v>
      </c>
      <c r="F78">
        <v>923270</v>
      </c>
      <c r="G78" t="s">
        <v>590</v>
      </c>
      <c r="H78" t="s">
        <v>47</v>
      </c>
      <c r="I78" t="s">
        <v>76</v>
      </c>
      <c r="J78" s="57">
        <v>294000000</v>
      </c>
      <c r="K78" s="57">
        <v>0</v>
      </c>
      <c r="L78" s="57">
        <v>294000000</v>
      </c>
      <c r="M78" s="57">
        <v>0</v>
      </c>
      <c r="N78" t="s">
        <v>592</v>
      </c>
      <c r="O78">
        <v>0</v>
      </c>
      <c r="P78" t="s">
        <v>3887</v>
      </c>
      <c r="Q78" t="s">
        <v>3888</v>
      </c>
      <c r="R78">
        <v>0</v>
      </c>
      <c r="S78">
        <v>0</v>
      </c>
    </row>
    <row r="79" spans="1:19" x14ac:dyDescent="0.2">
      <c r="A79" t="s">
        <v>2282</v>
      </c>
      <c r="B79">
        <v>7225</v>
      </c>
      <c r="C79" s="5">
        <v>45716</v>
      </c>
      <c r="D79" s="5">
        <v>45716.681250000001</v>
      </c>
      <c r="E79" t="s">
        <v>27</v>
      </c>
      <c r="F79">
        <v>923245</v>
      </c>
      <c r="G79" t="s">
        <v>29</v>
      </c>
      <c r="H79" t="s">
        <v>31</v>
      </c>
      <c r="I79" t="s">
        <v>32</v>
      </c>
      <c r="J79" s="57">
        <v>376238966</v>
      </c>
      <c r="K79" s="57">
        <v>376238966</v>
      </c>
      <c r="L79" s="57">
        <v>376238966</v>
      </c>
      <c r="M79" s="57">
        <v>376238966</v>
      </c>
      <c r="N79" t="s">
        <v>3890</v>
      </c>
      <c r="O79">
        <v>0</v>
      </c>
      <c r="P79">
        <v>0</v>
      </c>
      <c r="Q79">
        <v>0</v>
      </c>
      <c r="R79">
        <v>0</v>
      </c>
      <c r="S79">
        <v>0</v>
      </c>
    </row>
    <row r="80" spans="1:19" x14ac:dyDescent="0.2">
      <c r="A80" t="s">
        <v>3906</v>
      </c>
      <c r="B80">
        <v>7225</v>
      </c>
      <c r="C80" s="5">
        <v>45716</v>
      </c>
      <c r="D80" s="5">
        <v>45716.681250000001</v>
      </c>
      <c r="E80" t="s">
        <v>27</v>
      </c>
      <c r="F80">
        <v>923238</v>
      </c>
      <c r="G80" t="s">
        <v>29</v>
      </c>
      <c r="H80" t="s">
        <v>31</v>
      </c>
      <c r="I80" t="s">
        <v>32</v>
      </c>
      <c r="J80" s="57">
        <v>106294000</v>
      </c>
      <c r="K80" s="57">
        <v>106294000</v>
      </c>
      <c r="L80" s="57">
        <v>106294000</v>
      </c>
      <c r="M80" s="57">
        <v>106294000</v>
      </c>
      <c r="N80" t="s">
        <v>3890</v>
      </c>
      <c r="O80">
        <v>0</v>
      </c>
      <c r="P80">
        <v>0</v>
      </c>
      <c r="Q80">
        <v>0</v>
      </c>
      <c r="R80">
        <v>0</v>
      </c>
      <c r="S80">
        <v>0</v>
      </c>
    </row>
    <row r="81" spans="1:19" x14ac:dyDescent="0.2">
      <c r="A81" t="s">
        <v>3904</v>
      </c>
      <c r="B81">
        <v>7225</v>
      </c>
      <c r="C81" s="5">
        <v>45716</v>
      </c>
      <c r="D81" s="5">
        <v>45716.681250000001</v>
      </c>
      <c r="E81" t="s">
        <v>27</v>
      </c>
      <c r="F81">
        <v>923211</v>
      </c>
      <c r="G81" t="s">
        <v>29</v>
      </c>
      <c r="H81" t="s">
        <v>31</v>
      </c>
      <c r="I81" t="s">
        <v>32</v>
      </c>
      <c r="J81" s="57">
        <v>112424659</v>
      </c>
      <c r="K81" s="57">
        <v>112424659</v>
      </c>
      <c r="L81" s="57">
        <v>112424659</v>
      </c>
      <c r="M81" s="57">
        <v>112424659</v>
      </c>
      <c r="N81" t="s">
        <v>3890</v>
      </c>
      <c r="O81">
        <v>0</v>
      </c>
      <c r="P81">
        <v>0</v>
      </c>
      <c r="Q81">
        <v>0</v>
      </c>
      <c r="R81">
        <v>0</v>
      </c>
      <c r="S81">
        <v>0</v>
      </c>
    </row>
    <row r="82" spans="1:19" x14ac:dyDescent="0.2">
      <c r="A82" t="s">
        <v>3905</v>
      </c>
      <c r="B82">
        <v>7225</v>
      </c>
      <c r="C82" s="5">
        <v>45716</v>
      </c>
      <c r="D82" s="5">
        <v>45716.681250000001</v>
      </c>
      <c r="E82" t="s">
        <v>27</v>
      </c>
      <c r="F82">
        <v>923234</v>
      </c>
      <c r="G82" t="s">
        <v>29</v>
      </c>
      <c r="H82" t="s">
        <v>47</v>
      </c>
      <c r="I82" t="s">
        <v>48</v>
      </c>
      <c r="J82" s="57">
        <v>2000000</v>
      </c>
      <c r="K82" s="57">
        <v>2000000</v>
      </c>
      <c r="L82" s="57">
        <v>2000000</v>
      </c>
      <c r="M82" s="57">
        <v>2000000</v>
      </c>
      <c r="N82" t="s">
        <v>3890</v>
      </c>
      <c r="O82">
        <v>0</v>
      </c>
      <c r="P82">
        <v>0</v>
      </c>
      <c r="Q82">
        <v>0</v>
      </c>
      <c r="R82">
        <v>0</v>
      </c>
      <c r="S82">
        <v>0</v>
      </c>
    </row>
    <row r="83" spans="1:19" x14ac:dyDescent="0.2">
      <c r="A83" t="s">
        <v>3907</v>
      </c>
      <c r="B83">
        <v>7225</v>
      </c>
      <c r="C83" s="5">
        <v>45716</v>
      </c>
      <c r="D83" s="5">
        <v>45716.681250000001</v>
      </c>
      <c r="E83" t="s">
        <v>27</v>
      </c>
      <c r="F83">
        <v>923218</v>
      </c>
      <c r="G83" t="s">
        <v>29</v>
      </c>
      <c r="H83" t="s">
        <v>47</v>
      </c>
      <c r="I83" t="s">
        <v>121</v>
      </c>
      <c r="J83" s="57">
        <v>116305291</v>
      </c>
      <c r="K83" s="57">
        <v>116305291</v>
      </c>
      <c r="L83" s="57">
        <v>116305291</v>
      </c>
      <c r="M83" s="57">
        <v>116305291</v>
      </c>
      <c r="N83" t="s">
        <v>3890</v>
      </c>
      <c r="O83">
        <v>0</v>
      </c>
      <c r="P83">
        <v>0</v>
      </c>
      <c r="Q83">
        <v>0</v>
      </c>
      <c r="R83">
        <v>0</v>
      </c>
      <c r="S83">
        <v>0</v>
      </c>
    </row>
    <row r="84" spans="1:19" x14ac:dyDescent="0.2">
      <c r="A84" t="s">
        <v>3908</v>
      </c>
      <c r="B84">
        <v>7225</v>
      </c>
      <c r="C84" s="5">
        <v>45716</v>
      </c>
      <c r="D84" s="5">
        <v>45716.681250000001</v>
      </c>
      <c r="E84" t="s">
        <v>27</v>
      </c>
      <c r="F84">
        <v>923242</v>
      </c>
      <c r="G84" t="s">
        <v>29</v>
      </c>
      <c r="H84" t="s">
        <v>47</v>
      </c>
      <c r="I84" t="s">
        <v>48</v>
      </c>
      <c r="J84" s="57">
        <v>30000000</v>
      </c>
      <c r="K84" s="57">
        <v>30000000</v>
      </c>
      <c r="L84" s="57">
        <v>30000000</v>
      </c>
      <c r="M84" s="57">
        <v>30000000</v>
      </c>
      <c r="N84" t="s">
        <v>3890</v>
      </c>
      <c r="O84">
        <v>0</v>
      </c>
      <c r="P84">
        <v>0</v>
      </c>
      <c r="Q84">
        <v>0</v>
      </c>
      <c r="R84">
        <v>0</v>
      </c>
      <c r="S84">
        <v>0</v>
      </c>
    </row>
    <row r="85" spans="1:19" x14ac:dyDescent="0.2">
      <c r="A85" t="s">
        <v>3909</v>
      </c>
      <c r="B85">
        <v>7225</v>
      </c>
      <c r="C85" s="5">
        <v>45716</v>
      </c>
      <c r="D85" s="5">
        <v>45716.681250000001</v>
      </c>
      <c r="E85" t="s">
        <v>27</v>
      </c>
      <c r="F85">
        <v>923210</v>
      </c>
      <c r="G85" t="s">
        <v>57</v>
      </c>
      <c r="H85" t="s">
        <v>31</v>
      </c>
      <c r="I85" t="s">
        <v>32</v>
      </c>
      <c r="J85" s="57">
        <v>65204000</v>
      </c>
      <c r="K85" s="57">
        <v>65204000</v>
      </c>
      <c r="L85" s="57">
        <v>65204000</v>
      </c>
      <c r="M85" s="57">
        <v>65204000</v>
      </c>
      <c r="N85" t="s">
        <v>3890</v>
      </c>
      <c r="O85">
        <v>0</v>
      </c>
      <c r="P85">
        <v>0</v>
      </c>
      <c r="Q85">
        <v>0</v>
      </c>
      <c r="R85">
        <v>0</v>
      </c>
      <c r="S85">
        <v>0</v>
      </c>
    </row>
    <row r="86" spans="1:19" x14ac:dyDescent="0.2">
      <c r="A86" t="s">
        <v>3910</v>
      </c>
      <c r="B86">
        <v>7225</v>
      </c>
      <c r="C86" s="5">
        <v>45716</v>
      </c>
      <c r="D86" s="5">
        <v>45716.681250000001</v>
      </c>
      <c r="E86" t="s">
        <v>27</v>
      </c>
      <c r="F86">
        <v>923214</v>
      </c>
      <c r="G86" t="s">
        <v>29</v>
      </c>
      <c r="H86" t="s">
        <v>31</v>
      </c>
      <c r="I86" t="s">
        <v>32</v>
      </c>
      <c r="J86" s="57">
        <v>7000000</v>
      </c>
      <c r="K86" s="57">
        <v>7000000</v>
      </c>
      <c r="L86" s="57">
        <v>7000000</v>
      </c>
      <c r="M86" s="57">
        <v>7000000</v>
      </c>
      <c r="N86" t="s">
        <v>3890</v>
      </c>
      <c r="O86">
        <v>0</v>
      </c>
      <c r="P86">
        <v>0</v>
      </c>
      <c r="Q86">
        <v>0</v>
      </c>
      <c r="R86">
        <v>0</v>
      </c>
      <c r="S86">
        <v>0</v>
      </c>
    </row>
    <row r="87" spans="1:19" x14ac:dyDescent="0.2">
      <c r="A87" t="s">
        <v>3911</v>
      </c>
      <c r="B87">
        <v>7225</v>
      </c>
      <c r="C87" s="5">
        <v>45716</v>
      </c>
      <c r="D87" s="5">
        <v>45716.681250000001</v>
      </c>
      <c r="E87" t="s">
        <v>27</v>
      </c>
      <c r="F87">
        <v>923285</v>
      </c>
      <c r="G87" t="s">
        <v>29</v>
      </c>
      <c r="H87" t="s">
        <v>31</v>
      </c>
      <c r="I87" t="s">
        <v>32</v>
      </c>
      <c r="J87" s="57">
        <v>42676949</v>
      </c>
      <c r="K87" s="57">
        <v>42676949</v>
      </c>
      <c r="L87" s="57">
        <v>42676949</v>
      </c>
      <c r="M87" s="57">
        <v>42676949</v>
      </c>
      <c r="N87" t="s">
        <v>3890</v>
      </c>
      <c r="O87">
        <v>0</v>
      </c>
      <c r="P87">
        <v>0</v>
      </c>
      <c r="Q87">
        <v>0</v>
      </c>
      <c r="R87">
        <v>0</v>
      </c>
      <c r="S87">
        <v>0</v>
      </c>
    </row>
    <row r="88" spans="1:19" x14ac:dyDescent="0.2">
      <c r="A88" t="s">
        <v>3912</v>
      </c>
      <c r="B88">
        <v>7325</v>
      </c>
      <c r="C88" s="5">
        <v>45716</v>
      </c>
      <c r="D88" s="5">
        <v>45716.727777777778</v>
      </c>
      <c r="E88" t="s">
        <v>27</v>
      </c>
      <c r="F88">
        <v>923218</v>
      </c>
      <c r="G88" t="s">
        <v>29</v>
      </c>
      <c r="H88" t="s">
        <v>47</v>
      </c>
      <c r="I88" t="s">
        <v>121</v>
      </c>
      <c r="J88" s="57">
        <v>29425719</v>
      </c>
      <c r="K88" s="57">
        <v>29425719</v>
      </c>
      <c r="L88" s="57">
        <v>29425719</v>
      </c>
      <c r="M88" s="57">
        <v>29425719</v>
      </c>
      <c r="N88" t="s">
        <v>3894</v>
      </c>
      <c r="O88">
        <v>0</v>
      </c>
      <c r="P88">
        <v>0</v>
      </c>
      <c r="Q88">
        <v>0</v>
      </c>
      <c r="R88">
        <v>0</v>
      </c>
      <c r="S88">
        <v>0</v>
      </c>
    </row>
    <row r="89" spans="1:19" x14ac:dyDescent="0.2">
      <c r="A89" t="s">
        <v>3913</v>
      </c>
      <c r="B89">
        <v>7325</v>
      </c>
      <c r="C89" s="5">
        <v>45716</v>
      </c>
      <c r="D89" s="5">
        <v>45716.727777777778</v>
      </c>
      <c r="E89" t="s">
        <v>27</v>
      </c>
      <c r="F89">
        <v>923244</v>
      </c>
      <c r="G89" t="s">
        <v>29</v>
      </c>
      <c r="H89" t="s">
        <v>47</v>
      </c>
      <c r="I89" t="s">
        <v>48</v>
      </c>
      <c r="J89" s="57">
        <v>8692251</v>
      </c>
      <c r="K89" s="57">
        <v>8692251</v>
      </c>
      <c r="L89" s="57">
        <v>8692251</v>
      </c>
      <c r="M89" s="57">
        <v>8692251</v>
      </c>
      <c r="N89" t="s">
        <v>3894</v>
      </c>
      <c r="O89">
        <v>0</v>
      </c>
      <c r="P89">
        <v>0</v>
      </c>
      <c r="Q89">
        <v>0</v>
      </c>
      <c r="R89">
        <v>0</v>
      </c>
      <c r="S89">
        <v>0</v>
      </c>
    </row>
    <row r="90" spans="1:19" x14ac:dyDescent="0.2">
      <c r="A90" t="s">
        <v>3914</v>
      </c>
      <c r="B90">
        <v>7325</v>
      </c>
      <c r="C90" s="5">
        <v>45716</v>
      </c>
      <c r="D90" s="5">
        <v>45716.727777777778</v>
      </c>
      <c r="E90" t="s">
        <v>27</v>
      </c>
      <c r="F90">
        <v>923210</v>
      </c>
      <c r="G90" t="s">
        <v>29</v>
      </c>
      <c r="H90" t="s">
        <v>47</v>
      </c>
      <c r="I90" t="s">
        <v>48</v>
      </c>
      <c r="J90" s="57">
        <v>96800000</v>
      </c>
      <c r="K90" s="57">
        <v>96800000</v>
      </c>
      <c r="L90" s="57">
        <v>96800000</v>
      </c>
      <c r="M90" s="57">
        <v>96800000</v>
      </c>
      <c r="N90" t="s">
        <v>3894</v>
      </c>
      <c r="O90">
        <v>0</v>
      </c>
      <c r="P90">
        <v>0</v>
      </c>
      <c r="Q90">
        <v>0</v>
      </c>
      <c r="R90">
        <v>0</v>
      </c>
      <c r="S90">
        <v>0</v>
      </c>
    </row>
    <row r="91" spans="1:19" x14ac:dyDescent="0.2">
      <c r="A91" t="s">
        <v>3915</v>
      </c>
      <c r="B91">
        <v>7325</v>
      </c>
      <c r="C91" s="5">
        <v>45716</v>
      </c>
      <c r="D91" s="5">
        <v>45716.727777777778</v>
      </c>
      <c r="E91" t="s">
        <v>27</v>
      </c>
      <c r="F91">
        <v>923209</v>
      </c>
      <c r="G91" t="s">
        <v>29</v>
      </c>
      <c r="H91" t="s">
        <v>47</v>
      </c>
      <c r="I91" t="s">
        <v>48</v>
      </c>
      <c r="J91" s="57">
        <v>31702061</v>
      </c>
      <c r="K91" s="57">
        <v>31702061</v>
      </c>
      <c r="L91" s="57">
        <v>31702061</v>
      </c>
      <c r="M91" s="57">
        <v>31702061</v>
      </c>
      <c r="N91" t="s">
        <v>3894</v>
      </c>
      <c r="O91">
        <v>0</v>
      </c>
      <c r="P91">
        <v>0</v>
      </c>
      <c r="Q91">
        <v>0</v>
      </c>
      <c r="R91">
        <v>0</v>
      </c>
      <c r="S91">
        <v>0</v>
      </c>
    </row>
    <row r="92" spans="1:19" x14ac:dyDescent="0.2">
      <c r="A92" t="s">
        <v>3916</v>
      </c>
      <c r="B92">
        <v>7425</v>
      </c>
      <c r="C92" s="5">
        <v>45716</v>
      </c>
      <c r="D92" s="5">
        <v>45716.734027777777</v>
      </c>
      <c r="E92" t="s">
        <v>27</v>
      </c>
      <c r="F92">
        <v>923238</v>
      </c>
      <c r="G92" t="s">
        <v>29</v>
      </c>
      <c r="H92" t="s">
        <v>31</v>
      </c>
      <c r="I92" t="s">
        <v>32</v>
      </c>
      <c r="J92" s="57">
        <v>35000000</v>
      </c>
      <c r="K92" s="57">
        <v>35000000</v>
      </c>
      <c r="L92" s="57">
        <v>35000000</v>
      </c>
      <c r="M92" s="57">
        <v>35000000</v>
      </c>
      <c r="N92" t="s">
        <v>3896</v>
      </c>
      <c r="O92">
        <v>0</v>
      </c>
      <c r="P92">
        <v>0</v>
      </c>
      <c r="Q92">
        <v>0</v>
      </c>
      <c r="R92">
        <v>0</v>
      </c>
      <c r="S92">
        <v>0</v>
      </c>
    </row>
    <row r="93" spans="1:19" x14ac:dyDescent="0.2">
      <c r="A93" t="s">
        <v>3917</v>
      </c>
      <c r="B93">
        <v>7425</v>
      </c>
      <c r="C93" s="5">
        <v>45716</v>
      </c>
      <c r="D93" s="5">
        <v>45716.734027777777</v>
      </c>
      <c r="E93" t="s">
        <v>27</v>
      </c>
      <c r="F93">
        <v>923211</v>
      </c>
      <c r="G93" t="s">
        <v>29</v>
      </c>
      <c r="H93" t="s">
        <v>31</v>
      </c>
      <c r="I93" t="s">
        <v>32</v>
      </c>
      <c r="J93" s="57">
        <v>30000000</v>
      </c>
      <c r="K93" s="57">
        <v>30000000</v>
      </c>
      <c r="L93" s="57">
        <v>30000000</v>
      </c>
      <c r="M93" s="57">
        <v>30000000</v>
      </c>
      <c r="N93" t="s">
        <v>3896</v>
      </c>
      <c r="O93">
        <v>0</v>
      </c>
      <c r="P93">
        <v>0</v>
      </c>
      <c r="Q93">
        <v>0</v>
      </c>
      <c r="R93">
        <v>0</v>
      </c>
      <c r="S93">
        <v>0</v>
      </c>
    </row>
    <row r="94" spans="1:19" x14ac:dyDescent="0.2">
      <c r="A94" t="s">
        <v>2284</v>
      </c>
      <c r="B94">
        <v>7425</v>
      </c>
      <c r="C94" s="5">
        <v>45716</v>
      </c>
      <c r="D94" s="5">
        <v>45716.734027777777</v>
      </c>
      <c r="E94" t="s">
        <v>27</v>
      </c>
      <c r="F94">
        <v>923245</v>
      </c>
      <c r="G94" t="s">
        <v>29</v>
      </c>
      <c r="H94" t="s">
        <v>31</v>
      </c>
      <c r="I94" t="s">
        <v>32</v>
      </c>
      <c r="J94" s="57">
        <v>30000000</v>
      </c>
      <c r="K94" s="57">
        <v>30000000</v>
      </c>
      <c r="L94" s="57">
        <v>30000000</v>
      </c>
      <c r="M94" s="57">
        <v>30000000</v>
      </c>
      <c r="N94" t="s">
        <v>3896</v>
      </c>
      <c r="O94">
        <v>0</v>
      </c>
      <c r="P94">
        <v>0</v>
      </c>
      <c r="Q94">
        <v>0</v>
      </c>
      <c r="R94">
        <v>0</v>
      </c>
      <c r="S94">
        <v>0</v>
      </c>
    </row>
    <row r="95" spans="1:19" x14ac:dyDescent="0.2">
      <c r="A95" t="s">
        <v>3918</v>
      </c>
      <c r="B95">
        <v>7425</v>
      </c>
      <c r="C95" s="5">
        <v>45716</v>
      </c>
      <c r="D95" s="5">
        <v>45716.734027777777</v>
      </c>
      <c r="E95" t="s">
        <v>27</v>
      </c>
      <c r="F95">
        <v>923210</v>
      </c>
      <c r="G95" t="s">
        <v>57</v>
      </c>
      <c r="H95" t="s">
        <v>31</v>
      </c>
      <c r="I95" t="s">
        <v>32</v>
      </c>
      <c r="J95" s="57">
        <v>55000000</v>
      </c>
      <c r="K95" s="57">
        <v>55000000</v>
      </c>
      <c r="L95" s="57">
        <v>55000000</v>
      </c>
      <c r="M95" s="57">
        <v>55000000</v>
      </c>
      <c r="N95" t="s">
        <v>3896</v>
      </c>
      <c r="O95">
        <v>0</v>
      </c>
      <c r="P95">
        <v>0</v>
      </c>
      <c r="Q95">
        <v>0</v>
      </c>
      <c r="R95">
        <v>0</v>
      </c>
      <c r="S95">
        <v>0</v>
      </c>
    </row>
    <row r="96" spans="1:19" x14ac:dyDescent="0.2">
      <c r="A96" t="s">
        <v>3919</v>
      </c>
      <c r="B96">
        <v>7425</v>
      </c>
      <c r="C96" s="5">
        <v>45716</v>
      </c>
      <c r="D96" s="5">
        <v>45716.734027777777</v>
      </c>
      <c r="E96" t="s">
        <v>27</v>
      </c>
      <c r="F96">
        <v>923234</v>
      </c>
      <c r="G96" t="s">
        <v>29</v>
      </c>
      <c r="H96" t="s">
        <v>47</v>
      </c>
      <c r="I96" t="s">
        <v>48</v>
      </c>
      <c r="J96" s="57">
        <v>22000000</v>
      </c>
      <c r="K96" s="57">
        <v>22000000</v>
      </c>
      <c r="L96" s="57">
        <v>22000000</v>
      </c>
      <c r="M96" s="57">
        <v>22000000</v>
      </c>
      <c r="N96" t="s">
        <v>3896</v>
      </c>
      <c r="O96">
        <v>0</v>
      </c>
      <c r="P96">
        <v>0</v>
      </c>
      <c r="Q96">
        <v>0</v>
      </c>
      <c r="R96">
        <v>0</v>
      </c>
      <c r="S96">
        <v>0</v>
      </c>
    </row>
    <row r="97" spans="1:19" x14ac:dyDescent="0.2">
      <c r="A97" t="s">
        <v>3920</v>
      </c>
      <c r="B97">
        <v>7525</v>
      </c>
      <c r="C97" s="5">
        <v>45722</v>
      </c>
      <c r="D97" s="5">
        <v>45722.788194444445</v>
      </c>
      <c r="E97" t="s">
        <v>27</v>
      </c>
      <c r="F97">
        <v>923243</v>
      </c>
      <c r="G97" t="s">
        <v>29</v>
      </c>
      <c r="H97" t="s">
        <v>31</v>
      </c>
      <c r="I97" t="s">
        <v>32</v>
      </c>
      <c r="J97" s="57">
        <v>38558830</v>
      </c>
      <c r="K97" s="57">
        <v>38558830</v>
      </c>
      <c r="L97" s="57">
        <v>38558830</v>
      </c>
      <c r="M97" s="57">
        <v>38558830</v>
      </c>
      <c r="N97" t="s">
        <v>3901</v>
      </c>
      <c r="O97">
        <v>0</v>
      </c>
      <c r="P97">
        <v>0</v>
      </c>
      <c r="Q97">
        <v>0</v>
      </c>
      <c r="R97">
        <v>0</v>
      </c>
      <c r="S97">
        <v>0</v>
      </c>
    </row>
    <row r="98" spans="1:19" x14ac:dyDescent="0.2">
      <c r="A98" t="s">
        <v>4784</v>
      </c>
      <c r="B98">
        <v>7625</v>
      </c>
      <c r="C98" s="5">
        <v>45734</v>
      </c>
      <c r="D98" s="5">
        <v>45734.695138888892</v>
      </c>
      <c r="E98" t="s">
        <v>27</v>
      </c>
      <c r="F98">
        <v>923210</v>
      </c>
      <c r="G98" t="s">
        <v>29</v>
      </c>
      <c r="H98" t="s">
        <v>31</v>
      </c>
      <c r="I98" t="s">
        <v>32</v>
      </c>
      <c r="J98" s="57">
        <v>25837331</v>
      </c>
      <c r="K98" s="57">
        <v>25837331</v>
      </c>
      <c r="L98" s="57">
        <v>25837331</v>
      </c>
      <c r="M98" s="57">
        <v>25837331</v>
      </c>
      <c r="N98" t="s">
        <v>4632</v>
      </c>
      <c r="O98">
        <v>0</v>
      </c>
      <c r="P98">
        <v>0</v>
      </c>
      <c r="Q98">
        <v>0</v>
      </c>
      <c r="R98">
        <v>0</v>
      </c>
      <c r="S98">
        <v>0</v>
      </c>
    </row>
    <row r="99" spans="1:19" x14ac:dyDescent="0.2">
      <c r="A99" t="s">
        <v>4785</v>
      </c>
      <c r="B99">
        <v>7725</v>
      </c>
      <c r="C99" s="5">
        <v>45734</v>
      </c>
      <c r="D99" s="5">
        <v>45734.701388888891</v>
      </c>
      <c r="E99" t="s">
        <v>27</v>
      </c>
      <c r="F99">
        <v>923227</v>
      </c>
      <c r="G99" t="s">
        <v>142</v>
      </c>
      <c r="H99" t="s">
        <v>31</v>
      </c>
      <c r="I99" t="s">
        <v>32</v>
      </c>
      <c r="J99" s="57">
        <v>100000000</v>
      </c>
      <c r="K99" s="57">
        <v>100000000</v>
      </c>
      <c r="L99" s="57">
        <v>100000000</v>
      </c>
      <c r="M99" s="57">
        <v>100000000</v>
      </c>
      <c r="N99" t="s">
        <v>4634</v>
      </c>
      <c r="O99">
        <v>0</v>
      </c>
      <c r="P99">
        <v>0</v>
      </c>
      <c r="Q99">
        <v>0</v>
      </c>
      <c r="R99">
        <v>0</v>
      </c>
      <c r="S99">
        <v>0</v>
      </c>
    </row>
    <row r="100" spans="1:19" x14ac:dyDescent="0.2">
      <c r="A100" t="s">
        <v>4786</v>
      </c>
      <c r="B100">
        <v>7725</v>
      </c>
      <c r="C100" s="5">
        <v>45734</v>
      </c>
      <c r="D100" s="5">
        <v>45734.701388888891</v>
      </c>
      <c r="E100" t="s">
        <v>27</v>
      </c>
      <c r="F100">
        <v>923290</v>
      </c>
      <c r="G100" t="s">
        <v>142</v>
      </c>
      <c r="H100" t="s">
        <v>47</v>
      </c>
      <c r="I100" t="s">
        <v>48</v>
      </c>
      <c r="J100" s="57">
        <v>20000000</v>
      </c>
      <c r="K100" s="57">
        <v>20000000</v>
      </c>
      <c r="L100" s="57">
        <v>20000000</v>
      </c>
      <c r="M100" s="57">
        <v>20000000</v>
      </c>
      <c r="N100" t="s">
        <v>4634</v>
      </c>
      <c r="O100">
        <v>0</v>
      </c>
      <c r="P100">
        <v>0</v>
      </c>
      <c r="Q100">
        <v>0</v>
      </c>
      <c r="R100">
        <v>0</v>
      </c>
      <c r="S100">
        <v>0</v>
      </c>
    </row>
    <row r="101" spans="1:19" x14ac:dyDescent="0.2">
      <c r="A101" t="s">
        <v>4787</v>
      </c>
      <c r="B101">
        <v>7825</v>
      </c>
      <c r="C101" s="5">
        <v>45734</v>
      </c>
      <c r="D101" s="5">
        <v>45734.707638888889</v>
      </c>
      <c r="E101" t="s">
        <v>27</v>
      </c>
      <c r="F101">
        <v>923224</v>
      </c>
      <c r="G101" t="s">
        <v>251</v>
      </c>
      <c r="H101" t="s">
        <v>47</v>
      </c>
      <c r="I101" t="s">
        <v>76</v>
      </c>
      <c r="J101" s="57">
        <v>125000000</v>
      </c>
      <c r="K101" s="57">
        <v>125000000</v>
      </c>
      <c r="L101" s="57">
        <v>125000000</v>
      </c>
      <c r="M101" s="57">
        <v>125000000</v>
      </c>
      <c r="N101" t="s">
        <v>4636</v>
      </c>
      <c r="O101">
        <v>0</v>
      </c>
      <c r="P101">
        <v>0</v>
      </c>
      <c r="Q101">
        <v>0</v>
      </c>
      <c r="R101">
        <v>0</v>
      </c>
      <c r="S101">
        <v>0</v>
      </c>
    </row>
    <row r="102" spans="1:19" x14ac:dyDescent="0.2">
      <c r="A102" t="s">
        <v>4788</v>
      </c>
      <c r="B102">
        <v>7925</v>
      </c>
      <c r="C102" s="5">
        <v>45734</v>
      </c>
      <c r="D102" s="5">
        <v>45734.709722222222</v>
      </c>
      <c r="E102" t="s">
        <v>27</v>
      </c>
      <c r="F102">
        <v>923224</v>
      </c>
      <c r="G102" t="s">
        <v>251</v>
      </c>
      <c r="H102" t="s">
        <v>47</v>
      </c>
      <c r="I102" t="s">
        <v>76</v>
      </c>
      <c r="J102" s="57">
        <v>113886250</v>
      </c>
      <c r="K102" s="57">
        <v>113886250</v>
      </c>
      <c r="L102" s="57">
        <v>113886250</v>
      </c>
      <c r="M102" s="57">
        <v>113886250</v>
      </c>
      <c r="N102" t="s">
        <v>4638</v>
      </c>
      <c r="O102">
        <v>0</v>
      </c>
      <c r="P102">
        <v>0</v>
      </c>
      <c r="Q102">
        <v>0</v>
      </c>
      <c r="R102">
        <v>0</v>
      </c>
      <c r="S102">
        <v>0</v>
      </c>
    </row>
    <row r="103" spans="1:19" x14ac:dyDescent="0.2">
      <c r="A103" t="s">
        <v>4789</v>
      </c>
      <c r="B103">
        <v>8025</v>
      </c>
      <c r="C103" s="5">
        <v>45734</v>
      </c>
      <c r="D103" s="5">
        <v>45734.712500000001</v>
      </c>
      <c r="E103" t="s">
        <v>27</v>
      </c>
      <c r="F103">
        <v>923224</v>
      </c>
      <c r="G103" t="s">
        <v>251</v>
      </c>
      <c r="H103" t="s">
        <v>47</v>
      </c>
      <c r="I103" t="s">
        <v>76</v>
      </c>
      <c r="J103" s="57">
        <v>130000000</v>
      </c>
      <c r="K103" s="57">
        <v>130000000</v>
      </c>
      <c r="L103" s="57">
        <v>130000000</v>
      </c>
      <c r="M103" s="57">
        <v>130000000</v>
      </c>
      <c r="N103" t="s">
        <v>4640</v>
      </c>
      <c r="O103">
        <v>0</v>
      </c>
      <c r="P103">
        <v>0</v>
      </c>
      <c r="Q103">
        <v>0</v>
      </c>
      <c r="R103">
        <v>0</v>
      </c>
      <c r="S103">
        <v>0</v>
      </c>
    </row>
    <row r="104" spans="1:19" x14ac:dyDescent="0.2">
      <c r="A104" t="s">
        <v>4790</v>
      </c>
      <c r="B104">
        <v>8125</v>
      </c>
      <c r="C104" s="5">
        <v>45734</v>
      </c>
      <c r="D104" s="5">
        <v>45734.742361111108</v>
      </c>
      <c r="E104" t="s">
        <v>27</v>
      </c>
      <c r="F104">
        <v>923242</v>
      </c>
      <c r="G104" t="s">
        <v>29</v>
      </c>
      <c r="H104" t="s">
        <v>47</v>
      </c>
      <c r="I104" t="s">
        <v>48</v>
      </c>
      <c r="J104" s="57">
        <v>30000000</v>
      </c>
      <c r="K104" s="57">
        <v>30000000</v>
      </c>
      <c r="L104" s="57">
        <v>30000000</v>
      </c>
      <c r="M104" s="57">
        <v>30000000</v>
      </c>
      <c r="N104" t="s">
        <v>3890</v>
      </c>
      <c r="O104">
        <v>0</v>
      </c>
      <c r="P104">
        <v>0</v>
      </c>
      <c r="Q104">
        <v>0</v>
      </c>
      <c r="R104">
        <v>0</v>
      </c>
      <c r="S104">
        <v>0</v>
      </c>
    </row>
    <row r="105" spans="1:19" x14ac:dyDescent="0.2">
      <c r="B105"/>
      <c r="J105"/>
      <c r="K105"/>
      <c r="L105"/>
      <c r="M105"/>
    </row>
    <row r="106" spans="1:19" x14ac:dyDescent="0.2">
      <c r="B106"/>
      <c r="J106"/>
      <c r="K106"/>
      <c r="L106"/>
      <c r="M106"/>
    </row>
    <row r="107" spans="1:19" x14ac:dyDescent="0.2">
      <c r="B107"/>
      <c r="J107"/>
      <c r="K107"/>
      <c r="L107"/>
      <c r="M107"/>
    </row>
    <row r="108" spans="1:19" x14ac:dyDescent="0.2">
      <c r="B108"/>
      <c r="J108"/>
      <c r="K108"/>
      <c r="L108"/>
      <c r="M108"/>
    </row>
    <row r="109" spans="1:19" x14ac:dyDescent="0.2">
      <c r="B109"/>
      <c r="J109"/>
      <c r="K109"/>
      <c r="L109"/>
      <c r="M109"/>
    </row>
    <row r="110" spans="1:19" x14ac:dyDescent="0.2">
      <c r="B110"/>
      <c r="J110"/>
      <c r="K110"/>
      <c r="L110"/>
      <c r="M110"/>
    </row>
    <row r="111" spans="1:19" x14ac:dyDescent="0.2">
      <c r="B111"/>
      <c r="J111"/>
      <c r="K111"/>
      <c r="L111"/>
      <c r="M111"/>
    </row>
    <row r="112" spans="1:19" x14ac:dyDescent="0.2">
      <c r="B112"/>
      <c r="J112"/>
      <c r="K112"/>
      <c r="L112"/>
      <c r="M112"/>
    </row>
    <row r="113" spans="3:4" customFormat="1" x14ac:dyDescent="0.2">
      <c r="C113" s="5"/>
      <c r="D113" s="5"/>
    </row>
    <row r="114" spans="3:4" customFormat="1" x14ac:dyDescent="0.2">
      <c r="C114" s="5"/>
      <c r="D114" s="5"/>
    </row>
    <row r="115" spans="3:4" customFormat="1" x14ac:dyDescent="0.2">
      <c r="C115" s="5"/>
      <c r="D115" s="5"/>
    </row>
    <row r="116" spans="3:4" customFormat="1" x14ac:dyDescent="0.2">
      <c r="C116" s="5"/>
      <c r="D116" s="5"/>
    </row>
    <row r="117" spans="3:4" customFormat="1" x14ac:dyDescent="0.2">
      <c r="C117" s="5"/>
      <c r="D117" s="5"/>
    </row>
    <row r="118" spans="3:4" customFormat="1" x14ac:dyDescent="0.2">
      <c r="C118" s="5"/>
      <c r="D118" s="5"/>
    </row>
    <row r="119" spans="3:4" customFormat="1" x14ac:dyDescent="0.2">
      <c r="C119" s="5"/>
      <c r="D119" s="5"/>
    </row>
    <row r="120" spans="3:4" customFormat="1" x14ac:dyDescent="0.2">
      <c r="C120" s="5"/>
      <c r="D120" s="5"/>
    </row>
    <row r="121" spans="3:4" customFormat="1" x14ac:dyDescent="0.2">
      <c r="C121" s="5"/>
      <c r="D121" s="5"/>
    </row>
    <row r="122" spans="3:4" customFormat="1" x14ac:dyDescent="0.2">
      <c r="C122" s="5"/>
      <c r="D122" s="5"/>
    </row>
    <row r="123" spans="3:4" customFormat="1" x14ac:dyDescent="0.2">
      <c r="C123" s="5"/>
      <c r="D123" s="5"/>
    </row>
    <row r="124" spans="3:4" customFormat="1" x14ac:dyDescent="0.2">
      <c r="C124" s="5"/>
      <c r="D124" s="5"/>
    </row>
    <row r="125" spans="3:4" customFormat="1" x14ac:dyDescent="0.2">
      <c r="C125" s="5"/>
      <c r="D125" s="5"/>
    </row>
    <row r="126" spans="3:4" customFormat="1" x14ac:dyDescent="0.2">
      <c r="C126" s="5"/>
      <c r="D126" s="5"/>
    </row>
    <row r="127" spans="3:4" customFormat="1" x14ac:dyDescent="0.2">
      <c r="C127" s="5"/>
      <c r="D127" s="5"/>
    </row>
    <row r="128" spans="3:4" customFormat="1" x14ac:dyDescent="0.2">
      <c r="C128" s="5"/>
      <c r="D128" s="5"/>
    </row>
    <row r="129" spans="3:4" customFormat="1" x14ac:dyDescent="0.2">
      <c r="C129" s="5"/>
      <c r="D129" s="5"/>
    </row>
    <row r="130" spans="3:4" customFormat="1" x14ac:dyDescent="0.2">
      <c r="C130" s="5"/>
      <c r="D130" s="5"/>
    </row>
    <row r="131" spans="3:4" customFormat="1" x14ac:dyDescent="0.2">
      <c r="C131" s="5"/>
      <c r="D131" s="5"/>
    </row>
    <row r="132" spans="3:4" customFormat="1" x14ac:dyDescent="0.2">
      <c r="C132" s="5"/>
      <c r="D132" s="5"/>
    </row>
    <row r="133" spans="3:4" customFormat="1" x14ac:dyDescent="0.2">
      <c r="C133" s="5"/>
      <c r="D133" s="5"/>
    </row>
    <row r="134" spans="3:4" customFormat="1" x14ac:dyDescent="0.2">
      <c r="C134" s="5"/>
      <c r="D134" s="5"/>
    </row>
    <row r="135" spans="3:4" customFormat="1" x14ac:dyDescent="0.2">
      <c r="C135" s="5"/>
      <c r="D135" s="5"/>
    </row>
    <row r="136" spans="3:4" customFormat="1" x14ac:dyDescent="0.2">
      <c r="C136" s="5"/>
      <c r="D136" s="5"/>
    </row>
    <row r="137" spans="3:4" customFormat="1" x14ac:dyDescent="0.2">
      <c r="C137" s="5"/>
      <c r="D137" s="5"/>
    </row>
    <row r="138" spans="3:4" customFormat="1" x14ac:dyDescent="0.2">
      <c r="C138" s="5"/>
      <c r="D138" s="5"/>
    </row>
    <row r="139" spans="3:4" customFormat="1" x14ac:dyDescent="0.2">
      <c r="C139" s="5"/>
      <c r="D139" s="5"/>
    </row>
    <row r="140" spans="3:4" customFormat="1" x14ac:dyDescent="0.2">
      <c r="C140" s="5"/>
      <c r="D140" s="5"/>
    </row>
    <row r="141" spans="3:4" customFormat="1" x14ac:dyDescent="0.2">
      <c r="C141" s="5"/>
      <c r="D141" s="5"/>
    </row>
    <row r="142" spans="3:4" customFormat="1" x14ac:dyDescent="0.2">
      <c r="C142" s="5"/>
      <c r="D142" s="5"/>
    </row>
    <row r="143" spans="3:4" customFormat="1" x14ac:dyDescent="0.2">
      <c r="C143" s="5"/>
      <c r="D143" s="5"/>
    </row>
    <row r="144" spans="3:4" customFormat="1" x14ac:dyDescent="0.2">
      <c r="C144" s="5"/>
      <c r="D144" s="5"/>
    </row>
    <row r="145" spans="3:4" customFormat="1" x14ac:dyDescent="0.2">
      <c r="C145" s="5"/>
      <c r="D145" s="5"/>
    </row>
    <row r="146" spans="3:4" customFormat="1" x14ac:dyDescent="0.2">
      <c r="C146" s="5"/>
      <c r="D146" s="5"/>
    </row>
    <row r="147" spans="3:4" customFormat="1" x14ac:dyDescent="0.2">
      <c r="C147" s="5"/>
      <c r="D147" s="5"/>
    </row>
    <row r="148" spans="3:4" customFormat="1" x14ac:dyDescent="0.2">
      <c r="C148" s="5"/>
      <c r="D148" s="5"/>
    </row>
    <row r="149" spans="3:4" customFormat="1" x14ac:dyDescent="0.2">
      <c r="C149" s="5"/>
      <c r="D149" s="5"/>
    </row>
    <row r="150" spans="3:4" customFormat="1" x14ac:dyDescent="0.2">
      <c r="C150" s="5"/>
      <c r="D150" s="5"/>
    </row>
    <row r="151" spans="3:4" customFormat="1" x14ac:dyDescent="0.2">
      <c r="C151" s="5"/>
      <c r="D151" s="5"/>
    </row>
    <row r="152" spans="3:4" customFormat="1" x14ac:dyDescent="0.2">
      <c r="C152" s="5"/>
      <c r="D152" s="5"/>
    </row>
    <row r="153" spans="3:4" customFormat="1" x14ac:dyDescent="0.2">
      <c r="C153" s="5"/>
      <c r="D153" s="5"/>
    </row>
    <row r="154" spans="3:4" customFormat="1" x14ac:dyDescent="0.2">
      <c r="C154" s="5"/>
      <c r="D154" s="5"/>
    </row>
    <row r="155" spans="3:4" customFormat="1" x14ac:dyDescent="0.2">
      <c r="C155" s="5"/>
      <c r="D155" s="5"/>
    </row>
    <row r="156" spans="3:4" customFormat="1" x14ac:dyDescent="0.2">
      <c r="C156" s="5"/>
      <c r="D156" s="5"/>
    </row>
    <row r="157" spans="3:4" customFormat="1" x14ac:dyDescent="0.2">
      <c r="C157" s="5"/>
      <c r="D157" s="5"/>
    </row>
    <row r="158" spans="3:4" customFormat="1" x14ac:dyDescent="0.2">
      <c r="C158" s="5"/>
      <c r="D158" s="5"/>
    </row>
    <row r="159" spans="3:4" customFormat="1" x14ac:dyDescent="0.2">
      <c r="C159" s="5"/>
      <c r="D159" s="5"/>
    </row>
    <row r="160" spans="3:4" customFormat="1" x14ac:dyDescent="0.2">
      <c r="C160" s="5"/>
      <c r="D160" s="5"/>
    </row>
    <row r="161" spans="3:4" customFormat="1" x14ac:dyDescent="0.2">
      <c r="C161" s="5"/>
      <c r="D161" s="5"/>
    </row>
    <row r="162" spans="3:4" customFormat="1" x14ac:dyDescent="0.2">
      <c r="C162" s="5"/>
      <c r="D162" s="5"/>
    </row>
    <row r="163" spans="3:4" customFormat="1" x14ac:dyDescent="0.2">
      <c r="C163" s="5"/>
      <c r="D163" s="5"/>
    </row>
    <row r="164" spans="3:4" customFormat="1" x14ac:dyDescent="0.2">
      <c r="C164" s="5"/>
      <c r="D164" s="5"/>
    </row>
    <row r="165" spans="3:4" customFormat="1" x14ac:dyDescent="0.2">
      <c r="C165" s="5"/>
      <c r="D165" s="5"/>
    </row>
    <row r="166" spans="3:4" customFormat="1" x14ac:dyDescent="0.2">
      <c r="C166" s="5"/>
      <c r="D166" s="5"/>
    </row>
    <row r="167" spans="3:4" customFormat="1" x14ac:dyDescent="0.2">
      <c r="C167" s="5"/>
      <c r="D167" s="5"/>
    </row>
    <row r="168" spans="3:4" customFormat="1" x14ac:dyDescent="0.2">
      <c r="C168" s="5"/>
      <c r="D168" s="5"/>
    </row>
    <row r="169" spans="3:4" customFormat="1" x14ac:dyDescent="0.2">
      <c r="C169" s="5"/>
      <c r="D169" s="5"/>
    </row>
    <row r="170" spans="3:4" customFormat="1" x14ac:dyDescent="0.2">
      <c r="C170" s="5"/>
      <c r="D170" s="5"/>
    </row>
    <row r="171" spans="3:4" customFormat="1" x14ac:dyDescent="0.2">
      <c r="C171" s="5"/>
      <c r="D171" s="5"/>
    </row>
    <row r="172" spans="3:4" customFormat="1" x14ac:dyDescent="0.2">
      <c r="C172" s="5"/>
      <c r="D172" s="5"/>
    </row>
    <row r="173" spans="3:4" customFormat="1" x14ac:dyDescent="0.2">
      <c r="C173" s="5"/>
      <c r="D173" s="5"/>
    </row>
    <row r="174" spans="3:4" customFormat="1" x14ac:dyDescent="0.2">
      <c r="C174" s="5"/>
      <c r="D174" s="5"/>
    </row>
    <row r="175" spans="3:4" customFormat="1" x14ac:dyDescent="0.2">
      <c r="C175" s="5"/>
      <c r="D175" s="5"/>
    </row>
    <row r="176" spans="3:4" customFormat="1" x14ac:dyDescent="0.2">
      <c r="C176" s="5"/>
      <c r="D176" s="5"/>
    </row>
    <row r="177" spans="3:4" customFormat="1" x14ac:dyDescent="0.2">
      <c r="C177" s="5"/>
      <c r="D177" s="5"/>
    </row>
    <row r="178" spans="3:4" customFormat="1" x14ac:dyDescent="0.2">
      <c r="C178" s="5"/>
      <c r="D178" s="5"/>
    </row>
    <row r="179" spans="3:4" customFormat="1" x14ac:dyDescent="0.2">
      <c r="C179" s="5"/>
      <c r="D179" s="5"/>
    </row>
    <row r="180" spans="3:4" customFormat="1" x14ac:dyDescent="0.2">
      <c r="C180" s="5"/>
      <c r="D180" s="5"/>
    </row>
    <row r="181" spans="3:4" customFormat="1" x14ac:dyDescent="0.2">
      <c r="C181" s="5"/>
      <c r="D181" s="5"/>
    </row>
    <row r="182" spans="3:4" customFormat="1" x14ac:dyDescent="0.2">
      <c r="C182" s="5"/>
      <c r="D182" s="5"/>
    </row>
    <row r="183" spans="3:4" customFormat="1" x14ac:dyDescent="0.2">
      <c r="C183" s="5"/>
      <c r="D183" s="5"/>
    </row>
    <row r="184" spans="3:4" customFormat="1" x14ac:dyDescent="0.2">
      <c r="C184" s="5"/>
      <c r="D184" s="5"/>
    </row>
    <row r="185" spans="3:4" customFormat="1" x14ac:dyDescent="0.2">
      <c r="C185" s="5"/>
      <c r="D185" s="5"/>
    </row>
    <row r="186" spans="3:4" customFormat="1" x14ac:dyDescent="0.2">
      <c r="C186" s="5"/>
      <c r="D186" s="5"/>
    </row>
    <row r="187" spans="3:4" customFormat="1" x14ac:dyDescent="0.2">
      <c r="C187" s="5"/>
      <c r="D187" s="5"/>
    </row>
    <row r="188" spans="3:4" customFormat="1" x14ac:dyDescent="0.2">
      <c r="C188" s="5"/>
      <c r="D188" s="5"/>
    </row>
    <row r="189" spans="3:4" customFormat="1" x14ac:dyDescent="0.2">
      <c r="C189" s="5"/>
      <c r="D189" s="5"/>
    </row>
    <row r="190" spans="3:4" customFormat="1" x14ac:dyDescent="0.2">
      <c r="C190" s="5"/>
      <c r="D190" s="5"/>
    </row>
    <row r="191" spans="3:4" customFormat="1" x14ac:dyDescent="0.2">
      <c r="C191" s="5"/>
      <c r="D191" s="5"/>
    </row>
    <row r="192" spans="3:4" customFormat="1" x14ac:dyDescent="0.2">
      <c r="C192" s="5"/>
      <c r="D192" s="5"/>
    </row>
    <row r="193" spans="3:4" customFormat="1" x14ac:dyDescent="0.2">
      <c r="C193" s="5"/>
      <c r="D193" s="5"/>
    </row>
    <row r="194" spans="3:4" customFormat="1" x14ac:dyDescent="0.2">
      <c r="C194" s="5"/>
      <c r="D194" s="5"/>
    </row>
    <row r="195" spans="3:4" customFormat="1" x14ac:dyDescent="0.2">
      <c r="C195" s="5"/>
      <c r="D195" s="5"/>
    </row>
    <row r="196" spans="3:4" customFormat="1" x14ac:dyDescent="0.2">
      <c r="C196" s="5"/>
      <c r="D196" s="5"/>
    </row>
    <row r="197" spans="3:4" customFormat="1" x14ac:dyDescent="0.2">
      <c r="C197" s="5"/>
      <c r="D197" s="5"/>
    </row>
    <row r="198" spans="3:4" customFormat="1" x14ac:dyDescent="0.2">
      <c r="C198" s="5"/>
      <c r="D198" s="5"/>
    </row>
    <row r="199" spans="3:4" customFormat="1" x14ac:dyDescent="0.2">
      <c r="C199" s="5"/>
      <c r="D199" s="5"/>
    </row>
    <row r="200" spans="3:4" customFormat="1" x14ac:dyDescent="0.2">
      <c r="C200" s="5"/>
      <c r="D200" s="5"/>
    </row>
    <row r="201" spans="3:4" customFormat="1" x14ac:dyDescent="0.2">
      <c r="C201" s="5"/>
      <c r="D201" s="5"/>
    </row>
    <row r="202" spans="3:4" customFormat="1" x14ac:dyDescent="0.2">
      <c r="C202" s="5"/>
      <c r="D202" s="5"/>
    </row>
    <row r="203" spans="3:4" customFormat="1" x14ac:dyDescent="0.2">
      <c r="C203" s="5"/>
      <c r="D203" s="5"/>
    </row>
    <row r="204" spans="3:4" customFormat="1" x14ac:dyDescent="0.2">
      <c r="C204" s="5"/>
      <c r="D204" s="5"/>
    </row>
    <row r="205" spans="3:4" customFormat="1" x14ac:dyDescent="0.2">
      <c r="C205" s="5"/>
      <c r="D205" s="5"/>
    </row>
    <row r="206" spans="3:4" customFormat="1" x14ac:dyDescent="0.2">
      <c r="C206" s="5"/>
      <c r="D206" s="5"/>
    </row>
    <row r="207" spans="3:4" customFormat="1" x14ac:dyDescent="0.2">
      <c r="C207" s="5"/>
      <c r="D207" s="5"/>
    </row>
    <row r="208" spans="3:4" customFormat="1" x14ac:dyDescent="0.2">
      <c r="C208" s="5"/>
      <c r="D208" s="5"/>
    </row>
    <row r="209" spans="3:4" customFormat="1" x14ac:dyDescent="0.2">
      <c r="C209" s="5"/>
      <c r="D209" s="5"/>
    </row>
    <row r="210" spans="3:4" customFormat="1" x14ac:dyDescent="0.2">
      <c r="C210" s="5"/>
      <c r="D210" s="5"/>
    </row>
    <row r="211" spans="3:4" customFormat="1" x14ac:dyDescent="0.2">
      <c r="C211" s="5"/>
      <c r="D211" s="5"/>
    </row>
    <row r="212" spans="3:4" customFormat="1" x14ac:dyDescent="0.2">
      <c r="C212" s="5"/>
      <c r="D212" s="5"/>
    </row>
    <row r="213" spans="3:4" customFormat="1" x14ac:dyDescent="0.2">
      <c r="C213" s="5"/>
      <c r="D213" s="5"/>
    </row>
    <row r="214" spans="3:4" customFormat="1" x14ac:dyDescent="0.2">
      <c r="C214" s="5"/>
      <c r="D214" s="5"/>
    </row>
    <row r="215" spans="3:4" customFormat="1" x14ac:dyDescent="0.2">
      <c r="C215" s="5"/>
      <c r="D215" s="5"/>
    </row>
    <row r="216" spans="3:4" customFormat="1" x14ac:dyDescent="0.2">
      <c r="C216" s="5"/>
      <c r="D216" s="5"/>
    </row>
    <row r="217" spans="3:4" customFormat="1" x14ac:dyDescent="0.2">
      <c r="C217" s="5"/>
      <c r="D217" s="5"/>
    </row>
    <row r="218" spans="3:4" customFormat="1" x14ac:dyDescent="0.2">
      <c r="C218" s="5"/>
      <c r="D218" s="5"/>
    </row>
    <row r="219" spans="3:4" customFormat="1" x14ac:dyDescent="0.2">
      <c r="C219" s="5"/>
      <c r="D219" s="5"/>
    </row>
    <row r="220" spans="3:4" customFormat="1" x14ac:dyDescent="0.2">
      <c r="C220" s="5"/>
      <c r="D220" s="5"/>
    </row>
    <row r="221" spans="3:4" customFormat="1" x14ac:dyDescent="0.2">
      <c r="C221" s="5"/>
      <c r="D221" s="5"/>
    </row>
    <row r="222" spans="3:4" customFormat="1" x14ac:dyDescent="0.2">
      <c r="C222" s="5"/>
      <c r="D222" s="5"/>
    </row>
    <row r="223" spans="3:4" customFormat="1" x14ac:dyDescent="0.2">
      <c r="C223" s="5"/>
      <c r="D223" s="5"/>
    </row>
    <row r="224" spans="3:4" customFormat="1" x14ac:dyDescent="0.2">
      <c r="C224" s="5"/>
      <c r="D224" s="5"/>
    </row>
    <row r="225" spans="3:4" customFormat="1" x14ac:dyDescent="0.2">
      <c r="C225" s="5"/>
      <c r="D225" s="5"/>
    </row>
    <row r="226" spans="3:4" customFormat="1" x14ac:dyDescent="0.2">
      <c r="C226" s="5"/>
      <c r="D226" s="5"/>
    </row>
    <row r="227" spans="3:4" customFormat="1" x14ac:dyDescent="0.2">
      <c r="C227" s="5"/>
      <c r="D227" s="5"/>
    </row>
    <row r="228" spans="3:4" customFormat="1" x14ac:dyDescent="0.2">
      <c r="C228" s="5"/>
      <c r="D228" s="5"/>
    </row>
    <row r="229" spans="3:4" customFormat="1" x14ac:dyDescent="0.2">
      <c r="C229" s="5"/>
      <c r="D229" s="5"/>
    </row>
    <row r="230" spans="3:4" customFormat="1" x14ac:dyDescent="0.2">
      <c r="C230" s="5"/>
      <c r="D230" s="5"/>
    </row>
    <row r="231" spans="3:4" customFormat="1" x14ac:dyDescent="0.2">
      <c r="C231" s="5"/>
      <c r="D231" s="5"/>
    </row>
    <row r="232" spans="3:4" customFormat="1" x14ac:dyDescent="0.2">
      <c r="C232" s="5"/>
      <c r="D232" s="5"/>
    </row>
    <row r="233" spans="3:4" customFormat="1" x14ac:dyDescent="0.2">
      <c r="C233" s="5"/>
      <c r="D233" s="5"/>
    </row>
    <row r="234" spans="3:4" customFormat="1" x14ac:dyDescent="0.2">
      <c r="C234" s="5"/>
      <c r="D234" s="5"/>
    </row>
    <row r="235" spans="3:4" customFormat="1" x14ac:dyDescent="0.2">
      <c r="C235" s="5"/>
      <c r="D235" s="5"/>
    </row>
    <row r="236" spans="3:4" customFormat="1" x14ac:dyDescent="0.2">
      <c r="C236" s="5"/>
      <c r="D236" s="5"/>
    </row>
    <row r="237" spans="3:4" customFormat="1" x14ac:dyDescent="0.2">
      <c r="C237" s="5"/>
      <c r="D237" s="5"/>
    </row>
    <row r="238" spans="3:4" customFormat="1" x14ac:dyDescent="0.2">
      <c r="C238" s="5"/>
      <c r="D238" s="5"/>
    </row>
    <row r="239" spans="3:4" customFormat="1" x14ac:dyDescent="0.2">
      <c r="C239" s="5"/>
      <c r="D239" s="5"/>
    </row>
    <row r="240" spans="3:4" customFormat="1" x14ac:dyDescent="0.2">
      <c r="C240" s="5"/>
      <c r="D240" s="5"/>
    </row>
    <row r="241" spans="3:4" customFormat="1" x14ac:dyDescent="0.2">
      <c r="C241" s="5"/>
      <c r="D241" s="5"/>
    </row>
    <row r="242" spans="3:4" customFormat="1" x14ac:dyDescent="0.2">
      <c r="C242" s="5"/>
      <c r="D242" s="5"/>
    </row>
    <row r="243" spans="3:4" customFormat="1" x14ac:dyDescent="0.2">
      <c r="C243" s="5"/>
      <c r="D243" s="5"/>
    </row>
    <row r="244" spans="3:4" customFormat="1" x14ac:dyDescent="0.2">
      <c r="C244" s="5"/>
      <c r="D244" s="5"/>
    </row>
    <row r="245" spans="3:4" customFormat="1" x14ac:dyDescent="0.2">
      <c r="C245" s="5"/>
      <c r="D245" s="5"/>
    </row>
    <row r="246" spans="3:4" customFormat="1" x14ac:dyDescent="0.2">
      <c r="C246" s="5"/>
      <c r="D246" s="5"/>
    </row>
    <row r="247" spans="3:4" customFormat="1" x14ac:dyDescent="0.2">
      <c r="C247" s="5"/>
      <c r="D247" s="5"/>
    </row>
    <row r="248" spans="3:4" customFormat="1" x14ac:dyDescent="0.2">
      <c r="C248" s="5"/>
      <c r="D248" s="5"/>
    </row>
    <row r="249" spans="3:4" customFormat="1" x14ac:dyDescent="0.2">
      <c r="C249" s="5"/>
      <c r="D249" s="5"/>
    </row>
    <row r="250" spans="3:4" customFormat="1" x14ac:dyDescent="0.2">
      <c r="C250" s="5"/>
      <c r="D250" s="5"/>
    </row>
    <row r="251" spans="3:4" customFormat="1" x14ac:dyDescent="0.2">
      <c r="C251" s="5"/>
      <c r="D251" s="5"/>
    </row>
    <row r="252" spans="3:4" customFormat="1" x14ac:dyDescent="0.2">
      <c r="C252" s="5"/>
      <c r="D252" s="5"/>
    </row>
    <row r="253" spans="3:4" customFormat="1" x14ac:dyDescent="0.2">
      <c r="C253" s="5"/>
      <c r="D253" s="5"/>
    </row>
    <row r="254" spans="3:4" customFormat="1" x14ac:dyDescent="0.2">
      <c r="C254" s="5"/>
      <c r="D254" s="5"/>
    </row>
    <row r="255" spans="3:4" customFormat="1" x14ac:dyDescent="0.2">
      <c r="C255" s="5"/>
      <c r="D255" s="5"/>
    </row>
    <row r="256" spans="3:4" customFormat="1" x14ac:dyDescent="0.2">
      <c r="C256" s="5"/>
      <c r="D256" s="5"/>
    </row>
    <row r="257" spans="3:4" customFormat="1" x14ac:dyDescent="0.2">
      <c r="C257" s="5"/>
      <c r="D257" s="5"/>
    </row>
    <row r="258" spans="3:4" customFormat="1" x14ac:dyDescent="0.2">
      <c r="C258" s="5"/>
      <c r="D258" s="5"/>
    </row>
    <row r="259" spans="3:4" customFormat="1" x14ac:dyDescent="0.2">
      <c r="C259" s="5"/>
      <c r="D259" s="5"/>
    </row>
    <row r="260" spans="3:4" customFormat="1" x14ac:dyDescent="0.2">
      <c r="C260" s="5"/>
      <c r="D260" s="5"/>
    </row>
    <row r="261" spans="3:4" customFormat="1" x14ac:dyDescent="0.2">
      <c r="C261" s="5"/>
      <c r="D261" s="5"/>
    </row>
    <row r="262" spans="3:4" customFormat="1" x14ac:dyDescent="0.2">
      <c r="C262" s="5"/>
      <c r="D262" s="5"/>
    </row>
    <row r="263" spans="3:4" customFormat="1" x14ac:dyDescent="0.2">
      <c r="C263" s="5"/>
      <c r="D263" s="5"/>
    </row>
    <row r="264" spans="3:4" customFormat="1" x14ac:dyDescent="0.2">
      <c r="C264" s="5"/>
      <c r="D264" s="5"/>
    </row>
    <row r="265" spans="3:4" customFormat="1" x14ac:dyDescent="0.2">
      <c r="C265" s="5"/>
      <c r="D265" s="5"/>
    </row>
    <row r="266" spans="3:4" customFormat="1" x14ac:dyDescent="0.2">
      <c r="C266" s="5"/>
      <c r="D266" s="5"/>
    </row>
    <row r="267" spans="3:4" customFormat="1" x14ac:dyDescent="0.2">
      <c r="C267" s="5"/>
      <c r="D267" s="5"/>
    </row>
    <row r="268" spans="3:4" customFormat="1" x14ac:dyDescent="0.2">
      <c r="C268" s="5"/>
      <c r="D268" s="5"/>
    </row>
    <row r="269" spans="3:4" customFormat="1" x14ac:dyDescent="0.2">
      <c r="C269" s="5"/>
      <c r="D269" s="5"/>
    </row>
    <row r="270" spans="3:4" customFormat="1" x14ac:dyDescent="0.2">
      <c r="C270" s="5"/>
      <c r="D270" s="5"/>
    </row>
    <row r="271" spans="3:4" customFormat="1" x14ac:dyDescent="0.2">
      <c r="C271" s="5"/>
      <c r="D271" s="5"/>
    </row>
    <row r="272" spans="3:4" customFormat="1" x14ac:dyDescent="0.2">
      <c r="C272" s="5"/>
      <c r="D272" s="5"/>
    </row>
    <row r="273" spans="3:4" customFormat="1" x14ac:dyDescent="0.2">
      <c r="C273" s="5"/>
      <c r="D273" s="5"/>
    </row>
    <row r="274" spans="3:4" customFormat="1" x14ac:dyDescent="0.2">
      <c r="C274" s="5"/>
      <c r="D274" s="5"/>
    </row>
    <row r="275" spans="3:4" customFormat="1" x14ac:dyDescent="0.2">
      <c r="C275" s="5"/>
      <c r="D275" s="5"/>
    </row>
    <row r="276" spans="3:4" customFormat="1" x14ac:dyDescent="0.2">
      <c r="C276" s="5"/>
      <c r="D276" s="5"/>
    </row>
    <row r="277" spans="3:4" customFormat="1" x14ac:dyDescent="0.2">
      <c r="C277" s="5"/>
      <c r="D277" s="5"/>
    </row>
    <row r="278" spans="3:4" customFormat="1" x14ac:dyDescent="0.2">
      <c r="C278" s="5"/>
      <c r="D278" s="5"/>
    </row>
    <row r="279" spans="3:4" customFormat="1" x14ac:dyDescent="0.2">
      <c r="C279" s="5"/>
      <c r="D279" s="5"/>
    </row>
    <row r="280" spans="3:4" customFormat="1" x14ac:dyDescent="0.2">
      <c r="C280" s="5"/>
      <c r="D280" s="5"/>
    </row>
    <row r="281" spans="3:4" customFormat="1" x14ac:dyDescent="0.2">
      <c r="C281" s="5"/>
      <c r="D281" s="5"/>
    </row>
    <row r="282" spans="3:4" customFormat="1" x14ac:dyDescent="0.2">
      <c r="C282" s="5"/>
      <c r="D282" s="5"/>
    </row>
    <row r="283" spans="3:4" customFormat="1" x14ac:dyDescent="0.2">
      <c r="C283" s="5"/>
      <c r="D283" s="5"/>
    </row>
    <row r="284" spans="3:4" customFormat="1" x14ac:dyDescent="0.2">
      <c r="C284" s="5"/>
      <c r="D284" s="5"/>
    </row>
    <row r="285" spans="3:4" customFormat="1" x14ac:dyDescent="0.2">
      <c r="C285" s="5"/>
      <c r="D285" s="5"/>
    </row>
    <row r="286" spans="3:4" customFormat="1" x14ac:dyDescent="0.2">
      <c r="C286" s="5"/>
      <c r="D286" s="5"/>
    </row>
    <row r="287" spans="3:4" customFormat="1" x14ac:dyDescent="0.2">
      <c r="C287" s="5"/>
      <c r="D287" s="5"/>
    </row>
    <row r="288" spans="3:4" customFormat="1" x14ac:dyDescent="0.2">
      <c r="C288" s="5"/>
      <c r="D288" s="5"/>
    </row>
    <row r="289" spans="3:4" customFormat="1" x14ac:dyDescent="0.2">
      <c r="C289" s="5"/>
      <c r="D289" s="5"/>
    </row>
    <row r="290" spans="3:4" customFormat="1" x14ac:dyDescent="0.2">
      <c r="C290" s="5"/>
      <c r="D290" s="5"/>
    </row>
    <row r="291" spans="3:4" customFormat="1" x14ac:dyDescent="0.2">
      <c r="C291" s="5"/>
      <c r="D291" s="5"/>
    </row>
    <row r="292" spans="3:4" customFormat="1" x14ac:dyDescent="0.2">
      <c r="C292" s="5"/>
      <c r="D292" s="5"/>
    </row>
    <row r="293" spans="3:4" customFormat="1" x14ac:dyDescent="0.2">
      <c r="C293" s="5"/>
      <c r="D293" s="5"/>
    </row>
    <row r="294" spans="3:4" customFormat="1" x14ac:dyDescent="0.2">
      <c r="C294" s="5"/>
      <c r="D294" s="5"/>
    </row>
    <row r="295" spans="3:4" customFormat="1" x14ac:dyDescent="0.2">
      <c r="C295" s="5"/>
      <c r="D295" s="5"/>
    </row>
    <row r="296" spans="3:4" customFormat="1" x14ac:dyDescent="0.2">
      <c r="C296" s="5"/>
      <c r="D296" s="5"/>
    </row>
    <row r="297" spans="3:4" customFormat="1" x14ac:dyDescent="0.2">
      <c r="C297" s="5"/>
      <c r="D297" s="5"/>
    </row>
    <row r="298" spans="3:4" customFormat="1" x14ac:dyDescent="0.2">
      <c r="C298" s="5"/>
      <c r="D298" s="5"/>
    </row>
    <row r="299" spans="3:4" customFormat="1" x14ac:dyDescent="0.2">
      <c r="C299" s="5"/>
      <c r="D299" s="5"/>
    </row>
    <row r="300" spans="3:4" customFormat="1" x14ac:dyDescent="0.2">
      <c r="C300" s="5"/>
      <c r="D300" s="5"/>
    </row>
    <row r="301" spans="3:4" customFormat="1" x14ac:dyDescent="0.2">
      <c r="C301" s="5"/>
      <c r="D301" s="5"/>
    </row>
    <row r="302" spans="3:4" customFormat="1" x14ac:dyDescent="0.2">
      <c r="C302" s="5"/>
      <c r="D302" s="5"/>
    </row>
    <row r="303" spans="3:4" customFormat="1" x14ac:dyDescent="0.2">
      <c r="C303" s="5"/>
      <c r="D303" s="5"/>
    </row>
    <row r="304" spans="3:4" customFormat="1" x14ac:dyDescent="0.2">
      <c r="C304" s="5"/>
      <c r="D304" s="5"/>
    </row>
    <row r="305" spans="3:4" customFormat="1" x14ac:dyDescent="0.2">
      <c r="C305" s="5"/>
      <c r="D305" s="5"/>
    </row>
    <row r="306" spans="3:4" customFormat="1" x14ac:dyDescent="0.2">
      <c r="C306" s="5"/>
      <c r="D306" s="5"/>
    </row>
    <row r="307" spans="3:4" customFormat="1" x14ac:dyDescent="0.2">
      <c r="C307" s="5"/>
      <c r="D307" s="5"/>
    </row>
    <row r="308" spans="3:4" customFormat="1" x14ac:dyDescent="0.2">
      <c r="C308" s="5"/>
      <c r="D308" s="5"/>
    </row>
    <row r="309" spans="3:4" customFormat="1" x14ac:dyDescent="0.2">
      <c r="C309" s="5"/>
      <c r="D309" s="5"/>
    </row>
    <row r="310" spans="3:4" customFormat="1" x14ac:dyDescent="0.2">
      <c r="C310" s="5"/>
      <c r="D310" s="5"/>
    </row>
    <row r="311" spans="3:4" customFormat="1" x14ac:dyDescent="0.2">
      <c r="C311" s="5"/>
      <c r="D311" s="5"/>
    </row>
    <row r="312" spans="3:4" customFormat="1" x14ac:dyDescent="0.2">
      <c r="C312" s="5"/>
      <c r="D312" s="5"/>
    </row>
    <row r="313" spans="3:4" customFormat="1" x14ac:dyDescent="0.2">
      <c r="C313" s="5"/>
      <c r="D313" s="5"/>
    </row>
    <row r="314" spans="3:4" customFormat="1" x14ac:dyDescent="0.2">
      <c r="C314" s="5"/>
      <c r="D314" s="5"/>
    </row>
    <row r="315" spans="3:4" customFormat="1" x14ac:dyDescent="0.2">
      <c r="C315" s="5"/>
      <c r="D315" s="5"/>
    </row>
    <row r="316" spans="3:4" customFormat="1" x14ac:dyDescent="0.2">
      <c r="C316" s="5"/>
      <c r="D316" s="5"/>
    </row>
    <row r="317" spans="3:4" customFormat="1" x14ac:dyDescent="0.2">
      <c r="C317" s="5"/>
      <c r="D317" s="5"/>
    </row>
    <row r="318" spans="3:4" customFormat="1" x14ac:dyDescent="0.2">
      <c r="C318" s="5"/>
      <c r="D318" s="5"/>
    </row>
    <row r="319" spans="3:4" customFormat="1" x14ac:dyDescent="0.2">
      <c r="C319" s="5"/>
      <c r="D319" s="5"/>
    </row>
    <row r="320" spans="3:4" customFormat="1" x14ac:dyDescent="0.2">
      <c r="C320" s="5"/>
      <c r="D320" s="5"/>
    </row>
    <row r="321" spans="3:4" customFormat="1" x14ac:dyDescent="0.2">
      <c r="C321" s="5"/>
      <c r="D321" s="5"/>
    </row>
    <row r="322" spans="3:4" customFormat="1" x14ac:dyDescent="0.2">
      <c r="C322" s="5"/>
      <c r="D322" s="5"/>
    </row>
    <row r="323" spans="3:4" customFormat="1" x14ac:dyDescent="0.2">
      <c r="C323" s="5"/>
      <c r="D323" s="5"/>
    </row>
    <row r="324" spans="3:4" customFormat="1" x14ac:dyDescent="0.2">
      <c r="C324" s="5"/>
      <c r="D324" s="5"/>
    </row>
    <row r="325" spans="3:4" customFormat="1" x14ac:dyDescent="0.2">
      <c r="C325" s="5"/>
      <c r="D325" s="5"/>
    </row>
    <row r="326" spans="3:4" customFormat="1" x14ac:dyDescent="0.2">
      <c r="C326" s="5"/>
      <c r="D326" s="5"/>
    </row>
    <row r="327" spans="3:4" customFormat="1" x14ac:dyDescent="0.2">
      <c r="C327" s="5"/>
      <c r="D327" s="5"/>
    </row>
    <row r="328" spans="3:4" customFormat="1" x14ac:dyDescent="0.2">
      <c r="C328" s="5"/>
      <c r="D328" s="5"/>
    </row>
    <row r="329" spans="3:4" customFormat="1" x14ac:dyDescent="0.2">
      <c r="C329" s="5"/>
      <c r="D329" s="5"/>
    </row>
    <row r="330" spans="3:4" customFormat="1" x14ac:dyDescent="0.2">
      <c r="C330" s="5"/>
      <c r="D330" s="5"/>
    </row>
    <row r="331" spans="3:4" customFormat="1" x14ac:dyDescent="0.2">
      <c r="C331" s="5"/>
      <c r="D331" s="5"/>
    </row>
    <row r="332" spans="3:4" customFormat="1" x14ac:dyDescent="0.2">
      <c r="C332" s="5"/>
      <c r="D332" s="5"/>
    </row>
    <row r="333" spans="3:4" customFormat="1" x14ac:dyDescent="0.2">
      <c r="C333" s="5"/>
      <c r="D333" s="5"/>
    </row>
    <row r="334" spans="3:4" customFormat="1" x14ac:dyDescent="0.2">
      <c r="C334" s="5"/>
      <c r="D334" s="5"/>
    </row>
    <row r="335" spans="3:4" customFormat="1" x14ac:dyDescent="0.2">
      <c r="C335" s="5"/>
      <c r="D335" s="5"/>
    </row>
    <row r="336" spans="3:4" customFormat="1" x14ac:dyDescent="0.2">
      <c r="C336" s="5"/>
      <c r="D336" s="5"/>
    </row>
    <row r="337" spans="3:4" customFormat="1" x14ac:dyDescent="0.2">
      <c r="C337" s="5"/>
      <c r="D337" s="5"/>
    </row>
    <row r="338" spans="3:4" customFormat="1" x14ac:dyDescent="0.2">
      <c r="C338" s="5"/>
      <c r="D338" s="5"/>
    </row>
    <row r="339" spans="3:4" customFormat="1" x14ac:dyDescent="0.2">
      <c r="C339" s="5"/>
      <c r="D339" s="5"/>
    </row>
    <row r="340" spans="3:4" customFormat="1" x14ac:dyDescent="0.2">
      <c r="C340" s="5"/>
      <c r="D340" s="5"/>
    </row>
    <row r="341" spans="3:4" customFormat="1" x14ac:dyDescent="0.2">
      <c r="C341" s="5"/>
      <c r="D341" s="5"/>
    </row>
    <row r="342" spans="3:4" customFormat="1" x14ac:dyDescent="0.2">
      <c r="C342" s="5"/>
      <c r="D342" s="5"/>
    </row>
    <row r="343" spans="3:4" customFormat="1" x14ac:dyDescent="0.2">
      <c r="C343" s="5"/>
      <c r="D343" s="5"/>
    </row>
    <row r="344" spans="3:4" customFormat="1" x14ac:dyDescent="0.2">
      <c r="C344" s="5"/>
      <c r="D344" s="5"/>
    </row>
    <row r="345" spans="3:4" customFormat="1" x14ac:dyDescent="0.2">
      <c r="C345" s="5"/>
      <c r="D345" s="5"/>
    </row>
    <row r="346" spans="3:4" customFormat="1" x14ac:dyDescent="0.2">
      <c r="C346" s="5"/>
      <c r="D346" s="5"/>
    </row>
    <row r="347" spans="3:4" customFormat="1" x14ac:dyDescent="0.2">
      <c r="C347" s="5"/>
      <c r="D347" s="5"/>
    </row>
    <row r="348" spans="3:4" customFormat="1" x14ac:dyDescent="0.2">
      <c r="C348" s="5"/>
      <c r="D348" s="5"/>
    </row>
    <row r="349" spans="3:4" customFormat="1" x14ac:dyDescent="0.2">
      <c r="C349" s="5"/>
      <c r="D349" s="5"/>
    </row>
    <row r="350" spans="3:4" customFormat="1" x14ac:dyDescent="0.2">
      <c r="C350" s="5"/>
      <c r="D350" s="5"/>
    </row>
    <row r="351" spans="3:4" customFormat="1" x14ac:dyDescent="0.2">
      <c r="C351" s="5"/>
      <c r="D351" s="5"/>
    </row>
    <row r="352" spans="3:4" customFormat="1" x14ac:dyDescent="0.2">
      <c r="C352" s="5"/>
      <c r="D352" s="5"/>
    </row>
    <row r="353" spans="3:4" customFormat="1" x14ac:dyDescent="0.2">
      <c r="C353" s="5"/>
      <c r="D353" s="5"/>
    </row>
    <row r="354" spans="3:4" customFormat="1" x14ac:dyDescent="0.2">
      <c r="C354" s="5"/>
      <c r="D354" s="5"/>
    </row>
    <row r="355" spans="3:4" customFormat="1" x14ac:dyDescent="0.2">
      <c r="C355" s="5"/>
      <c r="D355" s="5"/>
    </row>
    <row r="356" spans="3:4" customFormat="1" x14ac:dyDescent="0.2">
      <c r="C356" s="5"/>
      <c r="D356" s="5"/>
    </row>
    <row r="357" spans="3:4" customFormat="1" x14ac:dyDescent="0.2">
      <c r="C357" s="5"/>
      <c r="D357" s="5"/>
    </row>
    <row r="358" spans="3:4" customFormat="1" x14ac:dyDescent="0.2">
      <c r="C358" s="5"/>
      <c r="D358" s="5"/>
    </row>
    <row r="359" spans="3:4" customFormat="1" x14ac:dyDescent="0.2">
      <c r="C359" s="5"/>
      <c r="D359" s="5"/>
    </row>
    <row r="360" spans="3:4" customFormat="1" x14ac:dyDescent="0.2">
      <c r="C360" s="5"/>
      <c r="D360" s="5"/>
    </row>
    <row r="361" spans="3:4" customFormat="1" x14ac:dyDescent="0.2">
      <c r="C361" s="5"/>
      <c r="D361" s="5"/>
    </row>
    <row r="362" spans="3:4" customFormat="1" x14ac:dyDescent="0.2">
      <c r="C362" s="5"/>
      <c r="D362" s="5"/>
    </row>
    <row r="363" spans="3:4" customFormat="1" x14ac:dyDescent="0.2">
      <c r="C363" s="5"/>
      <c r="D363" s="5"/>
    </row>
    <row r="364" spans="3:4" customFormat="1" x14ac:dyDescent="0.2">
      <c r="C364" s="5"/>
      <c r="D364" s="5"/>
    </row>
    <row r="365" spans="3:4" customFormat="1" x14ac:dyDescent="0.2">
      <c r="C365" s="5"/>
      <c r="D365" s="5"/>
    </row>
    <row r="366" spans="3:4" customFormat="1" x14ac:dyDescent="0.2">
      <c r="C366" s="5"/>
      <c r="D366" s="5"/>
    </row>
    <row r="367" spans="3:4" customFormat="1" x14ac:dyDescent="0.2">
      <c r="C367" s="5"/>
      <c r="D367" s="5"/>
    </row>
    <row r="368" spans="3:4" customFormat="1" x14ac:dyDescent="0.2">
      <c r="C368" s="5"/>
      <c r="D368" s="5"/>
    </row>
    <row r="369" spans="3:4" customFormat="1" x14ac:dyDescent="0.2">
      <c r="C369" s="5"/>
      <c r="D369" s="5"/>
    </row>
    <row r="370" spans="3:4" customFormat="1" x14ac:dyDescent="0.2">
      <c r="C370" s="5"/>
      <c r="D370" s="5"/>
    </row>
    <row r="371" spans="3:4" customFormat="1" x14ac:dyDescent="0.2">
      <c r="C371" s="5"/>
      <c r="D371" s="5"/>
    </row>
    <row r="372" spans="3:4" customFormat="1" x14ac:dyDescent="0.2">
      <c r="C372" s="5"/>
      <c r="D372" s="5"/>
    </row>
    <row r="373" spans="3:4" customFormat="1" x14ac:dyDescent="0.2">
      <c r="C373" s="5"/>
      <c r="D373" s="5"/>
    </row>
    <row r="374" spans="3:4" customFormat="1" x14ac:dyDescent="0.2">
      <c r="C374" s="5"/>
      <c r="D374" s="5"/>
    </row>
    <row r="375" spans="3:4" customFormat="1" x14ac:dyDescent="0.2">
      <c r="C375" s="5"/>
      <c r="D375" s="5"/>
    </row>
    <row r="376" spans="3:4" customFormat="1" x14ac:dyDescent="0.2">
      <c r="C376" s="5"/>
      <c r="D376" s="5"/>
    </row>
    <row r="377" spans="3:4" customFormat="1" x14ac:dyDescent="0.2">
      <c r="C377" s="5"/>
      <c r="D377" s="5"/>
    </row>
    <row r="378" spans="3:4" customFormat="1" x14ac:dyDescent="0.2">
      <c r="C378" s="5"/>
      <c r="D378" s="5"/>
    </row>
    <row r="379" spans="3:4" customFormat="1" x14ac:dyDescent="0.2">
      <c r="C379" s="5"/>
      <c r="D379" s="5"/>
    </row>
    <row r="380" spans="3:4" customFormat="1" x14ac:dyDescent="0.2">
      <c r="C380" s="5"/>
      <c r="D380" s="5"/>
    </row>
    <row r="381" spans="3:4" customFormat="1" x14ac:dyDescent="0.2">
      <c r="C381" s="5"/>
      <c r="D381" s="5"/>
    </row>
    <row r="382" spans="3:4" customFormat="1" x14ac:dyDescent="0.2">
      <c r="C382" s="5"/>
      <c r="D382" s="5"/>
    </row>
    <row r="383" spans="3:4" customFormat="1" x14ac:dyDescent="0.2">
      <c r="C383" s="5"/>
      <c r="D383" s="5"/>
    </row>
    <row r="384" spans="3:4" customFormat="1" x14ac:dyDescent="0.2">
      <c r="C384" s="5"/>
      <c r="D384" s="5"/>
    </row>
    <row r="385" spans="3:4" customFormat="1" x14ac:dyDescent="0.2">
      <c r="C385" s="5"/>
      <c r="D385" s="5"/>
    </row>
    <row r="386" spans="3:4" customFormat="1" x14ac:dyDescent="0.2">
      <c r="C386" s="5"/>
      <c r="D386" s="5"/>
    </row>
    <row r="387" spans="3:4" customFormat="1" x14ac:dyDescent="0.2">
      <c r="C387" s="5"/>
      <c r="D387" s="5"/>
    </row>
    <row r="388" spans="3:4" customFormat="1" x14ac:dyDescent="0.2">
      <c r="C388" s="5"/>
      <c r="D388" s="5"/>
    </row>
    <row r="389" spans="3:4" customFormat="1" x14ac:dyDescent="0.2">
      <c r="C389" s="5"/>
      <c r="D389" s="5"/>
    </row>
    <row r="390" spans="3:4" customFormat="1" x14ac:dyDescent="0.2">
      <c r="C390" s="5"/>
      <c r="D390" s="5"/>
    </row>
    <row r="391" spans="3:4" customFormat="1" x14ac:dyDescent="0.2">
      <c r="C391" s="5"/>
      <c r="D391" s="5"/>
    </row>
    <row r="392" spans="3:4" customFormat="1" x14ac:dyDescent="0.2">
      <c r="C392" s="5"/>
      <c r="D392" s="5"/>
    </row>
    <row r="393" spans="3:4" customFormat="1" x14ac:dyDescent="0.2">
      <c r="C393" s="5"/>
      <c r="D393" s="5"/>
    </row>
    <row r="394" spans="3:4" customFormat="1" x14ac:dyDescent="0.2">
      <c r="C394" s="5"/>
      <c r="D394" s="5"/>
    </row>
    <row r="395" spans="3:4" customFormat="1" x14ac:dyDescent="0.2">
      <c r="C395" s="5"/>
      <c r="D395" s="5"/>
    </row>
    <row r="396" spans="3:4" customFormat="1" x14ac:dyDescent="0.2">
      <c r="C396" s="5"/>
      <c r="D396" s="5"/>
    </row>
    <row r="397" spans="3:4" customFormat="1" x14ac:dyDescent="0.2">
      <c r="C397" s="5"/>
      <c r="D397" s="5"/>
    </row>
    <row r="398" spans="3:4" customFormat="1" x14ac:dyDescent="0.2">
      <c r="C398" s="5"/>
      <c r="D398" s="5"/>
    </row>
    <row r="399" spans="3:4" customFormat="1" x14ac:dyDescent="0.2">
      <c r="C399" s="5"/>
      <c r="D399" s="5"/>
    </row>
    <row r="400" spans="3:4" customFormat="1" x14ac:dyDescent="0.2">
      <c r="C400" s="5"/>
      <c r="D400" s="5"/>
    </row>
    <row r="401" spans="3:4" customFormat="1" x14ac:dyDescent="0.2">
      <c r="C401" s="5"/>
      <c r="D401" s="5"/>
    </row>
    <row r="402" spans="3:4" customFormat="1" x14ac:dyDescent="0.2">
      <c r="C402" s="5"/>
      <c r="D402" s="5"/>
    </row>
    <row r="403" spans="3:4" customFormat="1" x14ac:dyDescent="0.2">
      <c r="C403" s="5"/>
      <c r="D403" s="5"/>
    </row>
    <row r="404" spans="3:4" customFormat="1" x14ac:dyDescent="0.2">
      <c r="C404" s="5"/>
      <c r="D404" s="5"/>
    </row>
    <row r="405" spans="3:4" customFormat="1" x14ac:dyDescent="0.2">
      <c r="C405" s="5"/>
      <c r="D405" s="5"/>
    </row>
    <row r="406" spans="3:4" customFormat="1" x14ac:dyDescent="0.2">
      <c r="C406" s="5"/>
      <c r="D406" s="5"/>
    </row>
    <row r="407" spans="3:4" customFormat="1" x14ac:dyDescent="0.2">
      <c r="C407" s="5"/>
      <c r="D407" s="5"/>
    </row>
    <row r="408" spans="3:4" customFormat="1" x14ac:dyDescent="0.2">
      <c r="C408" s="5"/>
      <c r="D408" s="5"/>
    </row>
    <row r="409" spans="3:4" customFormat="1" x14ac:dyDescent="0.2">
      <c r="C409" s="5"/>
      <c r="D409" s="5"/>
    </row>
    <row r="410" spans="3:4" customFormat="1" x14ac:dyDescent="0.2">
      <c r="C410" s="5"/>
      <c r="D410" s="5"/>
    </row>
    <row r="411" spans="3:4" customFormat="1" x14ac:dyDescent="0.2">
      <c r="C411" s="5"/>
      <c r="D411" s="5"/>
    </row>
    <row r="412" spans="3:4" customFormat="1" x14ac:dyDescent="0.2">
      <c r="C412" s="5"/>
      <c r="D412" s="5"/>
    </row>
    <row r="413" spans="3:4" customFormat="1" x14ac:dyDescent="0.2">
      <c r="C413" s="5"/>
      <c r="D413" s="5"/>
    </row>
    <row r="414" spans="3:4" customFormat="1" x14ac:dyDescent="0.2">
      <c r="C414" s="5"/>
      <c r="D414" s="5"/>
    </row>
    <row r="415" spans="3:4" customFormat="1" x14ac:dyDescent="0.2">
      <c r="C415" s="5"/>
      <c r="D415" s="5"/>
    </row>
    <row r="416" spans="3:4" customFormat="1" x14ac:dyDescent="0.2">
      <c r="C416" s="5"/>
      <c r="D416" s="5"/>
    </row>
    <row r="417" spans="3:4" customFormat="1" x14ac:dyDescent="0.2">
      <c r="C417" s="5"/>
      <c r="D417" s="5"/>
    </row>
    <row r="418" spans="3:4" customFormat="1" x14ac:dyDescent="0.2">
      <c r="C418" s="5"/>
      <c r="D418" s="5"/>
    </row>
    <row r="419" spans="3:4" customFormat="1" x14ac:dyDescent="0.2">
      <c r="C419" s="5"/>
      <c r="D419" s="5"/>
    </row>
    <row r="420" spans="3:4" customFormat="1" x14ac:dyDescent="0.2">
      <c r="C420" s="5"/>
      <c r="D420" s="5"/>
    </row>
    <row r="421" spans="3:4" customFormat="1" x14ac:dyDescent="0.2">
      <c r="C421" s="5"/>
      <c r="D421" s="5"/>
    </row>
    <row r="422" spans="3:4" customFormat="1" x14ac:dyDescent="0.2">
      <c r="C422" s="5"/>
      <c r="D422" s="5"/>
    </row>
    <row r="423" spans="3:4" customFormat="1" x14ac:dyDescent="0.2">
      <c r="C423" s="5"/>
      <c r="D423" s="5"/>
    </row>
    <row r="424" spans="3:4" customFormat="1" x14ac:dyDescent="0.2">
      <c r="C424" s="5"/>
      <c r="D424" s="5"/>
    </row>
    <row r="425" spans="3:4" customFormat="1" x14ac:dyDescent="0.2">
      <c r="C425" s="5"/>
      <c r="D425" s="5"/>
    </row>
    <row r="426" spans="3:4" customFormat="1" x14ac:dyDescent="0.2">
      <c r="C426" s="5"/>
      <c r="D426" s="5"/>
    </row>
    <row r="427" spans="3:4" customFormat="1" x14ac:dyDescent="0.2">
      <c r="C427" s="5"/>
      <c r="D427" s="5"/>
    </row>
    <row r="428" spans="3:4" customFormat="1" x14ac:dyDescent="0.2">
      <c r="C428" s="5"/>
      <c r="D428" s="5"/>
    </row>
    <row r="429" spans="3:4" customFormat="1" x14ac:dyDescent="0.2">
      <c r="C429" s="5"/>
      <c r="D429" s="5"/>
    </row>
    <row r="430" spans="3:4" customFormat="1" x14ac:dyDescent="0.2">
      <c r="C430" s="5"/>
      <c r="D430" s="5"/>
    </row>
    <row r="431" spans="3:4" customFormat="1" x14ac:dyDescent="0.2">
      <c r="C431" s="5"/>
      <c r="D431" s="5"/>
    </row>
    <row r="432" spans="3:4" customFormat="1" x14ac:dyDescent="0.2">
      <c r="C432" s="5"/>
      <c r="D432" s="5"/>
    </row>
    <row r="433" spans="3:4" customFormat="1" x14ac:dyDescent="0.2">
      <c r="C433" s="5"/>
      <c r="D433" s="5"/>
    </row>
    <row r="434" spans="3:4" customFormat="1" x14ac:dyDescent="0.2">
      <c r="C434" s="5"/>
      <c r="D434" s="5"/>
    </row>
    <row r="435" spans="3:4" customFormat="1" x14ac:dyDescent="0.2">
      <c r="C435" s="5"/>
      <c r="D435" s="5"/>
    </row>
    <row r="436" spans="3:4" customFormat="1" x14ac:dyDescent="0.2">
      <c r="C436" s="5"/>
      <c r="D436" s="5"/>
    </row>
    <row r="437" spans="3:4" customFormat="1" x14ac:dyDescent="0.2">
      <c r="C437" s="5"/>
      <c r="D437" s="5"/>
    </row>
    <row r="438" spans="3:4" customFormat="1" x14ac:dyDescent="0.2">
      <c r="C438" s="5"/>
      <c r="D438" s="5"/>
    </row>
    <row r="439" spans="3:4" customFormat="1" x14ac:dyDescent="0.2">
      <c r="C439" s="5"/>
      <c r="D439" s="5"/>
    </row>
    <row r="440" spans="3:4" customFormat="1" x14ac:dyDescent="0.2">
      <c r="C440" s="5"/>
      <c r="D440" s="5"/>
    </row>
    <row r="441" spans="3:4" customFormat="1" x14ac:dyDescent="0.2">
      <c r="C441" s="5"/>
      <c r="D441" s="5"/>
    </row>
    <row r="442" spans="3:4" customFormat="1" x14ac:dyDescent="0.2">
      <c r="C442" s="5"/>
      <c r="D442" s="5"/>
    </row>
    <row r="443" spans="3:4" customFormat="1" x14ac:dyDescent="0.2">
      <c r="C443" s="5"/>
      <c r="D443" s="5"/>
    </row>
    <row r="444" spans="3:4" customFormat="1" x14ac:dyDescent="0.2">
      <c r="C444" s="5"/>
      <c r="D444" s="5"/>
    </row>
    <row r="445" spans="3:4" customFormat="1" x14ac:dyDescent="0.2">
      <c r="C445" s="5"/>
      <c r="D445" s="5"/>
    </row>
    <row r="446" spans="3:4" customFormat="1" x14ac:dyDescent="0.2">
      <c r="C446" s="5"/>
      <c r="D446" s="5"/>
    </row>
    <row r="447" spans="3:4" customFormat="1" x14ac:dyDescent="0.2">
      <c r="C447" s="5"/>
      <c r="D447" s="5"/>
    </row>
    <row r="448" spans="3:4" customFormat="1" x14ac:dyDescent="0.2">
      <c r="C448" s="5"/>
      <c r="D448" s="5"/>
    </row>
    <row r="449" spans="3:4" customFormat="1" x14ac:dyDescent="0.2">
      <c r="C449" s="5"/>
      <c r="D449" s="5"/>
    </row>
    <row r="450" spans="3:4" customFormat="1" x14ac:dyDescent="0.2">
      <c r="C450" s="5"/>
      <c r="D450" s="5"/>
    </row>
    <row r="451" spans="3:4" customFormat="1" x14ac:dyDescent="0.2">
      <c r="C451" s="5"/>
      <c r="D451" s="5"/>
    </row>
    <row r="452" spans="3:4" customFormat="1" x14ac:dyDescent="0.2">
      <c r="C452" s="5"/>
      <c r="D452" s="5"/>
    </row>
    <row r="453" spans="3:4" customFormat="1" x14ac:dyDescent="0.2">
      <c r="C453" s="5"/>
      <c r="D453" s="5"/>
    </row>
    <row r="454" spans="3:4" customFormat="1" x14ac:dyDescent="0.2">
      <c r="C454" s="5"/>
      <c r="D454" s="5"/>
    </row>
    <row r="455" spans="3:4" customFormat="1" x14ac:dyDescent="0.2">
      <c r="C455" s="5"/>
      <c r="D455" s="5"/>
    </row>
    <row r="456" spans="3:4" customFormat="1" x14ac:dyDescent="0.2">
      <c r="C456" s="5"/>
      <c r="D456" s="5"/>
    </row>
    <row r="457" spans="3:4" customFormat="1" x14ac:dyDescent="0.2">
      <c r="C457" s="5"/>
      <c r="D457" s="5"/>
    </row>
    <row r="458" spans="3:4" customFormat="1" x14ac:dyDescent="0.2">
      <c r="C458" s="5"/>
      <c r="D458" s="5"/>
    </row>
    <row r="459" spans="3:4" customFormat="1" x14ac:dyDescent="0.2">
      <c r="C459" s="5"/>
      <c r="D459" s="5"/>
    </row>
    <row r="460" spans="3:4" customFormat="1" x14ac:dyDescent="0.2">
      <c r="C460" s="5"/>
      <c r="D460" s="5"/>
    </row>
    <row r="461" spans="3:4" customFormat="1" x14ac:dyDescent="0.2">
      <c r="C461" s="5"/>
      <c r="D461" s="5"/>
    </row>
    <row r="462" spans="3:4" customFormat="1" x14ac:dyDescent="0.2">
      <c r="C462" s="5"/>
      <c r="D462" s="5"/>
    </row>
    <row r="463" spans="3:4" customFormat="1" x14ac:dyDescent="0.2">
      <c r="C463" s="5"/>
      <c r="D463" s="5"/>
    </row>
    <row r="464" spans="3:4" customFormat="1" x14ac:dyDescent="0.2">
      <c r="C464" s="5"/>
      <c r="D464" s="5"/>
    </row>
    <row r="465" spans="3:4" customFormat="1" x14ac:dyDescent="0.2">
      <c r="C465" s="5"/>
      <c r="D465" s="5"/>
    </row>
    <row r="466" spans="3:4" customFormat="1" x14ac:dyDescent="0.2">
      <c r="C466" s="5"/>
      <c r="D466" s="5"/>
    </row>
    <row r="467" spans="3:4" customFormat="1" x14ac:dyDescent="0.2">
      <c r="C467" s="5"/>
      <c r="D467" s="5"/>
    </row>
    <row r="468" spans="3:4" customFormat="1" x14ac:dyDescent="0.2">
      <c r="C468" s="5"/>
      <c r="D468" s="5"/>
    </row>
    <row r="469" spans="3:4" customFormat="1" x14ac:dyDescent="0.2">
      <c r="C469" s="5"/>
      <c r="D469" s="5"/>
    </row>
    <row r="470" spans="3:4" customFormat="1" x14ac:dyDescent="0.2">
      <c r="C470" s="5"/>
      <c r="D470" s="5"/>
    </row>
    <row r="471" spans="3:4" customFormat="1" x14ac:dyDescent="0.2">
      <c r="C471" s="5"/>
      <c r="D471" s="5"/>
    </row>
    <row r="472" spans="3:4" customFormat="1" x14ac:dyDescent="0.2">
      <c r="C472" s="5"/>
      <c r="D472" s="5"/>
    </row>
    <row r="473" spans="3:4" customFormat="1" x14ac:dyDescent="0.2">
      <c r="C473" s="5"/>
      <c r="D473" s="5"/>
    </row>
    <row r="474" spans="3:4" customFormat="1" x14ac:dyDescent="0.2">
      <c r="C474" s="5"/>
      <c r="D474" s="5"/>
    </row>
    <row r="475" spans="3:4" customFormat="1" x14ac:dyDescent="0.2">
      <c r="C475" s="5"/>
      <c r="D475" s="5"/>
    </row>
    <row r="476" spans="3:4" customFormat="1" x14ac:dyDescent="0.2">
      <c r="C476" s="5"/>
      <c r="D476" s="5"/>
    </row>
    <row r="477" spans="3:4" customFormat="1" x14ac:dyDescent="0.2">
      <c r="C477" s="5"/>
      <c r="D477" s="5"/>
    </row>
    <row r="478" spans="3:4" customFormat="1" x14ac:dyDescent="0.2">
      <c r="C478" s="5"/>
      <c r="D478" s="5"/>
    </row>
    <row r="479" spans="3:4" customFormat="1" x14ac:dyDescent="0.2">
      <c r="C479" s="5"/>
      <c r="D479" s="5"/>
    </row>
    <row r="480" spans="3:4" customFormat="1" x14ac:dyDescent="0.2">
      <c r="C480" s="5"/>
      <c r="D480" s="5"/>
    </row>
    <row r="481" spans="3:4" customFormat="1" x14ac:dyDescent="0.2">
      <c r="C481" s="5"/>
      <c r="D481" s="5"/>
    </row>
    <row r="482" spans="3:4" customFormat="1" x14ac:dyDescent="0.2">
      <c r="C482" s="5"/>
      <c r="D482" s="5"/>
    </row>
    <row r="483" spans="3:4" customFormat="1" x14ac:dyDescent="0.2">
      <c r="C483" s="5"/>
      <c r="D483" s="5"/>
    </row>
    <row r="484" spans="3:4" customFormat="1" x14ac:dyDescent="0.2">
      <c r="C484" s="5"/>
      <c r="D484" s="5"/>
    </row>
    <row r="485" spans="3:4" customFormat="1" x14ac:dyDescent="0.2">
      <c r="C485" s="5"/>
      <c r="D485" s="5"/>
    </row>
    <row r="486" spans="3:4" customFormat="1" x14ac:dyDescent="0.2">
      <c r="C486" s="5"/>
      <c r="D486" s="5"/>
    </row>
    <row r="487" spans="3:4" customFormat="1" x14ac:dyDescent="0.2">
      <c r="C487" s="5"/>
      <c r="D487" s="5"/>
    </row>
    <row r="488" spans="3:4" customFormat="1" x14ac:dyDescent="0.2">
      <c r="C488" s="5"/>
      <c r="D488" s="5"/>
    </row>
    <row r="489" spans="3:4" customFormat="1" x14ac:dyDescent="0.2">
      <c r="C489" s="5"/>
      <c r="D489" s="5"/>
    </row>
    <row r="490" spans="3:4" customFormat="1" x14ac:dyDescent="0.2">
      <c r="C490" s="5"/>
      <c r="D490" s="5"/>
    </row>
    <row r="491" spans="3:4" customFormat="1" x14ac:dyDescent="0.2">
      <c r="C491" s="5"/>
      <c r="D491" s="5"/>
    </row>
    <row r="492" spans="3:4" customFormat="1" x14ac:dyDescent="0.2">
      <c r="C492" s="5"/>
      <c r="D492" s="5"/>
    </row>
    <row r="493" spans="3:4" customFormat="1" x14ac:dyDescent="0.2">
      <c r="C493" s="5"/>
      <c r="D493" s="5"/>
    </row>
    <row r="494" spans="3:4" customFormat="1" x14ac:dyDescent="0.2">
      <c r="C494" s="5"/>
      <c r="D494" s="5"/>
    </row>
    <row r="495" spans="3:4" customFormat="1" x14ac:dyDescent="0.2">
      <c r="C495" s="5"/>
      <c r="D495" s="5"/>
    </row>
    <row r="496" spans="3:4" customFormat="1" x14ac:dyDescent="0.2">
      <c r="C496" s="5"/>
      <c r="D496" s="5"/>
    </row>
    <row r="497" spans="3:4" customFormat="1" x14ac:dyDescent="0.2">
      <c r="C497" s="5"/>
      <c r="D497" s="5"/>
    </row>
    <row r="498" spans="3:4" customFormat="1" x14ac:dyDescent="0.2">
      <c r="C498" s="5"/>
      <c r="D498" s="5"/>
    </row>
    <row r="499" spans="3:4" customFormat="1" x14ac:dyDescent="0.2">
      <c r="C499" s="5"/>
      <c r="D499" s="5"/>
    </row>
    <row r="500" spans="3:4" customFormat="1" x14ac:dyDescent="0.2">
      <c r="C500" s="5"/>
      <c r="D500" s="5"/>
    </row>
    <row r="501" spans="3:4" customFormat="1" x14ac:dyDescent="0.2">
      <c r="C501" s="5"/>
      <c r="D501" s="5"/>
    </row>
    <row r="502" spans="3:4" customFormat="1" x14ac:dyDescent="0.2">
      <c r="C502" s="5"/>
      <c r="D502" s="5"/>
    </row>
    <row r="503" spans="3:4" customFormat="1" x14ac:dyDescent="0.2">
      <c r="C503" s="5"/>
      <c r="D503" s="5"/>
    </row>
    <row r="504" spans="3:4" customFormat="1" x14ac:dyDescent="0.2">
      <c r="C504" s="5"/>
      <c r="D504" s="5"/>
    </row>
    <row r="505" spans="3:4" customFormat="1" x14ac:dyDescent="0.2">
      <c r="C505" s="5"/>
      <c r="D505" s="5"/>
    </row>
    <row r="506" spans="3:4" customFormat="1" x14ac:dyDescent="0.2">
      <c r="C506" s="5"/>
      <c r="D506" s="5"/>
    </row>
    <row r="507" spans="3:4" customFormat="1" x14ac:dyDescent="0.2">
      <c r="C507" s="5"/>
      <c r="D507" s="5"/>
    </row>
    <row r="508" spans="3:4" customFormat="1" x14ac:dyDescent="0.2">
      <c r="C508" s="5"/>
      <c r="D508" s="5"/>
    </row>
    <row r="509" spans="3:4" customFormat="1" x14ac:dyDescent="0.2">
      <c r="C509" s="5"/>
      <c r="D509" s="5"/>
    </row>
    <row r="510" spans="3:4" customFormat="1" x14ac:dyDescent="0.2">
      <c r="C510" s="5"/>
      <c r="D510" s="5"/>
    </row>
    <row r="511" spans="3:4" customFormat="1" x14ac:dyDescent="0.2">
      <c r="C511" s="5"/>
      <c r="D511" s="5"/>
    </row>
    <row r="512" spans="3:4" customFormat="1" x14ac:dyDescent="0.2">
      <c r="C512" s="5"/>
      <c r="D512" s="5"/>
    </row>
    <row r="513" spans="3:4" customFormat="1" x14ac:dyDescent="0.2">
      <c r="C513" s="5"/>
      <c r="D513" s="5"/>
    </row>
    <row r="514" spans="3:4" customFormat="1" x14ac:dyDescent="0.2">
      <c r="C514" s="5"/>
      <c r="D514" s="5"/>
    </row>
    <row r="515" spans="3:4" customFormat="1" x14ac:dyDescent="0.2">
      <c r="C515" s="5"/>
      <c r="D515" s="5"/>
    </row>
    <row r="516" spans="3:4" customFormat="1" x14ac:dyDescent="0.2">
      <c r="C516" s="5"/>
      <c r="D516" s="5"/>
    </row>
    <row r="517" spans="3:4" customFormat="1" x14ac:dyDescent="0.2">
      <c r="C517" s="5"/>
      <c r="D517" s="5"/>
    </row>
    <row r="518" spans="3:4" customFormat="1" x14ac:dyDescent="0.2">
      <c r="C518" s="5"/>
      <c r="D518" s="5"/>
    </row>
    <row r="519" spans="3:4" customFormat="1" x14ac:dyDescent="0.2">
      <c r="C519" s="5"/>
      <c r="D519" s="5"/>
    </row>
    <row r="520" spans="3:4" customFormat="1" x14ac:dyDescent="0.2">
      <c r="C520" s="5"/>
      <c r="D520" s="5"/>
    </row>
    <row r="521" spans="3:4" customFormat="1" x14ac:dyDescent="0.2">
      <c r="C521" s="5"/>
      <c r="D521" s="5"/>
    </row>
    <row r="522" spans="3:4" customFormat="1" x14ac:dyDescent="0.2">
      <c r="C522" s="5"/>
      <c r="D522" s="5"/>
    </row>
    <row r="523" spans="3:4" customFormat="1" x14ac:dyDescent="0.2">
      <c r="C523" s="5"/>
      <c r="D523" s="5"/>
    </row>
    <row r="524" spans="3:4" customFormat="1" x14ac:dyDescent="0.2">
      <c r="C524" s="5"/>
      <c r="D524" s="5"/>
    </row>
    <row r="525" spans="3:4" customFormat="1" x14ac:dyDescent="0.2">
      <c r="C525" s="5"/>
      <c r="D525" s="5"/>
    </row>
    <row r="526" spans="3:4" customFormat="1" x14ac:dyDescent="0.2">
      <c r="C526" s="5"/>
      <c r="D526" s="5"/>
    </row>
    <row r="527" spans="3:4" customFormat="1" x14ac:dyDescent="0.2">
      <c r="C527" s="5"/>
      <c r="D527" s="5"/>
    </row>
    <row r="528" spans="3:4" customFormat="1" x14ac:dyDescent="0.2">
      <c r="C528" s="5"/>
      <c r="D528" s="5"/>
    </row>
    <row r="529" spans="3:4" customFormat="1" x14ac:dyDescent="0.2">
      <c r="C529" s="5"/>
      <c r="D529" s="5"/>
    </row>
    <row r="530" spans="3:4" customFormat="1" x14ac:dyDescent="0.2">
      <c r="C530" s="5"/>
      <c r="D530" s="5"/>
    </row>
    <row r="531" spans="3:4" customFormat="1" x14ac:dyDescent="0.2">
      <c r="C531" s="5"/>
      <c r="D531" s="5"/>
    </row>
    <row r="532" spans="3:4" customFormat="1" x14ac:dyDescent="0.2">
      <c r="C532" s="5"/>
      <c r="D532" s="5"/>
    </row>
    <row r="533" spans="3:4" customFormat="1" x14ac:dyDescent="0.2">
      <c r="C533" s="5"/>
      <c r="D533" s="5"/>
    </row>
    <row r="534" spans="3:4" customFormat="1" x14ac:dyDescent="0.2">
      <c r="C534" s="5"/>
      <c r="D534" s="5"/>
    </row>
    <row r="535" spans="3:4" customFormat="1" x14ac:dyDescent="0.2">
      <c r="C535" s="5"/>
      <c r="D535" s="5"/>
    </row>
    <row r="536" spans="3:4" customFormat="1" x14ac:dyDescent="0.2">
      <c r="C536" s="5"/>
      <c r="D536" s="5"/>
    </row>
    <row r="537" spans="3:4" customFormat="1" x14ac:dyDescent="0.2">
      <c r="C537" s="5"/>
      <c r="D537" s="5"/>
    </row>
    <row r="538" spans="3:4" customFormat="1" x14ac:dyDescent="0.2">
      <c r="C538" s="5"/>
      <c r="D538" s="5"/>
    </row>
    <row r="539" spans="3:4" customFormat="1" x14ac:dyDescent="0.2">
      <c r="C539" s="5"/>
      <c r="D539" s="5"/>
    </row>
    <row r="540" spans="3:4" customFormat="1" x14ac:dyDescent="0.2">
      <c r="C540" s="5"/>
      <c r="D540" s="5"/>
    </row>
    <row r="541" spans="3:4" customFormat="1" x14ac:dyDescent="0.2">
      <c r="C541" s="5"/>
      <c r="D541" s="5"/>
    </row>
    <row r="542" spans="3:4" customFormat="1" x14ac:dyDescent="0.2">
      <c r="C542" s="5"/>
      <c r="D542" s="5"/>
    </row>
    <row r="543" spans="3:4" customFormat="1" x14ac:dyDescent="0.2">
      <c r="C543" s="5"/>
      <c r="D543" s="5"/>
    </row>
    <row r="544" spans="3:4" customFormat="1" x14ac:dyDescent="0.2">
      <c r="C544" s="5"/>
      <c r="D544" s="5"/>
    </row>
    <row r="545" spans="3:4" customFormat="1" x14ac:dyDescent="0.2">
      <c r="C545" s="5"/>
      <c r="D545" s="5"/>
    </row>
    <row r="546" spans="3:4" customFormat="1" x14ac:dyDescent="0.2">
      <c r="C546" s="5"/>
      <c r="D546" s="5"/>
    </row>
    <row r="547" spans="3:4" customFormat="1" x14ac:dyDescent="0.2">
      <c r="C547" s="5"/>
      <c r="D547" s="5"/>
    </row>
    <row r="548" spans="3:4" customFormat="1" x14ac:dyDescent="0.2">
      <c r="C548" s="5"/>
      <c r="D548" s="5"/>
    </row>
    <row r="549" spans="3:4" customFormat="1" x14ac:dyDescent="0.2">
      <c r="C549" s="5"/>
      <c r="D549" s="5"/>
    </row>
    <row r="550" spans="3:4" customFormat="1" x14ac:dyDescent="0.2">
      <c r="C550" s="5"/>
      <c r="D550" s="5"/>
    </row>
    <row r="551" spans="3:4" customFormat="1" x14ac:dyDescent="0.2">
      <c r="C551" s="5"/>
      <c r="D551" s="5"/>
    </row>
    <row r="552" spans="3:4" customFormat="1" x14ac:dyDescent="0.2">
      <c r="C552" s="5"/>
      <c r="D552" s="5"/>
    </row>
    <row r="553" spans="3:4" customFormat="1" x14ac:dyDescent="0.2">
      <c r="C553" s="5"/>
      <c r="D553" s="5"/>
    </row>
    <row r="554" spans="3:4" customFormat="1" x14ac:dyDescent="0.2">
      <c r="C554" s="5"/>
      <c r="D554" s="5"/>
    </row>
    <row r="555" spans="3:4" customFormat="1" x14ac:dyDescent="0.2">
      <c r="C555" s="5"/>
      <c r="D555" s="5"/>
    </row>
    <row r="556" spans="3:4" customFormat="1" x14ac:dyDescent="0.2">
      <c r="C556" s="5"/>
      <c r="D556" s="5"/>
    </row>
    <row r="557" spans="3:4" customFormat="1" x14ac:dyDescent="0.2">
      <c r="C557" s="5"/>
      <c r="D557" s="5"/>
    </row>
    <row r="558" spans="3:4" customFormat="1" x14ac:dyDescent="0.2">
      <c r="C558" s="5"/>
      <c r="D558" s="5"/>
    </row>
    <row r="559" spans="3:4" customFormat="1" x14ac:dyDescent="0.2">
      <c r="C559" s="5"/>
      <c r="D559" s="5"/>
    </row>
    <row r="560" spans="3:4" customFormat="1" x14ac:dyDescent="0.2">
      <c r="C560" s="5"/>
      <c r="D560" s="5"/>
    </row>
    <row r="561" spans="3:4" customFormat="1" x14ac:dyDescent="0.2">
      <c r="C561" s="5"/>
      <c r="D561" s="5"/>
    </row>
    <row r="562" spans="3:4" customFormat="1" x14ac:dyDescent="0.2">
      <c r="C562" s="5"/>
      <c r="D562" s="5"/>
    </row>
    <row r="563" spans="3:4" customFormat="1" x14ac:dyDescent="0.2">
      <c r="C563" s="5"/>
      <c r="D563" s="5"/>
    </row>
    <row r="564" spans="3:4" customFormat="1" x14ac:dyDescent="0.2">
      <c r="C564" s="5"/>
      <c r="D564" s="5"/>
    </row>
    <row r="565" spans="3:4" customFormat="1" x14ac:dyDescent="0.2">
      <c r="C565" s="5"/>
      <c r="D565" s="5"/>
    </row>
    <row r="566" spans="3:4" customFormat="1" x14ac:dyDescent="0.2">
      <c r="C566" s="5"/>
      <c r="D566" s="5"/>
    </row>
    <row r="567" spans="3:4" customFormat="1" x14ac:dyDescent="0.2">
      <c r="C567" s="5"/>
      <c r="D567" s="5"/>
    </row>
    <row r="568" spans="3:4" customFormat="1" x14ac:dyDescent="0.2">
      <c r="C568" s="5"/>
      <c r="D568" s="5"/>
    </row>
    <row r="569" spans="3:4" customFormat="1" x14ac:dyDescent="0.2">
      <c r="C569" s="5"/>
      <c r="D569" s="5"/>
    </row>
    <row r="570" spans="3:4" customFormat="1" x14ac:dyDescent="0.2">
      <c r="C570" s="5"/>
      <c r="D570" s="5"/>
    </row>
    <row r="571" spans="3:4" customFormat="1" x14ac:dyDescent="0.2">
      <c r="C571" s="5"/>
      <c r="D571" s="5"/>
    </row>
    <row r="572" spans="3:4" customFormat="1" x14ac:dyDescent="0.2">
      <c r="C572" s="5"/>
      <c r="D572" s="5"/>
    </row>
    <row r="573" spans="3:4" customFormat="1" x14ac:dyDescent="0.2">
      <c r="C573" s="5"/>
      <c r="D573" s="5"/>
    </row>
    <row r="574" spans="3:4" customFormat="1" x14ac:dyDescent="0.2">
      <c r="C574" s="5"/>
      <c r="D574" s="5"/>
    </row>
    <row r="575" spans="3:4" customFormat="1" x14ac:dyDescent="0.2">
      <c r="C575" s="5"/>
      <c r="D575" s="5"/>
    </row>
    <row r="576" spans="3:4" customFormat="1" x14ac:dyDescent="0.2">
      <c r="C576" s="5"/>
      <c r="D576" s="5"/>
    </row>
    <row r="577" spans="3:4" customFormat="1" x14ac:dyDescent="0.2">
      <c r="C577" s="5"/>
      <c r="D577" s="5"/>
    </row>
    <row r="578" spans="3:4" customFormat="1" x14ac:dyDescent="0.2">
      <c r="C578" s="5"/>
      <c r="D578" s="5"/>
    </row>
    <row r="579" spans="3:4" customFormat="1" x14ac:dyDescent="0.2">
      <c r="C579" s="5"/>
      <c r="D579" s="5"/>
    </row>
    <row r="580" spans="3:4" customFormat="1" x14ac:dyDescent="0.2">
      <c r="C580" s="5"/>
      <c r="D580" s="5"/>
    </row>
    <row r="581" spans="3:4" customFormat="1" x14ac:dyDescent="0.2">
      <c r="C581" s="5"/>
      <c r="D581" s="5"/>
    </row>
    <row r="582" spans="3:4" customFormat="1" x14ac:dyDescent="0.2">
      <c r="C582" s="5"/>
      <c r="D582" s="5"/>
    </row>
    <row r="583" spans="3:4" customFormat="1" x14ac:dyDescent="0.2">
      <c r="C583" s="5"/>
      <c r="D583" s="5"/>
    </row>
    <row r="584" spans="3:4" customFormat="1" x14ac:dyDescent="0.2">
      <c r="C584" s="5"/>
      <c r="D584" s="5"/>
    </row>
    <row r="585" spans="3:4" customFormat="1" x14ac:dyDescent="0.2">
      <c r="C585" s="5"/>
      <c r="D585" s="5"/>
    </row>
    <row r="586" spans="3:4" customFormat="1" x14ac:dyDescent="0.2">
      <c r="C586" s="5"/>
      <c r="D586" s="5"/>
    </row>
    <row r="587" spans="3:4" customFormat="1" x14ac:dyDescent="0.2">
      <c r="C587" s="5"/>
      <c r="D587" s="5"/>
    </row>
    <row r="588" spans="3:4" customFormat="1" x14ac:dyDescent="0.2">
      <c r="C588" s="5"/>
      <c r="D588" s="5"/>
    </row>
    <row r="589" spans="3:4" customFormat="1" x14ac:dyDescent="0.2">
      <c r="C589" s="5"/>
      <c r="D589" s="5"/>
    </row>
    <row r="590" spans="3:4" customFormat="1" x14ac:dyDescent="0.2">
      <c r="C590" s="5"/>
      <c r="D590" s="5"/>
    </row>
    <row r="591" spans="3:4" customFormat="1" x14ac:dyDescent="0.2">
      <c r="C591" s="5"/>
      <c r="D591" s="5"/>
    </row>
    <row r="592" spans="3:4" customFormat="1" x14ac:dyDescent="0.2">
      <c r="C592" s="5"/>
      <c r="D592" s="5"/>
    </row>
    <row r="593" spans="3:4" customFormat="1" x14ac:dyDescent="0.2">
      <c r="C593" s="5"/>
      <c r="D593" s="5"/>
    </row>
    <row r="594" spans="3:4" customFormat="1" x14ac:dyDescent="0.2">
      <c r="C594" s="5"/>
      <c r="D594" s="5"/>
    </row>
    <row r="595" spans="3:4" customFormat="1" x14ac:dyDescent="0.2">
      <c r="C595" s="5"/>
      <c r="D595" s="5"/>
    </row>
    <row r="596" spans="3:4" customFormat="1" x14ac:dyDescent="0.2">
      <c r="C596" s="5"/>
      <c r="D596" s="5"/>
    </row>
    <row r="597" spans="3:4" customFormat="1" x14ac:dyDescent="0.2">
      <c r="C597" s="5"/>
      <c r="D597" s="5"/>
    </row>
    <row r="598" spans="3:4" customFormat="1" x14ac:dyDescent="0.2">
      <c r="C598" s="5"/>
      <c r="D598" s="5"/>
    </row>
    <row r="599" spans="3:4" customFormat="1" x14ac:dyDescent="0.2">
      <c r="C599" s="5"/>
      <c r="D599" s="5"/>
    </row>
    <row r="600" spans="3:4" customFormat="1" x14ac:dyDescent="0.2">
      <c r="C600" s="5"/>
      <c r="D600" s="5"/>
    </row>
    <row r="601" spans="3:4" customFormat="1" x14ac:dyDescent="0.2">
      <c r="C601" s="5"/>
      <c r="D601" s="5"/>
    </row>
    <row r="602" spans="3:4" customFormat="1" x14ac:dyDescent="0.2">
      <c r="C602" s="5"/>
      <c r="D602" s="5"/>
    </row>
    <row r="603" spans="3:4" customFormat="1" x14ac:dyDescent="0.2">
      <c r="C603" s="5"/>
      <c r="D603" s="5"/>
    </row>
    <row r="604" spans="3:4" customFormat="1" x14ac:dyDescent="0.2">
      <c r="C604" s="5"/>
      <c r="D604" s="5"/>
    </row>
    <row r="605" spans="3:4" customFormat="1" x14ac:dyDescent="0.2">
      <c r="C605" s="5"/>
      <c r="D605" s="5"/>
    </row>
    <row r="606" spans="3:4" customFormat="1" x14ac:dyDescent="0.2">
      <c r="C606" s="5"/>
      <c r="D606" s="5"/>
    </row>
    <row r="607" spans="3:4" customFormat="1" x14ac:dyDescent="0.2">
      <c r="C607" s="5"/>
      <c r="D607" s="5"/>
    </row>
    <row r="608" spans="3:4" customFormat="1" x14ac:dyDescent="0.2">
      <c r="C608" s="5"/>
      <c r="D608" s="5"/>
    </row>
    <row r="609" spans="3:4" customFormat="1" x14ac:dyDescent="0.2">
      <c r="C609" s="5"/>
      <c r="D609" s="5"/>
    </row>
    <row r="610" spans="3:4" customFormat="1" x14ac:dyDescent="0.2">
      <c r="C610" s="5"/>
      <c r="D610" s="5"/>
    </row>
    <row r="611" spans="3:4" customFormat="1" x14ac:dyDescent="0.2">
      <c r="C611" s="5"/>
      <c r="D611" s="5"/>
    </row>
    <row r="612" spans="3:4" customFormat="1" x14ac:dyDescent="0.2">
      <c r="C612" s="5"/>
      <c r="D612" s="5"/>
    </row>
    <row r="613" spans="3:4" customFormat="1" x14ac:dyDescent="0.2">
      <c r="C613" s="5"/>
      <c r="D613" s="5"/>
    </row>
    <row r="614" spans="3:4" customFormat="1" x14ac:dyDescent="0.2">
      <c r="C614" s="5"/>
      <c r="D614" s="5"/>
    </row>
    <row r="615" spans="3:4" customFormat="1" x14ac:dyDescent="0.2">
      <c r="C615" s="5"/>
      <c r="D615" s="5"/>
    </row>
    <row r="616" spans="3:4" customFormat="1" x14ac:dyDescent="0.2">
      <c r="C616" s="5"/>
      <c r="D616" s="5"/>
    </row>
    <row r="617" spans="3:4" customFormat="1" x14ac:dyDescent="0.2">
      <c r="C617" s="5"/>
      <c r="D617" s="5"/>
    </row>
    <row r="618" spans="3:4" customFormat="1" x14ac:dyDescent="0.2">
      <c r="C618" s="5"/>
      <c r="D618" s="5"/>
    </row>
    <row r="619" spans="3:4" customFormat="1" x14ac:dyDescent="0.2">
      <c r="C619" s="5"/>
      <c r="D619" s="5"/>
    </row>
    <row r="620" spans="3:4" customFormat="1" x14ac:dyDescent="0.2">
      <c r="C620" s="5"/>
      <c r="D620" s="5"/>
    </row>
    <row r="621" spans="3:4" customFormat="1" x14ac:dyDescent="0.2">
      <c r="C621" s="5"/>
      <c r="D621" s="5"/>
    </row>
    <row r="622" spans="3:4" customFormat="1" x14ac:dyDescent="0.2">
      <c r="C622" s="5"/>
      <c r="D622" s="5"/>
    </row>
    <row r="623" spans="3:4" customFormat="1" x14ac:dyDescent="0.2">
      <c r="C623" s="5"/>
      <c r="D623" s="5"/>
    </row>
    <row r="624" spans="3:4" customFormat="1" x14ac:dyDescent="0.2">
      <c r="C624" s="5"/>
      <c r="D624" s="5"/>
    </row>
    <row r="625" spans="3:4" customFormat="1" x14ac:dyDescent="0.2">
      <c r="C625" s="5"/>
      <c r="D625" s="5"/>
    </row>
    <row r="626" spans="3:4" customFormat="1" x14ac:dyDescent="0.2">
      <c r="C626" s="5"/>
      <c r="D626" s="5"/>
    </row>
    <row r="627" spans="3:4" customFormat="1" x14ac:dyDescent="0.2">
      <c r="C627" s="5"/>
      <c r="D627" s="5"/>
    </row>
    <row r="628" spans="3:4" customFormat="1" x14ac:dyDescent="0.2">
      <c r="C628" s="5"/>
      <c r="D628" s="5"/>
    </row>
    <row r="629" spans="3:4" customFormat="1" x14ac:dyDescent="0.2">
      <c r="C629" s="5"/>
      <c r="D629" s="5"/>
    </row>
    <row r="630" spans="3:4" customFormat="1" x14ac:dyDescent="0.2">
      <c r="C630" s="5"/>
      <c r="D630" s="5"/>
    </row>
    <row r="631" spans="3:4" customFormat="1" x14ac:dyDescent="0.2">
      <c r="C631" s="5"/>
      <c r="D631" s="5"/>
    </row>
    <row r="632" spans="3:4" customFormat="1" x14ac:dyDescent="0.2">
      <c r="C632" s="5"/>
      <c r="D632" s="5"/>
    </row>
    <row r="633" spans="3:4" customFormat="1" x14ac:dyDescent="0.2">
      <c r="C633" s="5"/>
      <c r="D633" s="5"/>
    </row>
    <row r="634" spans="3:4" customFormat="1" x14ac:dyDescent="0.2">
      <c r="C634" s="5"/>
      <c r="D634" s="5"/>
    </row>
    <row r="635" spans="3:4" customFormat="1" x14ac:dyDescent="0.2">
      <c r="C635" s="5"/>
      <c r="D635" s="5"/>
    </row>
    <row r="636" spans="3:4" customFormat="1" x14ac:dyDescent="0.2">
      <c r="C636" s="5"/>
      <c r="D636" s="5"/>
    </row>
    <row r="637" spans="3:4" customFormat="1" x14ac:dyDescent="0.2">
      <c r="C637" s="5"/>
      <c r="D637" s="5"/>
    </row>
    <row r="638" spans="3:4" customFormat="1" x14ac:dyDescent="0.2">
      <c r="C638" s="5"/>
      <c r="D638" s="5"/>
    </row>
    <row r="639" spans="3:4" customFormat="1" x14ac:dyDescent="0.2">
      <c r="C639" s="5"/>
      <c r="D639" s="5"/>
    </row>
    <row r="640" spans="3:4" customFormat="1" x14ac:dyDescent="0.2">
      <c r="C640" s="5"/>
      <c r="D640" s="5"/>
    </row>
    <row r="641" spans="3:4" customFormat="1" x14ac:dyDescent="0.2">
      <c r="C641" s="5"/>
      <c r="D641" s="5"/>
    </row>
    <row r="642" spans="3:4" customFormat="1" x14ac:dyDescent="0.2">
      <c r="C642" s="5"/>
      <c r="D642" s="5"/>
    </row>
    <row r="643" spans="3:4" customFormat="1" x14ac:dyDescent="0.2">
      <c r="C643" s="5"/>
      <c r="D643" s="5"/>
    </row>
    <row r="644" spans="3:4" customFormat="1" x14ac:dyDescent="0.2">
      <c r="C644" s="5"/>
      <c r="D644" s="5"/>
    </row>
    <row r="645" spans="3:4" customFormat="1" x14ac:dyDescent="0.2">
      <c r="C645" s="5"/>
      <c r="D645" s="5"/>
    </row>
    <row r="646" spans="3:4" customFormat="1" x14ac:dyDescent="0.2">
      <c r="C646" s="5"/>
      <c r="D646" s="5"/>
    </row>
    <row r="647" spans="3:4" customFormat="1" x14ac:dyDescent="0.2">
      <c r="C647" s="5"/>
      <c r="D647" s="5"/>
    </row>
    <row r="648" spans="3:4" customFormat="1" x14ac:dyDescent="0.2">
      <c r="C648" s="5"/>
      <c r="D648" s="5"/>
    </row>
    <row r="649" spans="3:4" customFormat="1" x14ac:dyDescent="0.2">
      <c r="C649" s="5"/>
      <c r="D649" s="5"/>
    </row>
    <row r="650" spans="3:4" customFormat="1" x14ac:dyDescent="0.2">
      <c r="C650" s="5"/>
      <c r="D650" s="5"/>
    </row>
    <row r="651" spans="3:4" customFormat="1" x14ac:dyDescent="0.2">
      <c r="C651" s="5"/>
      <c r="D651" s="5"/>
    </row>
    <row r="652" spans="3:4" customFormat="1" x14ac:dyDescent="0.2">
      <c r="C652" s="5"/>
      <c r="D652" s="5"/>
    </row>
    <row r="653" spans="3:4" customFormat="1" x14ac:dyDescent="0.2">
      <c r="C653" s="5"/>
      <c r="D653" s="5"/>
    </row>
    <row r="654" spans="3:4" customFormat="1" x14ac:dyDescent="0.2">
      <c r="C654" s="5"/>
      <c r="D654" s="5"/>
    </row>
    <row r="655" spans="3:4" customFormat="1" x14ac:dyDescent="0.2">
      <c r="C655" s="5"/>
      <c r="D655" s="5"/>
    </row>
    <row r="656" spans="3:4" customFormat="1" x14ac:dyDescent="0.2">
      <c r="C656" s="5"/>
      <c r="D656" s="5"/>
    </row>
    <row r="657" spans="3:4" customFormat="1" x14ac:dyDescent="0.2">
      <c r="C657" s="5"/>
      <c r="D657" s="5"/>
    </row>
    <row r="658" spans="3:4" customFormat="1" x14ac:dyDescent="0.2">
      <c r="C658" s="5"/>
      <c r="D658" s="5"/>
    </row>
    <row r="659" spans="3:4" customFormat="1" x14ac:dyDescent="0.2">
      <c r="C659" s="5"/>
      <c r="D659" s="5"/>
    </row>
    <row r="660" spans="3:4" customFormat="1" x14ac:dyDescent="0.2">
      <c r="C660" s="5"/>
      <c r="D660" s="5"/>
    </row>
    <row r="661" spans="3:4" customFormat="1" x14ac:dyDescent="0.2">
      <c r="C661" s="5"/>
      <c r="D661" s="5"/>
    </row>
    <row r="662" spans="3:4" customFormat="1" x14ac:dyDescent="0.2">
      <c r="C662" s="5"/>
      <c r="D662" s="5"/>
    </row>
    <row r="663" spans="3:4" customFormat="1" x14ac:dyDescent="0.2">
      <c r="C663" s="5"/>
      <c r="D663" s="5"/>
    </row>
    <row r="664" spans="3:4" customFormat="1" x14ac:dyDescent="0.2">
      <c r="C664" s="5"/>
      <c r="D664" s="5"/>
    </row>
    <row r="665" spans="3:4" customFormat="1" x14ac:dyDescent="0.2">
      <c r="C665" s="5"/>
      <c r="D665" s="5"/>
    </row>
    <row r="666" spans="3:4" customFormat="1" x14ac:dyDescent="0.2">
      <c r="C666" s="5"/>
      <c r="D666" s="5"/>
    </row>
    <row r="667" spans="3:4" customFormat="1" x14ac:dyDescent="0.2">
      <c r="C667" s="5"/>
      <c r="D667" s="5"/>
    </row>
    <row r="668" spans="3:4" customFormat="1" x14ac:dyDescent="0.2">
      <c r="C668" s="5"/>
      <c r="D668" s="5"/>
    </row>
    <row r="669" spans="3:4" customFormat="1" x14ac:dyDescent="0.2">
      <c r="C669" s="5"/>
      <c r="D669" s="5"/>
    </row>
    <row r="670" spans="3:4" customFormat="1" x14ac:dyDescent="0.2">
      <c r="C670" s="5"/>
      <c r="D670" s="5"/>
    </row>
    <row r="671" spans="3:4" customFormat="1" x14ac:dyDescent="0.2">
      <c r="C671" s="5"/>
      <c r="D671" s="5"/>
    </row>
    <row r="672" spans="3:4" customFormat="1" x14ac:dyDescent="0.2">
      <c r="C672" s="5"/>
      <c r="D672" s="5"/>
    </row>
    <row r="673" spans="3:4" customFormat="1" x14ac:dyDescent="0.2">
      <c r="C673" s="5"/>
      <c r="D673" s="5"/>
    </row>
    <row r="674" spans="3:4" customFormat="1" x14ac:dyDescent="0.2">
      <c r="C674" s="5"/>
      <c r="D674" s="5"/>
    </row>
    <row r="675" spans="3:4" customFormat="1" x14ac:dyDescent="0.2">
      <c r="C675" s="5"/>
      <c r="D675" s="5"/>
    </row>
    <row r="676" spans="3:4" customFormat="1" x14ac:dyDescent="0.2">
      <c r="C676" s="5"/>
      <c r="D676" s="5"/>
    </row>
    <row r="677" spans="3:4" customFormat="1" x14ac:dyDescent="0.2">
      <c r="C677" s="5"/>
      <c r="D677" s="5"/>
    </row>
    <row r="678" spans="3:4" customFormat="1" x14ac:dyDescent="0.2">
      <c r="C678" s="5"/>
      <c r="D678" s="5"/>
    </row>
    <row r="679" spans="3:4" customFormat="1" x14ac:dyDescent="0.2">
      <c r="C679" s="5"/>
      <c r="D679" s="5"/>
    </row>
    <row r="680" spans="3:4" customFormat="1" x14ac:dyDescent="0.2">
      <c r="C680" s="5"/>
      <c r="D680" s="5"/>
    </row>
    <row r="681" spans="3:4" customFormat="1" x14ac:dyDescent="0.2">
      <c r="C681" s="5"/>
      <c r="D681" s="5"/>
    </row>
    <row r="682" spans="3:4" customFormat="1" x14ac:dyDescent="0.2">
      <c r="C682" s="5"/>
      <c r="D682" s="5"/>
    </row>
    <row r="683" spans="3:4" customFormat="1" x14ac:dyDescent="0.2">
      <c r="C683" s="5"/>
      <c r="D683" s="5"/>
    </row>
    <row r="684" spans="3:4" customFormat="1" x14ac:dyDescent="0.2">
      <c r="C684" s="5"/>
      <c r="D684" s="5"/>
    </row>
    <row r="685" spans="3:4" customFormat="1" x14ac:dyDescent="0.2">
      <c r="C685" s="5"/>
      <c r="D685" s="5"/>
    </row>
    <row r="686" spans="3:4" customFormat="1" x14ac:dyDescent="0.2">
      <c r="C686" s="5"/>
      <c r="D686" s="5"/>
    </row>
    <row r="687" spans="3:4" customFormat="1" x14ac:dyDescent="0.2">
      <c r="C687" s="5"/>
      <c r="D687" s="5"/>
    </row>
    <row r="688" spans="3:4" customFormat="1" x14ac:dyDescent="0.2">
      <c r="C688" s="5"/>
      <c r="D688" s="5"/>
    </row>
    <row r="689" spans="3:4" customFormat="1" x14ac:dyDescent="0.2">
      <c r="C689" s="5"/>
      <c r="D689" s="5"/>
    </row>
    <row r="690" spans="3:4" customFormat="1" x14ac:dyDescent="0.2">
      <c r="C690" s="5"/>
      <c r="D690" s="5"/>
    </row>
    <row r="691" spans="3:4" customFormat="1" x14ac:dyDescent="0.2">
      <c r="C691" s="5"/>
      <c r="D691" s="5"/>
    </row>
    <row r="692" spans="3:4" customFormat="1" x14ac:dyDescent="0.2">
      <c r="C692" s="5"/>
      <c r="D692" s="5"/>
    </row>
    <row r="693" spans="3:4" customFormat="1" x14ac:dyDescent="0.2">
      <c r="C693" s="5"/>
      <c r="D693" s="5"/>
    </row>
    <row r="694" spans="3:4" customFormat="1" x14ac:dyDescent="0.2">
      <c r="C694" s="5"/>
      <c r="D694" s="5"/>
    </row>
    <row r="695" spans="3:4" customFormat="1" x14ac:dyDescent="0.2">
      <c r="C695" s="5"/>
      <c r="D695" s="5"/>
    </row>
    <row r="696" spans="3:4" customFormat="1" x14ac:dyDescent="0.2">
      <c r="C696" s="5"/>
      <c r="D696" s="5"/>
    </row>
    <row r="697" spans="3:4" customFormat="1" x14ac:dyDescent="0.2">
      <c r="C697" s="5"/>
      <c r="D697" s="5"/>
    </row>
    <row r="698" spans="3:4" customFormat="1" x14ac:dyDescent="0.2">
      <c r="C698" s="5"/>
      <c r="D698" s="5"/>
    </row>
    <row r="699" spans="3:4" customFormat="1" x14ac:dyDescent="0.2">
      <c r="C699" s="5"/>
      <c r="D699" s="5"/>
    </row>
    <row r="700" spans="3:4" customFormat="1" x14ac:dyDescent="0.2">
      <c r="C700" s="5"/>
      <c r="D700" s="5"/>
    </row>
    <row r="701" spans="3:4" customFormat="1" x14ac:dyDescent="0.2">
      <c r="C701" s="5"/>
      <c r="D701" s="5"/>
    </row>
    <row r="702" spans="3:4" customFormat="1" x14ac:dyDescent="0.2">
      <c r="C702" s="5"/>
      <c r="D702" s="5"/>
    </row>
    <row r="703" spans="3:4" customFormat="1" x14ac:dyDescent="0.2">
      <c r="C703" s="5"/>
      <c r="D703" s="5"/>
    </row>
    <row r="704" spans="3:4" customFormat="1" x14ac:dyDescent="0.2">
      <c r="C704" s="5"/>
      <c r="D704" s="5"/>
    </row>
    <row r="705" spans="3:4" customFormat="1" x14ac:dyDescent="0.2">
      <c r="C705" s="5"/>
      <c r="D705" s="5"/>
    </row>
    <row r="706" spans="3:4" customFormat="1" x14ac:dyDescent="0.2">
      <c r="C706" s="5"/>
      <c r="D706" s="5"/>
    </row>
    <row r="707" spans="3:4" customFormat="1" x14ac:dyDescent="0.2">
      <c r="C707" s="5"/>
      <c r="D707" s="5"/>
    </row>
    <row r="708" spans="3:4" customFormat="1" x14ac:dyDescent="0.2">
      <c r="C708" s="5"/>
      <c r="D708" s="5"/>
    </row>
    <row r="709" spans="3:4" customFormat="1" x14ac:dyDescent="0.2">
      <c r="C709" s="5"/>
      <c r="D709" s="5"/>
    </row>
    <row r="710" spans="3:4" customFormat="1" x14ac:dyDescent="0.2">
      <c r="C710" s="5"/>
      <c r="D710" s="5"/>
    </row>
    <row r="711" spans="3:4" customFormat="1" x14ac:dyDescent="0.2">
      <c r="C711" s="5"/>
      <c r="D711" s="5"/>
    </row>
    <row r="712" spans="3:4" customFormat="1" x14ac:dyDescent="0.2">
      <c r="C712" s="5"/>
      <c r="D712" s="5"/>
    </row>
    <row r="713" spans="3:4" customFormat="1" x14ac:dyDescent="0.2">
      <c r="C713" s="5"/>
      <c r="D713" s="5"/>
    </row>
    <row r="714" spans="3:4" customFormat="1" x14ac:dyDescent="0.2">
      <c r="C714" s="5"/>
      <c r="D714" s="5"/>
    </row>
    <row r="715" spans="3:4" customFormat="1" x14ac:dyDescent="0.2">
      <c r="C715" s="5"/>
      <c r="D715" s="5"/>
    </row>
    <row r="716" spans="3:4" customFormat="1" x14ac:dyDescent="0.2">
      <c r="C716" s="5"/>
      <c r="D716" s="5"/>
    </row>
    <row r="717" spans="3:4" customFormat="1" x14ac:dyDescent="0.2">
      <c r="C717" s="5"/>
      <c r="D717" s="5"/>
    </row>
    <row r="718" spans="3:4" customFormat="1" x14ac:dyDescent="0.2">
      <c r="C718" s="5"/>
      <c r="D718" s="5"/>
    </row>
    <row r="719" spans="3:4" customFormat="1" x14ac:dyDescent="0.2">
      <c r="C719" s="5"/>
      <c r="D719" s="5"/>
    </row>
    <row r="720" spans="3:4" customFormat="1" x14ac:dyDescent="0.2">
      <c r="C720" s="5"/>
      <c r="D720" s="5"/>
    </row>
    <row r="721" spans="3:4" customFormat="1" x14ac:dyDescent="0.2">
      <c r="C721" s="5"/>
      <c r="D721" s="5"/>
    </row>
    <row r="722" spans="3:4" customFormat="1" x14ac:dyDescent="0.2">
      <c r="C722" s="5"/>
      <c r="D722" s="5"/>
    </row>
    <row r="723" spans="3:4" customFormat="1" x14ac:dyDescent="0.2">
      <c r="C723" s="5"/>
      <c r="D723" s="5"/>
    </row>
    <row r="724" spans="3:4" customFormat="1" x14ac:dyDescent="0.2">
      <c r="C724" s="5"/>
      <c r="D724" s="5"/>
    </row>
    <row r="725" spans="3:4" customFormat="1" x14ac:dyDescent="0.2">
      <c r="C725" s="5"/>
      <c r="D725" s="5"/>
    </row>
    <row r="726" spans="3:4" customFormat="1" x14ac:dyDescent="0.2">
      <c r="C726" s="5"/>
      <c r="D726" s="5"/>
    </row>
    <row r="727" spans="3:4" customFormat="1" x14ac:dyDescent="0.2">
      <c r="C727" s="5"/>
      <c r="D727" s="5"/>
    </row>
    <row r="728" spans="3:4" customFormat="1" x14ac:dyDescent="0.2">
      <c r="C728" s="5"/>
      <c r="D728" s="5"/>
    </row>
    <row r="729" spans="3:4" customFormat="1" x14ac:dyDescent="0.2">
      <c r="C729" s="5"/>
      <c r="D729" s="5"/>
    </row>
    <row r="730" spans="3:4" customFormat="1" x14ac:dyDescent="0.2">
      <c r="C730" s="5"/>
      <c r="D730" s="5"/>
    </row>
    <row r="731" spans="3:4" customFormat="1" x14ac:dyDescent="0.2">
      <c r="C731" s="5"/>
      <c r="D731" s="5"/>
    </row>
    <row r="732" spans="3:4" customFormat="1" x14ac:dyDescent="0.2">
      <c r="C732" s="5"/>
      <c r="D732" s="5"/>
    </row>
    <row r="733" spans="3:4" customFormat="1" x14ac:dyDescent="0.2">
      <c r="C733" s="5"/>
      <c r="D733" s="5"/>
    </row>
    <row r="734" spans="3:4" customFormat="1" x14ac:dyDescent="0.2">
      <c r="C734" s="5"/>
      <c r="D734" s="5"/>
    </row>
    <row r="735" spans="3:4" customFormat="1" x14ac:dyDescent="0.2">
      <c r="C735" s="5"/>
      <c r="D735" s="5"/>
    </row>
    <row r="736" spans="3:4" customFormat="1" x14ac:dyDescent="0.2">
      <c r="C736" s="5"/>
      <c r="D736" s="5"/>
    </row>
    <row r="737" spans="3:4" customFormat="1" x14ac:dyDescent="0.2">
      <c r="C737" s="5"/>
      <c r="D737" s="5"/>
    </row>
    <row r="738" spans="3:4" customFormat="1" x14ac:dyDescent="0.2">
      <c r="C738" s="5"/>
      <c r="D738" s="5"/>
    </row>
    <row r="739" spans="3:4" customFormat="1" x14ac:dyDescent="0.2">
      <c r="C739" s="5"/>
      <c r="D739" s="5"/>
    </row>
    <row r="740" spans="3:4" customFormat="1" x14ac:dyDescent="0.2">
      <c r="C740" s="5"/>
      <c r="D740" s="5"/>
    </row>
    <row r="741" spans="3:4" customFormat="1" x14ac:dyDescent="0.2">
      <c r="C741" s="5"/>
      <c r="D741" s="5"/>
    </row>
    <row r="742" spans="3:4" customFormat="1" x14ac:dyDescent="0.2">
      <c r="C742" s="5"/>
      <c r="D742" s="5"/>
    </row>
    <row r="743" spans="3:4" customFormat="1" x14ac:dyDescent="0.2">
      <c r="C743" s="5"/>
      <c r="D743" s="5"/>
    </row>
    <row r="744" spans="3:4" customFormat="1" x14ac:dyDescent="0.2">
      <c r="C744" s="5"/>
      <c r="D744" s="5"/>
    </row>
    <row r="745" spans="3:4" customFormat="1" x14ac:dyDescent="0.2">
      <c r="C745" s="5"/>
      <c r="D745" s="5"/>
    </row>
    <row r="746" spans="3:4" customFormat="1" x14ac:dyDescent="0.2">
      <c r="C746" s="5"/>
      <c r="D746" s="5"/>
    </row>
    <row r="747" spans="3:4" customFormat="1" x14ac:dyDescent="0.2">
      <c r="C747" s="5"/>
      <c r="D747" s="5"/>
    </row>
    <row r="748" spans="3:4" customFormat="1" x14ac:dyDescent="0.2">
      <c r="C748" s="5"/>
      <c r="D748" s="5"/>
    </row>
    <row r="749" spans="3:4" customFormat="1" x14ac:dyDescent="0.2">
      <c r="C749" s="5"/>
      <c r="D749" s="5"/>
    </row>
    <row r="750" spans="3:4" customFormat="1" x14ac:dyDescent="0.2">
      <c r="C750" s="5"/>
      <c r="D750" s="5"/>
    </row>
    <row r="751" spans="3:4" customFormat="1" x14ac:dyDescent="0.2">
      <c r="C751" s="5"/>
      <c r="D751" s="5"/>
    </row>
    <row r="752" spans="3:4" customFormat="1" x14ac:dyDescent="0.2">
      <c r="C752" s="5"/>
      <c r="D752" s="5"/>
    </row>
    <row r="753" spans="3:4" customFormat="1" x14ac:dyDescent="0.2">
      <c r="C753" s="5"/>
      <c r="D753" s="5"/>
    </row>
    <row r="754" spans="3:4" customFormat="1" x14ac:dyDescent="0.2">
      <c r="C754" s="5"/>
      <c r="D754" s="5"/>
    </row>
    <row r="755" spans="3:4" customFormat="1" x14ac:dyDescent="0.2">
      <c r="C755" s="5"/>
      <c r="D755" s="5"/>
    </row>
    <row r="756" spans="3:4" customFormat="1" x14ac:dyDescent="0.2">
      <c r="C756" s="5"/>
      <c r="D756" s="5"/>
    </row>
    <row r="757" spans="3:4" customFormat="1" x14ac:dyDescent="0.2">
      <c r="C757" s="5"/>
      <c r="D757" s="5"/>
    </row>
    <row r="758" spans="3:4" customFormat="1" x14ac:dyDescent="0.2">
      <c r="C758" s="5"/>
      <c r="D758" s="5"/>
    </row>
    <row r="759" spans="3:4" customFormat="1" x14ac:dyDescent="0.2">
      <c r="C759" s="5"/>
      <c r="D759" s="5"/>
    </row>
    <row r="760" spans="3:4" customFormat="1" x14ac:dyDescent="0.2">
      <c r="C760" s="5"/>
      <c r="D760" s="5"/>
    </row>
    <row r="761" spans="3:4" customFormat="1" x14ac:dyDescent="0.2">
      <c r="C761" s="5"/>
      <c r="D761" s="5"/>
    </row>
    <row r="762" spans="3:4" customFormat="1" x14ac:dyDescent="0.2">
      <c r="C762" s="5"/>
      <c r="D762" s="5"/>
    </row>
    <row r="763" spans="3:4" customFormat="1" x14ac:dyDescent="0.2">
      <c r="C763" s="5"/>
      <c r="D763" s="5"/>
    </row>
    <row r="764" spans="3:4" customFormat="1" x14ac:dyDescent="0.2">
      <c r="C764" s="5"/>
      <c r="D764" s="5"/>
    </row>
    <row r="765" spans="3:4" customFormat="1" x14ac:dyDescent="0.2">
      <c r="C765" s="5"/>
      <c r="D765" s="5"/>
    </row>
    <row r="766" spans="3:4" customFormat="1" x14ac:dyDescent="0.2">
      <c r="C766" s="5"/>
      <c r="D766" s="5"/>
    </row>
    <row r="767" spans="3:4" customFormat="1" x14ac:dyDescent="0.2">
      <c r="C767" s="5"/>
      <c r="D767" s="5"/>
    </row>
    <row r="768" spans="3:4" customFormat="1" x14ac:dyDescent="0.2">
      <c r="C768" s="5"/>
      <c r="D768" s="5"/>
    </row>
    <row r="769" spans="3:4" customFormat="1" x14ac:dyDescent="0.2">
      <c r="C769" s="5"/>
      <c r="D769" s="5"/>
    </row>
    <row r="770" spans="3:4" customFormat="1" x14ac:dyDescent="0.2">
      <c r="C770" s="5"/>
      <c r="D770" s="5"/>
    </row>
    <row r="771" spans="3:4" customFormat="1" x14ac:dyDescent="0.2">
      <c r="C771" s="5"/>
      <c r="D771" s="5"/>
    </row>
    <row r="772" spans="3:4" customFormat="1" x14ac:dyDescent="0.2">
      <c r="C772" s="5"/>
      <c r="D772" s="5"/>
    </row>
    <row r="773" spans="3:4" customFormat="1" x14ac:dyDescent="0.2">
      <c r="C773" s="5"/>
      <c r="D773" s="5"/>
    </row>
    <row r="774" spans="3:4" customFormat="1" x14ac:dyDescent="0.2">
      <c r="C774" s="5"/>
      <c r="D774" s="5"/>
    </row>
    <row r="775" spans="3:4" customFormat="1" x14ac:dyDescent="0.2">
      <c r="C775" s="5"/>
      <c r="D775" s="5"/>
    </row>
    <row r="776" spans="3:4" customFormat="1" x14ac:dyDescent="0.2">
      <c r="C776" s="5"/>
      <c r="D776" s="5"/>
    </row>
    <row r="777" spans="3:4" customFormat="1" x14ac:dyDescent="0.2">
      <c r="C777" s="5"/>
      <c r="D777" s="5"/>
    </row>
    <row r="778" spans="3:4" customFormat="1" x14ac:dyDescent="0.2">
      <c r="C778" s="5"/>
      <c r="D778" s="5"/>
    </row>
    <row r="779" spans="3:4" customFormat="1" x14ac:dyDescent="0.2">
      <c r="C779" s="5"/>
      <c r="D779" s="5"/>
    </row>
    <row r="780" spans="3:4" customFormat="1" x14ac:dyDescent="0.2">
      <c r="C780" s="5"/>
      <c r="D780" s="5"/>
    </row>
    <row r="781" spans="3:4" customFormat="1" x14ac:dyDescent="0.2">
      <c r="C781" s="5"/>
      <c r="D781" s="5"/>
    </row>
    <row r="782" spans="3:4" customFormat="1" x14ac:dyDescent="0.2">
      <c r="C782" s="5"/>
      <c r="D782" s="5"/>
    </row>
    <row r="783" spans="3:4" customFormat="1" x14ac:dyDescent="0.2">
      <c r="C783" s="5"/>
      <c r="D783" s="5"/>
    </row>
    <row r="784" spans="3:4" customFormat="1" x14ac:dyDescent="0.2">
      <c r="C784" s="5"/>
      <c r="D784" s="5"/>
    </row>
    <row r="785" spans="3:4" customFormat="1" x14ac:dyDescent="0.2">
      <c r="C785" s="5"/>
      <c r="D785" s="5"/>
    </row>
    <row r="786" spans="3:4" customFormat="1" x14ac:dyDescent="0.2">
      <c r="C786" s="5"/>
      <c r="D786" s="5"/>
    </row>
    <row r="787" spans="3:4" customFormat="1" x14ac:dyDescent="0.2">
      <c r="C787" s="5"/>
      <c r="D787" s="5"/>
    </row>
    <row r="788" spans="3:4" customFormat="1" x14ac:dyDescent="0.2">
      <c r="C788" s="5"/>
      <c r="D788" s="5"/>
    </row>
    <row r="789" spans="3:4" customFormat="1" x14ac:dyDescent="0.2">
      <c r="C789" s="5"/>
      <c r="D789" s="5"/>
    </row>
    <row r="790" spans="3:4" customFormat="1" x14ac:dyDescent="0.2">
      <c r="C790" s="5"/>
      <c r="D790" s="5"/>
    </row>
    <row r="791" spans="3:4" customFormat="1" x14ac:dyDescent="0.2">
      <c r="C791" s="5"/>
      <c r="D791" s="5"/>
    </row>
    <row r="792" spans="3:4" customFormat="1" x14ac:dyDescent="0.2">
      <c r="C792" s="5"/>
      <c r="D792" s="5"/>
    </row>
    <row r="793" spans="3:4" customFormat="1" x14ac:dyDescent="0.2">
      <c r="C793" s="5"/>
      <c r="D793" s="5"/>
    </row>
    <row r="794" spans="3:4" customFormat="1" x14ac:dyDescent="0.2">
      <c r="C794" s="5"/>
      <c r="D794" s="5"/>
    </row>
    <row r="795" spans="3:4" customFormat="1" x14ac:dyDescent="0.2">
      <c r="C795" s="5"/>
      <c r="D795" s="5"/>
    </row>
    <row r="796" spans="3:4" customFormat="1" x14ac:dyDescent="0.2">
      <c r="C796" s="5"/>
      <c r="D796" s="5"/>
    </row>
    <row r="797" spans="3:4" customFormat="1" x14ac:dyDescent="0.2">
      <c r="C797" s="5"/>
      <c r="D797" s="5"/>
    </row>
    <row r="798" spans="3:4" customFormat="1" x14ac:dyDescent="0.2">
      <c r="C798" s="5"/>
      <c r="D798" s="5"/>
    </row>
    <row r="799" spans="3:4" customFormat="1" x14ac:dyDescent="0.2">
      <c r="C799" s="5"/>
      <c r="D799" s="5"/>
    </row>
    <row r="800" spans="3:4" customFormat="1" x14ac:dyDescent="0.2">
      <c r="C800" s="5"/>
      <c r="D800" s="5"/>
    </row>
    <row r="801" spans="3:4" customFormat="1" x14ac:dyDescent="0.2">
      <c r="C801" s="5"/>
      <c r="D801" s="5"/>
    </row>
    <row r="802" spans="3:4" customFormat="1" x14ac:dyDescent="0.2">
      <c r="C802" s="5"/>
      <c r="D802" s="5"/>
    </row>
    <row r="803" spans="3:4" customFormat="1" x14ac:dyDescent="0.2">
      <c r="C803" s="5"/>
      <c r="D803" s="5"/>
    </row>
    <row r="804" spans="3:4" customFormat="1" x14ac:dyDescent="0.2">
      <c r="C804" s="5"/>
      <c r="D804" s="5"/>
    </row>
    <row r="805" spans="3:4" customFormat="1" x14ac:dyDescent="0.2">
      <c r="C805" s="5"/>
      <c r="D805" s="5"/>
    </row>
    <row r="806" spans="3:4" customFormat="1" x14ac:dyDescent="0.2">
      <c r="C806" s="5"/>
      <c r="D806" s="5"/>
    </row>
    <row r="807" spans="3:4" customFormat="1" x14ac:dyDescent="0.2">
      <c r="C807" s="5"/>
      <c r="D807" s="5"/>
    </row>
    <row r="808" spans="3:4" customFormat="1" x14ac:dyDescent="0.2">
      <c r="C808" s="5"/>
      <c r="D808" s="5"/>
    </row>
    <row r="809" spans="3:4" customFormat="1" x14ac:dyDescent="0.2">
      <c r="C809" s="5"/>
      <c r="D809" s="5"/>
    </row>
    <row r="810" spans="3:4" customFormat="1" x14ac:dyDescent="0.2">
      <c r="C810" s="5"/>
      <c r="D810" s="5"/>
    </row>
    <row r="811" spans="3:4" customFormat="1" x14ac:dyDescent="0.2">
      <c r="C811" s="5"/>
      <c r="D811" s="5"/>
    </row>
    <row r="812" spans="3:4" customFormat="1" x14ac:dyDescent="0.2">
      <c r="C812" s="5"/>
      <c r="D812" s="5"/>
    </row>
    <row r="813" spans="3:4" customFormat="1" x14ac:dyDescent="0.2">
      <c r="C813" s="5"/>
      <c r="D813" s="5"/>
    </row>
    <row r="814" spans="3:4" customFormat="1" x14ac:dyDescent="0.2">
      <c r="C814" s="5"/>
      <c r="D814" s="5"/>
    </row>
    <row r="815" spans="3:4" customFormat="1" x14ac:dyDescent="0.2">
      <c r="C815" s="5"/>
      <c r="D815" s="5"/>
    </row>
    <row r="816" spans="3:4" customFormat="1" x14ac:dyDescent="0.2">
      <c r="C816" s="5"/>
      <c r="D816" s="5"/>
    </row>
    <row r="817" spans="3:4" customFormat="1" x14ac:dyDescent="0.2">
      <c r="C817" s="5"/>
      <c r="D817" s="5"/>
    </row>
    <row r="818" spans="3:4" customFormat="1" x14ac:dyDescent="0.2">
      <c r="C818" s="5"/>
      <c r="D818" s="5"/>
    </row>
    <row r="819" spans="3:4" customFormat="1" x14ac:dyDescent="0.2">
      <c r="C819" s="5"/>
      <c r="D819" s="5"/>
    </row>
    <row r="820" spans="3:4" customFormat="1" x14ac:dyDescent="0.2">
      <c r="C820" s="5"/>
      <c r="D820" s="5"/>
    </row>
    <row r="821" spans="3:4" customFormat="1" x14ac:dyDescent="0.2">
      <c r="C821" s="5"/>
      <c r="D821" s="5"/>
    </row>
    <row r="822" spans="3:4" customFormat="1" x14ac:dyDescent="0.2">
      <c r="C822" s="5"/>
      <c r="D822" s="5"/>
    </row>
    <row r="823" spans="3:4" customFormat="1" x14ac:dyDescent="0.2">
      <c r="C823" s="5"/>
      <c r="D823" s="5"/>
    </row>
    <row r="824" spans="3:4" customFormat="1" x14ac:dyDescent="0.2">
      <c r="C824" s="5"/>
      <c r="D824" s="5"/>
    </row>
    <row r="825" spans="3:4" customFormat="1" x14ac:dyDescent="0.2">
      <c r="C825" s="5"/>
      <c r="D825" s="5"/>
    </row>
    <row r="826" spans="3:4" customFormat="1" x14ac:dyDescent="0.2">
      <c r="C826" s="5"/>
      <c r="D826" s="5"/>
    </row>
    <row r="827" spans="3:4" customFormat="1" x14ac:dyDescent="0.2">
      <c r="C827" s="5"/>
      <c r="D827" s="5"/>
    </row>
    <row r="828" spans="3:4" customFormat="1" x14ac:dyDescent="0.2">
      <c r="C828" s="5"/>
      <c r="D828" s="5"/>
    </row>
    <row r="829" spans="3:4" customFormat="1" x14ac:dyDescent="0.2">
      <c r="C829" s="5"/>
      <c r="D829" s="5"/>
    </row>
    <row r="830" spans="3:4" customFormat="1" x14ac:dyDescent="0.2">
      <c r="C830" s="5"/>
      <c r="D830" s="5"/>
    </row>
    <row r="831" spans="3:4" customFormat="1" x14ac:dyDescent="0.2">
      <c r="C831" s="5"/>
      <c r="D831" s="5"/>
    </row>
    <row r="832" spans="3:4" customFormat="1" x14ac:dyDescent="0.2">
      <c r="C832" s="5"/>
      <c r="D832" s="5"/>
    </row>
    <row r="833" spans="3:4" customFormat="1" x14ac:dyDescent="0.2">
      <c r="C833" s="5"/>
      <c r="D833" s="5"/>
    </row>
    <row r="834" spans="3:4" customFormat="1" x14ac:dyDescent="0.2">
      <c r="C834" s="5"/>
      <c r="D834" s="5"/>
    </row>
    <row r="835" spans="3:4" customFormat="1" x14ac:dyDescent="0.2">
      <c r="C835" s="5"/>
      <c r="D835" s="5"/>
    </row>
    <row r="836" spans="3:4" customFormat="1" x14ac:dyDescent="0.2">
      <c r="C836" s="5"/>
      <c r="D836" s="5"/>
    </row>
    <row r="837" spans="3:4" customFormat="1" x14ac:dyDescent="0.2">
      <c r="C837" s="5"/>
      <c r="D837" s="5"/>
    </row>
    <row r="838" spans="3:4" customFormat="1" x14ac:dyDescent="0.2">
      <c r="C838" s="5"/>
      <c r="D838" s="5"/>
    </row>
    <row r="839" spans="3:4" customFormat="1" x14ac:dyDescent="0.2">
      <c r="C839" s="5"/>
      <c r="D839" s="5"/>
    </row>
    <row r="840" spans="3:4" customFormat="1" x14ac:dyDescent="0.2">
      <c r="C840" s="5"/>
      <c r="D840" s="5"/>
    </row>
    <row r="841" spans="3:4" customFormat="1" x14ac:dyDescent="0.2">
      <c r="C841" s="5"/>
      <c r="D841" s="5"/>
    </row>
    <row r="842" spans="3:4" customFormat="1" x14ac:dyDescent="0.2">
      <c r="C842" s="5"/>
      <c r="D842" s="5"/>
    </row>
    <row r="843" spans="3:4" customFormat="1" x14ac:dyDescent="0.2">
      <c r="C843" s="5"/>
      <c r="D843" s="5"/>
    </row>
    <row r="844" spans="3:4" customFormat="1" x14ac:dyDescent="0.2">
      <c r="C844" s="5"/>
      <c r="D844" s="5"/>
    </row>
    <row r="845" spans="3:4" customFormat="1" x14ac:dyDescent="0.2">
      <c r="C845" s="5"/>
      <c r="D845" s="5"/>
    </row>
    <row r="846" spans="3:4" customFormat="1" x14ac:dyDescent="0.2">
      <c r="C846" s="5"/>
      <c r="D846" s="5"/>
    </row>
    <row r="847" spans="3:4" customFormat="1" x14ac:dyDescent="0.2">
      <c r="C847" s="5"/>
      <c r="D847" s="5"/>
    </row>
    <row r="848" spans="3:4" customFormat="1" x14ac:dyDescent="0.2">
      <c r="C848" s="5"/>
      <c r="D848" s="5"/>
    </row>
    <row r="849" spans="3:4" customFormat="1" x14ac:dyDescent="0.2">
      <c r="C849" s="5"/>
      <c r="D849" s="5"/>
    </row>
    <row r="850" spans="3:4" customFormat="1" x14ac:dyDescent="0.2">
      <c r="C850" s="5"/>
      <c r="D850" s="5"/>
    </row>
    <row r="851" spans="3:4" customFormat="1" x14ac:dyDescent="0.2">
      <c r="C851" s="5"/>
      <c r="D851" s="5"/>
    </row>
    <row r="852" spans="3:4" customFormat="1" x14ac:dyDescent="0.2">
      <c r="C852" s="5"/>
      <c r="D852" s="5"/>
    </row>
    <row r="853" spans="3:4" customFormat="1" x14ac:dyDescent="0.2">
      <c r="C853" s="5"/>
      <c r="D853" s="5"/>
    </row>
    <row r="854" spans="3:4" customFormat="1" x14ac:dyDescent="0.2">
      <c r="C854" s="5"/>
      <c r="D854" s="5"/>
    </row>
    <row r="855" spans="3:4" customFormat="1" x14ac:dyDescent="0.2">
      <c r="C855" s="5"/>
      <c r="D855" s="5"/>
    </row>
    <row r="856" spans="3:4" customFormat="1" x14ac:dyDescent="0.2">
      <c r="C856" s="5"/>
      <c r="D856" s="5"/>
    </row>
    <row r="857" spans="3:4" customFormat="1" x14ac:dyDescent="0.2">
      <c r="C857" s="5"/>
      <c r="D857" s="5"/>
    </row>
    <row r="858" spans="3:4" customFormat="1" x14ac:dyDescent="0.2">
      <c r="C858" s="5"/>
      <c r="D858" s="5"/>
    </row>
    <row r="859" spans="3:4" customFormat="1" x14ac:dyDescent="0.2">
      <c r="C859" s="5"/>
      <c r="D859" s="5"/>
    </row>
    <row r="860" spans="3:4" customFormat="1" x14ac:dyDescent="0.2">
      <c r="C860" s="5"/>
      <c r="D860" s="5"/>
    </row>
    <row r="861" spans="3:4" customFormat="1" x14ac:dyDescent="0.2">
      <c r="C861" s="5"/>
      <c r="D861" s="5"/>
    </row>
    <row r="862" spans="3:4" customFormat="1" x14ac:dyDescent="0.2">
      <c r="C862" s="5"/>
      <c r="D862" s="5"/>
    </row>
    <row r="863" spans="3:4" customFormat="1" x14ac:dyDescent="0.2">
      <c r="C863" s="5"/>
      <c r="D863" s="5"/>
    </row>
    <row r="864" spans="3:4" customFormat="1" x14ac:dyDescent="0.2">
      <c r="C864" s="5"/>
      <c r="D864" s="5"/>
    </row>
    <row r="865" spans="3:4" customFormat="1" x14ac:dyDescent="0.2">
      <c r="C865" s="5"/>
      <c r="D865" s="5"/>
    </row>
    <row r="866" spans="3:4" customFormat="1" x14ac:dyDescent="0.2">
      <c r="C866" s="5"/>
      <c r="D866" s="5"/>
    </row>
    <row r="867" spans="3:4" customFormat="1" x14ac:dyDescent="0.2">
      <c r="C867" s="5"/>
      <c r="D867" s="5"/>
    </row>
    <row r="868" spans="3:4" customFormat="1" x14ac:dyDescent="0.2">
      <c r="C868" s="5"/>
      <c r="D868" s="5"/>
    </row>
    <row r="869" spans="3:4" customFormat="1" x14ac:dyDescent="0.2">
      <c r="C869" s="5"/>
      <c r="D869" s="5"/>
    </row>
    <row r="870" spans="3:4" customFormat="1" x14ac:dyDescent="0.2">
      <c r="C870" s="5"/>
      <c r="D870" s="5"/>
    </row>
    <row r="871" spans="3:4" customFormat="1" x14ac:dyDescent="0.2">
      <c r="C871" s="5"/>
      <c r="D871" s="5"/>
    </row>
    <row r="872" spans="3:4" customFormat="1" x14ac:dyDescent="0.2">
      <c r="C872" s="5"/>
      <c r="D872" s="5"/>
    </row>
    <row r="873" spans="3:4" customFormat="1" x14ac:dyDescent="0.2">
      <c r="C873" s="5"/>
      <c r="D873" s="5"/>
    </row>
    <row r="874" spans="3:4" customFormat="1" x14ac:dyDescent="0.2">
      <c r="C874" s="5"/>
      <c r="D874" s="5"/>
    </row>
    <row r="875" spans="3:4" customFormat="1" x14ac:dyDescent="0.2">
      <c r="C875" s="5"/>
      <c r="D875" s="5"/>
    </row>
    <row r="876" spans="3:4" customFormat="1" x14ac:dyDescent="0.2">
      <c r="C876" s="5"/>
      <c r="D876" s="5"/>
    </row>
    <row r="877" spans="3:4" customFormat="1" x14ac:dyDescent="0.2">
      <c r="C877" s="5"/>
      <c r="D877" s="5"/>
    </row>
    <row r="878" spans="3:4" customFormat="1" x14ac:dyDescent="0.2">
      <c r="C878" s="5"/>
      <c r="D878" s="5"/>
    </row>
    <row r="879" spans="3:4" customFormat="1" x14ac:dyDescent="0.2">
      <c r="C879" s="5"/>
      <c r="D879" s="5"/>
    </row>
    <row r="880" spans="3:4" customFormat="1" x14ac:dyDescent="0.2">
      <c r="C880" s="5"/>
      <c r="D880" s="5"/>
    </row>
    <row r="881" spans="3:4" customFormat="1" x14ac:dyDescent="0.2">
      <c r="C881" s="5"/>
      <c r="D881" s="5"/>
    </row>
    <row r="882" spans="3:4" customFormat="1" x14ac:dyDescent="0.2">
      <c r="C882" s="5"/>
      <c r="D882" s="5"/>
    </row>
    <row r="883" spans="3:4" customFormat="1" x14ac:dyDescent="0.2">
      <c r="C883" s="5"/>
      <c r="D883" s="5"/>
    </row>
    <row r="884" spans="3:4" customFormat="1" x14ac:dyDescent="0.2">
      <c r="C884" s="5"/>
      <c r="D884" s="5"/>
    </row>
    <row r="885" spans="3:4" customFormat="1" x14ac:dyDescent="0.2">
      <c r="C885" s="5"/>
      <c r="D885" s="5"/>
    </row>
    <row r="886" spans="3:4" customFormat="1" x14ac:dyDescent="0.2">
      <c r="C886" s="5"/>
      <c r="D886" s="5"/>
    </row>
    <row r="887" spans="3:4" customFormat="1" x14ac:dyDescent="0.2">
      <c r="C887" s="5"/>
      <c r="D887" s="5"/>
    </row>
    <row r="888" spans="3:4" customFormat="1" x14ac:dyDescent="0.2">
      <c r="C888" s="5"/>
      <c r="D888" s="5"/>
    </row>
    <row r="889" spans="3:4" customFormat="1" x14ac:dyDescent="0.2">
      <c r="C889" s="5"/>
      <c r="D889" s="5"/>
    </row>
    <row r="890" spans="3:4" customFormat="1" x14ac:dyDescent="0.2">
      <c r="C890" s="5"/>
      <c r="D890" s="5"/>
    </row>
    <row r="891" spans="3:4" customFormat="1" x14ac:dyDescent="0.2">
      <c r="C891" s="5"/>
      <c r="D891" s="5"/>
    </row>
    <row r="892" spans="3:4" customFormat="1" x14ac:dyDescent="0.2">
      <c r="C892" s="5"/>
      <c r="D892" s="5"/>
    </row>
    <row r="893" spans="3:4" customFormat="1" x14ac:dyDescent="0.2">
      <c r="C893" s="5"/>
      <c r="D893" s="5"/>
    </row>
    <row r="894" spans="3:4" customFormat="1" x14ac:dyDescent="0.2">
      <c r="C894" s="5"/>
      <c r="D894" s="5"/>
    </row>
    <row r="895" spans="3:4" customFormat="1" x14ac:dyDescent="0.2">
      <c r="C895" s="5"/>
      <c r="D895" s="5"/>
    </row>
    <row r="896" spans="3:4" customFormat="1" x14ac:dyDescent="0.2">
      <c r="C896" s="5"/>
      <c r="D896" s="5"/>
    </row>
    <row r="897" spans="3:4" customFormat="1" x14ac:dyDescent="0.2">
      <c r="C897" s="5"/>
      <c r="D897" s="5"/>
    </row>
    <row r="898" spans="3:4" customFormat="1" x14ac:dyDescent="0.2">
      <c r="C898" s="5"/>
      <c r="D898" s="5"/>
    </row>
    <row r="899" spans="3:4" customFormat="1" x14ac:dyDescent="0.2">
      <c r="C899" s="5"/>
      <c r="D899" s="5"/>
    </row>
    <row r="900" spans="3:4" customFormat="1" x14ac:dyDescent="0.2">
      <c r="C900" s="5"/>
      <c r="D900" s="5"/>
    </row>
    <row r="901" spans="3:4" customFormat="1" x14ac:dyDescent="0.2">
      <c r="C901" s="5"/>
      <c r="D901" s="5"/>
    </row>
    <row r="902" spans="3:4" customFormat="1" x14ac:dyDescent="0.2">
      <c r="C902" s="5"/>
      <c r="D902" s="5"/>
    </row>
    <row r="903" spans="3:4" customFormat="1" x14ac:dyDescent="0.2">
      <c r="C903" s="5"/>
      <c r="D903" s="5"/>
    </row>
    <row r="904" spans="3:4" customFormat="1" x14ac:dyDescent="0.2">
      <c r="C904" s="5"/>
      <c r="D904" s="5"/>
    </row>
    <row r="905" spans="3:4" customFormat="1" x14ac:dyDescent="0.2">
      <c r="C905" s="5"/>
      <c r="D905" s="5"/>
    </row>
    <row r="906" spans="3:4" customFormat="1" x14ac:dyDescent="0.2">
      <c r="C906" s="5"/>
      <c r="D906" s="5"/>
    </row>
    <row r="907" spans="3:4" customFormat="1" x14ac:dyDescent="0.2">
      <c r="C907" s="5"/>
      <c r="D907" s="5"/>
    </row>
    <row r="908" spans="3:4" customFormat="1" x14ac:dyDescent="0.2">
      <c r="C908" s="5"/>
      <c r="D908" s="5"/>
    </row>
    <row r="909" spans="3:4" customFormat="1" x14ac:dyDescent="0.2">
      <c r="C909" s="5"/>
      <c r="D909" s="5"/>
    </row>
    <row r="910" spans="3:4" customFormat="1" x14ac:dyDescent="0.2">
      <c r="C910" s="5"/>
      <c r="D910" s="5"/>
    </row>
    <row r="911" spans="3:4" customFormat="1" x14ac:dyDescent="0.2">
      <c r="C911" s="5"/>
      <c r="D911" s="5"/>
    </row>
    <row r="912" spans="3:4" customFormat="1" x14ac:dyDescent="0.2">
      <c r="C912" s="5"/>
      <c r="D912" s="5"/>
    </row>
    <row r="913" spans="3:4" customFormat="1" x14ac:dyDescent="0.2">
      <c r="C913" s="5"/>
      <c r="D913" s="5"/>
    </row>
    <row r="914" spans="3:4" customFormat="1" x14ac:dyDescent="0.2">
      <c r="C914" s="5"/>
      <c r="D914" s="5"/>
    </row>
    <row r="915" spans="3:4" customFormat="1" x14ac:dyDescent="0.2">
      <c r="C915" s="5"/>
      <c r="D915" s="5"/>
    </row>
    <row r="916" spans="3:4" customFormat="1" x14ac:dyDescent="0.2">
      <c r="C916" s="5"/>
      <c r="D916" s="5"/>
    </row>
    <row r="917" spans="3:4" customFormat="1" x14ac:dyDescent="0.2">
      <c r="C917" s="5"/>
      <c r="D917" s="5"/>
    </row>
    <row r="918" spans="3:4" customFormat="1" x14ac:dyDescent="0.2">
      <c r="C918" s="5"/>
      <c r="D918" s="5"/>
    </row>
    <row r="919" spans="3:4" customFormat="1" x14ac:dyDescent="0.2">
      <c r="C919" s="5"/>
      <c r="D919" s="5"/>
    </row>
    <row r="920" spans="3:4" customFormat="1" x14ac:dyDescent="0.2">
      <c r="C920" s="5"/>
      <c r="D920" s="5"/>
    </row>
    <row r="921" spans="3:4" customFormat="1" x14ac:dyDescent="0.2">
      <c r="C921" s="5"/>
      <c r="D921" s="5"/>
    </row>
    <row r="922" spans="3:4" customFormat="1" x14ac:dyDescent="0.2">
      <c r="C922" s="5"/>
      <c r="D922" s="5"/>
    </row>
    <row r="923" spans="3:4" customFormat="1" x14ac:dyDescent="0.2">
      <c r="C923" s="5"/>
      <c r="D923" s="5"/>
    </row>
    <row r="924" spans="3:4" customFormat="1" x14ac:dyDescent="0.2">
      <c r="C924" s="5"/>
      <c r="D924" s="5"/>
    </row>
    <row r="925" spans="3:4" customFormat="1" x14ac:dyDescent="0.2">
      <c r="C925" s="5"/>
      <c r="D925" s="5"/>
    </row>
    <row r="926" spans="3:4" customFormat="1" x14ac:dyDescent="0.2">
      <c r="C926" s="5"/>
      <c r="D926" s="5"/>
    </row>
    <row r="927" spans="3:4" customFormat="1" x14ac:dyDescent="0.2">
      <c r="C927" s="5"/>
      <c r="D927" s="5"/>
    </row>
    <row r="928" spans="3:4" customFormat="1" x14ac:dyDescent="0.2">
      <c r="C928" s="5"/>
      <c r="D928" s="5"/>
    </row>
    <row r="929" spans="3:4" customFormat="1" x14ac:dyDescent="0.2">
      <c r="C929" s="5"/>
      <c r="D929" s="5"/>
    </row>
    <row r="930" spans="3:4" customFormat="1" x14ac:dyDescent="0.2">
      <c r="C930" s="5"/>
      <c r="D930" s="5"/>
    </row>
    <row r="931" spans="3:4" customFormat="1" x14ac:dyDescent="0.2">
      <c r="C931" s="5"/>
      <c r="D931" s="5"/>
    </row>
    <row r="932" spans="3:4" customFormat="1" x14ac:dyDescent="0.2">
      <c r="C932" s="5"/>
      <c r="D932" s="5"/>
    </row>
    <row r="933" spans="3:4" customFormat="1" x14ac:dyDescent="0.2">
      <c r="C933" s="5"/>
      <c r="D933" s="5"/>
    </row>
    <row r="934" spans="3:4" customFormat="1" x14ac:dyDescent="0.2">
      <c r="C934" s="5"/>
      <c r="D934" s="5"/>
    </row>
    <row r="935" spans="3:4" customFormat="1" x14ac:dyDescent="0.2">
      <c r="C935" s="5"/>
      <c r="D935" s="5"/>
    </row>
    <row r="936" spans="3:4" customFormat="1" x14ac:dyDescent="0.2">
      <c r="C936" s="5"/>
      <c r="D936" s="5"/>
    </row>
    <row r="937" spans="3:4" customFormat="1" x14ac:dyDescent="0.2">
      <c r="C937" s="5"/>
      <c r="D937" s="5"/>
    </row>
    <row r="938" spans="3:4" customFormat="1" x14ac:dyDescent="0.2">
      <c r="C938" s="5"/>
      <c r="D938" s="5"/>
    </row>
    <row r="939" spans="3:4" customFormat="1" x14ac:dyDescent="0.2">
      <c r="C939" s="5"/>
      <c r="D939" s="5"/>
    </row>
    <row r="940" spans="3:4" customFormat="1" x14ac:dyDescent="0.2">
      <c r="C940" s="5"/>
      <c r="D940" s="5"/>
    </row>
    <row r="941" spans="3:4" customFormat="1" x14ac:dyDescent="0.2">
      <c r="C941" s="5"/>
      <c r="D941" s="5"/>
    </row>
    <row r="942" spans="3:4" customFormat="1" x14ac:dyDescent="0.2">
      <c r="C942" s="5"/>
      <c r="D942" s="5"/>
    </row>
    <row r="943" spans="3:4" customFormat="1" x14ac:dyDescent="0.2">
      <c r="C943" s="5"/>
      <c r="D943" s="5"/>
    </row>
    <row r="944" spans="3:4" customFormat="1" x14ac:dyDescent="0.2">
      <c r="C944" s="5"/>
      <c r="D944" s="5"/>
    </row>
    <row r="945" spans="3:4" customFormat="1" x14ac:dyDescent="0.2">
      <c r="C945" s="5"/>
      <c r="D945" s="5"/>
    </row>
    <row r="946" spans="3:4" customFormat="1" x14ac:dyDescent="0.2">
      <c r="C946" s="5"/>
      <c r="D946" s="5"/>
    </row>
    <row r="947" spans="3:4" customFormat="1" x14ac:dyDescent="0.2">
      <c r="C947" s="5"/>
      <c r="D947" s="5"/>
    </row>
    <row r="948" spans="3:4" customFormat="1" x14ac:dyDescent="0.2">
      <c r="C948" s="5"/>
      <c r="D948" s="5"/>
    </row>
    <row r="949" spans="3:4" customFormat="1" x14ac:dyDescent="0.2">
      <c r="C949" s="5"/>
      <c r="D949" s="5"/>
    </row>
    <row r="950" spans="3:4" customFormat="1" x14ac:dyDescent="0.2">
      <c r="C950" s="5"/>
      <c r="D950" s="5"/>
    </row>
    <row r="951" spans="3:4" customFormat="1" x14ac:dyDescent="0.2">
      <c r="C951" s="5"/>
      <c r="D951" s="5"/>
    </row>
    <row r="952" spans="3:4" customFormat="1" x14ac:dyDescent="0.2">
      <c r="C952" s="5"/>
      <c r="D952" s="5"/>
    </row>
    <row r="953" spans="3:4" customFormat="1" x14ac:dyDescent="0.2">
      <c r="C953" s="5"/>
      <c r="D953" s="5"/>
    </row>
    <row r="954" spans="3:4" customFormat="1" x14ac:dyDescent="0.2">
      <c r="C954" s="5"/>
      <c r="D954" s="5"/>
    </row>
    <row r="955" spans="3:4" customFormat="1" x14ac:dyDescent="0.2">
      <c r="C955" s="5"/>
      <c r="D955" s="5"/>
    </row>
    <row r="956" spans="3:4" customFormat="1" x14ac:dyDescent="0.2">
      <c r="C956" s="5"/>
      <c r="D956" s="5"/>
    </row>
    <row r="957" spans="3:4" customFormat="1" x14ac:dyDescent="0.2">
      <c r="C957" s="5"/>
      <c r="D957" s="5"/>
    </row>
    <row r="958" spans="3:4" customFormat="1" x14ac:dyDescent="0.2">
      <c r="C958" s="5"/>
      <c r="D958" s="5"/>
    </row>
    <row r="959" spans="3:4" customFormat="1" x14ac:dyDescent="0.2">
      <c r="C959" s="5"/>
      <c r="D959" s="5"/>
    </row>
    <row r="960" spans="3:4" customFormat="1" x14ac:dyDescent="0.2">
      <c r="C960" s="5"/>
      <c r="D960" s="5"/>
    </row>
    <row r="961" spans="3:4" customFormat="1" x14ac:dyDescent="0.2">
      <c r="C961" s="5"/>
      <c r="D961" s="5"/>
    </row>
    <row r="962" spans="3:4" customFormat="1" x14ac:dyDescent="0.2">
      <c r="C962" s="5"/>
      <c r="D962" s="5"/>
    </row>
    <row r="963" spans="3:4" customFormat="1" x14ac:dyDescent="0.2">
      <c r="C963" s="5"/>
      <c r="D963" s="5"/>
    </row>
    <row r="964" spans="3:4" customFormat="1" x14ac:dyDescent="0.2">
      <c r="C964" s="5"/>
      <c r="D964" s="5"/>
    </row>
    <row r="965" spans="3:4" customFormat="1" x14ac:dyDescent="0.2">
      <c r="C965" s="5"/>
      <c r="D965" s="5"/>
    </row>
    <row r="966" spans="3:4" customFormat="1" x14ac:dyDescent="0.2">
      <c r="C966" s="5"/>
      <c r="D966" s="5"/>
    </row>
    <row r="967" spans="3:4" customFormat="1" x14ac:dyDescent="0.2">
      <c r="C967" s="5"/>
      <c r="D967" s="5"/>
    </row>
    <row r="968" spans="3:4" customFormat="1" x14ac:dyDescent="0.2">
      <c r="C968" s="5"/>
      <c r="D968" s="5"/>
    </row>
    <row r="969" spans="3:4" customFormat="1" x14ac:dyDescent="0.2">
      <c r="C969" s="5"/>
      <c r="D969" s="5"/>
    </row>
    <row r="970" spans="3:4" customFormat="1" x14ac:dyDescent="0.2">
      <c r="C970" s="5"/>
      <c r="D970" s="5"/>
    </row>
    <row r="971" spans="3:4" customFormat="1" x14ac:dyDescent="0.2">
      <c r="C971" s="5"/>
      <c r="D971" s="5"/>
    </row>
    <row r="972" spans="3:4" customFormat="1" x14ac:dyDescent="0.2">
      <c r="C972" s="5"/>
      <c r="D972" s="5"/>
    </row>
    <row r="973" spans="3:4" customFormat="1" x14ac:dyDescent="0.2">
      <c r="C973" s="5"/>
      <c r="D973" s="5"/>
    </row>
    <row r="974" spans="3:4" customFormat="1" x14ac:dyDescent="0.2">
      <c r="C974" s="5"/>
      <c r="D974" s="5"/>
    </row>
    <row r="975" spans="3:4" customFormat="1" x14ac:dyDescent="0.2">
      <c r="C975" s="5"/>
      <c r="D975" s="5"/>
    </row>
    <row r="976" spans="3:4" customFormat="1" x14ac:dyDescent="0.2">
      <c r="C976" s="5"/>
      <c r="D976" s="5"/>
    </row>
    <row r="977" spans="3:4" customFormat="1" x14ac:dyDescent="0.2">
      <c r="C977" s="5"/>
      <c r="D977" s="5"/>
    </row>
    <row r="978" spans="3:4" customFormat="1" x14ac:dyDescent="0.2">
      <c r="C978" s="5"/>
      <c r="D978" s="5"/>
    </row>
    <row r="979" spans="3:4" customFormat="1" x14ac:dyDescent="0.2">
      <c r="C979" s="5"/>
      <c r="D979" s="5"/>
    </row>
    <row r="980" spans="3:4" customFormat="1" x14ac:dyDescent="0.2">
      <c r="C980" s="5"/>
      <c r="D980" s="5"/>
    </row>
    <row r="981" spans="3:4" customFormat="1" x14ac:dyDescent="0.2">
      <c r="C981" s="5"/>
      <c r="D981" s="5"/>
    </row>
    <row r="982" spans="3:4" customFormat="1" x14ac:dyDescent="0.2">
      <c r="C982" s="5"/>
      <c r="D982" s="5"/>
    </row>
    <row r="983" spans="3:4" customFormat="1" x14ac:dyDescent="0.2">
      <c r="C983" s="5"/>
      <c r="D983" s="5"/>
    </row>
    <row r="984" spans="3:4" customFormat="1" x14ac:dyDescent="0.2">
      <c r="C984" s="5"/>
      <c r="D984" s="5"/>
    </row>
    <row r="985" spans="3:4" customFormat="1" x14ac:dyDescent="0.2">
      <c r="C985" s="5"/>
      <c r="D985" s="5"/>
    </row>
    <row r="986" spans="3:4" customFormat="1" x14ac:dyDescent="0.2">
      <c r="C986" s="5"/>
      <c r="D986" s="5"/>
    </row>
    <row r="987" spans="3:4" customFormat="1" x14ac:dyDescent="0.2">
      <c r="C987" s="5"/>
      <c r="D987" s="5"/>
    </row>
    <row r="988" spans="3:4" customFormat="1" x14ac:dyDescent="0.2">
      <c r="C988" s="5"/>
      <c r="D988" s="5"/>
    </row>
    <row r="989" spans="3:4" customFormat="1" x14ac:dyDescent="0.2">
      <c r="C989" s="5"/>
      <c r="D989" s="5"/>
    </row>
    <row r="990" spans="3:4" customFormat="1" x14ac:dyDescent="0.2">
      <c r="C990" s="5"/>
      <c r="D990" s="5"/>
    </row>
    <row r="991" spans="3:4" customFormat="1" x14ac:dyDescent="0.2">
      <c r="C991" s="5"/>
      <c r="D991" s="5"/>
    </row>
    <row r="992" spans="3:4" customFormat="1" x14ac:dyDescent="0.2">
      <c r="C992" s="5"/>
      <c r="D992" s="5"/>
    </row>
    <row r="993" spans="3:4" customFormat="1" x14ac:dyDescent="0.2">
      <c r="C993" s="5"/>
      <c r="D993" s="5"/>
    </row>
    <row r="994" spans="3:4" customFormat="1" x14ac:dyDescent="0.2">
      <c r="C994" s="5"/>
      <c r="D994" s="5"/>
    </row>
    <row r="995" spans="3:4" customFormat="1" x14ac:dyDescent="0.2">
      <c r="C995" s="5"/>
      <c r="D995" s="5"/>
    </row>
    <row r="996" spans="3:4" customFormat="1" x14ac:dyDescent="0.2">
      <c r="C996" s="5"/>
      <c r="D996" s="5"/>
    </row>
    <row r="997" spans="3:4" customFormat="1" x14ac:dyDescent="0.2">
      <c r="C997" s="5"/>
      <c r="D997" s="5"/>
    </row>
    <row r="998" spans="3:4" customFormat="1" x14ac:dyDescent="0.2">
      <c r="C998" s="5"/>
      <c r="D998" s="5"/>
    </row>
    <row r="999" spans="3:4" customFormat="1" x14ac:dyDescent="0.2">
      <c r="C999" s="5"/>
      <c r="D999" s="5"/>
    </row>
    <row r="1000" spans="3:4" customFormat="1" x14ac:dyDescent="0.2">
      <c r="C1000" s="5"/>
      <c r="D1000" s="5"/>
    </row>
    <row r="1001" spans="3:4" customFormat="1" x14ac:dyDescent="0.2">
      <c r="C1001" s="5"/>
      <c r="D1001" s="5"/>
    </row>
    <row r="1002" spans="3:4" customFormat="1" x14ac:dyDescent="0.2">
      <c r="C1002" s="5"/>
      <c r="D1002" s="5"/>
    </row>
    <row r="1003" spans="3:4" customFormat="1" x14ac:dyDescent="0.2">
      <c r="C1003" s="5"/>
      <c r="D1003" s="5"/>
    </row>
    <row r="1004" spans="3:4" customFormat="1" x14ac:dyDescent="0.2">
      <c r="C1004" s="5"/>
      <c r="D1004" s="5"/>
    </row>
    <row r="1005" spans="3:4" customFormat="1" x14ac:dyDescent="0.2">
      <c r="C1005" s="5"/>
      <c r="D1005" s="5"/>
    </row>
    <row r="1006" spans="3:4" customFormat="1" x14ac:dyDescent="0.2">
      <c r="C1006" s="5"/>
      <c r="D1006" s="5"/>
    </row>
    <row r="1007" spans="3:4" customFormat="1" x14ac:dyDescent="0.2">
      <c r="C1007" s="5"/>
      <c r="D1007" s="5"/>
    </row>
    <row r="1008" spans="3:4" customFormat="1" x14ac:dyDescent="0.2">
      <c r="C1008" s="5"/>
      <c r="D1008" s="5"/>
    </row>
    <row r="1009" spans="3:4" customFormat="1" x14ac:dyDescent="0.2">
      <c r="C1009" s="5"/>
      <c r="D1009" s="5"/>
    </row>
    <row r="1010" spans="3:4" customFormat="1" x14ac:dyDescent="0.2">
      <c r="C1010" s="5"/>
      <c r="D1010" s="5"/>
    </row>
    <row r="1011" spans="3:4" customFormat="1" x14ac:dyDescent="0.2">
      <c r="C1011" s="5"/>
      <c r="D1011" s="5"/>
    </row>
    <row r="1012" spans="3:4" customFormat="1" x14ac:dyDescent="0.2">
      <c r="C1012" s="5"/>
      <c r="D1012" s="5"/>
    </row>
    <row r="1013" spans="3:4" customFormat="1" x14ac:dyDescent="0.2">
      <c r="C1013" s="5"/>
      <c r="D1013" s="5"/>
    </row>
    <row r="1014" spans="3:4" customFormat="1" x14ac:dyDescent="0.2">
      <c r="C1014" s="5"/>
      <c r="D1014" s="5"/>
    </row>
    <row r="1015" spans="3:4" customFormat="1" x14ac:dyDescent="0.2">
      <c r="C1015" s="5"/>
      <c r="D1015" s="5"/>
    </row>
    <row r="1016" spans="3:4" customFormat="1" x14ac:dyDescent="0.2">
      <c r="C1016" s="5"/>
      <c r="D1016" s="5"/>
    </row>
    <row r="1017" spans="3:4" customFormat="1" x14ac:dyDescent="0.2">
      <c r="C1017" s="5"/>
      <c r="D1017" s="5"/>
    </row>
    <row r="1018" spans="3:4" customFormat="1" x14ac:dyDescent="0.2">
      <c r="C1018" s="5"/>
      <c r="D1018" s="5"/>
    </row>
    <row r="1019" spans="3:4" customFormat="1" x14ac:dyDescent="0.2">
      <c r="C1019" s="5"/>
      <c r="D1019" s="5"/>
    </row>
    <row r="1020" spans="3:4" customFormat="1" x14ac:dyDescent="0.2">
      <c r="C1020" s="5"/>
      <c r="D1020" s="5"/>
    </row>
    <row r="1021" spans="3:4" customFormat="1" x14ac:dyDescent="0.2">
      <c r="C1021" s="5"/>
      <c r="D1021" s="5"/>
    </row>
    <row r="1022" spans="3:4" customFormat="1" x14ac:dyDescent="0.2">
      <c r="C1022" s="5"/>
      <c r="D1022" s="5"/>
    </row>
    <row r="1023" spans="3:4" customFormat="1" x14ac:dyDescent="0.2">
      <c r="C1023" s="5"/>
      <c r="D1023" s="5"/>
    </row>
    <row r="1024" spans="3:4" customFormat="1" x14ac:dyDescent="0.2">
      <c r="C1024" s="5"/>
      <c r="D1024" s="5"/>
    </row>
    <row r="1025" spans="3:4" customFormat="1" x14ac:dyDescent="0.2">
      <c r="C1025" s="5"/>
      <c r="D1025" s="5"/>
    </row>
    <row r="1026" spans="3:4" customFormat="1" x14ac:dyDescent="0.2">
      <c r="C1026" s="5"/>
      <c r="D1026" s="5"/>
    </row>
    <row r="1027" spans="3:4" customFormat="1" x14ac:dyDescent="0.2">
      <c r="C1027" s="5"/>
      <c r="D1027" s="5"/>
    </row>
    <row r="1028" spans="3:4" customFormat="1" x14ac:dyDescent="0.2">
      <c r="C1028" s="5"/>
      <c r="D1028" s="5"/>
    </row>
    <row r="1029" spans="3:4" customFormat="1" x14ac:dyDescent="0.2">
      <c r="C1029" s="5"/>
      <c r="D1029" s="5"/>
    </row>
    <row r="1030" spans="3:4" customFormat="1" x14ac:dyDescent="0.2">
      <c r="C1030" s="5"/>
      <c r="D1030" s="5"/>
    </row>
    <row r="1031" spans="3:4" customFormat="1" x14ac:dyDescent="0.2">
      <c r="C1031" s="5"/>
      <c r="D1031" s="5"/>
    </row>
    <row r="1032" spans="3:4" customFormat="1" x14ac:dyDescent="0.2">
      <c r="C1032" s="5"/>
      <c r="D1032" s="5"/>
    </row>
    <row r="1033" spans="3:4" customFormat="1" x14ac:dyDescent="0.2">
      <c r="C1033" s="5"/>
      <c r="D1033" s="5"/>
    </row>
    <row r="1034" spans="3:4" customFormat="1" x14ac:dyDescent="0.2">
      <c r="C1034" s="5"/>
      <c r="D1034" s="5"/>
    </row>
    <row r="1035" spans="3:4" customFormat="1" x14ac:dyDescent="0.2">
      <c r="C1035" s="5"/>
      <c r="D1035" s="5"/>
    </row>
    <row r="1036" spans="3:4" customFormat="1" x14ac:dyDescent="0.2">
      <c r="C1036" s="5"/>
      <c r="D1036" s="5"/>
    </row>
    <row r="1037" spans="3:4" customFormat="1" x14ac:dyDescent="0.2">
      <c r="C1037" s="5"/>
      <c r="D1037" s="5"/>
    </row>
    <row r="1038" spans="3:4" customFormat="1" x14ac:dyDescent="0.2">
      <c r="C1038" s="5"/>
      <c r="D1038" s="5"/>
    </row>
    <row r="1039" spans="3:4" customFormat="1" x14ac:dyDescent="0.2">
      <c r="C1039" s="5"/>
      <c r="D1039" s="5"/>
    </row>
    <row r="1040" spans="3:4" customFormat="1" x14ac:dyDescent="0.2">
      <c r="C1040" s="5"/>
      <c r="D1040" s="5"/>
    </row>
    <row r="1041" spans="3:4" customFormat="1" x14ac:dyDescent="0.2">
      <c r="C1041" s="5"/>
      <c r="D1041" s="5"/>
    </row>
    <row r="1042" spans="3:4" customFormat="1" x14ac:dyDescent="0.2">
      <c r="C1042" s="5"/>
      <c r="D1042" s="5"/>
    </row>
    <row r="1043" spans="3:4" customFormat="1" x14ac:dyDescent="0.2">
      <c r="C1043" s="5"/>
      <c r="D1043" s="5"/>
    </row>
    <row r="1044" spans="3:4" customFormat="1" x14ac:dyDescent="0.2">
      <c r="C1044" s="5"/>
      <c r="D1044" s="5"/>
    </row>
    <row r="1045" spans="3:4" customFormat="1" x14ac:dyDescent="0.2">
      <c r="C1045" s="5"/>
      <c r="D1045" s="5"/>
    </row>
    <row r="1046" spans="3:4" customFormat="1" x14ac:dyDescent="0.2">
      <c r="C1046" s="5"/>
      <c r="D1046" s="5"/>
    </row>
    <row r="1047" spans="3:4" customFormat="1" x14ac:dyDescent="0.2">
      <c r="C1047" s="5"/>
      <c r="D1047" s="5"/>
    </row>
    <row r="1048" spans="3:4" customFormat="1" x14ac:dyDescent="0.2">
      <c r="C1048" s="5"/>
      <c r="D1048" s="5"/>
    </row>
    <row r="1049" spans="3:4" customFormat="1" x14ac:dyDescent="0.2">
      <c r="C1049" s="5"/>
      <c r="D1049" s="5"/>
    </row>
    <row r="1050" spans="3:4" customFormat="1" x14ac:dyDescent="0.2">
      <c r="C1050" s="5"/>
      <c r="D1050" s="5"/>
    </row>
    <row r="1051" spans="3:4" customFormat="1" x14ac:dyDescent="0.2">
      <c r="C1051" s="5"/>
      <c r="D1051" s="5"/>
    </row>
    <row r="1052" spans="3:4" customFormat="1" x14ac:dyDescent="0.2">
      <c r="C1052" s="5"/>
      <c r="D1052" s="5"/>
    </row>
    <row r="1053" spans="3:4" customFormat="1" x14ac:dyDescent="0.2">
      <c r="C1053" s="5"/>
      <c r="D1053" s="5"/>
    </row>
    <row r="1054" spans="3:4" customFormat="1" x14ac:dyDescent="0.2">
      <c r="C1054" s="5"/>
      <c r="D1054" s="5"/>
    </row>
    <row r="1055" spans="3:4" customFormat="1" x14ac:dyDescent="0.2">
      <c r="C1055" s="5"/>
      <c r="D1055" s="5"/>
    </row>
    <row r="1056" spans="3:4" customFormat="1" x14ac:dyDescent="0.2">
      <c r="C1056" s="5"/>
      <c r="D1056" s="5"/>
    </row>
    <row r="1057" spans="3:4" customFormat="1" x14ac:dyDescent="0.2">
      <c r="C1057" s="5"/>
      <c r="D1057" s="5"/>
    </row>
    <row r="1058" spans="3:4" customFormat="1" x14ac:dyDescent="0.2">
      <c r="C1058" s="5"/>
      <c r="D1058" s="5"/>
    </row>
    <row r="1059" spans="3:4" customFormat="1" x14ac:dyDescent="0.2">
      <c r="C1059" s="5"/>
      <c r="D1059" s="5"/>
    </row>
    <row r="1060" spans="3:4" customFormat="1" x14ac:dyDescent="0.2">
      <c r="C1060" s="5"/>
      <c r="D1060" s="5"/>
    </row>
    <row r="1061" spans="3:4" customFormat="1" x14ac:dyDescent="0.2">
      <c r="C1061" s="5"/>
      <c r="D1061" s="5"/>
    </row>
    <row r="1062" spans="3:4" customFormat="1" x14ac:dyDescent="0.2">
      <c r="C1062" s="5"/>
      <c r="D1062" s="5"/>
    </row>
    <row r="1063" spans="3:4" customFormat="1" x14ac:dyDescent="0.2">
      <c r="C1063" s="5"/>
      <c r="D1063" s="5"/>
    </row>
    <row r="1064" spans="3:4" customFormat="1" x14ac:dyDescent="0.2">
      <c r="C1064" s="5"/>
      <c r="D1064" s="5"/>
    </row>
    <row r="1065" spans="3:4" customFormat="1" x14ac:dyDescent="0.2">
      <c r="C1065" s="5"/>
      <c r="D1065" s="5"/>
    </row>
    <row r="1066" spans="3:4" customFormat="1" x14ac:dyDescent="0.2">
      <c r="C1066" s="5"/>
      <c r="D1066" s="5"/>
    </row>
    <row r="1067" spans="3:4" customFormat="1" x14ac:dyDescent="0.2">
      <c r="C1067" s="5"/>
      <c r="D1067" s="5"/>
    </row>
    <row r="1068" spans="3:4" customFormat="1" x14ac:dyDescent="0.2">
      <c r="C1068" s="5"/>
      <c r="D1068" s="5"/>
    </row>
    <row r="1069" spans="3:4" customFormat="1" x14ac:dyDescent="0.2">
      <c r="C1069" s="5"/>
      <c r="D1069" s="5"/>
    </row>
    <row r="1070" spans="3:4" customFormat="1" x14ac:dyDescent="0.2">
      <c r="C1070" s="5"/>
      <c r="D1070" s="5"/>
    </row>
    <row r="1071" spans="3:4" customFormat="1" x14ac:dyDescent="0.2">
      <c r="C1071" s="5"/>
      <c r="D1071" s="5"/>
    </row>
    <row r="1072" spans="3:4" customFormat="1" x14ac:dyDescent="0.2">
      <c r="C1072" s="5"/>
      <c r="D1072" s="5"/>
    </row>
    <row r="1073" spans="3:4" customFormat="1" x14ac:dyDescent="0.2">
      <c r="C1073" s="5"/>
      <c r="D1073" s="5"/>
    </row>
    <row r="1074" spans="3:4" customFormat="1" x14ac:dyDescent="0.2">
      <c r="C1074" s="5"/>
      <c r="D1074" s="5"/>
    </row>
    <row r="1075" spans="3:4" customFormat="1" x14ac:dyDescent="0.2">
      <c r="C1075" s="5"/>
      <c r="D1075" s="5"/>
    </row>
    <row r="1076" spans="3:4" customFormat="1" x14ac:dyDescent="0.2">
      <c r="C1076" s="5"/>
      <c r="D1076" s="5"/>
    </row>
    <row r="1077" spans="3:4" customFormat="1" x14ac:dyDescent="0.2">
      <c r="C1077" s="5"/>
      <c r="D1077" s="5"/>
    </row>
    <row r="1078" spans="3:4" customFormat="1" x14ac:dyDescent="0.2">
      <c r="C1078" s="5"/>
      <c r="D1078" s="5"/>
    </row>
    <row r="1079" spans="3:4" customFormat="1" x14ac:dyDescent="0.2">
      <c r="C1079" s="5"/>
      <c r="D1079" s="5"/>
    </row>
    <row r="1080" spans="3:4" customFormat="1" x14ac:dyDescent="0.2">
      <c r="C1080" s="5"/>
      <c r="D1080" s="5"/>
    </row>
    <row r="1081" spans="3:4" customFormat="1" x14ac:dyDescent="0.2">
      <c r="C1081" s="5"/>
      <c r="D1081" s="5"/>
    </row>
    <row r="1082" spans="3:4" customFormat="1" x14ac:dyDescent="0.2">
      <c r="C1082" s="5"/>
      <c r="D1082" s="5"/>
    </row>
    <row r="1083" spans="3:4" customFormat="1" x14ac:dyDescent="0.2">
      <c r="C1083" s="5"/>
      <c r="D1083" s="5"/>
    </row>
    <row r="1084" spans="3:4" customFormat="1" x14ac:dyDescent="0.2">
      <c r="C1084" s="5"/>
      <c r="D1084" s="5"/>
    </row>
    <row r="1085" spans="3:4" customFormat="1" x14ac:dyDescent="0.2">
      <c r="C1085" s="5"/>
      <c r="D1085" s="5"/>
    </row>
    <row r="1086" spans="3:4" customFormat="1" x14ac:dyDescent="0.2">
      <c r="C1086" s="5"/>
      <c r="D1086" s="5"/>
    </row>
    <row r="1087" spans="3:4" customFormat="1" x14ac:dyDescent="0.2">
      <c r="C1087" s="5"/>
      <c r="D1087" s="5"/>
    </row>
    <row r="1088" spans="3:4" customFormat="1" x14ac:dyDescent="0.2">
      <c r="C1088" s="5"/>
      <c r="D1088" s="5"/>
    </row>
    <row r="1089" spans="3:4" customFormat="1" x14ac:dyDescent="0.2">
      <c r="C1089" s="5"/>
      <c r="D1089" s="5"/>
    </row>
    <row r="1090" spans="3:4" customFormat="1" x14ac:dyDescent="0.2">
      <c r="C1090" s="5"/>
      <c r="D1090" s="5"/>
    </row>
    <row r="1091" spans="3:4" customFormat="1" x14ac:dyDescent="0.2">
      <c r="C1091" s="5"/>
      <c r="D1091" s="5"/>
    </row>
    <row r="1092" spans="3:4" customFormat="1" x14ac:dyDescent="0.2">
      <c r="C1092" s="5"/>
      <c r="D1092" s="5"/>
    </row>
    <row r="1093" spans="3:4" customFormat="1" x14ac:dyDescent="0.2">
      <c r="C1093" s="5"/>
      <c r="D1093" s="5"/>
    </row>
    <row r="1094" spans="3:4" customFormat="1" x14ac:dyDescent="0.2">
      <c r="C1094" s="5"/>
      <c r="D1094" s="5"/>
    </row>
    <row r="1095" spans="3:4" customFormat="1" x14ac:dyDescent="0.2">
      <c r="C1095" s="5"/>
      <c r="D1095" s="5"/>
    </row>
    <row r="1096" spans="3:4" customFormat="1" x14ac:dyDescent="0.2">
      <c r="C1096" s="5"/>
      <c r="D1096" s="5"/>
    </row>
    <row r="1097" spans="3:4" customFormat="1" x14ac:dyDescent="0.2">
      <c r="C1097" s="5"/>
      <c r="D1097" s="5"/>
    </row>
    <row r="1098" spans="3:4" customFormat="1" x14ac:dyDescent="0.2">
      <c r="C1098" s="5"/>
      <c r="D1098" s="5"/>
    </row>
    <row r="1099" spans="3:4" customFormat="1" x14ac:dyDescent="0.2">
      <c r="C1099" s="5"/>
      <c r="D1099" s="5"/>
    </row>
    <row r="1100" spans="3:4" customFormat="1" x14ac:dyDescent="0.2">
      <c r="C1100" s="5"/>
      <c r="D1100" s="5"/>
    </row>
    <row r="1101" spans="3:4" customFormat="1" x14ac:dyDescent="0.2">
      <c r="C1101" s="5"/>
      <c r="D1101" s="5"/>
    </row>
    <row r="1102" spans="3:4" customFormat="1" x14ac:dyDescent="0.2">
      <c r="C1102" s="5"/>
      <c r="D1102" s="5"/>
    </row>
    <row r="1103" spans="3:4" customFormat="1" x14ac:dyDescent="0.2">
      <c r="C1103" s="5"/>
      <c r="D1103" s="5"/>
    </row>
    <row r="1104" spans="3:4" customFormat="1" x14ac:dyDescent="0.2">
      <c r="C1104" s="5"/>
      <c r="D1104" s="5"/>
    </row>
    <row r="1105" spans="3:4" customFormat="1" x14ac:dyDescent="0.2">
      <c r="C1105" s="5"/>
      <c r="D1105" s="5"/>
    </row>
    <row r="1106" spans="3:4" customFormat="1" x14ac:dyDescent="0.2">
      <c r="C1106" s="5"/>
      <c r="D1106" s="5"/>
    </row>
    <row r="1107" spans="3:4" customFormat="1" x14ac:dyDescent="0.2">
      <c r="C1107" s="5"/>
      <c r="D1107" s="5"/>
    </row>
    <row r="1108" spans="3:4" customFormat="1" x14ac:dyDescent="0.2">
      <c r="C1108" s="5"/>
      <c r="D1108" s="5"/>
    </row>
    <row r="1109" spans="3:4" customFormat="1" x14ac:dyDescent="0.2">
      <c r="C1109" s="5"/>
      <c r="D1109" s="5"/>
    </row>
    <row r="1110" spans="3:4" customFormat="1" x14ac:dyDescent="0.2">
      <c r="C1110" s="5"/>
      <c r="D1110" s="5"/>
    </row>
    <row r="1111" spans="3:4" customFormat="1" x14ac:dyDescent="0.2">
      <c r="C1111" s="5"/>
      <c r="D1111" s="5"/>
    </row>
    <row r="1112" spans="3:4" customFormat="1" x14ac:dyDescent="0.2">
      <c r="C1112" s="5"/>
      <c r="D1112" s="5"/>
    </row>
    <row r="1113" spans="3:4" customFormat="1" x14ac:dyDescent="0.2">
      <c r="C1113" s="5"/>
      <c r="D1113" s="5"/>
    </row>
    <row r="1114" spans="3:4" customFormat="1" x14ac:dyDescent="0.2">
      <c r="C1114" s="5"/>
      <c r="D1114" s="5"/>
    </row>
    <row r="1115" spans="3:4" customFormat="1" x14ac:dyDescent="0.2">
      <c r="C1115" s="5"/>
      <c r="D1115" s="5"/>
    </row>
    <row r="1116" spans="3:4" customFormat="1" x14ac:dyDescent="0.2">
      <c r="C1116" s="5"/>
      <c r="D1116" s="5"/>
    </row>
    <row r="1117" spans="3:4" customFormat="1" x14ac:dyDescent="0.2">
      <c r="C1117" s="5"/>
      <c r="D1117" s="5"/>
    </row>
    <row r="1118" spans="3:4" customFormat="1" x14ac:dyDescent="0.2">
      <c r="C1118" s="5"/>
      <c r="D1118" s="5"/>
    </row>
    <row r="1119" spans="3:4" customFormat="1" x14ac:dyDescent="0.2">
      <c r="C1119" s="5"/>
      <c r="D1119" s="5"/>
    </row>
    <row r="1120" spans="3:4" customFormat="1" x14ac:dyDescent="0.2">
      <c r="C1120" s="5"/>
      <c r="D1120" s="5"/>
    </row>
    <row r="1121" spans="3:4" customFormat="1" x14ac:dyDescent="0.2">
      <c r="C1121" s="5"/>
      <c r="D1121" s="5"/>
    </row>
    <row r="1122" spans="3:4" customFormat="1" x14ac:dyDescent="0.2">
      <c r="C1122" s="5"/>
      <c r="D1122" s="5"/>
    </row>
    <row r="1123" spans="3:4" customFormat="1" x14ac:dyDescent="0.2">
      <c r="C1123" s="5"/>
      <c r="D1123" s="5"/>
    </row>
    <row r="1124" spans="3:4" customFormat="1" x14ac:dyDescent="0.2">
      <c r="C1124" s="5"/>
      <c r="D1124" s="5"/>
    </row>
    <row r="1125" spans="3:4" customFormat="1" x14ac:dyDescent="0.2">
      <c r="C1125" s="5"/>
      <c r="D1125" s="5"/>
    </row>
    <row r="1126" spans="3:4" customFormat="1" x14ac:dyDescent="0.2">
      <c r="C1126" s="5"/>
      <c r="D1126" s="5"/>
    </row>
    <row r="1127" spans="3:4" customFormat="1" x14ac:dyDescent="0.2">
      <c r="C1127" s="5"/>
      <c r="D1127" s="5"/>
    </row>
    <row r="1128" spans="3:4" customFormat="1" x14ac:dyDescent="0.2">
      <c r="C1128" s="5"/>
      <c r="D1128" s="5"/>
    </row>
    <row r="1129" spans="3:4" customFormat="1" x14ac:dyDescent="0.2">
      <c r="C1129" s="5"/>
      <c r="D1129" s="5"/>
    </row>
    <row r="1130" spans="3:4" customFormat="1" x14ac:dyDescent="0.2">
      <c r="C1130" s="5"/>
      <c r="D1130" s="5"/>
    </row>
    <row r="1131" spans="3:4" customFormat="1" x14ac:dyDescent="0.2">
      <c r="C1131" s="5"/>
      <c r="D1131" s="5"/>
    </row>
    <row r="1132" spans="3:4" customFormat="1" x14ac:dyDescent="0.2">
      <c r="C1132" s="5"/>
      <c r="D1132" s="5"/>
    </row>
    <row r="1133" spans="3:4" customFormat="1" x14ac:dyDescent="0.2">
      <c r="C1133" s="5"/>
      <c r="D1133" s="5"/>
    </row>
    <row r="1134" spans="3:4" customFormat="1" x14ac:dyDescent="0.2">
      <c r="C1134" s="5"/>
      <c r="D1134" s="5"/>
    </row>
    <row r="1135" spans="3:4" customFormat="1" x14ac:dyDescent="0.2">
      <c r="C1135" s="5"/>
      <c r="D1135" s="5"/>
    </row>
    <row r="1136" spans="3:4" customFormat="1" x14ac:dyDescent="0.2">
      <c r="C1136" s="5"/>
      <c r="D1136" s="5"/>
    </row>
    <row r="1137" spans="3:4" customFormat="1" x14ac:dyDescent="0.2">
      <c r="C1137" s="5"/>
      <c r="D1137" s="5"/>
    </row>
    <row r="1138" spans="3:4" customFormat="1" x14ac:dyDescent="0.2">
      <c r="C1138" s="5"/>
      <c r="D1138" s="5"/>
    </row>
    <row r="1139" spans="3:4" customFormat="1" x14ac:dyDescent="0.2">
      <c r="C1139" s="5"/>
      <c r="D1139" s="5"/>
    </row>
    <row r="1140" spans="3:4" customFormat="1" x14ac:dyDescent="0.2">
      <c r="C1140" s="5"/>
      <c r="D1140" s="5"/>
    </row>
    <row r="1141" spans="3:4" customFormat="1" x14ac:dyDescent="0.2">
      <c r="C1141" s="5"/>
      <c r="D1141" s="5"/>
    </row>
    <row r="1142" spans="3:4" customFormat="1" x14ac:dyDescent="0.2">
      <c r="C1142" s="5"/>
      <c r="D1142" s="5"/>
    </row>
    <row r="1143" spans="3:4" customFormat="1" x14ac:dyDescent="0.2">
      <c r="C1143" s="5"/>
      <c r="D1143" s="5"/>
    </row>
    <row r="1144" spans="3:4" customFormat="1" x14ac:dyDescent="0.2">
      <c r="C1144" s="5"/>
      <c r="D1144" s="5"/>
    </row>
    <row r="1145" spans="3:4" customFormat="1" x14ac:dyDescent="0.2">
      <c r="C1145" s="5"/>
      <c r="D1145" s="5"/>
    </row>
    <row r="1146" spans="3:4" customFormat="1" x14ac:dyDescent="0.2">
      <c r="C1146" s="5"/>
      <c r="D1146" s="5"/>
    </row>
    <row r="1147" spans="3:4" customFormat="1" x14ac:dyDescent="0.2">
      <c r="C1147" s="5"/>
      <c r="D1147" s="5"/>
    </row>
    <row r="1148" spans="3:4" customFormat="1" x14ac:dyDescent="0.2">
      <c r="C1148" s="5"/>
      <c r="D1148" s="5"/>
    </row>
    <row r="1149" spans="3:4" customFormat="1" x14ac:dyDescent="0.2">
      <c r="C1149" s="5"/>
      <c r="D1149" s="5"/>
    </row>
    <row r="1150" spans="3:4" customFormat="1" x14ac:dyDescent="0.2">
      <c r="C1150" s="5"/>
      <c r="D1150" s="5"/>
    </row>
    <row r="1151" spans="3:4" customFormat="1" x14ac:dyDescent="0.2">
      <c r="C1151" s="5"/>
      <c r="D1151" s="5"/>
    </row>
    <row r="1152" spans="3:4" customFormat="1" x14ac:dyDescent="0.2">
      <c r="C1152" s="5"/>
      <c r="D1152" s="5"/>
    </row>
    <row r="1153" spans="3:4" customFormat="1" x14ac:dyDescent="0.2">
      <c r="C1153" s="5"/>
      <c r="D1153" s="5"/>
    </row>
    <row r="1154" spans="3:4" customFormat="1" x14ac:dyDescent="0.2">
      <c r="C1154" s="5"/>
      <c r="D1154" s="5"/>
    </row>
    <row r="1155" spans="3:4" customFormat="1" x14ac:dyDescent="0.2">
      <c r="C1155" s="5"/>
      <c r="D1155" s="5"/>
    </row>
    <row r="1156" spans="3:4" customFormat="1" x14ac:dyDescent="0.2">
      <c r="C1156" s="5"/>
      <c r="D1156" s="5"/>
    </row>
    <row r="1157" spans="3:4" customFormat="1" x14ac:dyDescent="0.2">
      <c r="C1157" s="5"/>
      <c r="D1157" s="5"/>
    </row>
    <row r="1158" spans="3:4" customFormat="1" x14ac:dyDescent="0.2">
      <c r="C1158" s="5"/>
      <c r="D1158" s="5"/>
    </row>
    <row r="1159" spans="3:4" customFormat="1" x14ac:dyDescent="0.2">
      <c r="C1159" s="5"/>
      <c r="D1159" s="5"/>
    </row>
    <row r="1160" spans="3:4" customFormat="1" x14ac:dyDescent="0.2">
      <c r="C1160" s="5"/>
      <c r="D1160" s="5"/>
    </row>
    <row r="1161" spans="3:4" customFormat="1" x14ac:dyDescent="0.2">
      <c r="C1161" s="5"/>
      <c r="D1161" s="5"/>
    </row>
    <row r="1162" spans="3:4" customFormat="1" x14ac:dyDescent="0.2">
      <c r="C1162" s="5"/>
      <c r="D1162" s="5"/>
    </row>
    <row r="1163" spans="3:4" customFormat="1" x14ac:dyDescent="0.2">
      <c r="C1163" s="5"/>
      <c r="D1163" s="5"/>
    </row>
    <row r="1164" spans="3:4" customFormat="1" x14ac:dyDescent="0.2">
      <c r="C1164" s="5"/>
      <c r="D1164" s="5"/>
    </row>
    <row r="1165" spans="3:4" customFormat="1" x14ac:dyDescent="0.2">
      <c r="C1165" s="5"/>
      <c r="D1165" s="5"/>
    </row>
    <row r="1166" spans="3:4" customFormat="1" x14ac:dyDescent="0.2">
      <c r="C1166" s="5"/>
      <c r="D1166" s="5"/>
    </row>
    <row r="1167" spans="3:4" customFormat="1" x14ac:dyDescent="0.2">
      <c r="C1167" s="5"/>
      <c r="D1167" s="5"/>
    </row>
    <row r="1168" spans="3:4" customFormat="1" x14ac:dyDescent="0.2">
      <c r="C1168" s="5"/>
      <c r="D1168" s="5"/>
    </row>
    <row r="1169" spans="3:4" customFormat="1" x14ac:dyDescent="0.2">
      <c r="C1169" s="5"/>
      <c r="D1169" s="5"/>
    </row>
    <row r="1170" spans="3:4" customFormat="1" x14ac:dyDescent="0.2">
      <c r="C1170" s="5"/>
      <c r="D1170" s="5"/>
    </row>
    <row r="1171" spans="3:4" customFormat="1" x14ac:dyDescent="0.2">
      <c r="C1171" s="5"/>
      <c r="D1171" s="5"/>
    </row>
    <row r="1172" spans="3:4" customFormat="1" x14ac:dyDescent="0.2">
      <c r="C1172" s="5"/>
      <c r="D1172" s="5"/>
    </row>
    <row r="1173" spans="3:4" customFormat="1" x14ac:dyDescent="0.2">
      <c r="C1173" s="5"/>
      <c r="D1173" s="5"/>
    </row>
    <row r="1174" spans="3:4" customFormat="1" x14ac:dyDescent="0.2">
      <c r="C1174" s="5"/>
      <c r="D1174" s="5"/>
    </row>
    <row r="1175" spans="3:4" customFormat="1" x14ac:dyDescent="0.2">
      <c r="C1175" s="5"/>
      <c r="D1175" s="5"/>
    </row>
    <row r="1176" spans="3:4" customFormat="1" x14ac:dyDescent="0.2">
      <c r="C1176" s="5"/>
      <c r="D1176" s="5"/>
    </row>
    <row r="1177" spans="3:4" customFormat="1" x14ac:dyDescent="0.2">
      <c r="C1177" s="5"/>
      <c r="D1177" s="5"/>
    </row>
    <row r="1178" spans="3:4" customFormat="1" x14ac:dyDescent="0.2">
      <c r="C1178" s="5"/>
      <c r="D1178" s="5"/>
    </row>
    <row r="1179" spans="3:4" customFormat="1" x14ac:dyDescent="0.2">
      <c r="C1179" s="5"/>
      <c r="D1179" s="5"/>
    </row>
    <row r="1180" spans="3:4" customFormat="1" x14ac:dyDescent="0.2">
      <c r="C1180" s="5"/>
      <c r="D1180" s="5"/>
    </row>
    <row r="1181" spans="3:4" customFormat="1" x14ac:dyDescent="0.2">
      <c r="C1181" s="5"/>
      <c r="D1181" s="5"/>
    </row>
    <row r="1182" spans="3:4" customFormat="1" x14ac:dyDescent="0.2">
      <c r="C1182" s="5"/>
      <c r="D1182" s="5"/>
    </row>
    <row r="1183" spans="3:4" customFormat="1" x14ac:dyDescent="0.2">
      <c r="C1183" s="5"/>
      <c r="D1183" s="5"/>
    </row>
    <row r="1184" spans="3:4" customFormat="1" x14ac:dyDescent="0.2">
      <c r="C1184" s="5"/>
      <c r="D1184" s="5"/>
    </row>
    <row r="1185" spans="3:4" customFormat="1" x14ac:dyDescent="0.2">
      <c r="C1185" s="5"/>
      <c r="D1185" s="5"/>
    </row>
    <row r="1186" spans="3:4" customFormat="1" x14ac:dyDescent="0.2">
      <c r="C1186" s="5"/>
      <c r="D1186" s="5"/>
    </row>
    <row r="1187" spans="3:4" customFormat="1" x14ac:dyDescent="0.2">
      <c r="C1187" s="5"/>
      <c r="D1187" s="5"/>
    </row>
    <row r="1188" spans="3:4" customFormat="1" x14ac:dyDescent="0.2">
      <c r="C1188" s="5"/>
      <c r="D1188" s="5"/>
    </row>
    <row r="1189" spans="3:4" customFormat="1" x14ac:dyDescent="0.2">
      <c r="C1189" s="5"/>
      <c r="D1189" s="5"/>
    </row>
    <row r="1190" spans="3:4" customFormat="1" x14ac:dyDescent="0.2">
      <c r="C1190" s="5"/>
      <c r="D1190" s="5"/>
    </row>
    <row r="1191" spans="3:4" customFormat="1" x14ac:dyDescent="0.2">
      <c r="C1191" s="5"/>
      <c r="D1191" s="5"/>
    </row>
    <row r="1192" spans="3:4" customFormat="1" x14ac:dyDescent="0.2">
      <c r="C1192" s="5"/>
      <c r="D1192" s="5"/>
    </row>
    <row r="1193" spans="3:4" customFormat="1" x14ac:dyDescent="0.2">
      <c r="C1193" s="5"/>
      <c r="D1193" s="5"/>
    </row>
    <row r="1194" spans="3:4" customFormat="1" x14ac:dyDescent="0.2">
      <c r="C1194" s="5"/>
      <c r="D1194" s="5"/>
    </row>
    <row r="1195" spans="3:4" customFormat="1" x14ac:dyDescent="0.2">
      <c r="C1195" s="5"/>
      <c r="D1195" s="5"/>
    </row>
    <row r="1196" spans="3:4" customFormat="1" x14ac:dyDescent="0.2">
      <c r="C1196" s="5"/>
      <c r="D1196" s="5"/>
    </row>
    <row r="1197" spans="3:4" customFormat="1" x14ac:dyDescent="0.2">
      <c r="C1197" s="5"/>
      <c r="D1197" s="5"/>
    </row>
    <row r="1198" spans="3:4" customFormat="1" x14ac:dyDescent="0.2">
      <c r="C1198" s="5"/>
      <c r="D1198" s="5"/>
    </row>
    <row r="1199" spans="3:4" customFormat="1" x14ac:dyDescent="0.2">
      <c r="C1199" s="5"/>
      <c r="D1199" s="5"/>
    </row>
    <row r="1200" spans="3:4" customFormat="1" x14ac:dyDescent="0.2">
      <c r="C1200" s="5"/>
      <c r="D1200" s="5"/>
    </row>
    <row r="1201" spans="3:4" customFormat="1" x14ac:dyDescent="0.2">
      <c r="C1201" s="5"/>
      <c r="D1201" s="5"/>
    </row>
    <row r="1202" spans="3:4" customFormat="1" x14ac:dyDescent="0.2">
      <c r="C1202" s="5"/>
      <c r="D1202" s="5"/>
    </row>
    <row r="1203" spans="3:4" customFormat="1" x14ac:dyDescent="0.2">
      <c r="C1203" s="5"/>
      <c r="D1203" s="5"/>
    </row>
    <row r="1204" spans="3:4" customFormat="1" x14ac:dyDescent="0.2">
      <c r="C1204" s="5"/>
      <c r="D1204" s="5"/>
    </row>
    <row r="1205" spans="3:4" customFormat="1" x14ac:dyDescent="0.2">
      <c r="C1205" s="5"/>
      <c r="D1205" s="5"/>
    </row>
    <row r="1206" spans="3:4" customFormat="1" x14ac:dyDescent="0.2">
      <c r="C1206" s="5"/>
      <c r="D1206" s="5"/>
    </row>
    <row r="1207" spans="3:4" customFormat="1" x14ac:dyDescent="0.2">
      <c r="C1207" s="5"/>
      <c r="D1207" s="5"/>
    </row>
    <row r="1208" spans="3:4" customFormat="1" x14ac:dyDescent="0.2">
      <c r="C1208" s="5"/>
      <c r="D1208" s="5"/>
    </row>
    <row r="1209" spans="3:4" customFormat="1" x14ac:dyDescent="0.2">
      <c r="C1209" s="5"/>
      <c r="D1209" s="5"/>
    </row>
    <row r="1210" spans="3:4" customFormat="1" x14ac:dyDescent="0.2">
      <c r="C1210" s="5"/>
      <c r="D1210" s="5"/>
    </row>
    <row r="1211" spans="3:4" customFormat="1" x14ac:dyDescent="0.2">
      <c r="C1211" s="5"/>
      <c r="D1211" s="5"/>
    </row>
    <row r="1212" spans="3:4" customFormat="1" x14ac:dyDescent="0.2">
      <c r="C1212" s="5"/>
      <c r="D1212" s="5"/>
    </row>
    <row r="1213" spans="3:4" customFormat="1" x14ac:dyDescent="0.2">
      <c r="C1213" s="5"/>
      <c r="D1213" s="5"/>
    </row>
    <row r="1214" spans="3:4" customFormat="1" x14ac:dyDescent="0.2">
      <c r="C1214" s="5"/>
      <c r="D1214" s="5"/>
    </row>
    <row r="1215" spans="3:4" customFormat="1" x14ac:dyDescent="0.2">
      <c r="C1215" s="5"/>
      <c r="D1215" s="5"/>
    </row>
    <row r="1216" spans="3:4" customFormat="1" x14ac:dyDescent="0.2">
      <c r="C1216" s="5"/>
      <c r="D1216" s="5"/>
    </row>
    <row r="1217" spans="3:4" customFormat="1" x14ac:dyDescent="0.2">
      <c r="C1217" s="5"/>
      <c r="D1217" s="5"/>
    </row>
    <row r="1218" spans="3:4" customFormat="1" x14ac:dyDescent="0.2">
      <c r="C1218" s="5"/>
      <c r="D1218" s="5"/>
    </row>
    <row r="1219" spans="3:4" customFormat="1" x14ac:dyDescent="0.2">
      <c r="C1219" s="5"/>
      <c r="D1219" s="5"/>
    </row>
    <row r="1220" spans="3:4" customFormat="1" x14ac:dyDescent="0.2">
      <c r="C1220" s="5"/>
      <c r="D1220" s="5"/>
    </row>
    <row r="1221" spans="3:4" customFormat="1" x14ac:dyDescent="0.2">
      <c r="C1221" s="5"/>
      <c r="D1221" s="5"/>
    </row>
    <row r="1222" spans="3:4" customFormat="1" x14ac:dyDescent="0.2">
      <c r="C1222" s="5"/>
      <c r="D1222" s="5"/>
    </row>
    <row r="1223" spans="3:4" customFormat="1" x14ac:dyDescent="0.2">
      <c r="C1223" s="5"/>
      <c r="D1223" s="5"/>
    </row>
    <row r="1224" spans="3:4" customFormat="1" x14ac:dyDescent="0.2">
      <c r="C1224" s="5"/>
      <c r="D1224" s="5"/>
    </row>
    <row r="1225" spans="3:4" customFormat="1" x14ac:dyDescent="0.2">
      <c r="C1225" s="5"/>
      <c r="D1225" s="5"/>
    </row>
    <row r="1226" spans="3:4" customFormat="1" x14ac:dyDescent="0.2">
      <c r="C1226" s="5"/>
      <c r="D1226" s="5"/>
    </row>
    <row r="1227" spans="3:4" customFormat="1" x14ac:dyDescent="0.2">
      <c r="C1227" s="5"/>
      <c r="D1227" s="5"/>
    </row>
    <row r="1228" spans="3:4" customFormat="1" x14ac:dyDescent="0.2">
      <c r="C1228" s="5"/>
      <c r="D1228" s="5"/>
    </row>
    <row r="1229" spans="3:4" customFormat="1" x14ac:dyDescent="0.2">
      <c r="C1229" s="5"/>
      <c r="D1229" s="5"/>
    </row>
    <row r="1230" spans="3:4" customFormat="1" x14ac:dyDescent="0.2">
      <c r="C1230" s="5"/>
      <c r="D1230" s="5"/>
    </row>
    <row r="1231" spans="3:4" customFormat="1" x14ac:dyDescent="0.2">
      <c r="C1231" s="5"/>
      <c r="D1231" s="5"/>
    </row>
    <row r="1232" spans="3:4" customFormat="1" x14ac:dyDescent="0.2">
      <c r="C1232" s="5"/>
      <c r="D1232" s="5"/>
    </row>
    <row r="1233" spans="3:4" customFormat="1" x14ac:dyDescent="0.2">
      <c r="C1233" s="5"/>
      <c r="D1233" s="5"/>
    </row>
    <row r="1234" spans="3:4" customFormat="1" x14ac:dyDescent="0.2">
      <c r="C1234" s="5"/>
      <c r="D1234" s="5"/>
    </row>
    <row r="1235" spans="3:4" customFormat="1" x14ac:dyDescent="0.2">
      <c r="C1235" s="5"/>
      <c r="D1235" s="5"/>
    </row>
    <row r="1236" spans="3:4" customFormat="1" x14ac:dyDescent="0.2">
      <c r="C1236" s="5"/>
      <c r="D1236" s="5"/>
    </row>
    <row r="1237" spans="3:4" customFormat="1" x14ac:dyDescent="0.2">
      <c r="C1237" s="5"/>
      <c r="D1237" s="5"/>
    </row>
    <row r="1238" spans="3:4" customFormat="1" x14ac:dyDescent="0.2">
      <c r="C1238" s="5"/>
      <c r="D1238" s="5"/>
    </row>
    <row r="1239" spans="3:4" customFormat="1" x14ac:dyDescent="0.2">
      <c r="C1239" s="5"/>
      <c r="D1239" s="5"/>
    </row>
    <row r="1240" spans="3:4" customFormat="1" x14ac:dyDescent="0.2">
      <c r="C1240" s="5"/>
      <c r="D1240" s="5"/>
    </row>
    <row r="1241" spans="3:4" customFormat="1" x14ac:dyDescent="0.2">
      <c r="C1241" s="5"/>
      <c r="D1241" s="5"/>
    </row>
    <row r="1242" spans="3:4" customFormat="1" x14ac:dyDescent="0.2">
      <c r="C1242" s="5"/>
      <c r="D1242" s="5"/>
    </row>
    <row r="1243" spans="3:4" customFormat="1" x14ac:dyDescent="0.2">
      <c r="C1243" s="5"/>
      <c r="D1243" s="5"/>
    </row>
    <row r="1244" spans="3:4" customFormat="1" x14ac:dyDescent="0.2">
      <c r="C1244" s="5"/>
      <c r="D1244" s="5"/>
    </row>
    <row r="1245" spans="3:4" customFormat="1" x14ac:dyDescent="0.2">
      <c r="C1245" s="5"/>
      <c r="D1245" s="5"/>
    </row>
    <row r="1246" spans="3:4" customFormat="1" x14ac:dyDescent="0.2">
      <c r="C1246" s="5"/>
      <c r="D1246" s="5"/>
    </row>
    <row r="1247" spans="3:4" customFormat="1" x14ac:dyDescent="0.2">
      <c r="C1247" s="5"/>
      <c r="D1247" s="5"/>
    </row>
    <row r="1248" spans="3:4" customFormat="1" x14ac:dyDescent="0.2">
      <c r="C1248" s="5"/>
      <c r="D1248" s="5"/>
    </row>
    <row r="1249" spans="3:4" customFormat="1" x14ac:dyDescent="0.2">
      <c r="C1249" s="5"/>
      <c r="D1249" s="5"/>
    </row>
    <row r="1250" spans="3:4" customFormat="1" x14ac:dyDescent="0.2">
      <c r="C1250" s="5"/>
      <c r="D1250" s="5"/>
    </row>
    <row r="1251" spans="3:4" customFormat="1" x14ac:dyDescent="0.2">
      <c r="C1251" s="5"/>
      <c r="D1251" s="5"/>
    </row>
    <row r="1252" spans="3:4" customFormat="1" x14ac:dyDescent="0.2">
      <c r="C1252" s="5"/>
      <c r="D1252" s="5"/>
    </row>
    <row r="1253" spans="3:4" customFormat="1" x14ac:dyDescent="0.2">
      <c r="C1253" s="5"/>
      <c r="D1253" s="5"/>
    </row>
    <row r="1254" spans="3:4" customFormat="1" x14ac:dyDescent="0.2">
      <c r="C1254" s="5"/>
      <c r="D1254" s="5"/>
    </row>
    <row r="1255" spans="3:4" customFormat="1" x14ac:dyDescent="0.2">
      <c r="C1255" s="5"/>
      <c r="D1255" s="5"/>
    </row>
    <row r="1256" spans="3:4" customFormat="1" x14ac:dyDescent="0.2">
      <c r="C1256" s="5"/>
      <c r="D1256" s="5"/>
    </row>
    <row r="1257" spans="3:4" customFormat="1" x14ac:dyDescent="0.2">
      <c r="C1257" s="5"/>
      <c r="D1257" s="5"/>
    </row>
    <row r="1258" spans="3:4" customFormat="1" x14ac:dyDescent="0.2">
      <c r="C1258" s="5"/>
      <c r="D1258" s="5"/>
    </row>
    <row r="1259" spans="3:4" customFormat="1" x14ac:dyDescent="0.2">
      <c r="C1259" s="5"/>
      <c r="D1259" s="5"/>
    </row>
    <row r="1260" spans="3:4" customFormat="1" x14ac:dyDescent="0.2">
      <c r="C1260" s="5"/>
      <c r="D1260" s="5"/>
    </row>
    <row r="1261" spans="3:4" customFormat="1" x14ac:dyDescent="0.2">
      <c r="C1261" s="5"/>
      <c r="D1261" s="5"/>
    </row>
    <row r="1262" spans="3:4" customFormat="1" x14ac:dyDescent="0.2">
      <c r="C1262" s="5"/>
      <c r="D1262" s="5"/>
    </row>
    <row r="1263" spans="3:4" customFormat="1" x14ac:dyDescent="0.2">
      <c r="C1263" s="5"/>
      <c r="D1263" s="5"/>
    </row>
    <row r="1264" spans="3:4" customFormat="1" x14ac:dyDescent="0.2">
      <c r="C1264" s="5"/>
      <c r="D1264" s="5"/>
    </row>
    <row r="1265" spans="3:4" customFormat="1" x14ac:dyDescent="0.2">
      <c r="C1265" s="5"/>
      <c r="D1265" s="5"/>
    </row>
    <row r="1266" spans="3:4" customFormat="1" x14ac:dyDescent="0.2">
      <c r="C1266" s="5"/>
      <c r="D1266" s="5"/>
    </row>
    <row r="1267" spans="3:4" customFormat="1" x14ac:dyDescent="0.2">
      <c r="C1267" s="5"/>
      <c r="D1267" s="5"/>
    </row>
    <row r="1268" spans="3:4" customFormat="1" x14ac:dyDescent="0.2">
      <c r="C1268" s="5"/>
      <c r="D1268" s="5"/>
    </row>
    <row r="1269" spans="3:4" customFormat="1" x14ac:dyDescent="0.2">
      <c r="C1269" s="5"/>
      <c r="D1269" s="5"/>
    </row>
    <row r="1270" spans="3:4" customFormat="1" x14ac:dyDescent="0.2">
      <c r="C1270" s="5"/>
      <c r="D1270" s="5"/>
    </row>
    <row r="1271" spans="3:4" customFormat="1" x14ac:dyDescent="0.2">
      <c r="C1271" s="5"/>
      <c r="D1271" s="5"/>
    </row>
    <row r="1272" spans="3:4" customFormat="1" x14ac:dyDescent="0.2">
      <c r="C1272" s="5"/>
      <c r="D1272" s="5"/>
    </row>
    <row r="1273" spans="3:4" customFormat="1" x14ac:dyDescent="0.2">
      <c r="C1273" s="5"/>
      <c r="D1273" s="5"/>
    </row>
    <row r="1274" spans="3:4" customFormat="1" x14ac:dyDescent="0.2">
      <c r="C1274" s="5"/>
      <c r="D1274" s="5"/>
    </row>
    <row r="1275" spans="3:4" customFormat="1" x14ac:dyDescent="0.2">
      <c r="C1275" s="5"/>
      <c r="D1275" s="5"/>
    </row>
    <row r="1276" spans="3:4" customFormat="1" x14ac:dyDescent="0.2">
      <c r="C1276" s="5"/>
      <c r="D1276" s="5"/>
    </row>
    <row r="1277" spans="3:4" customFormat="1" x14ac:dyDescent="0.2">
      <c r="C1277" s="5"/>
      <c r="D1277" s="5"/>
    </row>
    <row r="1278" spans="3:4" customFormat="1" x14ac:dyDescent="0.2">
      <c r="C1278" s="5"/>
      <c r="D1278" s="5"/>
    </row>
    <row r="1279" spans="3:4" customFormat="1" x14ac:dyDescent="0.2">
      <c r="C1279" s="5"/>
      <c r="D1279" s="5"/>
    </row>
    <row r="1280" spans="3:4" customFormat="1" x14ac:dyDescent="0.2">
      <c r="C1280" s="5"/>
      <c r="D1280" s="5"/>
    </row>
    <row r="1281" spans="3:4" customFormat="1" x14ac:dyDescent="0.2">
      <c r="C1281" s="5"/>
      <c r="D1281" s="5"/>
    </row>
    <row r="1282" spans="3:4" customFormat="1" x14ac:dyDescent="0.2">
      <c r="C1282" s="5"/>
      <c r="D1282" s="5"/>
    </row>
    <row r="1283" spans="3:4" customFormat="1" x14ac:dyDescent="0.2">
      <c r="C1283" s="5"/>
      <c r="D1283" s="5"/>
    </row>
    <row r="1284" spans="3:4" customFormat="1" x14ac:dyDescent="0.2">
      <c r="C1284" s="5"/>
      <c r="D1284" s="5"/>
    </row>
    <row r="1285" spans="3:4" customFormat="1" x14ac:dyDescent="0.2">
      <c r="C1285" s="5"/>
      <c r="D1285" s="5"/>
    </row>
    <row r="1286" spans="3:4" customFormat="1" x14ac:dyDescent="0.2">
      <c r="C1286" s="5"/>
      <c r="D1286" s="5"/>
    </row>
    <row r="1287" spans="3:4" customFormat="1" x14ac:dyDescent="0.2">
      <c r="C1287" s="5"/>
      <c r="D1287" s="5"/>
    </row>
    <row r="1288" spans="3:4" customFormat="1" x14ac:dyDescent="0.2">
      <c r="C1288" s="5"/>
      <c r="D1288" s="5"/>
    </row>
    <row r="1289" spans="3:4" customFormat="1" x14ac:dyDescent="0.2">
      <c r="C1289" s="5"/>
      <c r="D1289" s="5"/>
    </row>
    <row r="1290" spans="3:4" customFormat="1" x14ac:dyDescent="0.2">
      <c r="C1290" s="5"/>
      <c r="D1290" s="5"/>
    </row>
    <row r="1291" spans="3:4" customFormat="1" x14ac:dyDescent="0.2">
      <c r="C1291" s="5"/>
      <c r="D1291" s="5"/>
    </row>
    <row r="1292" spans="3:4" customFormat="1" x14ac:dyDescent="0.2">
      <c r="C1292" s="5"/>
      <c r="D1292" s="5"/>
    </row>
    <row r="1293" spans="3:4" customFormat="1" x14ac:dyDescent="0.2">
      <c r="C1293" s="5"/>
      <c r="D1293" s="5"/>
    </row>
    <row r="1294" spans="3:4" customFormat="1" x14ac:dyDescent="0.2">
      <c r="C1294" s="5"/>
      <c r="D1294" s="5"/>
    </row>
    <row r="1295" spans="3:4" customFormat="1" x14ac:dyDescent="0.2">
      <c r="C1295" s="5"/>
      <c r="D1295" s="5"/>
    </row>
    <row r="1296" spans="3:4" customFormat="1" x14ac:dyDescent="0.2">
      <c r="C1296" s="5"/>
      <c r="D1296" s="5"/>
    </row>
    <row r="1297" spans="3:4" customFormat="1" x14ac:dyDescent="0.2">
      <c r="C1297" s="5"/>
      <c r="D1297" s="5"/>
    </row>
    <row r="1298" spans="3:4" customFormat="1" x14ac:dyDescent="0.2">
      <c r="C1298" s="5"/>
      <c r="D1298" s="5"/>
    </row>
    <row r="1299" spans="3:4" customFormat="1" x14ac:dyDescent="0.2">
      <c r="C1299" s="5"/>
      <c r="D1299" s="5"/>
    </row>
    <row r="1300" spans="3:4" customFormat="1" x14ac:dyDescent="0.2">
      <c r="C1300" s="5"/>
      <c r="D1300" s="5"/>
    </row>
    <row r="1301" spans="3:4" customFormat="1" x14ac:dyDescent="0.2">
      <c r="C1301" s="5"/>
      <c r="D1301" s="5"/>
    </row>
    <row r="1302" spans="3:4" customFormat="1" x14ac:dyDescent="0.2">
      <c r="C1302" s="5"/>
      <c r="D1302" s="5"/>
    </row>
    <row r="1303" spans="3:4" customFormat="1" x14ac:dyDescent="0.2">
      <c r="C1303" s="5"/>
      <c r="D1303" s="5"/>
    </row>
    <row r="1304" spans="3:4" customFormat="1" x14ac:dyDescent="0.2">
      <c r="C1304" s="5"/>
      <c r="D1304" s="5"/>
    </row>
    <row r="1305" spans="3:4" customFormat="1" x14ac:dyDescent="0.2">
      <c r="C1305" s="5"/>
      <c r="D1305" s="5"/>
    </row>
    <row r="1306" spans="3:4" customFormat="1" x14ac:dyDescent="0.2">
      <c r="C1306" s="5"/>
      <c r="D1306" s="5"/>
    </row>
    <row r="1307" spans="3:4" customFormat="1" x14ac:dyDescent="0.2">
      <c r="C1307" s="5"/>
      <c r="D1307" s="5"/>
    </row>
    <row r="1308" spans="3:4" customFormat="1" x14ac:dyDescent="0.2">
      <c r="C1308" s="5"/>
      <c r="D1308" s="5"/>
    </row>
    <row r="1309" spans="3:4" customFormat="1" x14ac:dyDescent="0.2">
      <c r="C1309" s="5"/>
      <c r="D1309" s="5"/>
    </row>
    <row r="1310" spans="3:4" customFormat="1" x14ac:dyDescent="0.2">
      <c r="C1310" s="5"/>
      <c r="D1310" s="5"/>
    </row>
    <row r="1311" spans="3:4" customFormat="1" x14ac:dyDescent="0.2">
      <c r="C1311" s="5"/>
      <c r="D1311" s="5"/>
    </row>
    <row r="1312" spans="3:4" customFormat="1" x14ac:dyDescent="0.2">
      <c r="C1312" s="5"/>
      <c r="D1312" s="5"/>
    </row>
    <row r="1313" spans="3:4" customFormat="1" x14ac:dyDescent="0.2">
      <c r="C1313" s="5"/>
      <c r="D1313" s="5"/>
    </row>
    <row r="1314" spans="3:4" customFormat="1" x14ac:dyDescent="0.2">
      <c r="C1314" s="5"/>
      <c r="D1314" s="5"/>
    </row>
    <row r="1315" spans="3:4" customFormat="1" x14ac:dyDescent="0.2">
      <c r="C1315" s="5"/>
      <c r="D1315" s="5"/>
    </row>
    <row r="1316" spans="3:4" customFormat="1" x14ac:dyDescent="0.2">
      <c r="C1316" s="5"/>
      <c r="D1316" s="5"/>
    </row>
    <row r="1317" spans="3:4" customFormat="1" x14ac:dyDescent="0.2">
      <c r="C1317" s="5"/>
      <c r="D1317" s="5"/>
    </row>
    <row r="1318" spans="3:4" customFormat="1" x14ac:dyDescent="0.2">
      <c r="C1318" s="5"/>
      <c r="D1318" s="5"/>
    </row>
    <row r="1319" spans="3:4" customFormat="1" x14ac:dyDescent="0.2">
      <c r="C1319" s="5"/>
      <c r="D1319" s="5"/>
    </row>
    <row r="1320" spans="3:4" customFormat="1" x14ac:dyDescent="0.2">
      <c r="C1320" s="5"/>
      <c r="D1320" s="5"/>
    </row>
    <row r="1321" spans="3:4" customFormat="1" x14ac:dyDescent="0.2">
      <c r="C1321" s="5"/>
      <c r="D1321" s="5"/>
    </row>
    <row r="1322" spans="3:4" customFormat="1" x14ac:dyDescent="0.2">
      <c r="C1322" s="5"/>
      <c r="D1322" s="5"/>
    </row>
    <row r="1323" spans="3:4" customFormat="1" x14ac:dyDescent="0.2">
      <c r="C1323" s="5"/>
      <c r="D1323" s="5"/>
    </row>
    <row r="1324" spans="3:4" customFormat="1" x14ac:dyDescent="0.2">
      <c r="C1324" s="5"/>
      <c r="D1324" s="5"/>
    </row>
    <row r="1325" spans="3:4" customFormat="1" x14ac:dyDescent="0.2">
      <c r="C1325" s="5"/>
      <c r="D1325" s="5"/>
    </row>
    <row r="1326" spans="3:4" customFormat="1" x14ac:dyDescent="0.2">
      <c r="C1326" s="5"/>
      <c r="D1326" s="5"/>
    </row>
    <row r="1327" spans="3:4" customFormat="1" x14ac:dyDescent="0.2">
      <c r="C1327" s="5"/>
      <c r="D1327" s="5"/>
    </row>
    <row r="1328" spans="3:4" customFormat="1" x14ac:dyDescent="0.2">
      <c r="C1328" s="5"/>
      <c r="D1328" s="5"/>
    </row>
    <row r="1329" spans="3:4" customFormat="1" x14ac:dyDescent="0.2">
      <c r="C1329" s="5"/>
      <c r="D1329" s="5"/>
    </row>
    <row r="1330" spans="3:4" customFormat="1" x14ac:dyDescent="0.2">
      <c r="C1330" s="5"/>
      <c r="D1330" s="5"/>
    </row>
    <row r="1331" spans="3:4" customFormat="1" x14ac:dyDescent="0.2">
      <c r="C1331" s="5"/>
      <c r="D1331" s="5"/>
    </row>
    <row r="1332" spans="3:4" customFormat="1" x14ac:dyDescent="0.2">
      <c r="C1332" s="5"/>
      <c r="D1332" s="5"/>
    </row>
    <row r="1333" spans="3:4" customFormat="1" x14ac:dyDescent="0.2">
      <c r="C1333" s="5"/>
      <c r="D1333" s="5"/>
    </row>
    <row r="1334" spans="3:4" customFormat="1" x14ac:dyDescent="0.2">
      <c r="C1334" s="5"/>
      <c r="D1334" s="5"/>
    </row>
    <row r="1335" spans="3:4" customFormat="1" x14ac:dyDescent="0.2">
      <c r="C1335" s="5"/>
      <c r="D1335" s="5"/>
    </row>
    <row r="1336" spans="3:4" customFormat="1" x14ac:dyDescent="0.2">
      <c r="C1336" s="5"/>
      <c r="D1336" s="5"/>
    </row>
    <row r="1337" spans="3:4" customFormat="1" x14ac:dyDescent="0.2">
      <c r="C1337" s="5"/>
      <c r="D1337" s="5"/>
    </row>
    <row r="1338" spans="3:4" customFormat="1" x14ac:dyDescent="0.2">
      <c r="C1338" s="5"/>
      <c r="D1338" s="5"/>
    </row>
    <row r="1339" spans="3:4" customFormat="1" x14ac:dyDescent="0.2">
      <c r="C1339" s="5"/>
      <c r="D1339" s="5"/>
    </row>
    <row r="1340" spans="3:4" customFormat="1" x14ac:dyDescent="0.2">
      <c r="C1340" s="5"/>
      <c r="D1340" s="5"/>
    </row>
    <row r="1341" spans="3:4" customFormat="1" x14ac:dyDescent="0.2">
      <c r="C1341" s="5"/>
      <c r="D1341" s="5"/>
    </row>
    <row r="1342" spans="3:4" customFormat="1" x14ac:dyDescent="0.2">
      <c r="C1342" s="5"/>
      <c r="D1342" s="5"/>
    </row>
    <row r="1343" spans="3:4" customFormat="1" x14ac:dyDescent="0.2">
      <c r="C1343" s="5"/>
      <c r="D1343" s="5"/>
    </row>
    <row r="1344" spans="3:4" customFormat="1" x14ac:dyDescent="0.2">
      <c r="C1344" s="5"/>
      <c r="D1344" s="5"/>
    </row>
    <row r="1345" spans="3:4" customFormat="1" x14ac:dyDescent="0.2">
      <c r="C1345" s="5"/>
      <c r="D1345" s="5"/>
    </row>
    <row r="1346" spans="3:4" customFormat="1" x14ac:dyDescent="0.2">
      <c r="C1346" s="5"/>
      <c r="D1346" s="5"/>
    </row>
    <row r="1347" spans="3:4" customFormat="1" x14ac:dyDescent="0.2">
      <c r="C1347" s="5"/>
      <c r="D1347" s="5"/>
    </row>
    <row r="1348" spans="3:4" customFormat="1" x14ac:dyDescent="0.2">
      <c r="C1348" s="5"/>
      <c r="D1348" s="5"/>
    </row>
    <row r="1349" spans="3:4" customFormat="1" x14ac:dyDescent="0.2">
      <c r="C1349" s="5"/>
      <c r="D1349" s="5"/>
    </row>
    <row r="1350" spans="3:4" customFormat="1" x14ac:dyDescent="0.2">
      <c r="C1350" s="5"/>
      <c r="D1350" s="5"/>
    </row>
    <row r="1351" spans="3:4" customFormat="1" x14ac:dyDescent="0.2">
      <c r="C1351" s="5"/>
      <c r="D1351" s="5"/>
    </row>
    <row r="1352" spans="3:4" customFormat="1" x14ac:dyDescent="0.2">
      <c r="C1352" s="5"/>
      <c r="D1352" s="5"/>
    </row>
    <row r="1353" spans="3:4" customFormat="1" x14ac:dyDescent="0.2">
      <c r="C1353" s="5"/>
      <c r="D1353" s="5"/>
    </row>
    <row r="1354" spans="3:4" customFormat="1" x14ac:dyDescent="0.2">
      <c r="C1354" s="5"/>
      <c r="D1354" s="5"/>
    </row>
    <row r="1355" spans="3:4" customFormat="1" x14ac:dyDescent="0.2">
      <c r="C1355" s="5"/>
      <c r="D1355" s="5"/>
    </row>
    <row r="1356" spans="3:4" customFormat="1" x14ac:dyDescent="0.2">
      <c r="C1356" s="5"/>
      <c r="D1356" s="5"/>
    </row>
    <row r="1357" spans="3:4" customFormat="1" x14ac:dyDescent="0.2">
      <c r="C1357" s="5"/>
      <c r="D1357" s="5"/>
    </row>
    <row r="1358" spans="3:4" customFormat="1" x14ac:dyDescent="0.2">
      <c r="C1358" s="5"/>
      <c r="D1358" s="5"/>
    </row>
    <row r="1359" spans="3:4" customFormat="1" x14ac:dyDescent="0.2">
      <c r="C1359" s="5"/>
      <c r="D1359" s="5"/>
    </row>
    <row r="1360" spans="3:4" customFormat="1" x14ac:dyDescent="0.2">
      <c r="C1360" s="5"/>
      <c r="D1360" s="5"/>
    </row>
    <row r="1361" spans="3:4" customFormat="1" x14ac:dyDescent="0.2">
      <c r="C1361" s="5"/>
      <c r="D1361" s="5"/>
    </row>
    <row r="1362" spans="3:4" customFormat="1" x14ac:dyDescent="0.2">
      <c r="C1362" s="5"/>
      <c r="D1362" s="5"/>
    </row>
    <row r="1363" spans="3:4" customFormat="1" x14ac:dyDescent="0.2">
      <c r="C1363" s="5"/>
      <c r="D1363" s="5"/>
    </row>
    <row r="1364" spans="3:4" customFormat="1" x14ac:dyDescent="0.2">
      <c r="C1364" s="5"/>
      <c r="D1364" s="5"/>
    </row>
    <row r="1365" spans="3:4" customFormat="1" x14ac:dyDescent="0.2">
      <c r="C1365" s="5"/>
      <c r="D1365" s="5"/>
    </row>
    <row r="1366" spans="3:4" customFormat="1" x14ac:dyDescent="0.2">
      <c r="C1366" s="5"/>
      <c r="D1366" s="5"/>
    </row>
    <row r="1367" spans="3:4" customFormat="1" x14ac:dyDescent="0.2">
      <c r="C1367" s="5"/>
      <c r="D1367" s="5"/>
    </row>
    <row r="1368" spans="3:4" customFormat="1" x14ac:dyDescent="0.2">
      <c r="C1368" s="5"/>
      <c r="D1368" s="5"/>
    </row>
    <row r="1369" spans="3:4" customFormat="1" x14ac:dyDescent="0.2">
      <c r="C1369" s="5"/>
      <c r="D1369" s="5"/>
    </row>
    <row r="1370" spans="3:4" customFormat="1" x14ac:dyDescent="0.2">
      <c r="C1370" s="5"/>
      <c r="D1370" s="5"/>
    </row>
    <row r="1371" spans="3:4" customFormat="1" x14ac:dyDescent="0.2">
      <c r="C1371" s="5"/>
      <c r="D1371" s="5"/>
    </row>
    <row r="1372" spans="3:4" customFormat="1" x14ac:dyDescent="0.2">
      <c r="C1372" s="5"/>
      <c r="D1372" s="5"/>
    </row>
    <row r="1373" spans="3:4" customFormat="1" x14ac:dyDescent="0.2">
      <c r="C1373" s="5"/>
      <c r="D1373" s="5"/>
    </row>
    <row r="1374" spans="3:4" customFormat="1" x14ac:dyDescent="0.2">
      <c r="C1374" s="5"/>
      <c r="D1374" s="5"/>
    </row>
    <row r="1375" spans="3:4" customFormat="1" x14ac:dyDescent="0.2">
      <c r="C1375" s="5"/>
      <c r="D1375" s="5"/>
    </row>
    <row r="1376" spans="3:4" customFormat="1" x14ac:dyDescent="0.2">
      <c r="C1376" s="5"/>
      <c r="D1376" s="5"/>
    </row>
    <row r="1377" spans="3:4" customFormat="1" x14ac:dyDescent="0.2">
      <c r="C1377" s="5"/>
      <c r="D1377" s="5"/>
    </row>
    <row r="1378" spans="3:4" customFormat="1" x14ac:dyDescent="0.2">
      <c r="C1378" s="5"/>
      <c r="D1378" s="5"/>
    </row>
    <row r="1379" spans="3:4" customFormat="1" x14ac:dyDescent="0.2">
      <c r="C1379" s="5"/>
      <c r="D1379" s="5"/>
    </row>
    <row r="1380" spans="3:4" customFormat="1" x14ac:dyDescent="0.2">
      <c r="C1380" s="5"/>
      <c r="D1380" s="5"/>
    </row>
    <row r="1381" spans="3:4" customFormat="1" x14ac:dyDescent="0.2">
      <c r="C1381" s="5"/>
      <c r="D1381" s="5"/>
    </row>
    <row r="1382" spans="3:4" customFormat="1" x14ac:dyDescent="0.2">
      <c r="C1382" s="5"/>
      <c r="D1382" s="5"/>
    </row>
    <row r="1383" spans="3:4" customFormat="1" x14ac:dyDescent="0.2">
      <c r="C1383" s="5"/>
      <c r="D1383" s="5"/>
    </row>
    <row r="1384" spans="3:4" customFormat="1" x14ac:dyDescent="0.2">
      <c r="C1384" s="5"/>
      <c r="D1384" s="5"/>
    </row>
    <row r="1385" spans="3:4" customFormat="1" x14ac:dyDescent="0.2">
      <c r="C1385" s="5"/>
      <c r="D1385" s="5"/>
    </row>
    <row r="1386" spans="3:4" customFormat="1" x14ac:dyDescent="0.2">
      <c r="C1386" s="5"/>
      <c r="D1386" s="5"/>
    </row>
    <row r="1387" spans="3:4" customFormat="1" x14ac:dyDescent="0.2">
      <c r="C1387" s="5"/>
      <c r="D1387" s="5"/>
    </row>
    <row r="1388" spans="3:4" customFormat="1" x14ac:dyDescent="0.2">
      <c r="C1388" s="5"/>
      <c r="D1388" s="5"/>
    </row>
    <row r="1389" spans="3:4" customFormat="1" x14ac:dyDescent="0.2">
      <c r="C1389" s="5"/>
      <c r="D1389" s="5"/>
    </row>
    <row r="1390" spans="3:4" customFormat="1" x14ac:dyDescent="0.2">
      <c r="C1390" s="5"/>
      <c r="D1390" s="5"/>
    </row>
    <row r="1391" spans="3:4" customFormat="1" x14ac:dyDescent="0.2">
      <c r="C1391" s="5"/>
      <c r="D1391" s="5"/>
    </row>
    <row r="1392" spans="3:4" customFormat="1" x14ac:dyDescent="0.2">
      <c r="C1392" s="5"/>
      <c r="D1392" s="5"/>
    </row>
    <row r="1393" spans="3:4" customFormat="1" x14ac:dyDescent="0.2">
      <c r="C1393" s="5"/>
      <c r="D1393" s="5"/>
    </row>
    <row r="1394" spans="3:4" customFormat="1" x14ac:dyDescent="0.2">
      <c r="C1394" s="5"/>
      <c r="D1394" s="5"/>
    </row>
    <row r="1395" spans="3:4" customFormat="1" x14ac:dyDescent="0.2">
      <c r="C1395" s="5"/>
      <c r="D1395" s="5"/>
    </row>
    <row r="1396" spans="3:4" customFormat="1" x14ac:dyDescent="0.2">
      <c r="C1396" s="5"/>
      <c r="D1396" s="5"/>
    </row>
    <row r="1397" spans="3:4" customFormat="1" x14ac:dyDescent="0.2">
      <c r="C1397" s="5"/>
      <c r="D1397" s="5"/>
    </row>
    <row r="1398" spans="3:4" customFormat="1" x14ac:dyDescent="0.2">
      <c r="C1398" s="5"/>
      <c r="D1398" s="5"/>
    </row>
    <row r="1399" spans="3:4" customFormat="1" x14ac:dyDescent="0.2">
      <c r="C1399" s="5"/>
      <c r="D1399" s="5"/>
    </row>
    <row r="1400" spans="3:4" customFormat="1" x14ac:dyDescent="0.2">
      <c r="C1400" s="5"/>
      <c r="D1400" s="5"/>
    </row>
    <row r="1401" spans="3:4" customFormat="1" x14ac:dyDescent="0.2">
      <c r="C1401" s="5"/>
      <c r="D1401" s="5"/>
    </row>
    <row r="1402" spans="3:4" customFormat="1" x14ac:dyDescent="0.2">
      <c r="C1402" s="5"/>
      <c r="D1402" s="5"/>
    </row>
    <row r="1403" spans="3:4" customFormat="1" x14ac:dyDescent="0.2">
      <c r="C1403" s="5"/>
      <c r="D1403" s="5"/>
    </row>
    <row r="1404" spans="3:4" customFormat="1" x14ac:dyDescent="0.2">
      <c r="C1404" s="5"/>
      <c r="D1404" s="5"/>
    </row>
    <row r="1405" spans="3:4" customFormat="1" x14ac:dyDescent="0.2">
      <c r="C1405" s="5"/>
      <c r="D1405" s="5"/>
    </row>
    <row r="1406" spans="3:4" customFormat="1" x14ac:dyDescent="0.2">
      <c r="C1406" s="5"/>
      <c r="D1406" s="5"/>
    </row>
    <row r="1407" spans="3:4" customFormat="1" x14ac:dyDescent="0.2">
      <c r="C1407" s="5"/>
      <c r="D1407" s="5"/>
    </row>
    <row r="1408" spans="3:4" customFormat="1" x14ac:dyDescent="0.2">
      <c r="C1408" s="5"/>
      <c r="D1408" s="5"/>
    </row>
    <row r="1409" spans="3:4" customFormat="1" x14ac:dyDescent="0.2">
      <c r="C1409" s="5"/>
      <c r="D1409" s="5"/>
    </row>
    <row r="1410" spans="3:4" customFormat="1" x14ac:dyDescent="0.2">
      <c r="C1410" s="5"/>
      <c r="D1410" s="5"/>
    </row>
    <row r="1411" spans="3:4" customFormat="1" x14ac:dyDescent="0.2">
      <c r="C1411" s="5"/>
      <c r="D1411" s="5"/>
    </row>
    <row r="1412" spans="3:4" customFormat="1" x14ac:dyDescent="0.2">
      <c r="C1412" s="5"/>
      <c r="D1412" s="5"/>
    </row>
    <row r="1413" spans="3:4" customFormat="1" x14ac:dyDescent="0.2">
      <c r="C1413" s="5"/>
      <c r="D1413" s="5"/>
    </row>
    <row r="1414" spans="3:4" customFormat="1" x14ac:dyDescent="0.2">
      <c r="C1414" s="5"/>
      <c r="D1414" s="5"/>
    </row>
    <row r="1415" spans="3:4" customFormat="1" x14ac:dyDescent="0.2">
      <c r="C1415" s="5"/>
      <c r="D1415" s="5"/>
    </row>
    <row r="1416" spans="3:4" customFormat="1" x14ac:dyDescent="0.2">
      <c r="C1416" s="5"/>
      <c r="D1416" s="5"/>
    </row>
    <row r="1417" spans="3:4" customFormat="1" x14ac:dyDescent="0.2">
      <c r="C1417" s="5"/>
      <c r="D1417" s="5"/>
    </row>
    <row r="1418" spans="3:4" customFormat="1" x14ac:dyDescent="0.2">
      <c r="C1418" s="5"/>
      <c r="D1418" s="5"/>
    </row>
    <row r="1419" spans="3:4" customFormat="1" x14ac:dyDescent="0.2">
      <c r="C1419" s="5"/>
      <c r="D1419" s="5"/>
    </row>
    <row r="1420" spans="3:4" customFormat="1" x14ac:dyDescent="0.2">
      <c r="C1420" s="5"/>
      <c r="D1420" s="5"/>
    </row>
    <row r="1421" spans="3:4" customFormat="1" x14ac:dyDescent="0.2">
      <c r="C1421" s="5"/>
      <c r="D1421" s="5"/>
    </row>
    <row r="1422" spans="3:4" customFormat="1" x14ac:dyDescent="0.2">
      <c r="C1422" s="5"/>
      <c r="D1422" s="5"/>
    </row>
    <row r="1423" spans="3:4" customFormat="1" x14ac:dyDescent="0.2">
      <c r="C1423" s="5"/>
      <c r="D1423" s="5"/>
    </row>
    <row r="1424" spans="3:4" customFormat="1" x14ac:dyDescent="0.2">
      <c r="C1424" s="5"/>
      <c r="D1424" s="5"/>
    </row>
    <row r="1425" spans="3:4" customFormat="1" x14ac:dyDescent="0.2">
      <c r="C1425" s="5"/>
      <c r="D1425" s="5"/>
    </row>
    <row r="1426" spans="3:4" customFormat="1" x14ac:dyDescent="0.2">
      <c r="C1426" s="5"/>
      <c r="D1426" s="5"/>
    </row>
    <row r="1427" spans="3:4" customFormat="1" x14ac:dyDescent="0.2">
      <c r="C1427" s="5"/>
      <c r="D1427" s="5"/>
    </row>
    <row r="1428" spans="3:4" customFormat="1" x14ac:dyDescent="0.2">
      <c r="C1428" s="5"/>
      <c r="D1428" s="5"/>
    </row>
    <row r="1429" spans="3:4" customFormat="1" x14ac:dyDescent="0.2">
      <c r="C1429" s="5"/>
      <c r="D1429" s="5"/>
    </row>
    <row r="1430" spans="3:4" customFormat="1" x14ac:dyDescent="0.2">
      <c r="C1430" s="5"/>
      <c r="D1430" s="5"/>
    </row>
    <row r="1431" spans="3:4" customFormat="1" x14ac:dyDescent="0.2">
      <c r="C1431" s="5"/>
      <c r="D1431" s="5"/>
    </row>
    <row r="1432" spans="3:4" customFormat="1" x14ac:dyDescent="0.2">
      <c r="C1432" s="5"/>
      <c r="D1432" s="5"/>
    </row>
    <row r="1433" spans="3:4" customFormat="1" x14ac:dyDescent="0.2">
      <c r="C1433" s="5"/>
      <c r="D1433" s="5"/>
    </row>
    <row r="1434" spans="3:4" customFormat="1" x14ac:dyDescent="0.2">
      <c r="C1434" s="5"/>
      <c r="D1434" s="5"/>
    </row>
    <row r="1435" spans="3:4" customFormat="1" x14ac:dyDescent="0.2">
      <c r="C1435" s="5"/>
      <c r="D1435" s="5"/>
    </row>
    <row r="1436" spans="3:4" customFormat="1" x14ac:dyDescent="0.2">
      <c r="C1436" s="5"/>
      <c r="D1436" s="5"/>
    </row>
    <row r="1437" spans="3:4" customFormat="1" x14ac:dyDescent="0.2">
      <c r="C1437" s="5"/>
      <c r="D1437" s="5"/>
    </row>
    <row r="1438" spans="3:4" customFormat="1" x14ac:dyDescent="0.2">
      <c r="C1438" s="5"/>
      <c r="D1438" s="5"/>
    </row>
    <row r="1439" spans="3:4" customFormat="1" x14ac:dyDescent="0.2">
      <c r="C1439" s="5"/>
      <c r="D1439" s="5"/>
    </row>
    <row r="1440" spans="3:4" customFormat="1" x14ac:dyDescent="0.2">
      <c r="C1440" s="5"/>
      <c r="D1440" s="5"/>
    </row>
    <row r="1441" spans="3:4" customFormat="1" x14ac:dyDescent="0.2">
      <c r="C1441" s="5"/>
      <c r="D1441" s="5"/>
    </row>
    <row r="1442" spans="3:4" customFormat="1" x14ac:dyDescent="0.2">
      <c r="C1442" s="5"/>
      <c r="D1442" s="5"/>
    </row>
    <row r="1443" spans="3:4" customFormat="1" x14ac:dyDescent="0.2">
      <c r="C1443" s="5"/>
      <c r="D1443" s="5"/>
    </row>
    <row r="1444" spans="3:4" customFormat="1" x14ac:dyDescent="0.2">
      <c r="C1444" s="5"/>
      <c r="D1444" s="5"/>
    </row>
    <row r="1445" spans="3:4" customFormat="1" x14ac:dyDescent="0.2">
      <c r="C1445" s="5"/>
      <c r="D1445" s="5"/>
    </row>
    <row r="1446" spans="3:4" customFormat="1" x14ac:dyDescent="0.2">
      <c r="C1446" s="5"/>
      <c r="D1446" s="5"/>
    </row>
    <row r="1447" spans="3:4" customFormat="1" x14ac:dyDescent="0.2">
      <c r="C1447" s="5"/>
      <c r="D1447" s="5"/>
    </row>
    <row r="1448" spans="3:4" customFormat="1" x14ac:dyDescent="0.2">
      <c r="C1448" s="5"/>
      <c r="D1448" s="5"/>
    </row>
    <row r="1449" spans="3:4" customFormat="1" x14ac:dyDescent="0.2">
      <c r="C1449" s="5"/>
      <c r="D1449" s="5"/>
    </row>
    <row r="1450" spans="3:4" customFormat="1" x14ac:dyDescent="0.2">
      <c r="C1450" s="5"/>
      <c r="D1450" s="5"/>
    </row>
    <row r="1451" spans="3:4" customFormat="1" x14ac:dyDescent="0.2">
      <c r="C1451" s="5"/>
      <c r="D1451" s="5"/>
    </row>
    <row r="1452" spans="3:4" customFormat="1" x14ac:dyDescent="0.2">
      <c r="C1452" s="5"/>
      <c r="D1452" s="5"/>
    </row>
    <row r="1453" spans="3:4" customFormat="1" x14ac:dyDescent="0.2">
      <c r="C1453" s="5"/>
      <c r="D1453" s="5"/>
    </row>
    <row r="1454" spans="3:4" customFormat="1" x14ac:dyDescent="0.2">
      <c r="C1454" s="5"/>
      <c r="D1454" s="5"/>
    </row>
    <row r="1455" spans="3:4" customFormat="1" x14ac:dyDescent="0.2">
      <c r="C1455" s="5"/>
      <c r="D1455" s="5"/>
    </row>
    <row r="1456" spans="3:4" customFormat="1" x14ac:dyDescent="0.2">
      <c r="C1456" s="5"/>
      <c r="D1456" s="5"/>
    </row>
    <row r="1457" spans="3:4" customFormat="1" x14ac:dyDescent="0.2">
      <c r="C1457" s="5"/>
      <c r="D1457" s="5"/>
    </row>
    <row r="1458" spans="3:4" customFormat="1" x14ac:dyDescent="0.2">
      <c r="C1458" s="5"/>
      <c r="D1458" s="5"/>
    </row>
    <row r="1459" spans="3:4" customFormat="1" x14ac:dyDescent="0.2">
      <c r="C1459" s="5"/>
      <c r="D1459" s="5"/>
    </row>
    <row r="1460" spans="3:4" customFormat="1" x14ac:dyDescent="0.2">
      <c r="C1460" s="5"/>
      <c r="D1460" s="5"/>
    </row>
    <row r="1461" spans="3:4" customFormat="1" x14ac:dyDescent="0.2">
      <c r="C1461" s="5"/>
      <c r="D1461" s="5"/>
    </row>
    <row r="1462" spans="3:4" customFormat="1" x14ac:dyDescent="0.2">
      <c r="C1462" s="5"/>
      <c r="D1462" s="5"/>
    </row>
    <row r="1463" spans="3:4" customFormat="1" x14ac:dyDescent="0.2">
      <c r="C1463" s="5"/>
      <c r="D1463" s="5"/>
    </row>
    <row r="1464" spans="3:4" customFormat="1" x14ac:dyDescent="0.2">
      <c r="C1464" s="5"/>
      <c r="D1464" s="5"/>
    </row>
    <row r="1465" spans="3:4" customFormat="1" x14ac:dyDescent="0.2">
      <c r="C1465" s="5"/>
      <c r="D1465" s="5"/>
    </row>
    <row r="1466" spans="3:4" customFormat="1" x14ac:dyDescent="0.2">
      <c r="C1466" s="5"/>
      <c r="D1466" s="5"/>
    </row>
    <row r="1467" spans="3:4" customFormat="1" x14ac:dyDescent="0.2">
      <c r="C1467" s="5"/>
      <c r="D1467" s="5"/>
    </row>
    <row r="1468" spans="3:4" customFormat="1" x14ac:dyDescent="0.2">
      <c r="C1468" s="5"/>
      <c r="D1468" s="5"/>
    </row>
    <row r="1469" spans="3:4" customFormat="1" x14ac:dyDescent="0.2">
      <c r="C1469" s="5"/>
      <c r="D1469" s="5"/>
    </row>
    <row r="1470" spans="3:4" customFormat="1" x14ac:dyDescent="0.2">
      <c r="C1470" s="5"/>
      <c r="D1470" s="5"/>
    </row>
    <row r="1471" spans="3:4" customFormat="1" x14ac:dyDescent="0.2">
      <c r="C1471" s="5"/>
      <c r="D1471" s="5"/>
    </row>
    <row r="1472" spans="3:4" customFormat="1" x14ac:dyDescent="0.2">
      <c r="C1472" s="5"/>
      <c r="D1472" s="5"/>
    </row>
    <row r="1473" spans="3:4" customFormat="1" x14ac:dyDescent="0.2">
      <c r="C1473" s="5"/>
      <c r="D1473" s="5"/>
    </row>
    <row r="1474" spans="3:4" customFormat="1" x14ac:dyDescent="0.2">
      <c r="C1474" s="5"/>
      <c r="D1474" s="5"/>
    </row>
    <row r="1475" spans="3:4" customFormat="1" x14ac:dyDescent="0.2">
      <c r="C1475" s="5"/>
      <c r="D1475" s="5"/>
    </row>
    <row r="1476" spans="3:4" customFormat="1" x14ac:dyDescent="0.2">
      <c r="C1476" s="5"/>
      <c r="D1476" s="5"/>
    </row>
    <row r="1477" spans="3:4" customFormat="1" x14ac:dyDescent="0.2">
      <c r="C1477" s="5"/>
      <c r="D1477" s="5"/>
    </row>
    <row r="1478" spans="3:4" customFormat="1" x14ac:dyDescent="0.2">
      <c r="C1478" s="5"/>
      <c r="D1478" s="5"/>
    </row>
    <row r="1479" spans="3:4" customFormat="1" x14ac:dyDescent="0.2">
      <c r="C1479" s="5"/>
      <c r="D1479" s="5"/>
    </row>
    <row r="1480" spans="3:4" customFormat="1" x14ac:dyDescent="0.2">
      <c r="C1480" s="5"/>
      <c r="D1480" s="5"/>
    </row>
    <row r="1481" spans="3:4" customFormat="1" x14ac:dyDescent="0.2">
      <c r="C1481" s="5"/>
      <c r="D1481" s="5"/>
    </row>
    <row r="1482" spans="3:4" customFormat="1" x14ac:dyDescent="0.2">
      <c r="C1482" s="5"/>
      <c r="D1482" s="5"/>
    </row>
    <row r="1483" spans="3:4" customFormat="1" x14ac:dyDescent="0.2">
      <c r="C1483" s="5"/>
      <c r="D1483" s="5"/>
    </row>
    <row r="1484" spans="3:4" customFormat="1" x14ac:dyDescent="0.2">
      <c r="C1484" s="5"/>
      <c r="D1484" s="5"/>
    </row>
    <row r="1485" spans="3:4" customFormat="1" x14ac:dyDescent="0.2">
      <c r="C1485" s="5"/>
      <c r="D1485" s="5"/>
    </row>
    <row r="1486" spans="3:4" customFormat="1" x14ac:dyDescent="0.2">
      <c r="C1486" s="5"/>
      <c r="D1486" s="5"/>
    </row>
    <row r="1487" spans="3:4" customFormat="1" x14ac:dyDescent="0.2">
      <c r="C1487" s="5"/>
      <c r="D1487" s="5"/>
    </row>
    <row r="1488" spans="3:4" customFormat="1" x14ac:dyDescent="0.2">
      <c r="C1488" s="5"/>
      <c r="D1488" s="5"/>
    </row>
    <row r="1489" spans="3:4" customFormat="1" x14ac:dyDescent="0.2">
      <c r="C1489" s="5"/>
      <c r="D1489" s="5"/>
    </row>
    <row r="1490" spans="3:4" customFormat="1" x14ac:dyDescent="0.2">
      <c r="C1490" s="5"/>
      <c r="D1490" s="5"/>
    </row>
    <row r="1491" spans="3:4" customFormat="1" x14ac:dyDescent="0.2">
      <c r="C1491" s="5"/>
      <c r="D1491" s="5"/>
    </row>
    <row r="1492" spans="3:4" customFormat="1" x14ac:dyDescent="0.2">
      <c r="C1492" s="5"/>
      <c r="D1492" s="5"/>
    </row>
    <row r="1493" spans="3:4" customFormat="1" x14ac:dyDescent="0.2">
      <c r="C1493" s="5"/>
      <c r="D1493" s="5"/>
    </row>
    <row r="1494" spans="3:4" customFormat="1" x14ac:dyDescent="0.2">
      <c r="C1494" s="5"/>
      <c r="D1494" s="5"/>
    </row>
    <row r="1495" spans="3:4" customFormat="1" x14ac:dyDescent="0.2">
      <c r="C1495" s="5"/>
      <c r="D1495" s="5"/>
    </row>
    <row r="1496" spans="3:4" customFormat="1" x14ac:dyDescent="0.2">
      <c r="C1496" s="5"/>
      <c r="D1496" s="5"/>
    </row>
    <row r="1497" spans="3:4" customFormat="1" x14ac:dyDescent="0.2">
      <c r="C1497" s="5"/>
      <c r="D1497" s="5"/>
    </row>
    <row r="1498" spans="3:4" customFormat="1" x14ac:dyDescent="0.2">
      <c r="C1498" s="5"/>
      <c r="D1498" s="5"/>
    </row>
    <row r="1499" spans="3:4" customFormat="1" x14ac:dyDescent="0.2">
      <c r="C1499" s="5"/>
      <c r="D1499" s="5"/>
    </row>
    <row r="1500" spans="3:4" customFormat="1" x14ac:dyDescent="0.2">
      <c r="C1500" s="5"/>
      <c r="D1500" s="5"/>
    </row>
    <row r="1501" spans="3:4" customFormat="1" x14ac:dyDescent="0.2">
      <c r="C1501" s="5"/>
      <c r="D1501" s="5"/>
    </row>
    <row r="1502" spans="3:4" customFormat="1" x14ac:dyDescent="0.2">
      <c r="C1502" s="5"/>
      <c r="D1502" s="5"/>
    </row>
    <row r="1503" spans="3:4" customFormat="1" x14ac:dyDescent="0.2">
      <c r="C1503" s="5"/>
      <c r="D1503" s="5"/>
    </row>
    <row r="1504" spans="3:4" customFormat="1" x14ac:dyDescent="0.2">
      <c r="C1504" s="5"/>
      <c r="D1504" s="5"/>
    </row>
    <row r="1505" spans="3:4" customFormat="1" x14ac:dyDescent="0.2">
      <c r="C1505" s="5"/>
      <c r="D1505" s="5"/>
    </row>
    <row r="1506" spans="3:4" customFormat="1" x14ac:dyDescent="0.2">
      <c r="C1506" s="5"/>
      <c r="D1506" s="5"/>
    </row>
    <row r="1507" spans="3:4" customFormat="1" x14ac:dyDescent="0.2">
      <c r="C1507" s="5"/>
      <c r="D1507" s="5"/>
    </row>
    <row r="1508" spans="3:4" customFormat="1" x14ac:dyDescent="0.2">
      <c r="C1508" s="5"/>
      <c r="D1508" s="5"/>
    </row>
    <row r="1509" spans="3:4" customFormat="1" x14ac:dyDescent="0.2">
      <c r="C1509" s="5"/>
      <c r="D1509" s="5"/>
    </row>
    <row r="1510" spans="3:4" customFormat="1" x14ac:dyDescent="0.2">
      <c r="C1510" s="5"/>
      <c r="D1510" s="5"/>
    </row>
    <row r="1511" spans="3:4" customFormat="1" x14ac:dyDescent="0.2">
      <c r="C1511" s="5"/>
      <c r="D1511" s="5"/>
    </row>
    <row r="1512" spans="3:4" customFormat="1" x14ac:dyDescent="0.2">
      <c r="C1512" s="5"/>
      <c r="D1512" s="5"/>
    </row>
    <row r="1513" spans="3:4" customFormat="1" x14ac:dyDescent="0.2">
      <c r="C1513" s="5"/>
      <c r="D1513" s="5"/>
    </row>
    <row r="1514" spans="3:4" customFormat="1" x14ac:dyDescent="0.2">
      <c r="C1514" s="5"/>
      <c r="D1514" s="5"/>
    </row>
    <row r="1515" spans="3:4" customFormat="1" x14ac:dyDescent="0.2">
      <c r="C1515" s="5"/>
      <c r="D1515" s="5"/>
    </row>
    <row r="1516" spans="3:4" customFormat="1" x14ac:dyDescent="0.2">
      <c r="C1516" s="5"/>
      <c r="D1516" s="5"/>
    </row>
    <row r="1517" spans="3:4" customFormat="1" x14ac:dyDescent="0.2">
      <c r="C1517" s="5"/>
      <c r="D1517" s="5"/>
    </row>
    <row r="1518" spans="3:4" customFormat="1" x14ac:dyDescent="0.2">
      <c r="C1518" s="5"/>
      <c r="D1518" s="5"/>
    </row>
    <row r="1519" spans="3:4" customFormat="1" x14ac:dyDescent="0.2">
      <c r="C1519" s="5"/>
      <c r="D1519" s="5"/>
    </row>
    <row r="1520" spans="3:4" customFormat="1" x14ac:dyDescent="0.2">
      <c r="C1520" s="5"/>
      <c r="D1520" s="5"/>
    </row>
    <row r="1521" spans="3:4" customFormat="1" x14ac:dyDescent="0.2">
      <c r="C1521" s="5"/>
      <c r="D1521" s="5"/>
    </row>
    <row r="1522" spans="3:4" customFormat="1" x14ac:dyDescent="0.2">
      <c r="C1522" s="5"/>
      <c r="D1522" s="5"/>
    </row>
    <row r="1523" spans="3:4" customFormat="1" x14ac:dyDescent="0.2">
      <c r="C1523" s="5"/>
      <c r="D1523" s="5"/>
    </row>
    <row r="1524" spans="3:4" customFormat="1" x14ac:dyDescent="0.2">
      <c r="C1524" s="5"/>
      <c r="D1524" s="5"/>
    </row>
    <row r="1525" spans="3:4" customFormat="1" x14ac:dyDescent="0.2">
      <c r="C1525" s="5"/>
      <c r="D1525" s="5"/>
    </row>
    <row r="1526" spans="3:4" customFormat="1" x14ac:dyDescent="0.2">
      <c r="C1526" s="5"/>
      <c r="D1526" s="5"/>
    </row>
    <row r="1527" spans="3:4" customFormat="1" x14ac:dyDescent="0.2">
      <c r="C1527" s="5"/>
      <c r="D1527" s="5"/>
    </row>
    <row r="1528" spans="3:4" customFormat="1" x14ac:dyDescent="0.2">
      <c r="C1528" s="5"/>
      <c r="D1528" s="5"/>
    </row>
    <row r="1529" spans="3:4" customFormat="1" x14ac:dyDescent="0.2">
      <c r="C1529" s="5"/>
      <c r="D1529" s="5"/>
    </row>
    <row r="1530" spans="3:4" customFormat="1" x14ac:dyDescent="0.2">
      <c r="C1530" s="5"/>
      <c r="D1530" s="5"/>
    </row>
    <row r="1531" spans="3:4" customFormat="1" x14ac:dyDescent="0.2">
      <c r="C1531" s="5"/>
      <c r="D1531" s="5"/>
    </row>
    <row r="1532" spans="3:4" customFormat="1" x14ac:dyDescent="0.2">
      <c r="C1532" s="5"/>
      <c r="D1532" s="5"/>
    </row>
    <row r="1533" spans="3:4" customFormat="1" x14ac:dyDescent="0.2">
      <c r="C1533" s="5"/>
      <c r="D1533" s="5"/>
    </row>
    <row r="1534" spans="3:4" customFormat="1" x14ac:dyDescent="0.2">
      <c r="C1534" s="5"/>
      <c r="D1534" s="5"/>
    </row>
    <row r="1535" spans="3:4" customFormat="1" x14ac:dyDescent="0.2">
      <c r="C1535" s="5"/>
      <c r="D1535" s="5"/>
    </row>
    <row r="1536" spans="3:4" customFormat="1" x14ac:dyDescent="0.2">
      <c r="C1536" s="5"/>
      <c r="D1536" s="5"/>
    </row>
    <row r="1537" spans="3:4" customFormat="1" x14ac:dyDescent="0.2">
      <c r="C1537" s="5"/>
      <c r="D1537" s="5"/>
    </row>
    <row r="1538" spans="3:4" customFormat="1" x14ac:dyDescent="0.2">
      <c r="C1538" s="5"/>
      <c r="D1538" s="5"/>
    </row>
    <row r="1539" spans="3:4" customFormat="1" x14ac:dyDescent="0.2">
      <c r="C1539" s="5"/>
      <c r="D1539" s="5"/>
    </row>
    <row r="1540" spans="3:4" customFormat="1" x14ac:dyDescent="0.2">
      <c r="C1540" s="5"/>
      <c r="D1540" s="5"/>
    </row>
    <row r="1541" spans="3:4" customFormat="1" x14ac:dyDescent="0.2">
      <c r="C1541" s="5"/>
      <c r="D1541" s="5"/>
    </row>
    <row r="1542" spans="3:4" customFormat="1" x14ac:dyDescent="0.2">
      <c r="C1542" s="5"/>
      <c r="D1542" s="5"/>
    </row>
    <row r="1543" spans="3:4" customFormat="1" x14ac:dyDescent="0.2">
      <c r="C1543" s="5"/>
      <c r="D1543" s="5"/>
    </row>
    <row r="1544" spans="3:4" customFormat="1" x14ac:dyDescent="0.2">
      <c r="C1544" s="5"/>
      <c r="D1544" s="5"/>
    </row>
    <row r="1545" spans="3:4" customFormat="1" x14ac:dyDescent="0.2">
      <c r="C1545" s="5"/>
      <c r="D1545" s="5"/>
    </row>
    <row r="1546" spans="3:4" customFormat="1" x14ac:dyDescent="0.2">
      <c r="C1546" s="5"/>
      <c r="D1546" s="5"/>
    </row>
    <row r="1547" spans="3:4" customFormat="1" x14ac:dyDescent="0.2">
      <c r="C1547" s="5"/>
      <c r="D1547" s="5"/>
    </row>
    <row r="1548" spans="3:4" customFormat="1" x14ac:dyDescent="0.2">
      <c r="C1548" s="5"/>
      <c r="D1548" s="5"/>
    </row>
    <row r="1549" spans="3:4" customFormat="1" x14ac:dyDescent="0.2">
      <c r="C1549" s="5"/>
      <c r="D1549" s="5"/>
    </row>
    <row r="1550" spans="3:4" customFormat="1" x14ac:dyDescent="0.2">
      <c r="C1550" s="5"/>
      <c r="D1550" s="5"/>
    </row>
    <row r="1551" spans="3:4" customFormat="1" x14ac:dyDescent="0.2">
      <c r="C1551" s="5"/>
      <c r="D1551" s="5"/>
    </row>
    <row r="1552" spans="3:4" customFormat="1" x14ac:dyDescent="0.2">
      <c r="C1552" s="5"/>
      <c r="D1552" s="5"/>
    </row>
    <row r="1553" spans="3:4" customFormat="1" x14ac:dyDescent="0.2">
      <c r="C1553" s="5"/>
      <c r="D1553" s="5"/>
    </row>
    <row r="1554" spans="3:4" customFormat="1" x14ac:dyDescent="0.2">
      <c r="C1554" s="5"/>
      <c r="D1554" s="5"/>
    </row>
    <row r="1555" spans="3:4" customFormat="1" x14ac:dyDescent="0.2">
      <c r="C1555" s="5"/>
      <c r="D1555" s="5"/>
    </row>
    <row r="1556" spans="3:4" customFormat="1" x14ac:dyDescent="0.2">
      <c r="C1556" s="5"/>
      <c r="D1556" s="5"/>
    </row>
    <row r="1557" spans="3:4" customFormat="1" x14ac:dyDescent="0.2">
      <c r="C1557" s="5"/>
      <c r="D1557" s="5"/>
    </row>
    <row r="1558" spans="3:4" customFormat="1" x14ac:dyDescent="0.2">
      <c r="C1558" s="5"/>
      <c r="D1558" s="5"/>
    </row>
    <row r="1559" spans="3:4" customFormat="1" x14ac:dyDescent="0.2">
      <c r="C1559" s="5"/>
      <c r="D1559" s="5"/>
    </row>
    <row r="1560" spans="3:4" customFormat="1" x14ac:dyDescent="0.2">
      <c r="C1560" s="5"/>
      <c r="D1560" s="5"/>
    </row>
    <row r="1561" spans="3:4" customFormat="1" x14ac:dyDescent="0.2">
      <c r="C1561" s="5"/>
      <c r="D1561" s="5"/>
    </row>
    <row r="1562" spans="3:4" customFormat="1" x14ac:dyDescent="0.2">
      <c r="C1562" s="5"/>
      <c r="D1562" s="5"/>
    </row>
    <row r="1563" spans="3:4" customFormat="1" x14ac:dyDescent="0.2">
      <c r="C1563" s="5"/>
      <c r="D1563" s="5"/>
    </row>
    <row r="1564" spans="3:4" customFormat="1" x14ac:dyDescent="0.2">
      <c r="C1564" s="5"/>
      <c r="D1564" s="5"/>
    </row>
    <row r="1565" spans="3:4" customFormat="1" x14ac:dyDescent="0.2">
      <c r="C1565" s="5"/>
      <c r="D1565" s="5"/>
    </row>
    <row r="1566" spans="3:4" customFormat="1" x14ac:dyDescent="0.2">
      <c r="C1566" s="5"/>
      <c r="D1566" s="5"/>
    </row>
    <row r="1567" spans="3:4" customFormat="1" x14ac:dyDescent="0.2">
      <c r="C1567" s="5"/>
      <c r="D1567" s="5"/>
    </row>
    <row r="1568" spans="3:4" customFormat="1" x14ac:dyDescent="0.2">
      <c r="C1568" s="5"/>
      <c r="D1568" s="5"/>
    </row>
    <row r="1569" spans="3:4" customFormat="1" x14ac:dyDescent="0.2">
      <c r="C1569" s="5"/>
      <c r="D1569" s="5"/>
    </row>
    <row r="1570" spans="3:4" customFormat="1" x14ac:dyDescent="0.2">
      <c r="C1570" s="5"/>
      <c r="D1570" s="5"/>
    </row>
    <row r="1571" spans="3:4" customFormat="1" x14ac:dyDescent="0.2">
      <c r="C1571" s="5"/>
      <c r="D1571" s="5"/>
    </row>
    <row r="1572" spans="3:4" customFormat="1" x14ac:dyDescent="0.2">
      <c r="C1572" s="5"/>
      <c r="D1572" s="5"/>
    </row>
    <row r="1573" spans="3:4" customFormat="1" x14ac:dyDescent="0.2">
      <c r="C1573" s="5"/>
      <c r="D1573" s="5"/>
    </row>
    <row r="1574" spans="3:4" customFormat="1" x14ac:dyDescent="0.2">
      <c r="C1574" s="5"/>
      <c r="D1574" s="5"/>
    </row>
    <row r="1575" spans="3:4" customFormat="1" x14ac:dyDescent="0.2">
      <c r="C1575" s="5"/>
      <c r="D1575" s="5"/>
    </row>
    <row r="1576" spans="3:4" customFormat="1" x14ac:dyDescent="0.2">
      <c r="C1576" s="5"/>
      <c r="D1576" s="5"/>
    </row>
    <row r="1577" spans="3:4" customFormat="1" x14ac:dyDescent="0.2">
      <c r="C1577" s="5"/>
      <c r="D1577" s="5"/>
    </row>
    <row r="1578" spans="3:4" customFormat="1" x14ac:dyDescent="0.2">
      <c r="C1578" s="5"/>
      <c r="D1578" s="5"/>
    </row>
    <row r="1579" spans="3:4" customFormat="1" x14ac:dyDescent="0.2">
      <c r="C1579" s="5"/>
      <c r="D1579" s="5"/>
    </row>
    <row r="1580" spans="3:4" customFormat="1" x14ac:dyDescent="0.2">
      <c r="C1580" s="5"/>
      <c r="D1580" s="5"/>
    </row>
    <row r="1581" spans="3:4" customFormat="1" x14ac:dyDescent="0.2">
      <c r="C1581" s="5"/>
      <c r="D1581" s="5"/>
    </row>
    <row r="1582" spans="3:4" customFormat="1" x14ac:dyDescent="0.2">
      <c r="C1582" s="5"/>
      <c r="D1582" s="5"/>
    </row>
    <row r="1583" spans="3:4" customFormat="1" x14ac:dyDescent="0.2">
      <c r="C1583" s="5"/>
      <c r="D1583" s="5"/>
    </row>
    <row r="1584" spans="3:4" customFormat="1" x14ac:dyDescent="0.2">
      <c r="C1584" s="5"/>
      <c r="D1584" s="5"/>
    </row>
    <row r="1585" spans="3:4" customFormat="1" x14ac:dyDescent="0.2">
      <c r="C1585" s="5"/>
      <c r="D1585" s="5"/>
    </row>
    <row r="1586" spans="3:4" customFormat="1" x14ac:dyDescent="0.2">
      <c r="C1586" s="5"/>
      <c r="D1586" s="5"/>
    </row>
    <row r="1587" spans="3:4" customFormat="1" x14ac:dyDescent="0.2">
      <c r="C1587" s="5"/>
      <c r="D1587" s="5"/>
    </row>
    <row r="1588" spans="3:4" customFormat="1" x14ac:dyDescent="0.2">
      <c r="C1588" s="5"/>
      <c r="D1588" s="5"/>
    </row>
    <row r="1589" spans="3:4" customFormat="1" x14ac:dyDescent="0.2">
      <c r="C1589" s="5"/>
      <c r="D1589" s="5"/>
    </row>
    <row r="1590" spans="3:4" customFormat="1" x14ac:dyDescent="0.2">
      <c r="C1590" s="5"/>
      <c r="D1590" s="5"/>
    </row>
    <row r="1591" spans="3:4" customFormat="1" x14ac:dyDescent="0.2">
      <c r="C1591" s="5"/>
      <c r="D1591" s="5"/>
    </row>
    <row r="1592" spans="3:4" customFormat="1" x14ac:dyDescent="0.2">
      <c r="C1592" s="5"/>
      <c r="D1592" s="5"/>
    </row>
    <row r="1593" spans="3:4" customFormat="1" x14ac:dyDescent="0.2">
      <c r="C1593" s="5"/>
      <c r="D1593" s="5"/>
    </row>
    <row r="1594" spans="3:4" customFormat="1" x14ac:dyDescent="0.2">
      <c r="C1594" s="5"/>
      <c r="D1594" s="5"/>
    </row>
    <row r="1595" spans="3:4" customFormat="1" x14ac:dyDescent="0.2">
      <c r="C1595" s="5"/>
      <c r="D1595" s="5"/>
    </row>
    <row r="1596" spans="3:4" customFormat="1" x14ac:dyDescent="0.2">
      <c r="C1596" s="5"/>
      <c r="D1596" s="5"/>
    </row>
    <row r="1597" spans="3:4" customFormat="1" x14ac:dyDescent="0.2">
      <c r="C1597" s="5"/>
      <c r="D1597" s="5"/>
    </row>
    <row r="1598" spans="3:4" customFormat="1" x14ac:dyDescent="0.2">
      <c r="C1598" s="5"/>
      <c r="D1598" s="5"/>
    </row>
    <row r="1599" spans="3:4" customFormat="1" x14ac:dyDescent="0.2">
      <c r="C1599" s="5"/>
      <c r="D1599" s="5"/>
    </row>
    <row r="1600" spans="3:4" customFormat="1" x14ac:dyDescent="0.2">
      <c r="C1600" s="5"/>
      <c r="D1600" s="5"/>
    </row>
    <row r="1601" spans="3:4" customFormat="1" x14ac:dyDescent="0.2">
      <c r="C1601" s="5"/>
      <c r="D1601" s="5"/>
    </row>
    <row r="1602" spans="3:4" customFormat="1" x14ac:dyDescent="0.2">
      <c r="C1602" s="5"/>
      <c r="D1602" s="5"/>
    </row>
    <row r="1603" spans="3:4" customFormat="1" x14ac:dyDescent="0.2">
      <c r="C1603" s="5"/>
      <c r="D1603" s="5"/>
    </row>
    <row r="1604" spans="3:4" customFormat="1" x14ac:dyDescent="0.2">
      <c r="C1604" s="5"/>
      <c r="D1604" s="5"/>
    </row>
    <row r="1605" spans="3:4" customFormat="1" x14ac:dyDescent="0.2">
      <c r="C1605" s="5"/>
      <c r="D1605" s="5"/>
    </row>
    <row r="1606" spans="3:4" customFormat="1" x14ac:dyDescent="0.2">
      <c r="C1606" s="5"/>
      <c r="D1606" s="5"/>
    </row>
    <row r="1607" spans="3:4" customFormat="1" x14ac:dyDescent="0.2">
      <c r="C1607" s="5"/>
      <c r="D1607" s="5"/>
    </row>
    <row r="1608" spans="3:4" customFormat="1" x14ac:dyDescent="0.2">
      <c r="C1608" s="5"/>
      <c r="D1608" s="5"/>
    </row>
    <row r="1609" spans="3:4" customFormat="1" x14ac:dyDescent="0.2">
      <c r="C1609" s="5"/>
      <c r="D1609" s="5"/>
    </row>
    <row r="1610" spans="3:4" customFormat="1" x14ac:dyDescent="0.2">
      <c r="C1610" s="5"/>
      <c r="D1610" s="5"/>
    </row>
    <row r="1611" spans="3:4" customFormat="1" x14ac:dyDescent="0.2">
      <c r="C1611" s="5"/>
      <c r="D1611" s="5"/>
    </row>
    <row r="1612" spans="3:4" customFormat="1" x14ac:dyDescent="0.2">
      <c r="C1612" s="5"/>
      <c r="D1612" s="5"/>
    </row>
    <row r="1613" spans="3:4" customFormat="1" x14ac:dyDescent="0.2">
      <c r="C1613" s="5"/>
      <c r="D1613" s="5"/>
    </row>
    <row r="1614" spans="3:4" customFormat="1" x14ac:dyDescent="0.2">
      <c r="C1614" s="5"/>
      <c r="D1614" s="5"/>
    </row>
    <row r="1615" spans="3:4" customFormat="1" x14ac:dyDescent="0.2">
      <c r="C1615" s="5"/>
      <c r="D1615" s="5"/>
    </row>
    <row r="1616" spans="3:4" customFormat="1" x14ac:dyDescent="0.2">
      <c r="C1616" s="5"/>
      <c r="D1616" s="5"/>
    </row>
    <row r="1617" spans="3:4" customFormat="1" x14ac:dyDescent="0.2">
      <c r="C1617" s="5"/>
      <c r="D1617" s="5"/>
    </row>
    <row r="1618" spans="3:4" customFormat="1" x14ac:dyDescent="0.2">
      <c r="C1618" s="5"/>
      <c r="D1618" s="5"/>
    </row>
    <row r="1619" spans="3:4" customFormat="1" x14ac:dyDescent="0.2">
      <c r="C1619" s="5"/>
      <c r="D1619" s="5"/>
    </row>
    <row r="1620" spans="3:4" customFormat="1" x14ac:dyDescent="0.2">
      <c r="C1620" s="5"/>
      <c r="D1620" s="5"/>
    </row>
    <row r="1621" spans="3:4" customFormat="1" x14ac:dyDescent="0.2">
      <c r="C1621" s="5"/>
      <c r="D1621" s="5"/>
    </row>
    <row r="1622" spans="3:4" customFormat="1" x14ac:dyDescent="0.2">
      <c r="C1622" s="5"/>
      <c r="D1622" s="5"/>
    </row>
    <row r="1623" spans="3:4" customFormat="1" x14ac:dyDescent="0.2">
      <c r="C1623" s="5"/>
      <c r="D1623" s="5"/>
    </row>
    <row r="1624" spans="3:4" customFormat="1" x14ac:dyDescent="0.2">
      <c r="C1624" s="5"/>
      <c r="D1624" s="5"/>
    </row>
    <row r="1625" spans="3:4" customFormat="1" x14ac:dyDescent="0.2">
      <c r="C1625" s="5"/>
      <c r="D1625" s="5"/>
    </row>
    <row r="1626" spans="3:4" customFormat="1" x14ac:dyDescent="0.2">
      <c r="C1626" s="5"/>
      <c r="D1626" s="5"/>
    </row>
    <row r="1627" spans="3:4" customFormat="1" x14ac:dyDescent="0.2">
      <c r="C1627" s="5"/>
      <c r="D1627" s="5"/>
    </row>
    <row r="1628" spans="3:4" customFormat="1" x14ac:dyDescent="0.2">
      <c r="C1628" s="5"/>
      <c r="D1628" s="5"/>
    </row>
    <row r="1629" spans="3:4" customFormat="1" x14ac:dyDescent="0.2">
      <c r="C1629" s="5"/>
      <c r="D1629" s="5"/>
    </row>
    <row r="1630" spans="3:4" customFormat="1" x14ac:dyDescent="0.2">
      <c r="C1630" s="5"/>
      <c r="D1630" s="5"/>
    </row>
    <row r="1631" spans="3:4" customFormat="1" x14ac:dyDescent="0.2">
      <c r="C1631" s="5"/>
      <c r="D1631" s="5"/>
    </row>
    <row r="1632" spans="3:4" customFormat="1" x14ac:dyDescent="0.2">
      <c r="C1632" s="5"/>
      <c r="D1632" s="5"/>
    </row>
    <row r="1633" spans="3:4" customFormat="1" x14ac:dyDescent="0.2">
      <c r="C1633" s="5"/>
      <c r="D1633" s="5"/>
    </row>
    <row r="1634" spans="3:4" customFormat="1" x14ac:dyDescent="0.2">
      <c r="C1634" s="5"/>
      <c r="D1634" s="5"/>
    </row>
    <row r="1635" spans="3:4" customFormat="1" x14ac:dyDescent="0.2">
      <c r="C1635" s="5"/>
      <c r="D1635" s="5"/>
    </row>
    <row r="1636" spans="3:4" customFormat="1" x14ac:dyDescent="0.2">
      <c r="C1636" s="5"/>
      <c r="D1636" s="5"/>
    </row>
    <row r="1637" spans="3:4" customFormat="1" x14ac:dyDescent="0.2">
      <c r="C1637" s="5"/>
      <c r="D1637" s="5"/>
    </row>
    <row r="1638" spans="3:4" customFormat="1" x14ac:dyDescent="0.2">
      <c r="C1638" s="5"/>
      <c r="D1638" s="5"/>
    </row>
    <row r="1639" spans="3:4" customFormat="1" x14ac:dyDescent="0.2">
      <c r="C1639" s="5"/>
      <c r="D1639" s="5"/>
    </row>
    <row r="1640" spans="3:4" customFormat="1" x14ac:dyDescent="0.2">
      <c r="C1640" s="5"/>
      <c r="D1640" s="5"/>
    </row>
    <row r="1641" spans="3:4" customFormat="1" x14ac:dyDescent="0.2">
      <c r="C1641" s="5"/>
      <c r="D1641" s="5"/>
    </row>
    <row r="1642" spans="3:4" customFormat="1" x14ac:dyDescent="0.2">
      <c r="C1642" s="5"/>
      <c r="D1642" s="5"/>
    </row>
    <row r="1643" spans="3:4" customFormat="1" x14ac:dyDescent="0.2">
      <c r="C1643" s="5"/>
      <c r="D1643" s="5"/>
    </row>
    <row r="1644" spans="3:4" customFormat="1" x14ac:dyDescent="0.2">
      <c r="C1644" s="5"/>
      <c r="D1644" s="5"/>
    </row>
    <row r="1645" spans="3:4" customFormat="1" x14ac:dyDescent="0.2">
      <c r="C1645" s="5"/>
      <c r="D1645" s="5"/>
    </row>
    <row r="1646" spans="3:4" customFormat="1" x14ac:dyDescent="0.2">
      <c r="C1646" s="5"/>
      <c r="D1646" s="5"/>
    </row>
    <row r="1647" spans="3:4" customFormat="1" x14ac:dyDescent="0.2">
      <c r="C1647" s="5"/>
      <c r="D1647" s="5"/>
    </row>
    <row r="1648" spans="3:4" customFormat="1" x14ac:dyDescent="0.2">
      <c r="C1648" s="5"/>
      <c r="D1648" s="5"/>
    </row>
    <row r="1649" spans="3:4" customFormat="1" x14ac:dyDescent="0.2">
      <c r="C1649" s="5"/>
      <c r="D1649" s="5"/>
    </row>
    <row r="1650" spans="3:4" customFormat="1" x14ac:dyDescent="0.2">
      <c r="C1650" s="5"/>
      <c r="D1650" s="5"/>
    </row>
    <row r="1651" spans="3:4" customFormat="1" x14ac:dyDescent="0.2">
      <c r="C1651" s="5"/>
      <c r="D1651" s="5"/>
    </row>
    <row r="1652" spans="3:4" customFormat="1" x14ac:dyDescent="0.2">
      <c r="C1652" s="5"/>
      <c r="D1652" s="5"/>
    </row>
    <row r="1653" spans="3:4" customFormat="1" x14ac:dyDescent="0.2">
      <c r="C1653" s="5"/>
      <c r="D1653" s="5"/>
    </row>
    <row r="1654" spans="3:4" customFormat="1" x14ac:dyDescent="0.2">
      <c r="C1654" s="5"/>
      <c r="D1654" s="5"/>
    </row>
    <row r="1655" spans="3:4" customFormat="1" x14ac:dyDescent="0.2">
      <c r="C1655" s="5"/>
      <c r="D1655" s="5"/>
    </row>
    <row r="1656" spans="3:4" customFormat="1" x14ac:dyDescent="0.2">
      <c r="C1656" s="5"/>
      <c r="D1656" s="5"/>
    </row>
    <row r="1657" spans="3:4" customFormat="1" x14ac:dyDescent="0.2">
      <c r="C1657" s="5"/>
      <c r="D1657" s="5"/>
    </row>
    <row r="1658" spans="3:4" customFormat="1" x14ac:dyDescent="0.2">
      <c r="C1658" s="5"/>
      <c r="D1658" s="5"/>
    </row>
    <row r="1659" spans="3:4" customFormat="1" x14ac:dyDescent="0.2">
      <c r="C1659" s="5"/>
      <c r="D1659" s="5"/>
    </row>
    <row r="1660" spans="3:4" customFormat="1" x14ac:dyDescent="0.2">
      <c r="C1660" s="5"/>
      <c r="D1660" s="5"/>
    </row>
    <row r="1661" spans="3:4" customFormat="1" x14ac:dyDescent="0.2">
      <c r="C1661" s="5"/>
      <c r="D1661" s="5"/>
    </row>
    <row r="1662" spans="3:4" customFormat="1" x14ac:dyDescent="0.2">
      <c r="C1662" s="5"/>
      <c r="D1662" s="5"/>
    </row>
    <row r="1663" spans="3:4" customFormat="1" x14ac:dyDescent="0.2">
      <c r="C1663" s="5"/>
      <c r="D1663" s="5"/>
    </row>
    <row r="1664" spans="3:4" customFormat="1" x14ac:dyDescent="0.2">
      <c r="C1664" s="5"/>
      <c r="D1664" s="5"/>
    </row>
    <row r="1665" spans="3:4" customFormat="1" x14ac:dyDescent="0.2">
      <c r="C1665" s="5"/>
      <c r="D1665" s="5"/>
    </row>
    <row r="1666" spans="3:4" customFormat="1" x14ac:dyDescent="0.2">
      <c r="C1666" s="5"/>
      <c r="D1666" s="5"/>
    </row>
    <row r="1667" spans="3:4" customFormat="1" x14ac:dyDescent="0.2">
      <c r="C1667" s="5"/>
      <c r="D1667" s="5"/>
    </row>
    <row r="1668" spans="3:4" customFormat="1" x14ac:dyDescent="0.2">
      <c r="C1668" s="5"/>
      <c r="D1668" s="5"/>
    </row>
    <row r="1669" spans="3:4" customFormat="1" x14ac:dyDescent="0.2">
      <c r="C1669" s="5"/>
      <c r="D1669" s="5"/>
    </row>
    <row r="1670" spans="3:4" customFormat="1" x14ac:dyDescent="0.2">
      <c r="C1670" s="5"/>
      <c r="D1670" s="5"/>
    </row>
    <row r="1671" spans="3:4" customFormat="1" x14ac:dyDescent="0.2">
      <c r="C1671" s="5"/>
      <c r="D1671" s="5"/>
    </row>
    <row r="1672" spans="3:4" customFormat="1" x14ac:dyDescent="0.2">
      <c r="C1672" s="5"/>
      <c r="D1672" s="5"/>
    </row>
    <row r="1673" spans="3:4" customFormat="1" x14ac:dyDescent="0.2">
      <c r="C1673" s="5"/>
      <c r="D1673" s="5"/>
    </row>
    <row r="1674" spans="3:4" customFormat="1" x14ac:dyDescent="0.2">
      <c r="C1674" s="5"/>
      <c r="D1674" s="5"/>
    </row>
    <row r="1675" spans="3:4" customFormat="1" x14ac:dyDescent="0.2">
      <c r="C1675" s="5"/>
      <c r="D1675" s="5"/>
    </row>
    <row r="1676" spans="3:4" customFormat="1" x14ac:dyDescent="0.2">
      <c r="C1676" s="5"/>
      <c r="D1676" s="5"/>
    </row>
    <row r="1677" spans="3:4" customFormat="1" x14ac:dyDescent="0.2">
      <c r="C1677" s="5"/>
      <c r="D1677" s="5"/>
    </row>
    <row r="1678" spans="3:4" customFormat="1" x14ac:dyDescent="0.2">
      <c r="C1678" s="5"/>
      <c r="D1678" s="5"/>
    </row>
    <row r="1679" spans="3:4" customFormat="1" x14ac:dyDescent="0.2">
      <c r="C1679" s="5"/>
      <c r="D1679" s="5"/>
    </row>
    <row r="1680" spans="3:4" customFormat="1" x14ac:dyDescent="0.2">
      <c r="C1680" s="5"/>
      <c r="D1680" s="5"/>
    </row>
    <row r="1681" spans="3:4" customFormat="1" x14ac:dyDescent="0.2">
      <c r="C1681" s="5"/>
      <c r="D1681" s="5"/>
    </row>
    <row r="1682" spans="3:4" customFormat="1" x14ac:dyDescent="0.2">
      <c r="C1682" s="5"/>
      <c r="D1682" s="5"/>
    </row>
    <row r="1683" spans="3:4" customFormat="1" x14ac:dyDescent="0.2">
      <c r="C1683" s="5"/>
      <c r="D1683" s="5"/>
    </row>
    <row r="1684" spans="3:4" customFormat="1" x14ac:dyDescent="0.2">
      <c r="C1684" s="5"/>
      <c r="D1684" s="5"/>
    </row>
    <row r="1685" spans="3:4" customFormat="1" x14ac:dyDescent="0.2">
      <c r="C1685" s="5"/>
      <c r="D1685" s="5"/>
    </row>
    <row r="1686" spans="3:4" customFormat="1" x14ac:dyDescent="0.2">
      <c r="C1686" s="5"/>
      <c r="D1686" s="5"/>
    </row>
    <row r="1687" spans="3:4" customFormat="1" x14ac:dyDescent="0.2">
      <c r="C1687" s="5"/>
      <c r="D1687" s="5"/>
    </row>
    <row r="1688" spans="3:4" customFormat="1" x14ac:dyDescent="0.2">
      <c r="C1688" s="5"/>
      <c r="D1688" s="5"/>
    </row>
    <row r="1689" spans="3:4" customFormat="1" x14ac:dyDescent="0.2">
      <c r="C1689" s="5"/>
      <c r="D1689" s="5"/>
    </row>
    <row r="1690" spans="3:4" customFormat="1" x14ac:dyDescent="0.2">
      <c r="C1690" s="5"/>
      <c r="D1690" s="5"/>
    </row>
    <row r="1691" spans="3:4" customFormat="1" x14ac:dyDescent="0.2">
      <c r="C1691" s="5"/>
      <c r="D1691" s="5"/>
    </row>
    <row r="1692" spans="3:4" customFormat="1" x14ac:dyDescent="0.2">
      <c r="C1692" s="5"/>
      <c r="D1692" s="5"/>
    </row>
    <row r="1693" spans="3:4" customFormat="1" x14ac:dyDescent="0.2">
      <c r="C1693" s="5"/>
      <c r="D1693" s="5"/>
    </row>
    <row r="1694" spans="3:4" customFormat="1" x14ac:dyDescent="0.2">
      <c r="C1694" s="5"/>
      <c r="D1694" s="5"/>
    </row>
    <row r="1695" spans="3:4" customFormat="1" x14ac:dyDescent="0.2">
      <c r="C1695" s="5"/>
      <c r="D1695" s="5"/>
    </row>
    <row r="1696" spans="3:4" customFormat="1" x14ac:dyDescent="0.2">
      <c r="C1696" s="5"/>
      <c r="D1696" s="5"/>
    </row>
    <row r="1697" spans="3:4" customFormat="1" x14ac:dyDescent="0.2">
      <c r="C1697" s="5"/>
      <c r="D1697" s="5"/>
    </row>
    <row r="1698" spans="3:4" customFormat="1" x14ac:dyDescent="0.2">
      <c r="C1698" s="5"/>
      <c r="D1698" s="5"/>
    </row>
    <row r="1699" spans="3:4" customFormat="1" x14ac:dyDescent="0.2">
      <c r="C1699" s="5"/>
      <c r="D1699" s="5"/>
    </row>
    <row r="1700" spans="3:4" customFormat="1" x14ac:dyDescent="0.2">
      <c r="C1700" s="5"/>
      <c r="D1700" s="5"/>
    </row>
    <row r="1701" spans="3:4" customFormat="1" x14ac:dyDescent="0.2">
      <c r="C1701" s="5"/>
      <c r="D1701" s="5"/>
    </row>
    <row r="1702" spans="3:4" customFormat="1" x14ac:dyDescent="0.2">
      <c r="C1702" s="5"/>
      <c r="D1702" s="5"/>
    </row>
    <row r="1703" spans="3:4" customFormat="1" x14ac:dyDescent="0.2">
      <c r="C1703" s="5"/>
      <c r="D1703" s="5"/>
    </row>
    <row r="1704" spans="3:4" customFormat="1" x14ac:dyDescent="0.2">
      <c r="C1704" s="5"/>
      <c r="D1704" s="5"/>
    </row>
    <row r="1705" spans="3:4" customFormat="1" x14ac:dyDescent="0.2">
      <c r="C1705" s="5"/>
      <c r="D1705" s="5"/>
    </row>
    <row r="1706" spans="3:4" customFormat="1" x14ac:dyDescent="0.2">
      <c r="C1706" s="5"/>
      <c r="D1706" s="5"/>
    </row>
    <row r="1707" spans="3:4" customFormat="1" x14ac:dyDescent="0.2">
      <c r="C1707" s="5"/>
      <c r="D1707" s="5"/>
    </row>
    <row r="1708" spans="3:4" customFormat="1" x14ac:dyDescent="0.2">
      <c r="C1708" s="5"/>
      <c r="D1708" s="5"/>
    </row>
    <row r="1709" spans="3:4" customFormat="1" x14ac:dyDescent="0.2">
      <c r="C1709" s="5"/>
      <c r="D1709" s="5"/>
    </row>
    <row r="1710" spans="3:4" customFormat="1" x14ac:dyDescent="0.2">
      <c r="C1710" s="5"/>
      <c r="D1710" s="5"/>
    </row>
    <row r="1711" spans="3:4" customFormat="1" x14ac:dyDescent="0.2">
      <c r="C1711" s="5"/>
      <c r="D1711" s="5"/>
    </row>
    <row r="1712" spans="3:4" customFormat="1" x14ac:dyDescent="0.2">
      <c r="C1712" s="5"/>
      <c r="D1712" s="5"/>
    </row>
    <row r="1713" spans="3:4" customFormat="1" x14ac:dyDescent="0.2">
      <c r="C1713" s="5"/>
      <c r="D1713" s="5"/>
    </row>
    <row r="1714" spans="3:4" customFormat="1" x14ac:dyDescent="0.2">
      <c r="C1714" s="5"/>
      <c r="D1714" s="5"/>
    </row>
    <row r="1715" spans="3:4" customFormat="1" x14ac:dyDescent="0.2">
      <c r="C1715" s="5"/>
      <c r="D1715" s="5"/>
    </row>
    <row r="1716" spans="3:4" customFormat="1" x14ac:dyDescent="0.2">
      <c r="C1716" s="5"/>
      <c r="D1716" s="5"/>
    </row>
    <row r="1717" spans="3:4" customFormat="1" x14ac:dyDescent="0.2">
      <c r="C1717" s="5"/>
      <c r="D1717" s="5"/>
    </row>
    <row r="1718" spans="3:4" customFormat="1" x14ac:dyDescent="0.2">
      <c r="C1718" s="5"/>
      <c r="D1718" s="5"/>
    </row>
    <row r="1719" spans="3:4" customFormat="1" x14ac:dyDescent="0.2">
      <c r="C1719" s="5"/>
      <c r="D1719" s="5"/>
    </row>
    <row r="1720" spans="3:4" customFormat="1" x14ac:dyDescent="0.2">
      <c r="C1720" s="5"/>
      <c r="D1720" s="5"/>
    </row>
    <row r="1721" spans="3:4" customFormat="1" x14ac:dyDescent="0.2">
      <c r="C1721" s="5"/>
      <c r="D1721" s="5"/>
    </row>
    <row r="1722" spans="3:4" customFormat="1" x14ac:dyDescent="0.2">
      <c r="C1722" s="5"/>
      <c r="D1722" s="5"/>
    </row>
    <row r="1723" spans="3:4" customFormat="1" x14ac:dyDescent="0.2">
      <c r="C1723" s="5"/>
      <c r="D1723" s="5"/>
    </row>
    <row r="1724" spans="3:4" customFormat="1" x14ac:dyDescent="0.2">
      <c r="C1724" s="5"/>
      <c r="D1724" s="5"/>
    </row>
    <row r="1725" spans="3:4" customFormat="1" x14ac:dyDescent="0.2">
      <c r="C1725" s="5"/>
      <c r="D1725" s="5"/>
    </row>
    <row r="1726" spans="3:4" customFormat="1" x14ac:dyDescent="0.2">
      <c r="C1726" s="5"/>
      <c r="D1726" s="5"/>
    </row>
    <row r="1727" spans="3:4" customFormat="1" x14ac:dyDescent="0.2">
      <c r="C1727" s="5"/>
      <c r="D1727" s="5"/>
    </row>
    <row r="1728" spans="3:4" customFormat="1" x14ac:dyDescent="0.2">
      <c r="C1728" s="5"/>
      <c r="D1728" s="5"/>
    </row>
    <row r="1729" spans="3:4" customFormat="1" x14ac:dyDescent="0.2">
      <c r="C1729" s="5"/>
      <c r="D1729" s="5"/>
    </row>
    <row r="1730" spans="3:4" customFormat="1" x14ac:dyDescent="0.2">
      <c r="C1730" s="5"/>
      <c r="D1730" s="5"/>
    </row>
    <row r="1731" spans="3:4" customFormat="1" x14ac:dyDescent="0.2">
      <c r="C1731" s="5"/>
      <c r="D1731" s="5"/>
    </row>
    <row r="1732" spans="3:4" customFormat="1" x14ac:dyDescent="0.2">
      <c r="C1732" s="5"/>
      <c r="D1732" s="5"/>
    </row>
    <row r="1733" spans="3:4" customFormat="1" x14ac:dyDescent="0.2">
      <c r="C1733" s="5"/>
      <c r="D1733" s="5"/>
    </row>
    <row r="1734" spans="3:4" customFormat="1" x14ac:dyDescent="0.2">
      <c r="C1734" s="5"/>
      <c r="D1734" s="5"/>
    </row>
    <row r="1735" spans="3:4" customFormat="1" x14ac:dyDescent="0.2">
      <c r="C1735" s="5"/>
      <c r="D1735" s="5"/>
    </row>
    <row r="1736" spans="3:4" customFormat="1" x14ac:dyDescent="0.2">
      <c r="C1736" s="5"/>
      <c r="D1736" s="5"/>
    </row>
    <row r="1737" spans="3:4" customFormat="1" x14ac:dyDescent="0.2">
      <c r="C1737" s="5"/>
      <c r="D1737" s="5"/>
    </row>
    <row r="1738" spans="3:4" customFormat="1" x14ac:dyDescent="0.2">
      <c r="C1738" s="5"/>
      <c r="D1738" s="5"/>
    </row>
    <row r="1739" spans="3:4" customFormat="1" x14ac:dyDescent="0.2">
      <c r="C1739" s="5"/>
      <c r="D1739" s="5"/>
    </row>
    <row r="1740" spans="3:4" customFormat="1" x14ac:dyDescent="0.2">
      <c r="C1740" s="5"/>
      <c r="D1740" s="5"/>
    </row>
    <row r="1741" spans="3:4" customFormat="1" x14ac:dyDescent="0.2">
      <c r="C1741" s="5"/>
      <c r="D1741" s="5"/>
    </row>
    <row r="1742" spans="3:4" customFormat="1" x14ac:dyDescent="0.2">
      <c r="C1742" s="5"/>
      <c r="D1742" s="5"/>
    </row>
    <row r="1743" spans="3:4" customFormat="1" x14ac:dyDescent="0.2">
      <c r="C1743" s="5"/>
      <c r="D1743" s="5"/>
    </row>
    <row r="1744" spans="3:4" customFormat="1" x14ac:dyDescent="0.2">
      <c r="C1744" s="5"/>
      <c r="D1744" s="5"/>
    </row>
    <row r="1745" spans="3:4" customFormat="1" x14ac:dyDescent="0.2">
      <c r="C1745" s="5"/>
      <c r="D1745" s="5"/>
    </row>
    <row r="1746" spans="3:4" customFormat="1" x14ac:dyDescent="0.2">
      <c r="C1746" s="5"/>
      <c r="D1746" s="5"/>
    </row>
    <row r="1747" spans="3:4" customFormat="1" x14ac:dyDescent="0.2">
      <c r="C1747" s="5"/>
      <c r="D1747" s="5"/>
    </row>
    <row r="1748" spans="3:4" customFormat="1" x14ac:dyDescent="0.2">
      <c r="C1748" s="5"/>
      <c r="D1748" s="5"/>
    </row>
    <row r="1749" spans="3:4" customFormat="1" x14ac:dyDescent="0.2">
      <c r="C1749" s="5"/>
      <c r="D1749" s="5"/>
    </row>
    <row r="1750" spans="3:4" customFormat="1" x14ac:dyDescent="0.2">
      <c r="C1750" s="5"/>
      <c r="D1750" s="5"/>
    </row>
    <row r="1751" spans="3:4" customFormat="1" x14ac:dyDescent="0.2">
      <c r="C1751" s="5"/>
      <c r="D1751" s="5"/>
    </row>
    <row r="1752" spans="3:4" customFormat="1" x14ac:dyDescent="0.2">
      <c r="C1752" s="5"/>
      <c r="D1752" s="5"/>
    </row>
    <row r="1753" spans="3:4" customFormat="1" x14ac:dyDescent="0.2">
      <c r="C1753" s="5"/>
      <c r="D1753" s="5"/>
    </row>
    <row r="1754" spans="3:4" customFormat="1" x14ac:dyDescent="0.2">
      <c r="C1754" s="5"/>
      <c r="D1754" s="5"/>
    </row>
    <row r="1755" spans="3:4" customFormat="1" x14ac:dyDescent="0.2">
      <c r="C1755" s="5"/>
      <c r="D1755" s="5"/>
    </row>
    <row r="1756" spans="3:4" customFormat="1" x14ac:dyDescent="0.2">
      <c r="C1756" s="5"/>
      <c r="D1756" s="5"/>
    </row>
    <row r="1757" spans="3:4" customFormat="1" x14ac:dyDescent="0.2">
      <c r="C1757" s="5"/>
      <c r="D1757" s="5"/>
    </row>
    <row r="1758" spans="3:4" customFormat="1" x14ac:dyDescent="0.2">
      <c r="C1758" s="5"/>
      <c r="D1758" s="5"/>
    </row>
    <row r="1759" spans="3:4" customFormat="1" x14ac:dyDescent="0.2">
      <c r="C1759" s="5"/>
      <c r="D1759" s="5"/>
    </row>
    <row r="1760" spans="3:4" customFormat="1" x14ac:dyDescent="0.2">
      <c r="C1760" s="5"/>
      <c r="D1760" s="5"/>
    </row>
    <row r="1761" spans="3:4" customFormat="1" x14ac:dyDescent="0.2">
      <c r="C1761" s="5"/>
      <c r="D1761" s="5"/>
    </row>
    <row r="1762" spans="3:4" customFormat="1" x14ac:dyDescent="0.2">
      <c r="C1762" s="5"/>
      <c r="D1762" s="5"/>
    </row>
    <row r="1763" spans="3:4" customFormat="1" x14ac:dyDescent="0.2">
      <c r="C1763" s="5"/>
      <c r="D1763" s="5"/>
    </row>
    <row r="1764" spans="3:4" customFormat="1" x14ac:dyDescent="0.2">
      <c r="C1764" s="5"/>
      <c r="D1764" s="5"/>
    </row>
    <row r="1765" spans="3:4" customFormat="1" x14ac:dyDescent="0.2">
      <c r="C1765" s="5"/>
      <c r="D1765" s="5"/>
    </row>
    <row r="1766" spans="3:4" customFormat="1" x14ac:dyDescent="0.2">
      <c r="C1766" s="5"/>
      <c r="D1766" s="5"/>
    </row>
    <row r="1767" spans="3:4" customFormat="1" x14ac:dyDescent="0.2">
      <c r="C1767" s="5"/>
      <c r="D1767" s="5"/>
    </row>
    <row r="1768" spans="3:4" customFormat="1" x14ac:dyDescent="0.2">
      <c r="C1768" s="5"/>
      <c r="D1768" s="5"/>
    </row>
    <row r="1769" spans="3:4" customFormat="1" x14ac:dyDescent="0.2">
      <c r="C1769" s="5"/>
      <c r="D1769" s="5"/>
    </row>
    <row r="1770" spans="3:4" customFormat="1" x14ac:dyDescent="0.2">
      <c r="C1770" s="5"/>
      <c r="D1770" s="5"/>
    </row>
    <row r="1771" spans="3:4" customFormat="1" x14ac:dyDescent="0.2">
      <c r="C1771" s="5"/>
      <c r="D1771" s="5"/>
    </row>
    <row r="1772" spans="3:4" customFormat="1" x14ac:dyDescent="0.2">
      <c r="C1772" s="5"/>
      <c r="D1772" s="5"/>
    </row>
    <row r="1773" spans="3:4" customFormat="1" x14ac:dyDescent="0.2">
      <c r="C1773" s="5"/>
      <c r="D1773" s="5"/>
    </row>
    <row r="1774" spans="3:4" customFormat="1" x14ac:dyDescent="0.2">
      <c r="C1774" s="5"/>
      <c r="D1774" s="5"/>
    </row>
    <row r="1775" spans="3:4" customFormat="1" x14ac:dyDescent="0.2">
      <c r="C1775" s="5"/>
      <c r="D1775" s="5"/>
    </row>
    <row r="1776" spans="3:4" customFormat="1" x14ac:dyDescent="0.2">
      <c r="C1776" s="5"/>
      <c r="D1776" s="5"/>
    </row>
    <row r="1777" spans="3:4" customFormat="1" x14ac:dyDescent="0.2">
      <c r="C1777" s="5"/>
      <c r="D1777" s="5"/>
    </row>
    <row r="1778" spans="3:4" customFormat="1" x14ac:dyDescent="0.2">
      <c r="C1778" s="5"/>
      <c r="D1778" s="5"/>
    </row>
    <row r="1779" spans="3:4" customFormat="1" x14ac:dyDescent="0.2">
      <c r="C1779" s="5"/>
      <c r="D1779" s="5"/>
    </row>
    <row r="1780" spans="3:4" customFormat="1" x14ac:dyDescent="0.2">
      <c r="C1780" s="5"/>
      <c r="D1780" s="5"/>
    </row>
    <row r="1781" spans="3:4" customFormat="1" x14ac:dyDescent="0.2">
      <c r="C1781" s="5"/>
      <c r="D1781" s="5"/>
    </row>
    <row r="1782" spans="3:4" customFormat="1" x14ac:dyDescent="0.2">
      <c r="C1782" s="5"/>
      <c r="D1782" s="5"/>
    </row>
    <row r="1783" spans="3:4" customFormat="1" x14ac:dyDescent="0.2">
      <c r="C1783" s="5"/>
      <c r="D1783" s="5"/>
    </row>
    <row r="1784" spans="3:4" customFormat="1" x14ac:dyDescent="0.2">
      <c r="C1784" s="5"/>
      <c r="D1784" s="5"/>
    </row>
    <row r="1785" spans="3:4" customFormat="1" x14ac:dyDescent="0.2">
      <c r="C1785" s="5"/>
      <c r="D1785" s="5"/>
    </row>
    <row r="1786" spans="3:4" customFormat="1" x14ac:dyDescent="0.2">
      <c r="C1786" s="5"/>
      <c r="D1786" s="5"/>
    </row>
    <row r="1787" spans="3:4" customFormat="1" x14ac:dyDescent="0.2">
      <c r="C1787" s="5"/>
      <c r="D1787" s="5"/>
    </row>
    <row r="1788" spans="3:4" customFormat="1" x14ac:dyDescent="0.2">
      <c r="C1788" s="5"/>
      <c r="D1788" s="5"/>
    </row>
    <row r="1789" spans="3:4" customFormat="1" x14ac:dyDescent="0.2">
      <c r="C1789" s="5"/>
      <c r="D1789" s="5"/>
    </row>
    <row r="1790" spans="3:4" customFormat="1" x14ac:dyDescent="0.2">
      <c r="C1790" s="5"/>
      <c r="D1790" s="5"/>
    </row>
    <row r="1791" spans="3:4" customFormat="1" x14ac:dyDescent="0.2">
      <c r="C1791" s="5"/>
      <c r="D1791" s="5"/>
    </row>
    <row r="1792" spans="3:4" customFormat="1" x14ac:dyDescent="0.2">
      <c r="C1792" s="5"/>
      <c r="D1792" s="5"/>
    </row>
    <row r="1793" spans="3:4" customFormat="1" x14ac:dyDescent="0.2">
      <c r="C1793" s="5"/>
      <c r="D1793" s="5"/>
    </row>
    <row r="1794" spans="3:4" customFormat="1" x14ac:dyDescent="0.2">
      <c r="C1794" s="5"/>
      <c r="D1794" s="5"/>
    </row>
    <row r="1795" spans="3:4" customFormat="1" x14ac:dyDescent="0.2">
      <c r="C1795" s="5"/>
      <c r="D1795" s="5"/>
    </row>
    <row r="1796" spans="3:4" customFormat="1" x14ac:dyDescent="0.2">
      <c r="C1796" s="5"/>
      <c r="D1796" s="5"/>
    </row>
    <row r="1797" spans="3:4" customFormat="1" x14ac:dyDescent="0.2">
      <c r="C1797" s="5"/>
      <c r="D1797" s="5"/>
    </row>
    <row r="1798" spans="3:4" customFormat="1" x14ac:dyDescent="0.2">
      <c r="C1798" s="5"/>
      <c r="D1798" s="5"/>
    </row>
    <row r="1799" spans="3:4" customFormat="1" x14ac:dyDescent="0.2">
      <c r="C1799" s="5"/>
      <c r="D1799" s="5"/>
    </row>
    <row r="1800" spans="3:4" customFormat="1" x14ac:dyDescent="0.2">
      <c r="C1800" s="5"/>
      <c r="D1800" s="5"/>
    </row>
    <row r="1801" spans="3:4" customFormat="1" x14ac:dyDescent="0.2">
      <c r="C1801" s="5"/>
      <c r="D1801" s="5"/>
    </row>
    <row r="1802" spans="3:4" customFormat="1" x14ac:dyDescent="0.2">
      <c r="C1802" s="5"/>
      <c r="D1802" s="5"/>
    </row>
    <row r="1803" spans="3:4" customFormat="1" x14ac:dyDescent="0.2">
      <c r="C1803" s="5"/>
      <c r="D1803" s="5"/>
    </row>
    <row r="1804" spans="3:4" customFormat="1" x14ac:dyDescent="0.2">
      <c r="C1804" s="5"/>
      <c r="D1804" s="5"/>
    </row>
    <row r="1805" spans="3:4" customFormat="1" x14ac:dyDescent="0.2">
      <c r="C1805" s="5"/>
      <c r="D1805" s="5"/>
    </row>
    <row r="1806" spans="3:4" customFormat="1" x14ac:dyDescent="0.2">
      <c r="C1806" s="5"/>
      <c r="D1806" s="5"/>
    </row>
    <row r="1807" spans="3:4" customFormat="1" x14ac:dyDescent="0.2">
      <c r="C1807" s="5"/>
      <c r="D1807" s="5"/>
    </row>
    <row r="1808" spans="3:4" customFormat="1" x14ac:dyDescent="0.2">
      <c r="C1808" s="5"/>
      <c r="D1808" s="5"/>
    </row>
    <row r="1809" spans="3:4" customFormat="1" x14ac:dyDescent="0.2">
      <c r="C1809" s="5"/>
      <c r="D1809" s="5"/>
    </row>
    <row r="1810" spans="3:4" customFormat="1" x14ac:dyDescent="0.2">
      <c r="C1810" s="5"/>
      <c r="D1810" s="5"/>
    </row>
    <row r="1811" spans="3:4" customFormat="1" x14ac:dyDescent="0.2">
      <c r="C1811" s="5"/>
      <c r="D1811" s="5"/>
    </row>
    <row r="1812" spans="3:4" customFormat="1" x14ac:dyDescent="0.2">
      <c r="C1812" s="5"/>
      <c r="D1812" s="5"/>
    </row>
    <row r="1813" spans="3:4" customFormat="1" x14ac:dyDescent="0.2">
      <c r="C1813" s="5"/>
      <c r="D1813" s="5"/>
    </row>
    <row r="1814" spans="3:4" customFormat="1" x14ac:dyDescent="0.2">
      <c r="C1814" s="5"/>
      <c r="D1814" s="5"/>
    </row>
    <row r="1815" spans="3:4" customFormat="1" x14ac:dyDescent="0.2">
      <c r="C1815" s="5"/>
      <c r="D1815" s="5"/>
    </row>
    <row r="1816" spans="3:4" customFormat="1" x14ac:dyDescent="0.2">
      <c r="C1816" s="5"/>
      <c r="D1816" s="5"/>
    </row>
    <row r="1817" spans="3:4" customFormat="1" x14ac:dyDescent="0.2">
      <c r="C1817" s="5"/>
      <c r="D1817" s="5"/>
    </row>
    <row r="1818" spans="3:4" customFormat="1" x14ac:dyDescent="0.2">
      <c r="C1818" s="5"/>
      <c r="D1818" s="5"/>
    </row>
    <row r="1819" spans="3:4" customFormat="1" x14ac:dyDescent="0.2">
      <c r="C1819" s="5"/>
      <c r="D1819" s="5"/>
    </row>
    <row r="1820" spans="3:4" customFormat="1" x14ac:dyDescent="0.2">
      <c r="C1820" s="5"/>
      <c r="D1820" s="5"/>
    </row>
    <row r="1821" spans="3:4" customFormat="1" x14ac:dyDescent="0.2">
      <c r="C1821" s="5"/>
      <c r="D1821" s="5"/>
    </row>
    <row r="1822" spans="3:4" customFormat="1" x14ac:dyDescent="0.2">
      <c r="C1822" s="5"/>
      <c r="D1822" s="5"/>
    </row>
    <row r="1823" spans="3:4" customFormat="1" x14ac:dyDescent="0.2">
      <c r="C1823" s="5"/>
      <c r="D1823" s="5"/>
    </row>
    <row r="1824" spans="3:4" customFormat="1" x14ac:dyDescent="0.2">
      <c r="C1824" s="5"/>
      <c r="D1824" s="5"/>
    </row>
    <row r="1825" spans="3:4" customFormat="1" x14ac:dyDescent="0.2">
      <c r="C1825" s="5"/>
      <c r="D1825" s="5"/>
    </row>
    <row r="1826" spans="3:4" customFormat="1" x14ac:dyDescent="0.2">
      <c r="C1826" s="5"/>
      <c r="D1826" s="5"/>
    </row>
    <row r="1827" spans="3:4" customFormat="1" x14ac:dyDescent="0.2">
      <c r="C1827" s="5"/>
      <c r="D1827" s="5"/>
    </row>
    <row r="1828" spans="3:4" customFormat="1" x14ac:dyDescent="0.2">
      <c r="C1828" s="5"/>
      <c r="D1828" s="5"/>
    </row>
    <row r="1829" spans="3:4" customFormat="1" x14ac:dyDescent="0.2">
      <c r="C1829" s="5"/>
      <c r="D1829" s="5"/>
    </row>
    <row r="1830" spans="3:4" customFormat="1" x14ac:dyDescent="0.2">
      <c r="C1830" s="5"/>
      <c r="D1830" s="5"/>
    </row>
    <row r="1831" spans="3:4" customFormat="1" x14ac:dyDescent="0.2">
      <c r="C1831" s="5"/>
      <c r="D1831" s="5"/>
    </row>
    <row r="1832" spans="3:4" customFormat="1" x14ac:dyDescent="0.2">
      <c r="C1832" s="5"/>
      <c r="D1832" s="5"/>
    </row>
    <row r="1833" spans="3:4" customFormat="1" x14ac:dyDescent="0.2">
      <c r="C1833" s="5"/>
      <c r="D1833" s="5"/>
    </row>
    <row r="1834" spans="3:4" customFormat="1" x14ac:dyDescent="0.2">
      <c r="C1834" s="5"/>
      <c r="D1834" s="5"/>
    </row>
    <row r="1835" spans="3:4" customFormat="1" x14ac:dyDescent="0.2">
      <c r="C1835" s="5"/>
      <c r="D1835" s="5"/>
    </row>
    <row r="1836" spans="3:4" customFormat="1" x14ac:dyDescent="0.2">
      <c r="C1836" s="5"/>
      <c r="D1836" s="5"/>
    </row>
    <row r="1837" spans="3:4" customFormat="1" x14ac:dyDescent="0.2">
      <c r="C1837" s="5"/>
      <c r="D1837" s="5"/>
    </row>
    <row r="1838" spans="3:4" customFormat="1" x14ac:dyDescent="0.2">
      <c r="C1838" s="5"/>
      <c r="D1838" s="5"/>
    </row>
    <row r="1839" spans="3:4" customFormat="1" x14ac:dyDescent="0.2">
      <c r="C1839" s="5"/>
      <c r="D1839" s="5"/>
    </row>
    <row r="1840" spans="3:4" customFormat="1" x14ac:dyDescent="0.2">
      <c r="C1840" s="5"/>
      <c r="D1840" s="5"/>
    </row>
    <row r="1841" spans="3:4" customFormat="1" x14ac:dyDescent="0.2">
      <c r="C1841" s="5"/>
      <c r="D1841" s="5"/>
    </row>
    <row r="1842" spans="3:4" customFormat="1" x14ac:dyDescent="0.2">
      <c r="C1842" s="5"/>
      <c r="D1842" s="5"/>
    </row>
    <row r="1843" spans="3:4" customFormat="1" x14ac:dyDescent="0.2">
      <c r="C1843" s="5"/>
      <c r="D1843" s="5"/>
    </row>
    <row r="1844" spans="3:4" customFormat="1" x14ac:dyDescent="0.2">
      <c r="C1844" s="5"/>
      <c r="D1844" s="5"/>
    </row>
    <row r="1845" spans="3:4" customFormat="1" x14ac:dyDescent="0.2">
      <c r="C1845" s="5"/>
      <c r="D1845" s="5"/>
    </row>
    <row r="1846" spans="3:4" customFormat="1" x14ac:dyDescent="0.2">
      <c r="C1846" s="5"/>
      <c r="D1846" s="5"/>
    </row>
    <row r="1847" spans="3:4" customFormat="1" x14ac:dyDescent="0.2">
      <c r="C1847" s="5"/>
      <c r="D1847" s="5"/>
    </row>
    <row r="1848" spans="3:4" customFormat="1" x14ac:dyDescent="0.2">
      <c r="C1848" s="5"/>
      <c r="D1848" s="5"/>
    </row>
    <row r="1849" spans="3:4" customFormat="1" x14ac:dyDescent="0.2">
      <c r="C1849" s="5"/>
      <c r="D1849" s="5"/>
    </row>
    <row r="1850" spans="3:4" customFormat="1" x14ac:dyDescent="0.2">
      <c r="C1850" s="5"/>
      <c r="D1850" s="5"/>
    </row>
    <row r="1851" spans="3:4" customFormat="1" x14ac:dyDescent="0.2">
      <c r="C1851" s="5"/>
      <c r="D1851" s="5"/>
    </row>
    <row r="1852" spans="3:4" customFormat="1" x14ac:dyDescent="0.2">
      <c r="C1852" s="5"/>
      <c r="D1852" s="5"/>
    </row>
    <row r="1853" spans="3:4" customFormat="1" x14ac:dyDescent="0.2">
      <c r="C1853" s="5"/>
      <c r="D1853" s="5"/>
    </row>
    <row r="1854" spans="3:4" customFormat="1" x14ac:dyDescent="0.2">
      <c r="C1854" s="5"/>
      <c r="D1854" s="5"/>
    </row>
    <row r="1855" spans="3:4" customFormat="1" x14ac:dyDescent="0.2">
      <c r="C1855" s="5"/>
      <c r="D1855" s="5"/>
    </row>
    <row r="1856" spans="3:4" customFormat="1" x14ac:dyDescent="0.2">
      <c r="C1856" s="5"/>
      <c r="D1856" s="5"/>
    </row>
    <row r="1857" spans="3:4" customFormat="1" x14ac:dyDescent="0.2">
      <c r="C1857" s="5"/>
      <c r="D1857" s="5"/>
    </row>
    <row r="1858" spans="3:4" customFormat="1" x14ac:dyDescent="0.2">
      <c r="C1858" s="5"/>
      <c r="D1858" s="5"/>
    </row>
    <row r="1859" spans="3:4" customFormat="1" x14ac:dyDescent="0.2">
      <c r="C1859" s="5"/>
      <c r="D1859" s="5"/>
    </row>
    <row r="1860" spans="3:4" customFormat="1" x14ac:dyDescent="0.2">
      <c r="C1860" s="5"/>
      <c r="D1860" s="5"/>
    </row>
    <row r="1861" spans="3:4" customFormat="1" x14ac:dyDescent="0.2">
      <c r="C1861" s="5"/>
      <c r="D1861" s="5"/>
    </row>
    <row r="1862" spans="3:4" customFormat="1" x14ac:dyDescent="0.2">
      <c r="C1862" s="5"/>
      <c r="D1862" s="5"/>
    </row>
    <row r="1863" spans="3:4" customFormat="1" x14ac:dyDescent="0.2">
      <c r="C1863" s="5"/>
      <c r="D1863" s="5"/>
    </row>
    <row r="1864" spans="3:4" customFormat="1" x14ac:dyDescent="0.2">
      <c r="C1864" s="5"/>
      <c r="D1864" s="5"/>
    </row>
    <row r="1865" spans="3:4" customFormat="1" x14ac:dyDescent="0.2">
      <c r="C1865" s="5"/>
      <c r="D1865" s="5"/>
    </row>
    <row r="1866" spans="3:4" customFormat="1" x14ac:dyDescent="0.2">
      <c r="C1866" s="5"/>
      <c r="D1866" s="5"/>
    </row>
    <row r="1867" spans="3:4" customFormat="1" x14ac:dyDescent="0.2">
      <c r="C1867" s="5"/>
      <c r="D1867" s="5"/>
    </row>
    <row r="1868" spans="3:4" customFormat="1" x14ac:dyDescent="0.2">
      <c r="C1868" s="5"/>
      <c r="D1868" s="5"/>
    </row>
    <row r="1869" spans="3:4" customFormat="1" x14ac:dyDescent="0.2">
      <c r="C1869" s="5"/>
      <c r="D1869" s="5"/>
    </row>
    <row r="1870" spans="3:4" customFormat="1" x14ac:dyDescent="0.2">
      <c r="C1870" s="5"/>
      <c r="D1870" s="5"/>
    </row>
    <row r="1871" spans="3:4" customFormat="1" x14ac:dyDescent="0.2">
      <c r="C1871" s="5"/>
      <c r="D1871" s="5"/>
    </row>
    <row r="1872" spans="3:4" customFormat="1" x14ac:dyDescent="0.2">
      <c r="C1872" s="5"/>
      <c r="D1872" s="5"/>
    </row>
    <row r="1873" spans="3:4" customFormat="1" x14ac:dyDescent="0.2">
      <c r="C1873" s="5"/>
      <c r="D1873" s="5"/>
    </row>
    <row r="1874" spans="3:4" customFormat="1" x14ac:dyDescent="0.2">
      <c r="C1874" s="5"/>
      <c r="D1874" s="5"/>
    </row>
    <row r="1875" spans="3:4" customFormat="1" x14ac:dyDescent="0.2">
      <c r="C1875" s="5"/>
      <c r="D1875" s="5"/>
    </row>
    <row r="1876" spans="3:4" customFormat="1" x14ac:dyDescent="0.2">
      <c r="C1876" s="5"/>
      <c r="D1876" s="5"/>
    </row>
    <row r="1877" spans="3:4" customFormat="1" x14ac:dyDescent="0.2">
      <c r="C1877" s="5"/>
      <c r="D1877" s="5"/>
    </row>
    <row r="1878" spans="3:4" customFormat="1" x14ac:dyDescent="0.2">
      <c r="C1878" s="5"/>
      <c r="D1878" s="5"/>
    </row>
    <row r="1879" spans="3:4" customFormat="1" x14ac:dyDescent="0.2">
      <c r="C1879" s="5"/>
      <c r="D1879" s="5"/>
    </row>
    <row r="1880" spans="3:4" customFormat="1" x14ac:dyDescent="0.2">
      <c r="C1880" s="5"/>
      <c r="D1880" s="5"/>
    </row>
    <row r="1881" spans="3:4" customFormat="1" x14ac:dyDescent="0.2">
      <c r="C1881" s="5"/>
      <c r="D1881" s="5"/>
    </row>
    <row r="1882" spans="3:4" customFormat="1" x14ac:dyDescent="0.2">
      <c r="C1882" s="5"/>
      <c r="D1882" s="5"/>
    </row>
    <row r="1883" spans="3:4" customFormat="1" x14ac:dyDescent="0.2">
      <c r="C1883" s="5"/>
      <c r="D1883" s="5"/>
    </row>
    <row r="1884" spans="3:4" customFormat="1" x14ac:dyDescent="0.2">
      <c r="C1884" s="5"/>
      <c r="D1884" s="5"/>
    </row>
    <row r="1885" spans="3:4" customFormat="1" x14ac:dyDescent="0.2">
      <c r="C1885" s="5"/>
      <c r="D1885" s="5"/>
    </row>
    <row r="1886" spans="3:4" customFormat="1" x14ac:dyDescent="0.2">
      <c r="C1886" s="5"/>
      <c r="D1886" s="5"/>
    </row>
    <row r="1887" spans="3:4" customFormat="1" x14ac:dyDescent="0.2">
      <c r="C1887" s="5"/>
      <c r="D1887" s="5"/>
    </row>
    <row r="1888" spans="3:4" customFormat="1" x14ac:dyDescent="0.2">
      <c r="C1888" s="5"/>
      <c r="D1888" s="5"/>
    </row>
    <row r="1889" spans="3:4" customFormat="1" x14ac:dyDescent="0.2">
      <c r="C1889" s="5"/>
      <c r="D1889" s="5"/>
    </row>
    <row r="1890" spans="3:4" customFormat="1" x14ac:dyDescent="0.2">
      <c r="C1890" s="5"/>
      <c r="D1890" s="5"/>
    </row>
    <row r="1891" spans="3:4" customFormat="1" x14ac:dyDescent="0.2">
      <c r="C1891" s="5"/>
      <c r="D1891" s="5"/>
    </row>
    <row r="1892" spans="3:4" customFormat="1" x14ac:dyDescent="0.2">
      <c r="C1892" s="5"/>
      <c r="D1892" s="5"/>
    </row>
    <row r="1893" spans="3:4" customFormat="1" x14ac:dyDescent="0.2">
      <c r="C1893" s="5"/>
      <c r="D1893" s="5"/>
    </row>
    <row r="1894" spans="3:4" customFormat="1" x14ac:dyDescent="0.2">
      <c r="C1894" s="5"/>
      <c r="D1894" s="5"/>
    </row>
    <row r="1895" spans="3:4" customFormat="1" x14ac:dyDescent="0.2">
      <c r="C1895" s="5"/>
      <c r="D1895" s="5"/>
    </row>
    <row r="1896" spans="3:4" customFormat="1" x14ac:dyDescent="0.2">
      <c r="C1896" s="5"/>
      <c r="D1896" s="5"/>
    </row>
    <row r="1897" spans="3:4" customFormat="1" x14ac:dyDescent="0.2">
      <c r="C1897" s="5"/>
      <c r="D1897" s="5"/>
    </row>
    <row r="1898" spans="3:4" customFormat="1" x14ac:dyDescent="0.2">
      <c r="C1898" s="5"/>
      <c r="D1898" s="5"/>
    </row>
    <row r="1899" spans="3:4" customFormat="1" x14ac:dyDescent="0.2">
      <c r="C1899" s="5"/>
      <c r="D1899" s="5"/>
    </row>
    <row r="1900" spans="3:4" customFormat="1" x14ac:dyDescent="0.2">
      <c r="C1900" s="5"/>
      <c r="D1900" s="5"/>
    </row>
    <row r="1901" spans="3:4" customFormat="1" x14ac:dyDescent="0.2">
      <c r="C1901" s="5"/>
      <c r="D1901" s="5"/>
    </row>
    <row r="1902" spans="3:4" customFormat="1" x14ac:dyDescent="0.2">
      <c r="C1902" s="5"/>
      <c r="D1902" s="5"/>
    </row>
    <row r="1903" spans="3:4" customFormat="1" x14ac:dyDescent="0.2">
      <c r="C1903" s="5"/>
      <c r="D1903" s="5"/>
    </row>
    <row r="1904" spans="3:4" customFormat="1" x14ac:dyDescent="0.2">
      <c r="C1904" s="5"/>
      <c r="D1904" s="5"/>
    </row>
    <row r="1905" spans="3:4" customFormat="1" x14ac:dyDescent="0.2">
      <c r="C1905" s="5"/>
      <c r="D1905" s="5"/>
    </row>
    <row r="1906" spans="3:4" customFormat="1" x14ac:dyDescent="0.2">
      <c r="C1906" s="5"/>
      <c r="D1906" s="5"/>
    </row>
    <row r="1907" spans="3:4" customFormat="1" x14ac:dyDescent="0.2">
      <c r="C1907" s="5"/>
      <c r="D1907" s="5"/>
    </row>
    <row r="1908" spans="3:4" customFormat="1" x14ac:dyDescent="0.2">
      <c r="C1908" s="5"/>
      <c r="D1908" s="5"/>
    </row>
    <row r="1909" spans="3:4" customFormat="1" x14ac:dyDescent="0.2">
      <c r="C1909" s="5"/>
      <c r="D1909" s="5"/>
    </row>
    <row r="1910" spans="3:4" customFormat="1" x14ac:dyDescent="0.2">
      <c r="C1910" s="5"/>
      <c r="D1910" s="5"/>
    </row>
    <row r="1911" spans="3:4" customFormat="1" x14ac:dyDescent="0.2">
      <c r="C1911" s="5"/>
      <c r="D1911" s="5"/>
    </row>
    <row r="1912" spans="3:4" customFormat="1" x14ac:dyDescent="0.2">
      <c r="C1912" s="5"/>
      <c r="D1912" s="5"/>
    </row>
    <row r="1913" spans="3:4" customFormat="1" x14ac:dyDescent="0.2">
      <c r="C1913" s="5"/>
      <c r="D1913" s="5"/>
    </row>
    <row r="1914" spans="3:4" customFormat="1" x14ac:dyDescent="0.2">
      <c r="C1914" s="5"/>
      <c r="D1914" s="5"/>
    </row>
    <row r="1915" spans="3:4" customFormat="1" x14ac:dyDescent="0.2">
      <c r="C1915" s="5"/>
      <c r="D1915" s="5"/>
    </row>
    <row r="1916" spans="3:4" customFormat="1" x14ac:dyDescent="0.2">
      <c r="C1916" s="5"/>
      <c r="D1916" s="5"/>
    </row>
    <row r="1917" spans="3:4" customFormat="1" x14ac:dyDescent="0.2">
      <c r="C1917" s="5"/>
      <c r="D1917" s="5"/>
    </row>
    <row r="1918" spans="3:4" customFormat="1" x14ac:dyDescent="0.2">
      <c r="C1918" s="5"/>
      <c r="D1918" s="5"/>
    </row>
    <row r="1919" spans="3:4" customFormat="1" x14ac:dyDescent="0.2">
      <c r="C1919" s="5"/>
      <c r="D1919" s="5"/>
    </row>
    <row r="1920" spans="3:4" customFormat="1" x14ac:dyDescent="0.2">
      <c r="C1920" s="5"/>
      <c r="D1920" s="5"/>
    </row>
    <row r="1921" spans="3:4" customFormat="1" x14ac:dyDescent="0.2">
      <c r="C1921" s="5"/>
      <c r="D1921" s="5"/>
    </row>
    <row r="1922" spans="3:4" customFormat="1" x14ac:dyDescent="0.2">
      <c r="C1922" s="5"/>
      <c r="D1922" s="5"/>
    </row>
    <row r="1923" spans="3:4" customFormat="1" x14ac:dyDescent="0.2">
      <c r="C1923" s="5"/>
      <c r="D1923" s="5"/>
    </row>
    <row r="1924" spans="3:4" customFormat="1" x14ac:dyDescent="0.2">
      <c r="C1924" s="5"/>
      <c r="D1924" s="5"/>
    </row>
    <row r="1925" spans="3:4" customFormat="1" x14ac:dyDescent="0.2">
      <c r="C1925" s="5"/>
      <c r="D1925" s="5"/>
    </row>
    <row r="1926" spans="3:4" customFormat="1" x14ac:dyDescent="0.2">
      <c r="C1926" s="5"/>
      <c r="D1926" s="5"/>
    </row>
    <row r="1927" spans="3:4" customFormat="1" x14ac:dyDescent="0.2">
      <c r="C1927" s="5"/>
      <c r="D1927" s="5"/>
    </row>
    <row r="1928" spans="3:4" customFormat="1" x14ac:dyDescent="0.2">
      <c r="C1928" s="5"/>
      <c r="D1928" s="5"/>
    </row>
    <row r="1929" spans="3:4" customFormat="1" x14ac:dyDescent="0.2">
      <c r="C1929" s="5"/>
      <c r="D1929" s="5"/>
    </row>
    <row r="1930" spans="3:4" customFormat="1" x14ac:dyDescent="0.2">
      <c r="C1930" s="5"/>
      <c r="D1930" s="5"/>
    </row>
    <row r="1931" spans="3:4" customFormat="1" x14ac:dyDescent="0.2">
      <c r="C1931" s="5"/>
      <c r="D1931" s="5"/>
    </row>
    <row r="1932" spans="3:4" customFormat="1" x14ac:dyDescent="0.2">
      <c r="C1932" s="5"/>
      <c r="D1932" s="5"/>
    </row>
    <row r="1933" spans="3:4" customFormat="1" x14ac:dyDescent="0.2">
      <c r="C1933" s="5"/>
      <c r="D1933" s="5"/>
    </row>
    <row r="1934" spans="3:4" customFormat="1" x14ac:dyDescent="0.2">
      <c r="C1934" s="5"/>
      <c r="D1934" s="5"/>
    </row>
    <row r="1935" spans="3:4" customFormat="1" x14ac:dyDescent="0.2">
      <c r="C1935" s="5"/>
      <c r="D1935" s="5"/>
    </row>
    <row r="1936" spans="3:4" customFormat="1" x14ac:dyDescent="0.2">
      <c r="C1936" s="5"/>
      <c r="D1936" s="5"/>
    </row>
    <row r="1937" spans="3:4" customFormat="1" x14ac:dyDescent="0.2">
      <c r="C1937" s="5"/>
      <c r="D1937" s="5"/>
    </row>
    <row r="1938" spans="3:4" customFormat="1" x14ac:dyDescent="0.2">
      <c r="C1938" s="5"/>
      <c r="D1938" s="5"/>
    </row>
    <row r="1939" spans="3:4" customFormat="1" x14ac:dyDescent="0.2">
      <c r="C1939" s="5"/>
      <c r="D1939" s="5"/>
    </row>
    <row r="1940" spans="3:4" customFormat="1" x14ac:dyDescent="0.2">
      <c r="C1940" s="5"/>
      <c r="D1940" s="5"/>
    </row>
    <row r="1941" spans="3:4" customFormat="1" x14ac:dyDescent="0.2">
      <c r="C1941" s="5"/>
      <c r="D1941" s="5"/>
    </row>
    <row r="1942" spans="3:4" customFormat="1" x14ac:dyDescent="0.2">
      <c r="C1942" s="5"/>
      <c r="D1942" s="5"/>
    </row>
    <row r="1943" spans="3:4" customFormat="1" x14ac:dyDescent="0.2">
      <c r="C1943" s="5"/>
      <c r="D1943" s="5"/>
    </row>
    <row r="1944" spans="3:4" customFormat="1" x14ac:dyDescent="0.2">
      <c r="C1944" s="5"/>
      <c r="D1944" s="5"/>
    </row>
    <row r="1945" spans="3:4" customFormat="1" x14ac:dyDescent="0.2">
      <c r="C1945" s="5"/>
      <c r="D1945" s="5"/>
    </row>
    <row r="1946" spans="3:4" customFormat="1" x14ac:dyDescent="0.2">
      <c r="C1946" s="5"/>
      <c r="D1946" s="5"/>
    </row>
    <row r="1947" spans="3:4" customFormat="1" x14ac:dyDescent="0.2">
      <c r="C1947" s="5"/>
      <c r="D1947" s="5"/>
    </row>
    <row r="1948" spans="3:4" customFormat="1" x14ac:dyDescent="0.2">
      <c r="C1948" s="5"/>
      <c r="D1948" s="5"/>
    </row>
    <row r="1949" spans="3:4" customFormat="1" x14ac:dyDescent="0.2">
      <c r="C1949" s="5"/>
      <c r="D1949" s="5"/>
    </row>
    <row r="1950" spans="3:4" customFormat="1" x14ac:dyDescent="0.2">
      <c r="C1950" s="5"/>
      <c r="D1950" s="5"/>
    </row>
    <row r="1951" spans="3:4" customFormat="1" x14ac:dyDescent="0.2">
      <c r="C1951" s="5"/>
      <c r="D1951" s="5"/>
    </row>
    <row r="1952" spans="3:4" customFormat="1" x14ac:dyDescent="0.2">
      <c r="C1952" s="5"/>
      <c r="D1952" s="5"/>
    </row>
    <row r="1953" spans="3:4" customFormat="1" x14ac:dyDescent="0.2">
      <c r="C1953" s="5"/>
      <c r="D1953" s="5"/>
    </row>
    <row r="1954" spans="3:4" customFormat="1" x14ac:dyDescent="0.2">
      <c r="C1954" s="5"/>
      <c r="D1954" s="5"/>
    </row>
    <row r="1955" spans="3:4" customFormat="1" x14ac:dyDescent="0.2">
      <c r="C1955" s="5"/>
      <c r="D1955" s="5"/>
    </row>
    <row r="1956" spans="3:4" customFormat="1" x14ac:dyDescent="0.2">
      <c r="C1956" s="5"/>
      <c r="D1956" s="5"/>
    </row>
    <row r="1957" spans="3:4" customFormat="1" x14ac:dyDescent="0.2">
      <c r="C1957" s="5"/>
      <c r="D1957" s="5"/>
    </row>
    <row r="1958" spans="3:4" customFormat="1" x14ac:dyDescent="0.2">
      <c r="C1958" s="5"/>
      <c r="D1958" s="5"/>
    </row>
    <row r="1959" spans="3:4" customFormat="1" x14ac:dyDescent="0.2">
      <c r="C1959" s="5"/>
      <c r="D1959" s="5"/>
    </row>
    <row r="1960" spans="3:4" customFormat="1" x14ac:dyDescent="0.2">
      <c r="C1960" s="5"/>
      <c r="D1960" s="5"/>
    </row>
    <row r="1961" spans="3:4" customFormat="1" x14ac:dyDescent="0.2">
      <c r="C1961" s="5"/>
      <c r="D1961" s="5"/>
    </row>
    <row r="1962" spans="3:4" customFormat="1" x14ac:dyDescent="0.2">
      <c r="C1962" s="5"/>
      <c r="D1962" s="5"/>
    </row>
    <row r="1963" spans="3:4" customFormat="1" x14ac:dyDescent="0.2">
      <c r="C1963" s="5"/>
      <c r="D1963" s="5"/>
    </row>
    <row r="1964" spans="3:4" customFormat="1" x14ac:dyDescent="0.2">
      <c r="C1964" s="5"/>
      <c r="D1964" s="5"/>
    </row>
    <row r="1965" spans="3:4" customFormat="1" x14ac:dyDescent="0.2">
      <c r="C1965" s="5"/>
      <c r="D1965" s="5"/>
    </row>
    <row r="1966" spans="3:4" customFormat="1" x14ac:dyDescent="0.2">
      <c r="C1966" s="5"/>
      <c r="D1966" s="5"/>
    </row>
    <row r="1967" spans="3:4" customFormat="1" x14ac:dyDescent="0.2">
      <c r="C1967" s="5"/>
      <c r="D1967" s="5"/>
    </row>
    <row r="1968" spans="3:4" customFormat="1" x14ac:dyDescent="0.2">
      <c r="C1968" s="5"/>
      <c r="D1968" s="5"/>
    </row>
    <row r="1969" spans="3:4" customFormat="1" x14ac:dyDescent="0.2">
      <c r="C1969" s="5"/>
      <c r="D1969" s="5"/>
    </row>
    <row r="1970" spans="3:4" customFormat="1" x14ac:dyDescent="0.2">
      <c r="C1970" s="5"/>
      <c r="D1970" s="5"/>
    </row>
    <row r="1971" spans="3:4" customFormat="1" x14ac:dyDescent="0.2">
      <c r="C1971" s="5"/>
      <c r="D1971" s="5"/>
    </row>
    <row r="1972" spans="3:4" customFormat="1" x14ac:dyDescent="0.2">
      <c r="C1972" s="5"/>
      <c r="D1972" s="5"/>
    </row>
    <row r="1973" spans="3:4" customFormat="1" x14ac:dyDescent="0.2">
      <c r="C1973" s="5"/>
      <c r="D1973" s="5"/>
    </row>
    <row r="1974" spans="3:4" customFormat="1" x14ac:dyDescent="0.2">
      <c r="C1974" s="5"/>
      <c r="D1974" s="5"/>
    </row>
    <row r="1975" spans="3:4" customFormat="1" x14ac:dyDescent="0.2">
      <c r="C1975" s="5"/>
      <c r="D1975" s="5"/>
    </row>
    <row r="1976" spans="3:4" customFormat="1" x14ac:dyDescent="0.2">
      <c r="C1976" s="5"/>
      <c r="D1976" s="5"/>
    </row>
    <row r="1977" spans="3:4" customFormat="1" x14ac:dyDescent="0.2">
      <c r="C1977" s="5"/>
      <c r="D1977" s="5"/>
    </row>
    <row r="1978" spans="3:4" customFormat="1" x14ac:dyDescent="0.2">
      <c r="C1978" s="5"/>
      <c r="D1978" s="5"/>
    </row>
    <row r="1979" spans="3:4" customFormat="1" x14ac:dyDescent="0.2">
      <c r="C1979" s="5"/>
      <c r="D1979" s="5"/>
    </row>
    <row r="1980" spans="3:4" customFormat="1" x14ac:dyDescent="0.2">
      <c r="C1980" s="5"/>
      <c r="D1980" s="5"/>
    </row>
    <row r="1981" spans="3:4" customFormat="1" x14ac:dyDescent="0.2">
      <c r="C1981" s="5"/>
      <c r="D1981" s="5"/>
    </row>
    <row r="1982" spans="3:4" customFormat="1" x14ac:dyDescent="0.2">
      <c r="C1982" s="5"/>
      <c r="D1982" s="5"/>
    </row>
    <row r="1983" spans="3:4" customFormat="1" x14ac:dyDescent="0.2">
      <c r="C1983" s="5"/>
      <c r="D1983" s="5"/>
    </row>
    <row r="1984" spans="3:4" customFormat="1" x14ac:dyDescent="0.2">
      <c r="C1984" s="5"/>
      <c r="D1984" s="5"/>
    </row>
    <row r="1985" spans="3:4" customFormat="1" x14ac:dyDescent="0.2">
      <c r="C1985" s="5"/>
      <c r="D1985" s="5"/>
    </row>
    <row r="1986" spans="3:4" customFormat="1" x14ac:dyDescent="0.2">
      <c r="C1986" s="5"/>
      <c r="D1986" s="5"/>
    </row>
    <row r="1987" spans="3:4" customFormat="1" x14ac:dyDescent="0.2">
      <c r="C1987" s="5"/>
      <c r="D1987" s="5"/>
    </row>
    <row r="1988" spans="3:4" customFormat="1" x14ac:dyDescent="0.2">
      <c r="C1988" s="5"/>
      <c r="D1988" s="5"/>
    </row>
    <row r="1989" spans="3:4" customFormat="1" x14ac:dyDescent="0.2">
      <c r="C1989" s="5"/>
      <c r="D1989" s="5"/>
    </row>
    <row r="1990" spans="3:4" customFormat="1" x14ac:dyDescent="0.2">
      <c r="C1990" s="5"/>
      <c r="D1990" s="5"/>
    </row>
    <row r="1991" spans="3:4" customFormat="1" x14ac:dyDescent="0.2">
      <c r="C1991" s="5"/>
      <c r="D1991" s="5"/>
    </row>
    <row r="1992" spans="3:4" customFormat="1" x14ac:dyDescent="0.2">
      <c r="C1992" s="5"/>
      <c r="D1992" s="5"/>
    </row>
    <row r="1993" spans="3:4" customFormat="1" x14ac:dyDescent="0.2">
      <c r="C1993" s="5"/>
      <c r="D1993" s="5"/>
    </row>
    <row r="1994" spans="3:4" customFormat="1" x14ac:dyDescent="0.2">
      <c r="C1994" s="5"/>
      <c r="D1994" s="5"/>
    </row>
    <row r="1995" spans="3:4" customFormat="1" x14ac:dyDescent="0.2">
      <c r="C1995" s="5"/>
      <c r="D1995" s="5"/>
    </row>
    <row r="1996" spans="3:4" customFormat="1" x14ac:dyDescent="0.2">
      <c r="C1996" s="5"/>
      <c r="D1996" s="5"/>
    </row>
    <row r="1997" spans="3:4" customFormat="1" x14ac:dyDescent="0.2">
      <c r="C1997" s="5"/>
      <c r="D1997" s="5"/>
    </row>
    <row r="1998" spans="3:4" customFormat="1" x14ac:dyDescent="0.2">
      <c r="C1998" s="5"/>
      <c r="D1998" s="5"/>
    </row>
    <row r="1999" spans="3:4" customFormat="1" x14ac:dyDescent="0.2">
      <c r="C1999" s="5"/>
      <c r="D1999" s="5"/>
    </row>
    <row r="2000" spans="3:4" customFormat="1" x14ac:dyDescent="0.2">
      <c r="C2000" s="5"/>
      <c r="D2000" s="5"/>
    </row>
    <row r="2001" spans="3:4" customFormat="1" x14ac:dyDescent="0.2">
      <c r="C2001" s="5"/>
      <c r="D2001" s="5"/>
    </row>
    <row r="2002" spans="3:4" customFormat="1" x14ac:dyDescent="0.2">
      <c r="C2002" s="5"/>
      <c r="D2002" s="5"/>
    </row>
    <row r="2003" spans="3:4" customFormat="1" x14ac:dyDescent="0.2">
      <c r="C2003" s="5"/>
      <c r="D2003" s="5"/>
    </row>
    <row r="2004" spans="3:4" customFormat="1" x14ac:dyDescent="0.2">
      <c r="C2004" s="5"/>
      <c r="D2004" s="5"/>
    </row>
    <row r="2005" spans="3:4" customFormat="1" x14ac:dyDescent="0.2">
      <c r="C2005" s="5"/>
      <c r="D2005" s="5"/>
    </row>
    <row r="2006" spans="3:4" customFormat="1" x14ac:dyDescent="0.2">
      <c r="C2006" s="5"/>
      <c r="D2006" s="5"/>
    </row>
    <row r="2007" spans="3:4" customFormat="1" x14ac:dyDescent="0.2">
      <c r="C2007" s="5"/>
      <c r="D2007" s="5"/>
    </row>
    <row r="2008" spans="3:4" customFormat="1" x14ac:dyDescent="0.2">
      <c r="C2008" s="5"/>
      <c r="D2008" s="5"/>
    </row>
    <row r="2009" spans="3:4" customFormat="1" x14ac:dyDescent="0.2">
      <c r="C2009" s="5"/>
      <c r="D2009" s="5"/>
    </row>
    <row r="2010" spans="3:4" customFormat="1" x14ac:dyDescent="0.2">
      <c r="C2010" s="5"/>
      <c r="D2010" s="5"/>
    </row>
    <row r="2011" spans="3:4" customFormat="1" x14ac:dyDescent="0.2">
      <c r="C2011" s="5"/>
      <c r="D2011" s="5"/>
    </row>
    <row r="2012" spans="3:4" customFormat="1" x14ac:dyDescent="0.2">
      <c r="C2012" s="5"/>
      <c r="D2012" s="5"/>
    </row>
    <row r="2013" spans="3:4" customFormat="1" x14ac:dyDescent="0.2">
      <c r="C2013" s="5"/>
      <c r="D2013" s="5"/>
    </row>
    <row r="2014" spans="3:4" customFormat="1" x14ac:dyDescent="0.2">
      <c r="C2014" s="5"/>
      <c r="D2014" s="5"/>
    </row>
    <row r="2015" spans="3:4" customFormat="1" x14ac:dyDescent="0.2">
      <c r="C2015" s="5"/>
      <c r="D2015" s="5"/>
    </row>
    <row r="2016" spans="3:4" customFormat="1" x14ac:dyDescent="0.2">
      <c r="C2016" s="5"/>
      <c r="D2016" s="5"/>
    </row>
    <row r="2017" spans="3:4" customFormat="1" x14ac:dyDescent="0.2">
      <c r="C2017" s="5"/>
      <c r="D2017" s="5"/>
    </row>
    <row r="2018" spans="3:4" customFormat="1" x14ac:dyDescent="0.2">
      <c r="C2018" s="5"/>
      <c r="D2018" s="5"/>
    </row>
    <row r="2019" spans="3:4" customFormat="1" x14ac:dyDescent="0.2">
      <c r="C2019" s="5"/>
      <c r="D2019" s="5"/>
    </row>
    <row r="2020" spans="3:4" customFormat="1" x14ac:dyDescent="0.2">
      <c r="C2020" s="5"/>
      <c r="D2020" s="5"/>
    </row>
    <row r="2021" spans="3:4" customFormat="1" x14ac:dyDescent="0.2">
      <c r="C2021" s="5"/>
      <c r="D2021" s="5"/>
    </row>
    <row r="2022" spans="3:4" customFormat="1" x14ac:dyDescent="0.2">
      <c r="C2022" s="5"/>
      <c r="D2022" s="5"/>
    </row>
    <row r="2023" spans="3:4" customFormat="1" x14ac:dyDescent="0.2">
      <c r="C2023" s="5"/>
      <c r="D2023" s="5"/>
    </row>
    <row r="2024" spans="3:4" customFormat="1" x14ac:dyDescent="0.2">
      <c r="C2024" s="5"/>
      <c r="D2024" s="5"/>
    </row>
    <row r="2025" spans="3:4" customFormat="1" x14ac:dyDescent="0.2">
      <c r="C2025" s="5"/>
      <c r="D2025" s="5"/>
    </row>
    <row r="2026" spans="3:4" customFormat="1" x14ac:dyDescent="0.2">
      <c r="C2026" s="5"/>
      <c r="D2026" s="5"/>
    </row>
    <row r="2027" spans="3:4" customFormat="1" x14ac:dyDescent="0.2">
      <c r="C2027" s="5"/>
      <c r="D2027" s="5"/>
    </row>
    <row r="2028" spans="3:4" customFormat="1" x14ac:dyDescent="0.2">
      <c r="C2028" s="5"/>
      <c r="D2028" s="5"/>
    </row>
    <row r="2029" spans="3:4" customFormat="1" x14ac:dyDescent="0.2">
      <c r="C2029" s="5"/>
      <c r="D2029" s="5"/>
    </row>
    <row r="2030" spans="3:4" customFormat="1" x14ac:dyDescent="0.2">
      <c r="C2030" s="5"/>
      <c r="D2030" s="5"/>
    </row>
    <row r="2031" spans="3:4" customFormat="1" x14ac:dyDescent="0.2">
      <c r="C2031" s="5"/>
      <c r="D2031" s="5"/>
    </row>
    <row r="2032" spans="3:4" customFormat="1" x14ac:dyDescent="0.2">
      <c r="C2032" s="5"/>
      <c r="D2032" s="5"/>
    </row>
    <row r="2033" spans="3:4" customFormat="1" x14ac:dyDescent="0.2">
      <c r="C2033" s="5"/>
      <c r="D2033" s="5"/>
    </row>
    <row r="2034" spans="3:4" customFormat="1" x14ac:dyDescent="0.2">
      <c r="C2034" s="5"/>
      <c r="D2034" s="5"/>
    </row>
    <row r="2035" spans="3:4" customFormat="1" x14ac:dyDescent="0.2">
      <c r="C2035" s="5"/>
      <c r="D2035" s="5"/>
    </row>
    <row r="2036" spans="3:4" customFormat="1" x14ac:dyDescent="0.2">
      <c r="C2036" s="5"/>
      <c r="D2036" s="5"/>
    </row>
    <row r="2037" spans="3:4" customFormat="1" x14ac:dyDescent="0.2">
      <c r="C2037" s="5"/>
      <c r="D2037" s="5"/>
    </row>
    <row r="2038" spans="3:4" customFormat="1" x14ac:dyDescent="0.2">
      <c r="C2038" s="5"/>
      <c r="D2038" s="5"/>
    </row>
    <row r="2039" spans="3:4" customFormat="1" x14ac:dyDescent="0.2">
      <c r="C2039" s="5"/>
      <c r="D2039" s="5"/>
    </row>
    <row r="2040" spans="3:4" customFormat="1" x14ac:dyDescent="0.2">
      <c r="C2040" s="5"/>
      <c r="D2040" s="5"/>
    </row>
    <row r="2041" spans="3:4" customFormat="1" x14ac:dyDescent="0.2">
      <c r="C2041" s="5"/>
      <c r="D2041" s="5"/>
    </row>
    <row r="2042" spans="3:4" customFormat="1" x14ac:dyDescent="0.2">
      <c r="C2042" s="5"/>
      <c r="D2042" s="5"/>
    </row>
    <row r="2043" spans="3:4" customFormat="1" x14ac:dyDescent="0.2">
      <c r="C2043" s="5"/>
      <c r="D2043" s="5"/>
    </row>
    <row r="2044" spans="3:4" customFormat="1" x14ac:dyDescent="0.2">
      <c r="C2044" s="5"/>
      <c r="D2044" s="5"/>
    </row>
    <row r="2045" spans="3:4" customFormat="1" x14ac:dyDescent="0.2">
      <c r="C2045" s="5"/>
      <c r="D2045" s="5"/>
    </row>
    <row r="2046" spans="3:4" customFormat="1" x14ac:dyDescent="0.2">
      <c r="C2046" s="5"/>
      <c r="D2046" s="5"/>
    </row>
    <row r="2047" spans="3:4" customFormat="1" x14ac:dyDescent="0.2">
      <c r="C2047" s="5"/>
      <c r="D2047" s="5"/>
    </row>
    <row r="2048" spans="3:4" customFormat="1" x14ac:dyDescent="0.2">
      <c r="C2048" s="5"/>
      <c r="D2048" s="5"/>
    </row>
    <row r="2049" spans="3:4" customFormat="1" x14ac:dyDescent="0.2">
      <c r="C2049" s="5"/>
      <c r="D2049" s="5"/>
    </row>
    <row r="2050" spans="3:4" customFormat="1" x14ac:dyDescent="0.2">
      <c r="C2050" s="5"/>
      <c r="D2050" s="5"/>
    </row>
    <row r="2051" spans="3:4" customFormat="1" x14ac:dyDescent="0.2">
      <c r="C2051" s="5"/>
      <c r="D2051" s="5"/>
    </row>
    <row r="2052" spans="3:4" customFormat="1" x14ac:dyDescent="0.2">
      <c r="C2052" s="5"/>
      <c r="D2052" s="5"/>
    </row>
    <row r="2053" spans="3:4" customFormat="1" x14ac:dyDescent="0.2">
      <c r="C2053" s="5"/>
      <c r="D2053" s="5"/>
    </row>
    <row r="2054" spans="3:4" customFormat="1" x14ac:dyDescent="0.2">
      <c r="C2054" s="5"/>
      <c r="D2054" s="5"/>
    </row>
    <row r="2055" spans="3:4" customFormat="1" x14ac:dyDescent="0.2">
      <c r="C2055" s="5"/>
      <c r="D2055" s="5"/>
    </row>
    <row r="2056" spans="3:4" customFormat="1" x14ac:dyDescent="0.2">
      <c r="C2056" s="5"/>
      <c r="D2056" s="5"/>
    </row>
    <row r="2057" spans="3:4" customFormat="1" x14ac:dyDescent="0.2">
      <c r="C2057" s="5"/>
      <c r="D2057" s="5"/>
    </row>
    <row r="2058" spans="3:4" customFormat="1" x14ac:dyDescent="0.2">
      <c r="C2058" s="5"/>
      <c r="D2058" s="5"/>
    </row>
    <row r="2059" spans="3:4" customFormat="1" x14ac:dyDescent="0.2">
      <c r="C2059" s="5"/>
      <c r="D2059" s="5"/>
    </row>
    <row r="2060" spans="3:4" customFormat="1" x14ac:dyDescent="0.2">
      <c r="C2060" s="5"/>
      <c r="D2060" s="5"/>
    </row>
    <row r="2061" spans="3:4" customFormat="1" x14ac:dyDescent="0.2">
      <c r="C2061" s="5"/>
      <c r="D2061" s="5"/>
    </row>
    <row r="2062" spans="3:4" customFormat="1" x14ac:dyDescent="0.2">
      <c r="C2062" s="5"/>
      <c r="D2062" s="5"/>
    </row>
    <row r="2063" spans="3:4" customFormat="1" x14ac:dyDescent="0.2">
      <c r="C2063" s="5"/>
      <c r="D2063" s="5"/>
    </row>
    <row r="2064" spans="3:4" customFormat="1" x14ac:dyDescent="0.2">
      <c r="C2064" s="5"/>
      <c r="D2064" s="5"/>
    </row>
    <row r="2065" spans="3:4" customFormat="1" x14ac:dyDescent="0.2">
      <c r="C2065" s="5"/>
      <c r="D2065" s="5"/>
    </row>
    <row r="2066" spans="3:4" customFormat="1" x14ac:dyDescent="0.2">
      <c r="C2066" s="5"/>
      <c r="D2066" s="5"/>
    </row>
    <row r="2067" spans="3:4" customFormat="1" x14ac:dyDescent="0.2">
      <c r="C2067" s="5"/>
      <c r="D2067" s="5"/>
    </row>
    <row r="2068" spans="3:4" customFormat="1" x14ac:dyDescent="0.2">
      <c r="C2068" s="5"/>
      <c r="D2068" s="5"/>
    </row>
    <row r="2069" spans="3:4" customFormat="1" x14ac:dyDescent="0.2">
      <c r="C2069" s="5"/>
      <c r="D2069" s="5"/>
    </row>
    <row r="2070" spans="3:4" customFormat="1" x14ac:dyDescent="0.2">
      <c r="C2070" s="5"/>
      <c r="D2070" s="5"/>
    </row>
    <row r="2071" spans="3:4" customFormat="1" x14ac:dyDescent="0.2">
      <c r="C2071" s="5"/>
      <c r="D2071" s="5"/>
    </row>
    <row r="2072" spans="3:4" customFormat="1" x14ac:dyDescent="0.2">
      <c r="C2072" s="5"/>
      <c r="D2072" s="5"/>
    </row>
    <row r="2073" spans="3:4" customFormat="1" x14ac:dyDescent="0.2">
      <c r="C2073" s="5"/>
      <c r="D2073" s="5"/>
    </row>
    <row r="2074" spans="3:4" customFormat="1" x14ac:dyDescent="0.2">
      <c r="C2074" s="5"/>
      <c r="D2074" s="5"/>
    </row>
    <row r="2075" spans="3:4" customFormat="1" x14ac:dyDescent="0.2">
      <c r="C2075" s="5"/>
      <c r="D2075" s="5"/>
    </row>
    <row r="2076" spans="3:4" customFormat="1" x14ac:dyDescent="0.2">
      <c r="C2076" s="5"/>
      <c r="D2076" s="5"/>
    </row>
    <row r="2077" spans="3:4" customFormat="1" x14ac:dyDescent="0.2">
      <c r="C2077" s="5"/>
      <c r="D2077" s="5"/>
    </row>
    <row r="2078" spans="3:4" customFormat="1" x14ac:dyDescent="0.2">
      <c r="C2078" s="5"/>
      <c r="D2078" s="5"/>
    </row>
    <row r="2079" spans="3:4" customFormat="1" x14ac:dyDescent="0.2">
      <c r="C2079" s="5"/>
      <c r="D2079" s="5"/>
    </row>
    <row r="2080" spans="3:4" customFormat="1" x14ac:dyDescent="0.2">
      <c r="C2080" s="5"/>
      <c r="D2080" s="5"/>
    </row>
    <row r="2081" spans="3:4" customFormat="1" x14ac:dyDescent="0.2">
      <c r="C2081" s="5"/>
      <c r="D2081" s="5"/>
    </row>
    <row r="2082" spans="3:4" customFormat="1" x14ac:dyDescent="0.2">
      <c r="C2082" s="5"/>
      <c r="D2082" s="5"/>
    </row>
    <row r="2083" spans="3:4" customFormat="1" x14ac:dyDescent="0.2">
      <c r="C2083" s="5"/>
      <c r="D2083" s="5"/>
    </row>
    <row r="2084" spans="3:4" customFormat="1" x14ac:dyDescent="0.2">
      <c r="C2084" s="5"/>
      <c r="D2084" s="5"/>
    </row>
    <row r="2085" spans="3:4" customFormat="1" x14ac:dyDescent="0.2">
      <c r="C2085" s="5"/>
      <c r="D2085" s="5"/>
    </row>
    <row r="2086" spans="3:4" customFormat="1" x14ac:dyDescent="0.2">
      <c r="C2086" s="5"/>
      <c r="D2086" s="5"/>
    </row>
    <row r="2087" spans="3:4" customFormat="1" x14ac:dyDescent="0.2">
      <c r="C2087" s="5"/>
      <c r="D2087" s="5"/>
    </row>
    <row r="2088" spans="3:4" customFormat="1" x14ac:dyDescent="0.2">
      <c r="C2088" s="5"/>
      <c r="D2088" s="5"/>
    </row>
    <row r="2089" spans="3:4" customFormat="1" x14ac:dyDescent="0.2">
      <c r="C2089" s="5"/>
      <c r="D2089" s="5"/>
    </row>
    <row r="2090" spans="3:4" customFormat="1" x14ac:dyDescent="0.2">
      <c r="C2090" s="5"/>
      <c r="D2090" s="5"/>
    </row>
    <row r="2091" spans="3:4" customFormat="1" x14ac:dyDescent="0.2">
      <c r="C2091" s="5"/>
      <c r="D2091" s="5"/>
    </row>
    <row r="2092" spans="3:4" customFormat="1" x14ac:dyDescent="0.2">
      <c r="C2092" s="5"/>
      <c r="D2092" s="5"/>
    </row>
    <row r="2093" spans="3:4" customFormat="1" x14ac:dyDescent="0.2">
      <c r="C2093" s="5"/>
      <c r="D2093" s="5"/>
    </row>
    <row r="2094" spans="3:4" customFormat="1" x14ac:dyDescent="0.2">
      <c r="C2094" s="5"/>
      <c r="D2094" s="5"/>
    </row>
    <row r="2095" spans="3:4" customFormat="1" x14ac:dyDescent="0.2">
      <c r="C2095" s="5"/>
      <c r="D2095" s="5"/>
    </row>
    <row r="2096" spans="3:4" customFormat="1" x14ac:dyDescent="0.2">
      <c r="C2096" s="5"/>
      <c r="D2096" s="5"/>
    </row>
    <row r="2097" spans="3:4" customFormat="1" x14ac:dyDescent="0.2">
      <c r="C2097" s="5"/>
      <c r="D2097" s="5"/>
    </row>
    <row r="2098" spans="3:4" customFormat="1" x14ac:dyDescent="0.2">
      <c r="C2098" s="5"/>
      <c r="D2098" s="5"/>
    </row>
    <row r="2099" spans="3:4" customFormat="1" x14ac:dyDescent="0.2">
      <c r="C2099" s="5"/>
      <c r="D2099" s="5"/>
    </row>
    <row r="2100" spans="3:4" customFormat="1" x14ac:dyDescent="0.2">
      <c r="C2100" s="5"/>
      <c r="D2100" s="5"/>
    </row>
    <row r="2101" spans="3:4" customFormat="1" x14ac:dyDescent="0.2">
      <c r="C2101" s="5"/>
      <c r="D2101" s="5"/>
    </row>
    <row r="2102" spans="3:4" customFormat="1" x14ac:dyDescent="0.2">
      <c r="C2102" s="5"/>
      <c r="D2102" s="5"/>
    </row>
    <row r="2103" spans="3:4" customFormat="1" x14ac:dyDescent="0.2">
      <c r="C2103" s="5"/>
      <c r="D2103" s="5"/>
    </row>
    <row r="2104" spans="3:4" customFormat="1" x14ac:dyDescent="0.2">
      <c r="C2104" s="5"/>
      <c r="D2104" s="5"/>
    </row>
    <row r="2105" spans="3:4" customFormat="1" x14ac:dyDescent="0.2">
      <c r="C2105" s="5"/>
      <c r="D2105" s="5"/>
    </row>
    <row r="2106" spans="3:4" customFormat="1" x14ac:dyDescent="0.2">
      <c r="C2106" s="5"/>
      <c r="D2106" s="5"/>
    </row>
    <row r="2107" spans="3:4" customFormat="1" x14ac:dyDescent="0.2">
      <c r="C2107" s="5"/>
      <c r="D2107" s="5"/>
    </row>
    <row r="2108" spans="3:4" customFormat="1" x14ac:dyDescent="0.2">
      <c r="C2108" s="5"/>
      <c r="D2108" s="5"/>
    </row>
    <row r="2109" spans="3:4" customFormat="1" x14ac:dyDescent="0.2">
      <c r="C2109" s="5"/>
      <c r="D2109" s="5"/>
    </row>
    <row r="2110" spans="3:4" customFormat="1" x14ac:dyDescent="0.2">
      <c r="C2110" s="5"/>
      <c r="D2110" s="5"/>
    </row>
    <row r="2111" spans="3:4" customFormat="1" x14ac:dyDescent="0.2">
      <c r="C2111" s="5"/>
      <c r="D2111" s="5"/>
    </row>
    <row r="2112" spans="3:4" customFormat="1" x14ac:dyDescent="0.2">
      <c r="C2112" s="5"/>
      <c r="D2112" s="5"/>
    </row>
    <row r="2113" spans="3:4" customFormat="1" x14ac:dyDescent="0.2">
      <c r="C2113" s="5"/>
      <c r="D2113" s="5"/>
    </row>
    <row r="2114" spans="3:4" customFormat="1" x14ac:dyDescent="0.2">
      <c r="C2114" s="5"/>
      <c r="D2114" s="5"/>
    </row>
    <row r="2115" spans="3:4" customFormat="1" x14ac:dyDescent="0.2">
      <c r="C2115" s="5"/>
      <c r="D2115" s="5"/>
    </row>
    <row r="2116" spans="3:4" customFormat="1" x14ac:dyDescent="0.2">
      <c r="C2116" s="5"/>
      <c r="D2116" s="5"/>
    </row>
    <row r="2117" spans="3:4" customFormat="1" x14ac:dyDescent="0.2">
      <c r="C2117" s="5"/>
      <c r="D2117" s="5"/>
    </row>
    <row r="2118" spans="3:4" customFormat="1" x14ac:dyDescent="0.2">
      <c r="C2118" s="5"/>
      <c r="D2118" s="5"/>
    </row>
    <row r="2119" spans="3:4" customFormat="1" x14ac:dyDescent="0.2">
      <c r="C2119" s="5"/>
      <c r="D2119" s="5"/>
    </row>
    <row r="2120" spans="3:4" customFormat="1" x14ac:dyDescent="0.2">
      <c r="C2120" s="5"/>
      <c r="D2120" s="5"/>
    </row>
    <row r="2121" spans="3:4" customFormat="1" x14ac:dyDescent="0.2">
      <c r="C2121" s="5"/>
      <c r="D2121" s="5"/>
    </row>
    <row r="2122" spans="3:4" customFormat="1" x14ac:dyDescent="0.2">
      <c r="C2122" s="5"/>
      <c r="D2122" s="5"/>
    </row>
    <row r="2123" spans="3:4" customFormat="1" x14ac:dyDescent="0.2">
      <c r="C2123" s="5"/>
      <c r="D2123" s="5"/>
    </row>
    <row r="2124" spans="3:4" customFormat="1" x14ac:dyDescent="0.2">
      <c r="C2124" s="5"/>
      <c r="D2124" s="5"/>
    </row>
    <row r="2125" spans="3:4" customFormat="1" x14ac:dyDescent="0.2">
      <c r="C2125" s="5"/>
      <c r="D2125" s="5"/>
    </row>
    <row r="2126" spans="3:4" customFormat="1" x14ac:dyDescent="0.2">
      <c r="C2126" s="5"/>
      <c r="D2126" s="5"/>
    </row>
    <row r="2127" spans="3:4" customFormat="1" x14ac:dyDescent="0.2">
      <c r="C2127" s="5"/>
      <c r="D2127" s="5"/>
    </row>
    <row r="2128" spans="3:4" customFormat="1" x14ac:dyDescent="0.2">
      <c r="C2128" s="5"/>
      <c r="D2128" s="5"/>
    </row>
    <row r="2129" spans="3:4" customFormat="1" x14ac:dyDescent="0.2">
      <c r="C2129" s="5"/>
      <c r="D2129" s="5"/>
    </row>
    <row r="2130" spans="3:4" customFormat="1" x14ac:dyDescent="0.2">
      <c r="C2130" s="5"/>
      <c r="D2130" s="5"/>
    </row>
    <row r="2131" spans="3:4" customFormat="1" x14ac:dyDescent="0.2">
      <c r="C2131" s="5"/>
      <c r="D2131" s="5"/>
    </row>
    <row r="2132" spans="3:4" customFormat="1" x14ac:dyDescent="0.2">
      <c r="C2132" s="5"/>
      <c r="D2132" s="5"/>
    </row>
    <row r="2133" spans="3:4" customFormat="1" x14ac:dyDescent="0.2">
      <c r="C2133" s="5"/>
      <c r="D2133" s="5"/>
    </row>
    <row r="2134" spans="3:4" customFormat="1" x14ac:dyDescent="0.2">
      <c r="C2134" s="5"/>
      <c r="D2134" s="5"/>
    </row>
    <row r="2135" spans="3:4" customFormat="1" x14ac:dyDescent="0.2">
      <c r="C2135" s="5"/>
      <c r="D2135" s="5"/>
    </row>
    <row r="2136" spans="3:4" customFormat="1" x14ac:dyDescent="0.2">
      <c r="C2136" s="5"/>
      <c r="D2136" s="5"/>
    </row>
    <row r="2137" spans="3:4" customFormat="1" x14ac:dyDescent="0.2">
      <c r="C2137" s="5"/>
      <c r="D2137" s="5"/>
    </row>
    <row r="2138" spans="3:4" customFormat="1" x14ac:dyDescent="0.2">
      <c r="C2138" s="5"/>
      <c r="D2138" s="5"/>
    </row>
    <row r="2139" spans="3:4" customFormat="1" x14ac:dyDescent="0.2">
      <c r="C2139" s="5"/>
      <c r="D2139" s="5"/>
    </row>
    <row r="2140" spans="3:4" customFormat="1" x14ac:dyDescent="0.2">
      <c r="C2140" s="5"/>
      <c r="D2140" s="5"/>
    </row>
    <row r="2141" spans="3:4" customFormat="1" x14ac:dyDescent="0.2">
      <c r="C2141" s="5"/>
      <c r="D2141" s="5"/>
    </row>
    <row r="2142" spans="3:4" customFormat="1" x14ac:dyDescent="0.2">
      <c r="C2142" s="5"/>
      <c r="D2142" s="5"/>
    </row>
    <row r="2143" spans="3:4" customFormat="1" x14ac:dyDescent="0.2">
      <c r="C2143" s="5"/>
      <c r="D2143" s="5"/>
    </row>
    <row r="2144" spans="3:4" customFormat="1" x14ac:dyDescent="0.2">
      <c r="C2144" s="5"/>
      <c r="D2144" s="5"/>
    </row>
    <row r="2145" spans="3:4" customFormat="1" x14ac:dyDescent="0.2">
      <c r="C2145" s="5"/>
      <c r="D2145" s="5"/>
    </row>
    <row r="2146" spans="3:4" customFormat="1" x14ac:dyDescent="0.2">
      <c r="C2146" s="5"/>
      <c r="D2146" s="5"/>
    </row>
    <row r="2147" spans="3:4" customFormat="1" x14ac:dyDescent="0.2">
      <c r="C2147" s="5"/>
      <c r="D2147" s="5"/>
    </row>
    <row r="2148" spans="3:4" customFormat="1" x14ac:dyDescent="0.2">
      <c r="C2148" s="5"/>
      <c r="D2148" s="5"/>
    </row>
    <row r="2149" spans="3:4" customFormat="1" x14ac:dyDescent="0.2">
      <c r="C2149" s="5"/>
      <c r="D2149" s="5"/>
    </row>
    <row r="2150" spans="3:4" customFormat="1" x14ac:dyDescent="0.2">
      <c r="C2150" s="5"/>
      <c r="D2150" s="5"/>
    </row>
    <row r="2151" spans="3:4" customFormat="1" x14ac:dyDescent="0.2">
      <c r="C2151" s="5"/>
      <c r="D2151" s="5"/>
    </row>
    <row r="2152" spans="3:4" customFormat="1" x14ac:dyDescent="0.2">
      <c r="C2152" s="5"/>
      <c r="D2152" s="5"/>
    </row>
    <row r="2153" spans="3:4" customFormat="1" x14ac:dyDescent="0.2">
      <c r="C2153" s="5"/>
      <c r="D2153" s="5"/>
    </row>
    <row r="2154" spans="3:4" customFormat="1" x14ac:dyDescent="0.2">
      <c r="C2154" s="5"/>
      <c r="D2154" s="5"/>
    </row>
    <row r="2155" spans="3:4" customFormat="1" x14ac:dyDescent="0.2">
      <c r="C2155" s="5"/>
      <c r="D2155" s="5"/>
    </row>
    <row r="2156" spans="3:4" customFormat="1" x14ac:dyDescent="0.2">
      <c r="C2156" s="5"/>
      <c r="D2156" s="5"/>
    </row>
    <row r="2157" spans="3:4" customFormat="1" x14ac:dyDescent="0.2">
      <c r="C2157" s="5"/>
      <c r="D2157" s="5"/>
    </row>
    <row r="2158" spans="3:4" customFormat="1" x14ac:dyDescent="0.2">
      <c r="C2158" s="5"/>
      <c r="D2158" s="5"/>
    </row>
    <row r="2159" spans="3:4" customFormat="1" x14ac:dyDescent="0.2">
      <c r="C2159" s="5"/>
      <c r="D2159" s="5"/>
    </row>
    <row r="2160" spans="3:4" customFormat="1" x14ac:dyDescent="0.2">
      <c r="C2160" s="5"/>
      <c r="D2160" s="5"/>
    </row>
    <row r="2161" spans="3:4" customFormat="1" x14ac:dyDescent="0.2">
      <c r="C2161" s="5"/>
      <c r="D2161" s="5"/>
    </row>
    <row r="2162" spans="3:4" customFormat="1" x14ac:dyDescent="0.2">
      <c r="C2162" s="5"/>
      <c r="D2162" s="5"/>
    </row>
    <row r="2163" spans="3:4" customFormat="1" x14ac:dyDescent="0.2">
      <c r="C2163" s="5"/>
      <c r="D2163" s="5"/>
    </row>
    <row r="2164" spans="3:4" customFormat="1" x14ac:dyDescent="0.2">
      <c r="C2164" s="5"/>
      <c r="D2164" s="5"/>
    </row>
    <row r="2165" spans="3:4" customFormat="1" x14ac:dyDescent="0.2">
      <c r="C2165" s="5"/>
      <c r="D2165" s="5"/>
    </row>
    <row r="2166" spans="3:4" customFormat="1" x14ac:dyDescent="0.2">
      <c r="C2166" s="5"/>
      <c r="D2166" s="5"/>
    </row>
    <row r="2167" spans="3:4" customFormat="1" x14ac:dyDescent="0.2">
      <c r="C2167" s="5"/>
      <c r="D2167" s="5"/>
    </row>
    <row r="2168" spans="3:4" customFormat="1" x14ac:dyDescent="0.2">
      <c r="C2168" s="5"/>
      <c r="D2168" s="5"/>
    </row>
    <row r="2169" spans="3:4" customFormat="1" x14ac:dyDescent="0.2">
      <c r="C2169" s="5"/>
      <c r="D2169" s="5"/>
    </row>
    <row r="2170" spans="3:4" customFormat="1" x14ac:dyDescent="0.2">
      <c r="C2170" s="5"/>
      <c r="D2170" s="5"/>
    </row>
    <row r="2171" spans="3:4" customFormat="1" x14ac:dyDescent="0.2">
      <c r="C2171" s="5"/>
      <c r="D2171" s="5"/>
    </row>
    <row r="2172" spans="3:4" customFormat="1" x14ac:dyDescent="0.2">
      <c r="C2172" s="5"/>
      <c r="D2172" s="5"/>
    </row>
    <row r="2173" spans="3:4" customFormat="1" x14ac:dyDescent="0.2">
      <c r="C2173" s="5"/>
      <c r="D2173" s="5"/>
    </row>
    <row r="2174" spans="3:4" customFormat="1" x14ac:dyDescent="0.2">
      <c r="C2174" s="5"/>
      <c r="D2174" s="5"/>
    </row>
    <row r="2175" spans="3:4" customFormat="1" x14ac:dyDescent="0.2">
      <c r="C2175" s="5"/>
      <c r="D2175" s="5"/>
    </row>
    <row r="2176" spans="3:4" customFormat="1" x14ac:dyDescent="0.2">
      <c r="C2176" s="5"/>
      <c r="D2176" s="5"/>
    </row>
    <row r="2177" spans="3:4" customFormat="1" x14ac:dyDescent="0.2">
      <c r="C2177" s="5"/>
      <c r="D2177" s="5"/>
    </row>
    <row r="2178" spans="3:4" customFormat="1" x14ac:dyDescent="0.2">
      <c r="C2178" s="5"/>
      <c r="D2178" s="5"/>
    </row>
    <row r="2179" spans="3:4" customFormat="1" x14ac:dyDescent="0.2">
      <c r="C2179" s="5"/>
      <c r="D2179" s="5"/>
    </row>
    <row r="2180" spans="3:4" customFormat="1" x14ac:dyDescent="0.2">
      <c r="C2180" s="5"/>
      <c r="D2180" s="5"/>
    </row>
    <row r="2181" spans="3:4" customFormat="1" x14ac:dyDescent="0.2">
      <c r="C2181" s="5"/>
      <c r="D2181" s="5"/>
    </row>
    <row r="2182" spans="3:4" customFormat="1" x14ac:dyDescent="0.2">
      <c r="C2182" s="5"/>
      <c r="D2182" s="5"/>
    </row>
    <row r="2183" spans="3:4" customFormat="1" x14ac:dyDescent="0.2">
      <c r="C2183" s="5"/>
      <c r="D2183" s="5"/>
    </row>
    <row r="2184" spans="3:4" customFormat="1" x14ac:dyDescent="0.2">
      <c r="C2184" s="5"/>
      <c r="D2184" s="5"/>
    </row>
    <row r="2185" spans="3:4" customFormat="1" x14ac:dyDescent="0.2">
      <c r="C2185" s="5"/>
      <c r="D2185" s="5"/>
    </row>
    <row r="2186" spans="3:4" customFormat="1" x14ac:dyDescent="0.2">
      <c r="C2186" s="5"/>
      <c r="D2186" s="5"/>
    </row>
    <row r="2187" spans="3:4" customFormat="1" x14ac:dyDescent="0.2">
      <c r="C2187" s="5"/>
      <c r="D2187" s="5"/>
    </row>
    <row r="2188" spans="3:4" customFormat="1" x14ac:dyDescent="0.2">
      <c r="C2188" s="5"/>
      <c r="D2188" s="5"/>
    </row>
    <row r="2189" spans="3:4" customFormat="1" x14ac:dyDescent="0.2">
      <c r="C2189" s="5"/>
      <c r="D2189" s="5"/>
    </row>
    <row r="2190" spans="3:4" customFormat="1" x14ac:dyDescent="0.2">
      <c r="C2190" s="5"/>
      <c r="D2190" s="5"/>
    </row>
    <row r="2191" spans="3:4" customFormat="1" x14ac:dyDescent="0.2">
      <c r="C2191" s="5"/>
      <c r="D2191" s="5"/>
    </row>
    <row r="2192" spans="3:4" customFormat="1" x14ac:dyDescent="0.2">
      <c r="C2192" s="5"/>
      <c r="D2192" s="5"/>
    </row>
    <row r="2193" spans="3:4" customFormat="1" x14ac:dyDescent="0.2">
      <c r="C2193" s="5"/>
      <c r="D2193" s="5"/>
    </row>
    <row r="2194" spans="3:4" customFormat="1" x14ac:dyDescent="0.2">
      <c r="C2194" s="5"/>
      <c r="D2194" s="5"/>
    </row>
    <row r="2195" spans="3:4" customFormat="1" x14ac:dyDescent="0.2">
      <c r="C2195" s="5"/>
      <c r="D2195" s="5"/>
    </row>
    <row r="2196" spans="3:4" customFormat="1" x14ac:dyDescent="0.2">
      <c r="C2196" s="5"/>
      <c r="D2196" s="5"/>
    </row>
    <row r="2197" spans="3:4" customFormat="1" x14ac:dyDescent="0.2">
      <c r="C2197" s="5"/>
      <c r="D2197" s="5"/>
    </row>
    <row r="2198" spans="3:4" customFormat="1" x14ac:dyDescent="0.2">
      <c r="C2198" s="5"/>
      <c r="D2198" s="5"/>
    </row>
    <row r="2199" spans="3:4" customFormat="1" x14ac:dyDescent="0.2">
      <c r="C2199" s="5"/>
      <c r="D2199" s="5"/>
    </row>
    <row r="2200" spans="3:4" customFormat="1" x14ac:dyDescent="0.2">
      <c r="C2200" s="5"/>
      <c r="D2200" s="5"/>
    </row>
    <row r="2201" spans="3:4" customFormat="1" x14ac:dyDescent="0.2">
      <c r="C2201" s="5"/>
      <c r="D2201" s="5"/>
    </row>
    <row r="2202" spans="3:4" customFormat="1" x14ac:dyDescent="0.2">
      <c r="C2202" s="5"/>
      <c r="D2202" s="5"/>
    </row>
    <row r="2203" spans="3:4" customFormat="1" x14ac:dyDescent="0.2">
      <c r="C2203" s="5"/>
      <c r="D2203" s="5"/>
    </row>
    <row r="2204" spans="3:4" customFormat="1" x14ac:dyDescent="0.2">
      <c r="C2204" s="5"/>
      <c r="D2204" s="5"/>
    </row>
    <row r="2205" spans="3:4" customFormat="1" x14ac:dyDescent="0.2">
      <c r="C2205" s="5"/>
      <c r="D2205" s="5"/>
    </row>
    <row r="2206" spans="3:4" customFormat="1" x14ac:dyDescent="0.2">
      <c r="C2206" s="5"/>
      <c r="D2206" s="5"/>
    </row>
    <row r="2207" spans="3:4" customFormat="1" x14ac:dyDescent="0.2">
      <c r="C2207" s="5"/>
      <c r="D2207" s="5"/>
    </row>
    <row r="2208" spans="3:4" customFormat="1" x14ac:dyDescent="0.2">
      <c r="C2208" s="5"/>
      <c r="D2208" s="5"/>
    </row>
    <row r="2209" spans="3:4" customFormat="1" x14ac:dyDescent="0.2">
      <c r="C2209" s="5"/>
      <c r="D2209" s="5"/>
    </row>
    <row r="2210" spans="3:4" customFormat="1" x14ac:dyDescent="0.2">
      <c r="C2210" s="5"/>
      <c r="D2210" s="5"/>
    </row>
    <row r="2211" spans="3:4" customFormat="1" x14ac:dyDescent="0.2">
      <c r="C2211" s="5"/>
      <c r="D2211" s="5"/>
    </row>
    <row r="2212" spans="3:4" customFormat="1" x14ac:dyDescent="0.2">
      <c r="C2212" s="5"/>
      <c r="D2212" s="5"/>
    </row>
    <row r="2213" spans="3:4" customFormat="1" x14ac:dyDescent="0.2">
      <c r="C2213" s="5"/>
      <c r="D2213" s="5"/>
    </row>
    <row r="2214" spans="3:4" customFormat="1" x14ac:dyDescent="0.2">
      <c r="C2214" s="5"/>
      <c r="D2214" s="5"/>
    </row>
    <row r="2215" spans="3:4" customFormat="1" x14ac:dyDescent="0.2">
      <c r="C2215" s="5"/>
      <c r="D2215" s="5"/>
    </row>
    <row r="2216" spans="3:4" customFormat="1" x14ac:dyDescent="0.2">
      <c r="C2216" s="5"/>
      <c r="D2216" s="5"/>
    </row>
    <row r="2217" spans="3:4" customFormat="1" x14ac:dyDescent="0.2">
      <c r="C2217" s="5"/>
      <c r="D2217" s="5"/>
    </row>
    <row r="2218" spans="3:4" customFormat="1" x14ac:dyDescent="0.2">
      <c r="C2218" s="5"/>
      <c r="D2218" s="5"/>
    </row>
    <row r="2219" spans="3:4" customFormat="1" x14ac:dyDescent="0.2">
      <c r="C2219" s="5"/>
      <c r="D2219" s="5"/>
    </row>
    <row r="2220" spans="3:4" customFormat="1" x14ac:dyDescent="0.2">
      <c r="C2220" s="5"/>
      <c r="D2220" s="5"/>
    </row>
    <row r="2221" spans="3:4" customFormat="1" x14ac:dyDescent="0.2">
      <c r="C2221" s="5"/>
      <c r="D2221" s="5"/>
    </row>
    <row r="2222" spans="3:4" customFormat="1" x14ac:dyDescent="0.2">
      <c r="C2222" s="5"/>
      <c r="D2222" s="5"/>
    </row>
    <row r="2223" spans="3:4" customFormat="1" x14ac:dyDescent="0.2">
      <c r="C2223" s="5"/>
      <c r="D2223" s="5"/>
    </row>
    <row r="2224" spans="3:4" customFormat="1" x14ac:dyDescent="0.2">
      <c r="C2224" s="5"/>
      <c r="D2224" s="5"/>
    </row>
    <row r="2225" spans="3:4" customFormat="1" x14ac:dyDescent="0.2">
      <c r="C2225" s="5"/>
      <c r="D2225" s="5"/>
    </row>
    <row r="2226" spans="3:4" customFormat="1" x14ac:dyDescent="0.2">
      <c r="C2226" s="5"/>
      <c r="D2226" s="5"/>
    </row>
    <row r="2227" spans="3:4" customFormat="1" x14ac:dyDescent="0.2">
      <c r="C2227" s="5"/>
      <c r="D2227" s="5"/>
    </row>
    <row r="2228" spans="3:4" customFormat="1" x14ac:dyDescent="0.2">
      <c r="C2228" s="5"/>
      <c r="D2228" s="5"/>
    </row>
    <row r="2229" spans="3:4" customFormat="1" x14ac:dyDescent="0.2">
      <c r="C2229" s="5"/>
      <c r="D2229" s="5"/>
    </row>
    <row r="2230" spans="3:4" customFormat="1" x14ac:dyDescent="0.2">
      <c r="C2230" s="5"/>
      <c r="D2230" s="5"/>
    </row>
    <row r="2231" spans="3:4" customFormat="1" x14ac:dyDescent="0.2">
      <c r="C2231" s="5"/>
      <c r="D2231" s="5"/>
    </row>
    <row r="2232" spans="3:4" customFormat="1" x14ac:dyDescent="0.2">
      <c r="C2232" s="5"/>
      <c r="D2232" s="5"/>
    </row>
    <row r="2233" spans="3:4" customFormat="1" x14ac:dyDescent="0.2">
      <c r="C2233" s="5"/>
      <c r="D2233" s="5"/>
    </row>
    <row r="2234" spans="3:4" customFormat="1" x14ac:dyDescent="0.2">
      <c r="C2234" s="5"/>
      <c r="D2234" s="5"/>
    </row>
    <row r="2235" spans="3:4" customFormat="1" x14ac:dyDescent="0.2">
      <c r="C2235" s="5"/>
      <c r="D2235" s="5"/>
    </row>
    <row r="2236" spans="3:4" customFormat="1" x14ac:dyDescent="0.2">
      <c r="C2236" s="5"/>
      <c r="D2236" s="5"/>
    </row>
    <row r="2237" spans="3:4" customFormat="1" x14ac:dyDescent="0.2">
      <c r="C2237" s="5"/>
      <c r="D2237" s="5"/>
    </row>
    <row r="2238" spans="3:4" customFormat="1" x14ac:dyDescent="0.2">
      <c r="C2238" s="5"/>
      <c r="D2238" s="5"/>
    </row>
    <row r="2239" spans="3:4" customFormat="1" x14ac:dyDescent="0.2">
      <c r="C2239" s="5"/>
      <c r="D2239" s="5"/>
    </row>
    <row r="2240" spans="3:4" customFormat="1" x14ac:dyDescent="0.2">
      <c r="C2240" s="5"/>
      <c r="D2240" s="5"/>
    </row>
    <row r="2241" spans="3:4" customFormat="1" x14ac:dyDescent="0.2">
      <c r="C2241" s="5"/>
      <c r="D2241" s="5"/>
    </row>
    <row r="2242" spans="3:4" customFormat="1" x14ac:dyDescent="0.2">
      <c r="C2242" s="5"/>
      <c r="D2242" s="5"/>
    </row>
    <row r="2243" spans="3:4" customFormat="1" x14ac:dyDescent="0.2">
      <c r="C2243" s="5"/>
      <c r="D2243" s="5"/>
    </row>
    <row r="2244" spans="3:4" customFormat="1" x14ac:dyDescent="0.2">
      <c r="C2244" s="5"/>
      <c r="D2244" s="5"/>
    </row>
    <row r="2245" spans="3:4" customFormat="1" x14ac:dyDescent="0.2">
      <c r="C2245" s="5"/>
      <c r="D2245" s="5"/>
    </row>
    <row r="2246" spans="3:4" customFormat="1" x14ac:dyDescent="0.2">
      <c r="C2246" s="5"/>
      <c r="D2246" s="5"/>
    </row>
    <row r="2247" spans="3:4" customFormat="1" x14ac:dyDescent="0.2">
      <c r="C2247" s="5"/>
      <c r="D2247" s="5"/>
    </row>
    <row r="2248" spans="3:4" customFormat="1" x14ac:dyDescent="0.2">
      <c r="C2248" s="5"/>
      <c r="D2248" s="5"/>
    </row>
    <row r="2249" spans="3:4" customFormat="1" x14ac:dyDescent="0.2">
      <c r="C2249" s="5"/>
      <c r="D2249" s="5"/>
    </row>
    <row r="2250" spans="3:4" customFormat="1" x14ac:dyDescent="0.2">
      <c r="C2250" s="5"/>
      <c r="D2250" s="5"/>
    </row>
    <row r="2251" spans="3:4" customFormat="1" x14ac:dyDescent="0.2">
      <c r="C2251" s="5"/>
      <c r="D2251" s="5"/>
    </row>
    <row r="2252" spans="3:4" customFormat="1" x14ac:dyDescent="0.2">
      <c r="C2252" s="5"/>
      <c r="D2252" s="5"/>
    </row>
    <row r="2253" spans="3:4" customFormat="1" x14ac:dyDescent="0.2">
      <c r="C2253" s="5"/>
      <c r="D2253" s="5"/>
    </row>
    <row r="2254" spans="3:4" customFormat="1" x14ac:dyDescent="0.2">
      <c r="C2254" s="5"/>
      <c r="D2254" s="5"/>
    </row>
    <row r="2255" spans="3:4" customFormat="1" x14ac:dyDescent="0.2">
      <c r="C2255" s="5"/>
      <c r="D2255" s="5"/>
    </row>
    <row r="2256" spans="3:4" customFormat="1" x14ac:dyDescent="0.2">
      <c r="C2256" s="5"/>
      <c r="D2256" s="5"/>
    </row>
    <row r="2257" spans="3:4" customFormat="1" x14ac:dyDescent="0.2">
      <c r="C2257" s="5"/>
      <c r="D2257" s="5"/>
    </row>
    <row r="2258" spans="3:4" customFormat="1" x14ac:dyDescent="0.2">
      <c r="C2258" s="5"/>
      <c r="D2258" s="5"/>
    </row>
    <row r="2259" spans="3:4" customFormat="1" x14ac:dyDescent="0.2">
      <c r="C2259" s="5"/>
      <c r="D2259" s="5"/>
    </row>
    <row r="2260" spans="3:4" customFormat="1" x14ac:dyDescent="0.2">
      <c r="C2260" s="5"/>
      <c r="D2260" s="5"/>
    </row>
    <row r="2261" spans="3:4" customFormat="1" x14ac:dyDescent="0.2">
      <c r="C2261" s="5"/>
      <c r="D2261" s="5"/>
    </row>
    <row r="2262" spans="3:4" customFormat="1" x14ac:dyDescent="0.2">
      <c r="C2262" s="5"/>
      <c r="D2262" s="5"/>
    </row>
    <row r="2263" spans="3:4" customFormat="1" x14ac:dyDescent="0.2">
      <c r="C2263" s="5"/>
      <c r="D2263" s="5"/>
    </row>
    <row r="2264" spans="3:4" customFormat="1" x14ac:dyDescent="0.2">
      <c r="C2264" s="5"/>
      <c r="D2264" s="5"/>
    </row>
    <row r="2265" spans="3:4" customFormat="1" x14ac:dyDescent="0.2">
      <c r="C2265" s="5"/>
      <c r="D2265" s="5"/>
    </row>
    <row r="2266" spans="3:4" customFormat="1" x14ac:dyDescent="0.2">
      <c r="C2266" s="5"/>
      <c r="D2266" s="5"/>
    </row>
    <row r="2267" spans="3:4" customFormat="1" x14ac:dyDescent="0.2">
      <c r="C2267" s="5"/>
      <c r="D2267" s="5"/>
    </row>
    <row r="2268" spans="3:4" customFormat="1" x14ac:dyDescent="0.2">
      <c r="C2268" s="5"/>
      <c r="D2268" s="5"/>
    </row>
    <row r="2269" spans="3:4" customFormat="1" x14ac:dyDescent="0.2">
      <c r="C2269" s="5"/>
      <c r="D2269" s="5"/>
    </row>
    <row r="2270" spans="3:4" customFormat="1" x14ac:dyDescent="0.2">
      <c r="C2270" s="5"/>
      <c r="D2270" s="5"/>
    </row>
    <row r="2271" spans="3:4" customFormat="1" x14ac:dyDescent="0.2">
      <c r="C2271" s="5"/>
      <c r="D2271" s="5"/>
    </row>
    <row r="2272" spans="3:4" customFormat="1" x14ac:dyDescent="0.2">
      <c r="C2272" s="5"/>
      <c r="D2272" s="5"/>
    </row>
    <row r="2273" spans="3:4" customFormat="1" x14ac:dyDescent="0.2">
      <c r="C2273" s="5"/>
      <c r="D2273" s="5"/>
    </row>
    <row r="2274" spans="3:4" customFormat="1" x14ac:dyDescent="0.2">
      <c r="C2274" s="5"/>
      <c r="D2274" s="5"/>
    </row>
    <row r="2275" spans="3:4" customFormat="1" x14ac:dyDescent="0.2">
      <c r="C2275" s="5"/>
      <c r="D2275" s="5"/>
    </row>
    <row r="2276" spans="3:4" customFormat="1" x14ac:dyDescent="0.2">
      <c r="C2276" s="5"/>
      <c r="D2276" s="5"/>
    </row>
    <row r="2277" spans="3:4" customFormat="1" x14ac:dyDescent="0.2">
      <c r="C2277" s="5"/>
      <c r="D2277" s="5"/>
    </row>
    <row r="2278" spans="3:4" customFormat="1" x14ac:dyDescent="0.2">
      <c r="C2278" s="5"/>
      <c r="D2278" s="5"/>
    </row>
    <row r="2279" spans="3:4" customFormat="1" x14ac:dyDescent="0.2">
      <c r="C2279" s="5"/>
      <c r="D2279" s="5"/>
    </row>
    <row r="2280" spans="3:4" customFormat="1" x14ac:dyDescent="0.2">
      <c r="C2280" s="5"/>
      <c r="D2280" s="5"/>
    </row>
    <row r="2281" spans="3:4" customFormat="1" x14ac:dyDescent="0.2">
      <c r="C2281" s="5"/>
      <c r="D2281" s="5"/>
    </row>
    <row r="2282" spans="3:4" customFormat="1" x14ac:dyDescent="0.2">
      <c r="C2282" s="5"/>
      <c r="D2282" s="5"/>
    </row>
    <row r="2283" spans="3:4" customFormat="1" x14ac:dyDescent="0.2">
      <c r="C2283" s="5"/>
      <c r="D2283" s="5"/>
    </row>
    <row r="2284" spans="3:4" customFormat="1" x14ac:dyDescent="0.2">
      <c r="C2284" s="5"/>
      <c r="D2284" s="5"/>
    </row>
    <row r="2285" spans="3:4" customFormat="1" x14ac:dyDescent="0.2">
      <c r="C2285" s="5"/>
      <c r="D2285" s="5"/>
    </row>
    <row r="2286" spans="3:4" customFormat="1" x14ac:dyDescent="0.2">
      <c r="C2286" s="5"/>
      <c r="D2286" s="5"/>
    </row>
    <row r="2287" spans="3:4" customFormat="1" x14ac:dyDescent="0.2">
      <c r="C2287" s="5"/>
      <c r="D2287" s="5"/>
    </row>
    <row r="2288" spans="3:4" customFormat="1" x14ac:dyDescent="0.2">
      <c r="C2288" s="5"/>
      <c r="D2288" s="5"/>
    </row>
    <row r="2289" spans="3:4" customFormat="1" x14ac:dyDescent="0.2">
      <c r="C2289" s="5"/>
      <c r="D2289" s="5"/>
    </row>
    <row r="2290" spans="3:4" customFormat="1" x14ac:dyDescent="0.2">
      <c r="C2290" s="5"/>
      <c r="D2290" s="5"/>
    </row>
    <row r="2291" spans="3:4" customFormat="1" x14ac:dyDescent="0.2">
      <c r="C2291" s="5"/>
      <c r="D2291" s="5"/>
    </row>
    <row r="2292" spans="3:4" customFormat="1" x14ac:dyDescent="0.2">
      <c r="C2292" s="5"/>
      <c r="D2292" s="5"/>
    </row>
    <row r="2293" spans="3:4" customFormat="1" x14ac:dyDescent="0.2">
      <c r="C2293" s="5"/>
      <c r="D2293" s="5"/>
    </row>
    <row r="2294" spans="3:4" customFormat="1" x14ac:dyDescent="0.2">
      <c r="C2294" s="5"/>
      <c r="D2294" s="5"/>
    </row>
    <row r="2295" spans="3:4" customFormat="1" x14ac:dyDescent="0.2">
      <c r="C2295" s="5"/>
      <c r="D2295" s="5"/>
    </row>
    <row r="2296" spans="3:4" customFormat="1" x14ac:dyDescent="0.2">
      <c r="C2296" s="5"/>
      <c r="D2296" s="5"/>
    </row>
    <row r="2297" spans="3:4" customFormat="1" x14ac:dyDescent="0.2">
      <c r="C2297" s="5"/>
      <c r="D2297" s="5"/>
    </row>
    <row r="2298" spans="3:4" customFormat="1" x14ac:dyDescent="0.2">
      <c r="C2298" s="5"/>
      <c r="D2298" s="5"/>
    </row>
    <row r="2299" spans="3:4" customFormat="1" x14ac:dyDescent="0.2">
      <c r="C2299" s="5"/>
      <c r="D2299" s="5"/>
    </row>
    <row r="2300" spans="3:4" customFormat="1" x14ac:dyDescent="0.2">
      <c r="C2300" s="5"/>
      <c r="D2300" s="5"/>
    </row>
    <row r="2301" spans="3:4" customFormat="1" x14ac:dyDescent="0.2">
      <c r="C2301" s="5"/>
      <c r="D2301" s="5"/>
    </row>
    <row r="2302" spans="3:4" customFormat="1" x14ac:dyDescent="0.2">
      <c r="C2302" s="5"/>
      <c r="D2302" s="5"/>
    </row>
    <row r="2303" spans="3:4" customFormat="1" x14ac:dyDescent="0.2">
      <c r="C2303" s="5"/>
      <c r="D2303" s="5"/>
    </row>
    <row r="2304" spans="3:4" customFormat="1" x14ac:dyDescent="0.2">
      <c r="C2304" s="5"/>
      <c r="D2304" s="5"/>
    </row>
    <row r="2305" spans="3:4" customFormat="1" x14ac:dyDescent="0.2">
      <c r="C2305" s="5"/>
      <c r="D2305" s="5"/>
    </row>
    <row r="2306" spans="3:4" customFormat="1" x14ac:dyDescent="0.2">
      <c r="C2306" s="5"/>
      <c r="D2306" s="5"/>
    </row>
    <row r="2307" spans="3:4" customFormat="1" x14ac:dyDescent="0.2">
      <c r="C2307" s="5"/>
      <c r="D2307" s="5"/>
    </row>
    <row r="2308" spans="3:4" customFormat="1" x14ac:dyDescent="0.2">
      <c r="C2308" s="5"/>
      <c r="D2308" s="5"/>
    </row>
    <row r="2309" spans="3:4" customFormat="1" x14ac:dyDescent="0.2">
      <c r="C2309" s="5"/>
      <c r="D2309" s="5"/>
    </row>
    <row r="2310" spans="3:4" customFormat="1" x14ac:dyDescent="0.2">
      <c r="C2310" s="5"/>
      <c r="D2310" s="5"/>
    </row>
    <row r="2311" spans="3:4" customFormat="1" x14ac:dyDescent="0.2">
      <c r="C2311" s="5"/>
      <c r="D2311" s="5"/>
    </row>
    <row r="2312" spans="3:4" customFormat="1" x14ac:dyDescent="0.2">
      <c r="C2312" s="5"/>
      <c r="D2312" s="5"/>
    </row>
    <row r="2313" spans="3:4" customFormat="1" x14ac:dyDescent="0.2">
      <c r="C2313" s="5"/>
      <c r="D2313" s="5"/>
    </row>
    <row r="2314" spans="3:4" customFormat="1" x14ac:dyDescent="0.2">
      <c r="C2314" s="5"/>
      <c r="D2314" s="5"/>
    </row>
    <row r="2315" spans="3:4" customFormat="1" x14ac:dyDescent="0.2">
      <c r="C2315" s="5"/>
      <c r="D2315" s="5"/>
    </row>
    <row r="2316" spans="3:4" customFormat="1" x14ac:dyDescent="0.2">
      <c r="C2316" s="5"/>
      <c r="D2316" s="5"/>
    </row>
    <row r="2317" spans="3:4" customFormat="1" x14ac:dyDescent="0.2">
      <c r="C2317" s="5"/>
      <c r="D2317" s="5"/>
    </row>
    <row r="2318" spans="3:4" customFormat="1" x14ac:dyDescent="0.2">
      <c r="C2318" s="5"/>
      <c r="D2318" s="5"/>
    </row>
    <row r="2319" spans="3:4" customFormat="1" x14ac:dyDescent="0.2">
      <c r="C2319" s="5"/>
      <c r="D2319" s="5"/>
    </row>
    <row r="2320" spans="3:4" customFormat="1" x14ac:dyDescent="0.2">
      <c r="C2320" s="5"/>
      <c r="D2320" s="5"/>
    </row>
    <row r="2321" spans="3:4" customFormat="1" x14ac:dyDescent="0.2">
      <c r="C2321" s="5"/>
      <c r="D2321" s="5"/>
    </row>
    <row r="2322" spans="3:4" customFormat="1" x14ac:dyDescent="0.2">
      <c r="C2322" s="5"/>
      <c r="D2322" s="5"/>
    </row>
    <row r="2323" spans="3:4" customFormat="1" x14ac:dyDescent="0.2">
      <c r="C2323" s="5"/>
      <c r="D2323" s="5"/>
    </row>
    <row r="2324" spans="3:4" customFormat="1" x14ac:dyDescent="0.2">
      <c r="C2324" s="5"/>
      <c r="D2324" s="5"/>
    </row>
    <row r="2325" spans="3:4" customFormat="1" x14ac:dyDescent="0.2">
      <c r="C2325" s="5"/>
      <c r="D2325" s="5"/>
    </row>
    <row r="2326" spans="3:4" customFormat="1" x14ac:dyDescent="0.2">
      <c r="C2326" s="5"/>
      <c r="D2326" s="5"/>
    </row>
    <row r="2327" spans="3:4" customFormat="1" x14ac:dyDescent="0.2">
      <c r="C2327" s="5"/>
      <c r="D2327" s="5"/>
    </row>
    <row r="2328" spans="3:4" customFormat="1" x14ac:dyDescent="0.2">
      <c r="C2328" s="5"/>
      <c r="D2328" s="5"/>
    </row>
    <row r="2329" spans="3:4" customFormat="1" x14ac:dyDescent="0.2">
      <c r="C2329" s="5"/>
      <c r="D2329" s="5"/>
    </row>
    <row r="2330" spans="3:4" customFormat="1" x14ac:dyDescent="0.2">
      <c r="C2330" s="5"/>
      <c r="D2330" s="5"/>
    </row>
    <row r="2331" spans="3:4" customFormat="1" x14ac:dyDescent="0.2">
      <c r="C2331" s="5"/>
      <c r="D2331" s="5"/>
    </row>
    <row r="2332" spans="3:4" customFormat="1" x14ac:dyDescent="0.2">
      <c r="C2332" s="5"/>
      <c r="D2332" s="5"/>
    </row>
    <row r="2333" spans="3:4" customFormat="1" x14ac:dyDescent="0.2">
      <c r="C2333" s="5"/>
      <c r="D2333" s="5"/>
    </row>
    <row r="2334" spans="3:4" customFormat="1" x14ac:dyDescent="0.2">
      <c r="C2334" s="5"/>
      <c r="D2334" s="5"/>
    </row>
    <row r="2335" spans="3:4" customFormat="1" x14ac:dyDescent="0.2">
      <c r="C2335" s="5"/>
      <c r="D2335" s="5"/>
    </row>
    <row r="2336" spans="3:4" customFormat="1" x14ac:dyDescent="0.2">
      <c r="C2336" s="5"/>
      <c r="D2336" s="5"/>
    </row>
    <row r="2337" spans="3:4" customFormat="1" x14ac:dyDescent="0.2">
      <c r="C2337" s="5"/>
      <c r="D2337" s="5"/>
    </row>
    <row r="2338" spans="3:4" customFormat="1" x14ac:dyDescent="0.2">
      <c r="C2338" s="5"/>
      <c r="D2338" s="5"/>
    </row>
    <row r="2339" spans="3:4" customFormat="1" x14ac:dyDescent="0.2">
      <c r="C2339" s="5"/>
      <c r="D2339" s="5"/>
    </row>
    <row r="2340" spans="3:4" customFormat="1" x14ac:dyDescent="0.2">
      <c r="C2340" s="5"/>
      <c r="D2340" s="5"/>
    </row>
    <row r="2341" spans="3:4" customFormat="1" x14ac:dyDescent="0.2">
      <c r="C2341" s="5"/>
      <c r="D2341" s="5"/>
    </row>
    <row r="2342" spans="3:4" customFormat="1" x14ac:dyDescent="0.2">
      <c r="C2342" s="5"/>
      <c r="D2342" s="5"/>
    </row>
    <row r="2343" spans="3:4" customFormat="1" x14ac:dyDescent="0.2">
      <c r="C2343" s="5"/>
      <c r="D2343" s="5"/>
    </row>
    <row r="2344" spans="3:4" customFormat="1" x14ac:dyDescent="0.2">
      <c r="C2344" s="5"/>
      <c r="D2344" s="5"/>
    </row>
    <row r="2345" spans="3:4" customFormat="1" x14ac:dyDescent="0.2">
      <c r="C2345" s="5"/>
      <c r="D2345" s="5"/>
    </row>
    <row r="2346" spans="3:4" customFormat="1" x14ac:dyDescent="0.2">
      <c r="C2346" s="5"/>
      <c r="D2346" s="5"/>
    </row>
    <row r="2347" spans="3:4" customFormat="1" x14ac:dyDescent="0.2">
      <c r="C2347" s="5"/>
      <c r="D2347" s="5"/>
    </row>
    <row r="2348" spans="3:4" customFormat="1" x14ac:dyDescent="0.2">
      <c r="C2348" s="5"/>
      <c r="D2348" s="5"/>
    </row>
    <row r="2349" spans="3:4" customFormat="1" x14ac:dyDescent="0.2">
      <c r="C2349" s="5"/>
      <c r="D2349" s="5"/>
    </row>
    <row r="2350" spans="3:4" customFormat="1" x14ac:dyDescent="0.2">
      <c r="C2350" s="5"/>
      <c r="D2350" s="5"/>
    </row>
    <row r="2351" spans="3:4" customFormat="1" x14ac:dyDescent="0.2">
      <c r="C2351" s="5"/>
      <c r="D2351" s="5"/>
    </row>
    <row r="2352" spans="3:4" customFormat="1" x14ac:dyDescent="0.2">
      <c r="C2352" s="5"/>
      <c r="D2352" s="5"/>
    </row>
    <row r="2353" spans="3:4" customFormat="1" x14ac:dyDescent="0.2">
      <c r="C2353" s="5"/>
      <c r="D2353" s="5"/>
    </row>
    <row r="2354" spans="3:4" customFormat="1" x14ac:dyDescent="0.2">
      <c r="C2354" s="5"/>
      <c r="D2354" s="5"/>
    </row>
    <row r="2355" spans="3:4" customFormat="1" x14ac:dyDescent="0.2">
      <c r="C2355" s="5"/>
      <c r="D2355" s="5"/>
    </row>
    <row r="2356" spans="3:4" customFormat="1" x14ac:dyDescent="0.2">
      <c r="C2356" s="5"/>
      <c r="D2356" s="5"/>
    </row>
    <row r="2357" spans="3:4" customFormat="1" x14ac:dyDescent="0.2">
      <c r="C2357" s="5"/>
      <c r="D2357" s="5"/>
    </row>
    <row r="2358" spans="3:4" customFormat="1" x14ac:dyDescent="0.2">
      <c r="C2358" s="5"/>
      <c r="D2358" s="5"/>
    </row>
    <row r="2359" spans="3:4" customFormat="1" x14ac:dyDescent="0.2">
      <c r="C2359" s="5"/>
      <c r="D2359" s="5"/>
    </row>
    <row r="2360" spans="3:4" customFormat="1" x14ac:dyDescent="0.2">
      <c r="C2360" s="5"/>
      <c r="D2360" s="5"/>
    </row>
    <row r="2361" spans="3:4" customFormat="1" x14ac:dyDescent="0.2">
      <c r="C2361" s="5"/>
      <c r="D2361" s="5"/>
    </row>
    <row r="2362" spans="3:4" customFormat="1" x14ac:dyDescent="0.2">
      <c r="C2362" s="5"/>
      <c r="D2362" s="5"/>
    </row>
    <row r="2363" spans="3:4" customFormat="1" x14ac:dyDescent="0.2">
      <c r="C2363" s="5"/>
      <c r="D2363" s="5"/>
    </row>
    <row r="2364" spans="3:4" customFormat="1" x14ac:dyDescent="0.2">
      <c r="C2364" s="5"/>
      <c r="D2364" s="5"/>
    </row>
    <row r="2365" spans="3:4" customFormat="1" x14ac:dyDescent="0.2">
      <c r="C2365" s="5"/>
      <c r="D2365" s="5"/>
    </row>
    <row r="2366" spans="3:4" customFormat="1" x14ac:dyDescent="0.2">
      <c r="C2366" s="5"/>
      <c r="D2366" s="5"/>
    </row>
    <row r="2367" spans="3:4" customFormat="1" x14ac:dyDescent="0.2">
      <c r="C2367" s="5"/>
      <c r="D2367" s="5"/>
    </row>
    <row r="2368" spans="3:4" customFormat="1" x14ac:dyDescent="0.2">
      <c r="C2368" s="5"/>
      <c r="D2368" s="5"/>
    </row>
    <row r="2369" spans="3:4" customFormat="1" x14ac:dyDescent="0.2">
      <c r="C2369" s="5"/>
      <c r="D2369" s="5"/>
    </row>
    <row r="2370" spans="3:4" customFormat="1" x14ac:dyDescent="0.2">
      <c r="C2370" s="5"/>
      <c r="D2370" s="5"/>
    </row>
    <row r="2371" spans="3:4" customFormat="1" x14ac:dyDescent="0.2">
      <c r="C2371" s="5"/>
      <c r="D2371" s="5"/>
    </row>
    <row r="2372" spans="3:4" customFormat="1" x14ac:dyDescent="0.2">
      <c r="C2372" s="5"/>
      <c r="D2372" s="5"/>
    </row>
    <row r="2373" spans="3:4" customFormat="1" x14ac:dyDescent="0.2">
      <c r="C2373" s="5"/>
      <c r="D2373" s="5"/>
    </row>
    <row r="2374" spans="3:4" customFormat="1" x14ac:dyDescent="0.2">
      <c r="C2374" s="5"/>
      <c r="D2374" s="5"/>
    </row>
    <row r="2375" spans="3:4" customFormat="1" x14ac:dyDescent="0.2">
      <c r="C2375" s="5"/>
      <c r="D2375" s="5"/>
    </row>
    <row r="2376" spans="3:4" customFormat="1" x14ac:dyDescent="0.2">
      <c r="C2376" s="5"/>
      <c r="D2376" s="5"/>
    </row>
    <row r="2377" spans="3:4" customFormat="1" x14ac:dyDescent="0.2">
      <c r="C2377" s="5"/>
      <c r="D2377" s="5"/>
    </row>
    <row r="2378" spans="3:4" customFormat="1" x14ac:dyDescent="0.2">
      <c r="C2378" s="5"/>
      <c r="D2378" s="5"/>
    </row>
    <row r="2379" spans="3:4" customFormat="1" x14ac:dyDescent="0.2">
      <c r="C2379" s="5"/>
      <c r="D2379" s="5"/>
    </row>
    <row r="2380" spans="3:4" customFormat="1" x14ac:dyDescent="0.2">
      <c r="C2380" s="5"/>
      <c r="D2380" s="5"/>
    </row>
    <row r="2381" spans="3:4" customFormat="1" x14ac:dyDescent="0.2">
      <c r="C2381" s="5"/>
      <c r="D2381" s="5"/>
    </row>
    <row r="2382" spans="3:4" customFormat="1" x14ac:dyDescent="0.2">
      <c r="C2382" s="5"/>
      <c r="D2382" s="5"/>
    </row>
    <row r="2383" spans="3:4" customFormat="1" x14ac:dyDescent="0.2">
      <c r="C2383" s="5"/>
      <c r="D2383" s="5"/>
    </row>
    <row r="2384" spans="3:4" customFormat="1" x14ac:dyDescent="0.2">
      <c r="C2384" s="5"/>
      <c r="D2384" s="5"/>
    </row>
    <row r="2385" spans="3:4" customFormat="1" x14ac:dyDescent="0.2">
      <c r="C2385" s="5"/>
      <c r="D2385" s="5"/>
    </row>
    <row r="2386" spans="3:4" customFormat="1" x14ac:dyDescent="0.2">
      <c r="C2386" s="5"/>
      <c r="D2386" s="5"/>
    </row>
    <row r="2387" spans="3:4" customFormat="1" x14ac:dyDescent="0.2">
      <c r="C2387" s="5"/>
      <c r="D2387" s="5"/>
    </row>
    <row r="2388" spans="3:4" customFormat="1" x14ac:dyDescent="0.2">
      <c r="C2388" s="5"/>
      <c r="D2388" s="5"/>
    </row>
    <row r="2389" spans="3:4" customFormat="1" x14ac:dyDescent="0.2">
      <c r="C2389" s="5"/>
      <c r="D2389" s="5"/>
    </row>
    <row r="2390" spans="3:4" customFormat="1" x14ac:dyDescent="0.2">
      <c r="C2390" s="5"/>
      <c r="D2390" s="5"/>
    </row>
    <row r="2391" spans="3:4" customFormat="1" x14ac:dyDescent="0.2">
      <c r="C2391" s="5"/>
      <c r="D2391" s="5"/>
    </row>
    <row r="2392" spans="3:4" customFormat="1" x14ac:dyDescent="0.2">
      <c r="C2392" s="5"/>
      <c r="D2392" s="5"/>
    </row>
    <row r="2393" spans="3:4" customFormat="1" x14ac:dyDescent="0.2">
      <c r="C2393" s="5"/>
      <c r="D2393" s="5"/>
    </row>
    <row r="2394" spans="3:4" customFormat="1" x14ac:dyDescent="0.2">
      <c r="C2394" s="5"/>
      <c r="D2394" s="5"/>
    </row>
    <row r="2395" spans="3:4" customFormat="1" x14ac:dyDescent="0.2">
      <c r="C2395" s="5"/>
      <c r="D2395" s="5"/>
    </row>
    <row r="2396" spans="3:4" customFormat="1" x14ac:dyDescent="0.2">
      <c r="C2396" s="5"/>
      <c r="D2396" s="5"/>
    </row>
    <row r="2397" spans="3:4" customFormat="1" x14ac:dyDescent="0.2">
      <c r="C2397" s="5"/>
      <c r="D2397" s="5"/>
    </row>
    <row r="2398" spans="3:4" customFormat="1" x14ac:dyDescent="0.2">
      <c r="C2398" s="5"/>
      <c r="D2398" s="5"/>
    </row>
    <row r="2399" spans="3:4" customFormat="1" x14ac:dyDescent="0.2">
      <c r="C2399" s="5"/>
      <c r="D2399" s="5"/>
    </row>
    <row r="2400" spans="3:4" customFormat="1" x14ac:dyDescent="0.2">
      <c r="C2400" s="5"/>
      <c r="D2400" s="5"/>
    </row>
    <row r="2401" spans="3:4" customFormat="1" x14ac:dyDescent="0.2">
      <c r="C2401" s="5"/>
      <c r="D2401" s="5"/>
    </row>
    <row r="2402" spans="3:4" customFormat="1" x14ac:dyDescent="0.2">
      <c r="C2402" s="5"/>
      <c r="D2402" s="5"/>
    </row>
    <row r="2403" spans="3:4" customFormat="1" x14ac:dyDescent="0.2">
      <c r="C2403" s="5"/>
      <c r="D2403" s="5"/>
    </row>
    <row r="2404" spans="3:4" customFormat="1" x14ac:dyDescent="0.2">
      <c r="C2404" s="5"/>
      <c r="D2404" s="5"/>
    </row>
    <row r="2405" spans="3:4" customFormat="1" x14ac:dyDescent="0.2">
      <c r="C2405" s="5"/>
      <c r="D2405" s="5"/>
    </row>
    <row r="2406" spans="3:4" customFormat="1" x14ac:dyDescent="0.2">
      <c r="C2406" s="5"/>
      <c r="D2406" s="5"/>
    </row>
    <row r="2407" spans="3:4" customFormat="1" x14ac:dyDescent="0.2">
      <c r="C2407" s="5"/>
      <c r="D2407" s="5"/>
    </row>
    <row r="2408" spans="3:4" customFormat="1" x14ac:dyDescent="0.2">
      <c r="C2408" s="5"/>
      <c r="D2408" s="5"/>
    </row>
    <row r="2409" spans="3:4" customFormat="1" x14ac:dyDescent="0.2">
      <c r="C2409" s="5"/>
      <c r="D2409" s="5"/>
    </row>
    <row r="2410" spans="3:4" customFormat="1" x14ac:dyDescent="0.2">
      <c r="C2410" s="5"/>
      <c r="D2410" s="5"/>
    </row>
    <row r="2411" spans="3:4" customFormat="1" x14ac:dyDescent="0.2">
      <c r="C2411" s="5"/>
      <c r="D2411" s="5"/>
    </row>
    <row r="2412" spans="3:4" customFormat="1" x14ac:dyDescent="0.2">
      <c r="C2412" s="5"/>
      <c r="D2412" s="5"/>
    </row>
    <row r="2413" spans="3:4" customFormat="1" x14ac:dyDescent="0.2">
      <c r="C2413" s="5"/>
      <c r="D2413" s="5"/>
    </row>
    <row r="2414" spans="3:4" customFormat="1" x14ac:dyDescent="0.2">
      <c r="C2414" s="5"/>
      <c r="D2414" s="5"/>
    </row>
    <row r="2415" spans="3:4" customFormat="1" x14ac:dyDescent="0.2">
      <c r="C2415" s="5"/>
      <c r="D2415" s="5"/>
    </row>
    <row r="2416" spans="3:4" customFormat="1" x14ac:dyDescent="0.2">
      <c r="C2416" s="5"/>
      <c r="D2416" s="5"/>
    </row>
    <row r="2417" spans="3:4" customFormat="1" x14ac:dyDescent="0.2">
      <c r="C2417" s="5"/>
      <c r="D2417" s="5"/>
    </row>
    <row r="2418" spans="3:4" customFormat="1" x14ac:dyDescent="0.2">
      <c r="C2418" s="5"/>
      <c r="D2418" s="5"/>
    </row>
    <row r="2419" spans="3:4" customFormat="1" x14ac:dyDescent="0.2">
      <c r="C2419" s="5"/>
      <c r="D2419" s="5"/>
    </row>
    <row r="2420" spans="3:4" customFormat="1" x14ac:dyDescent="0.2">
      <c r="C2420" s="5"/>
      <c r="D2420" s="5"/>
    </row>
    <row r="2421" spans="3:4" customFormat="1" x14ac:dyDescent="0.2">
      <c r="C2421" s="5"/>
      <c r="D2421" s="5"/>
    </row>
    <row r="2422" spans="3:4" customFormat="1" x14ac:dyDescent="0.2">
      <c r="C2422" s="5"/>
      <c r="D2422" s="5"/>
    </row>
    <row r="2423" spans="3:4" customFormat="1" x14ac:dyDescent="0.2">
      <c r="C2423" s="5"/>
      <c r="D2423" s="5"/>
    </row>
    <row r="2424" spans="3:4" customFormat="1" x14ac:dyDescent="0.2">
      <c r="C2424" s="5"/>
      <c r="D2424" s="5"/>
    </row>
    <row r="2425" spans="3:4" customFormat="1" x14ac:dyDescent="0.2">
      <c r="C2425" s="5"/>
      <c r="D2425" s="5"/>
    </row>
    <row r="2426" spans="3:4" customFormat="1" x14ac:dyDescent="0.2">
      <c r="C2426" s="5"/>
      <c r="D2426" s="5"/>
    </row>
    <row r="2427" spans="3:4" customFormat="1" x14ac:dyDescent="0.2">
      <c r="C2427" s="5"/>
      <c r="D2427" s="5"/>
    </row>
    <row r="2428" spans="3:4" customFormat="1" x14ac:dyDescent="0.2">
      <c r="C2428" s="5"/>
      <c r="D2428" s="5"/>
    </row>
    <row r="2429" spans="3:4" customFormat="1" x14ac:dyDescent="0.2">
      <c r="C2429" s="5"/>
      <c r="D2429" s="5"/>
    </row>
    <row r="2430" spans="3:4" customFormat="1" x14ac:dyDescent="0.2">
      <c r="C2430" s="5"/>
      <c r="D2430" s="5"/>
    </row>
    <row r="2431" spans="3:4" customFormat="1" x14ac:dyDescent="0.2">
      <c r="C2431" s="5"/>
      <c r="D2431" s="5"/>
    </row>
    <row r="2432" spans="3:4" customFormat="1" x14ac:dyDescent="0.2">
      <c r="C2432" s="5"/>
      <c r="D2432" s="5"/>
    </row>
    <row r="2433" spans="3:4" customFormat="1" x14ac:dyDescent="0.2">
      <c r="C2433" s="5"/>
      <c r="D2433" s="5"/>
    </row>
    <row r="2434" spans="3:4" customFormat="1" x14ac:dyDescent="0.2">
      <c r="C2434" s="5"/>
      <c r="D2434" s="5"/>
    </row>
    <row r="2435" spans="3:4" customFormat="1" x14ac:dyDescent="0.2">
      <c r="C2435" s="5"/>
      <c r="D2435" s="5"/>
    </row>
    <row r="2436" spans="3:4" customFormat="1" x14ac:dyDescent="0.2">
      <c r="C2436" s="5"/>
      <c r="D2436" s="5"/>
    </row>
    <row r="2437" spans="3:4" customFormat="1" x14ac:dyDescent="0.2">
      <c r="C2437" s="5"/>
      <c r="D2437" s="5"/>
    </row>
    <row r="2438" spans="3:4" customFormat="1" x14ac:dyDescent="0.2">
      <c r="C2438" s="5"/>
      <c r="D2438" s="5"/>
    </row>
    <row r="2439" spans="3:4" customFormat="1" x14ac:dyDescent="0.2">
      <c r="C2439" s="5"/>
      <c r="D2439" s="5"/>
    </row>
    <row r="2440" spans="3:4" customFormat="1" x14ac:dyDescent="0.2">
      <c r="C2440" s="5"/>
      <c r="D2440" s="5"/>
    </row>
    <row r="2441" spans="3:4" customFormat="1" x14ac:dyDescent="0.2">
      <c r="C2441" s="5"/>
      <c r="D2441" s="5"/>
    </row>
    <row r="2442" spans="3:4" customFormat="1" x14ac:dyDescent="0.2">
      <c r="C2442" s="5"/>
      <c r="D2442" s="5"/>
    </row>
    <row r="2443" spans="3:4" customFormat="1" x14ac:dyDescent="0.2">
      <c r="C2443" s="5"/>
      <c r="D2443" s="5"/>
    </row>
    <row r="2444" spans="3:4" customFormat="1" x14ac:dyDescent="0.2">
      <c r="C2444" s="5"/>
      <c r="D2444" s="5"/>
    </row>
    <row r="2445" spans="3:4" customFormat="1" x14ac:dyDescent="0.2">
      <c r="C2445" s="5"/>
      <c r="D2445" s="5"/>
    </row>
    <row r="2446" spans="3:4" customFormat="1" x14ac:dyDescent="0.2">
      <c r="C2446" s="5"/>
      <c r="D2446" s="5"/>
    </row>
    <row r="2447" spans="3:4" customFormat="1" x14ac:dyDescent="0.2">
      <c r="C2447" s="5"/>
      <c r="D2447" s="5"/>
    </row>
    <row r="2448" spans="3:4" customFormat="1" x14ac:dyDescent="0.2">
      <c r="C2448" s="5"/>
      <c r="D2448" s="5"/>
    </row>
    <row r="2449" spans="3:4" customFormat="1" x14ac:dyDescent="0.2">
      <c r="C2449" s="5"/>
      <c r="D2449" s="5"/>
    </row>
    <row r="2450" spans="3:4" customFormat="1" x14ac:dyDescent="0.2">
      <c r="C2450" s="5"/>
      <c r="D2450" s="5"/>
    </row>
    <row r="2451" spans="3:4" customFormat="1" x14ac:dyDescent="0.2">
      <c r="C2451" s="5"/>
      <c r="D2451" s="5"/>
    </row>
    <row r="2452" spans="3:4" customFormat="1" x14ac:dyDescent="0.2">
      <c r="C2452" s="5"/>
      <c r="D2452" s="5"/>
    </row>
    <row r="2453" spans="3:4" customFormat="1" x14ac:dyDescent="0.2">
      <c r="C2453" s="5"/>
      <c r="D2453" s="5"/>
    </row>
    <row r="2454" spans="3:4" customFormat="1" x14ac:dyDescent="0.2">
      <c r="C2454" s="5"/>
      <c r="D2454" s="5"/>
    </row>
    <row r="2455" spans="3:4" customFormat="1" x14ac:dyDescent="0.2">
      <c r="C2455" s="5"/>
      <c r="D2455" s="5"/>
    </row>
    <row r="2456" spans="3:4" customFormat="1" x14ac:dyDescent="0.2">
      <c r="C2456" s="5"/>
      <c r="D2456" s="5"/>
    </row>
    <row r="2457" spans="3:4" customFormat="1" x14ac:dyDescent="0.2">
      <c r="C2457" s="5"/>
      <c r="D2457" s="5"/>
    </row>
    <row r="2458" spans="3:4" customFormat="1" x14ac:dyDescent="0.2">
      <c r="C2458" s="5"/>
      <c r="D2458" s="5"/>
    </row>
    <row r="2459" spans="3:4" customFormat="1" x14ac:dyDescent="0.2">
      <c r="C2459" s="5"/>
      <c r="D2459" s="5"/>
    </row>
    <row r="2460" spans="3:4" customFormat="1" x14ac:dyDescent="0.2">
      <c r="C2460" s="5"/>
      <c r="D2460" s="5"/>
    </row>
    <row r="2461" spans="3:4" customFormat="1" x14ac:dyDescent="0.2">
      <c r="C2461" s="5"/>
      <c r="D2461" s="5"/>
    </row>
    <row r="2462" spans="3:4" customFormat="1" x14ac:dyDescent="0.2">
      <c r="C2462" s="5"/>
      <c r="D2462" s="5"/>
    </row>
    <row r="2463" spans="3:4" customFormat="1" x14ac:dyDescent="0.2">
      <c r="C2463" s="5"/>
      <c r="D2463" s="5"/>
    </row>
    <row r="2464" spans="3:4" customFormat="1" x14ac:dyDescent="0.2">
      <c r="C2464" s="5"/>
      <c r="D2464" s="5"/>
    </row>
    <row r="2465" spans="3:4" customFormat="1" x14ac:dyDescent="0.2">
      <c r="C2465" s="5"/>
      <c r="D2465" s="5"/>
    </row>
    <row r="2466" spans="3:4" customFormat="1" x14ac:dyDescent="0.2">
      <c r="C2466" s="5"/>
      <c r="D2466" s="5"/>
    </row>
    <row r="2467" spans="3:4" customFormat="1" x14ac:dyDescent="0.2">
      <c r="C2467" s="5"/>
      <c r="D2467" s="5"/>
    </row>
    <row r="2468" spans="3:4" customFormat="1" x14ac:dyDescent="0.2">
      <c r="C2468" s="5"/>
      <c r="D2468" s="5"/>
    </row>
    <row r="2469" spans="3:4" customFormat="1" x14ac:dyDescent="0.2">
      <c r="C2469" s="5"/>
      <c r="D2469" s="5"/>
    </row>
    <row r="2470" spans="3:4" customFormat="1" x14ac:dyDescent="0.2">
      <c r="C2470" s="5"/>
      <c r="D2470" s="5"/>
    </row>
    <row r="2471" spans="3:4" customFormat="1" x14ac:dyDescent="0.2">
      <c r="C2471" s="5"/>
      <c r="D2471" s="5"/>
    </row>
    <row r="2472" spans="3:4" customFormat="1" x14ac:dyDescent="0.2">
      <c r="C2472" s="5"/>
      <c r="D2472" s="5"/>
    </row>
    <row r="2473" spans="3:4" customFormat="1" x14ac:dyDescent="0.2">
      <c r="C2473" s="5"/>
      <c r="D2473" s="5"/>
    </row>
    <row r="2474" spans="3:4" customFormat="1" x14ac:dyDescent="0.2">
      <c r="C2474" s="5"/>
      <c r="D2474" s="5"/>
    </row>
    <row r="2475" spans="3:4" customFormat="1" x14ac:dyDescent="0.2">
      <c r="C2475" s="5"/>
      <c r="D2475" s="5"/>
    </row>
    <row r="2476" spans="3:4" customFormat="1" x14ac:dyDescent="0.2">
      <c r="C2476" s="5"/>
      <c r="D2476" s="5"/>
    </row>
    <row r="2477" spans="3:4" customFormat="1" x14ac:dyDescent="0.2">
      <c r="C2477" s="5"/>
      <c r="D2477" s="5"/>
    </row>
    <row r="2478" spans="3:4" customFormat="1" x14ac:dyDescent="0.2">
      <c r="C2478" s="5"/>
      <c r="D2478" s="5"/>
    </row>
    <row r="2479" spans="3:4" customFormat="1" x14ac:dyDescent="0.2">
      <c r="C2479" s="5"/>
      <c r="D2479" s="5"/>
    </row>
    <row r="2480" spans="3:4" customFormat="1" x14ac:dyDescent="0.2">
      <c r="C2480" s="5"/>
      <c r="D2480" s="5"/>
    </row>
    <row r="2481" spans="3:4" customFormat="1" x14ac:dyDescent="0.2">
      <c r="C2481" s="5"/>
      <c r="D2481" s="5"/>
    </row>
    <row r="2482" spans="3:4" customFormat="1" x14ac:dyDescent="0.2">
      <c r="C2482" s="5"/>
      <c r="D2482" s="5"/>
    </row>
    <row r="2483" spans="3:4" customFormat="1" x14ac:dyDescent="0.2">
      <c r="C2483" s="5"/>
      <c r="D2483" s="5"/>
    </row>
    <row r="2484" spans="3:4" customFormat="1" x14ac:dyDescent="0.2">
      <c r="C2484" s="5"/>
      <c r="D2484" s="5"/>
    </row>
    <row r="2485" spans="3:4" customFormat="1" x14ac:dyDescent="0.2">
      <c r="C2485" s="5"/>
      <c r="D2485" s="5"/>
    </row>
    <row r="2486" spans="3:4" customFormat="1" x14ac:dyDescent="0.2">
      <c r="C2486" s="5"/>
      <c r="D2486" s="5"/>
    </row>
    <row r="2487" spans="3:4" customFormat="1" x14ac:dyDescent="0.2">
      <c r="C2487" s="5"/>
      <c r="D2487" s="5"/>
    </row>
    <row r="2488" spans="3:4" customFormat="1" x14ac:dyDescent="0.2">
      <c r="C2488" s="5"/>
      <c r="D2488" s="5"/>
    </row>
    <row r="2489" spans="3:4" customFormat="1" x14ac:dyDescent="0.2">
      <c r="C2489" s="5"/>
      <c r="D2489" s="5"/>
    </row>
    <row r="2490" spans="3:4" customFormat="1" x14ac:dyDescent="0.2">
      <c r="C2490" s="5"/>
      <c r="D2490" s="5"/>
    </row>
    <row r="2491" spans="3:4" customFormat="1" x14ac:dyDescent="0.2">
      <c r="C2491" s="5"/>
      <c r="D2491" s="5"/>
    </row>
    <row r="2492" spans="3:4" customFormat="1" x14ac:dyDescent="0.2">
      <c r="C2492" s="5"/>
      <c r="D2492" s="5"/>
    </row>
    <row r="2493" spans="3:4" customFormat="1" x14ac:dyDescent="0.2">
      <c r="C2493" s="5"/>
      <c r="D2493" s="5"/>
    </row>
    <row r="2494" spans="3:4" customFormat="1" x14ac:dyDescent="0.2">
      <c r="C2494" s="5"/>
      <c r="D2494" s="5"/>
    </row>
    <row r="2495" spans="3:4" customFormat="1" x14ac:dyDescent="0.2">
      <c r="C2495" s="5"/>
      <c r="D2495" s="5"/>
    </row>
    <row r="2496" spans="3:4" customFormat="1" x14ac:dyDescent="0.2">
      <c r="C2496" s="5"/>
      <c r="D2496" s="5"/>
    </row>
    <row r="2497" spans="3:4" customFormat="1" x14ac:dyDescent="0.2">
      <c r="C2497" s="5"/>
      <c r="D2497" s="5"/>
    </row>
    <row r="2498" spans="3:4" customFormat="1" x14ac:dyDescent="0.2">
      <c r="C2498" s="5"/>
      <c r="D2498" s="5"/>
    </row>
    <row r="2499" spans="3:4" customFormat="1" x14ac:dyDescent="0.2">
      <c r="C2499" s="5"/>
      <c r="D2499" s="5"/>
    </row>
    <row r="2500" spans="3:4" customFormat="1" x14ac:dyDescent="0.2">
      <c r="C2500" s="5"/>
      <c r="D2500" s="5"/>
    </row>
    <row r="2501" spans="3:4" customFormat="1" x14ac:dyDescent="0.2">
      <c r="C2501" s="5"/>
      <c r="D2501" s="5"/>
    </row>
    <row r="2502" spans="3:4" customFormat="1" x14ac:dyDescent="0.2">
      <c r="C2502" s="5"/>
      <c r="D2502" s="5"/>
    </row>
    <row r="2503" spans="3:4" customFormat="1" x14ac:dyDescent="0.2">
      <c r="C2503" s="5"/>
      <c r="D2503" s="5"/>
    </row>
    <row r="2504" spans="3:4" customFormat="1" x14ac:dyDescent="0.2">
      <c r="C2504" s="5"/>
      <c r="D2504" s="5"/>
    </row>
    <row r="2505" spans="3:4" customFormat="1" x14ac:dyDescent="0.2">
      <c r="C2505" s="5"/>
      <c r="D2505" s="5"/>
    </row>
    <row r="2506" spans="3:4" customFormat="1" x14ac:dyDescent="0.2">
      <c r="C2506" s="5"/>
      <c r="D2506" s="5"/>
    </row>
    <row r="2507" spans="3:4" customFormat="1" x14ac:dyDescent="0.2">
      <c r="C2507" s="5"/>
      <c r="D2507" s="5"/>
    </row>
    <row r="2508" spans="3:4" customFormat="1" x14ac:dyDescent="0.2">
      <c r="C2508" s="5"/>
      <c r="D2508" s="5"/>
    </row>
    <row r="2509" spans="3:4" customFormat="1" x14ac:dyDescent="0.2">
      <c r="C2509" s="5"/>
      <c r="D2509" s="5"/>
    </row>
    <row r="2510" spans="3:4" customFormat="1" x14ac:dyDescent="0.2">
      <c r="C2510" s="5"/>
      <c r="D2510" s="5"/>
    </row>
    <row r="2511" spans="3:4" customFormat="1" x14ac:dyDescent="0.2">
      <c r="C2511" s="5"/>
      <c r="D2511" s="5"/>
    </row>
    <row r="2512" spans="3:4" customFormat="1" x14ac:dyDescent="0.2">
      <c r="C2512" s="5"/>
      <c r="D2512" s="5"/>
    </row>
    <row r="2513" spans="3:4" customFormat="1" x14ac:dyDescent="0.2">
      <c r="C2513" s="5"/>
      <c r="D2513" s="5"/>
    </row>
    <row r="2514" spans="3:4" customFormat="1" x14ac:dyDescent="0.2">
      <c r="C2514" s="5"/>
      <c r="D2514" s="5"/>
    </row>
    <row r="2515" spans="3:4" customFormat="1" x14ac:dyDescent="0.2">
      <c r="C2515" s="5"/>
      <c r="D2515" s="5"/>
    </row>
    <row r="2516" spans="3:4" customFormat="1" x14ac:dyDescent="0.2">
      <c r="C2516" s="5"/>
      <c r="D2516" s="5"/>
    </row>
    <row r="2517" spans="3:4" customFormat="1" x14ac:dyDescent="0.2">
      <c r="C2517" s="5"/>
      <c r="D2517" s="5"/>
    </row>
    <row r="2518" spans="3:4" customFormat="1" x14ac:dyDescent="0.2">
      <c r="C2518" s="5"/>
      <c r="D2518" s="5"/>
    </row>
    <row r="2519" spans="3:4" customFormat="1" x14ac:dyDescent="0.2">
      <c r="C2519" s="5"/>
      <c r="D2519" s="5"/>
    </row>
    <row r="2520" spans="3:4" customFormat="1" x14ac:dyDescent="0.2">
      <c r="C2520" s="5"/>
      <c r="D2520" s="5"/>
    </row>
    <row r="2521" spans="3:4" customFormat="1" x14ac:dyDescent="0.2">
      <c r="C2521" s="5"/>
      <c r="D2521" s="5"/>
    </row>
    <row r="2522" spans="3:4" customFormat="1" x14ac:dyDescent="0.2">
      <c r="C2522" s="5"/>
      <c r="D2522" s="5"/>
    </row>
    <row r="2523" spans="3:4" customFormat="1" x14ac:dyDescent="0.2">
      <c r="C2523" s="5"/>
      <c r="D2523" s="5"/>
    </row>
    <row r="2524" spans="3:4" customFormat="1" x14ac:dyDescent="0.2">
      <c r="C2524" s="5"/>
      <c r="D2524" s="5"/>
    </row>
    <row r="2525" spans="3:4" customFormat="1" x14ac:dyDescent="0.2">
      <c r="C2525" s="5"/>
      <c r="D2525" s="5"/>
    </row>
    <row r="2526" spans="3:4" customFormat="1" x14ac:dyDescent="0.2">
      <c r="C2526" s="5"/>
      <c r="D2526" s="5"/>
    </row>
    <row r="2527" spans="3:4" customFormat="1" x14ac:dyDescent="0.2">
      <c r="C2527" s="5"/>
      <c r="D2527" s="5"/>
    </row>
    <row r="2528" spans="3:4" customFormat="1" x14ac:dyDescent="0.2">
      <c r="C2528" s="5"/>
      <c r="D2528" s="5"/>
    </row>
    <row r="2529" spans="3:4" customFormat="1" x14ac:dyDescent="0.2">
      <c r="C2529" s="5"/>
      <c r="D2529" s="5"/>
    </row>
    <row r="2530" spans="3:4" customFormat="1" x14ac:dyDescent="0.2">
      <c r="C2530" s="5"/>
      <c r="D2530" s="5"/>
    </row>
    <row r="2531" spans="3:4" customFormat="1" x14ac:dyDescent="0.2">
      <c r="C2531" s="5"/>
      <c r="D2531" s="5"/>
    </row>
    <row r="2532" spans="3:4" customFormat="1" x14ac:dyDescent="0.2">
      <c r="C2532" s="5"/>
      <c r="D2532" s="5"/>
    </row>
    <row r="2533" spans="3:4" customFormat="1" x14ac:dyDescent="0.2">
      <c r="C2533" s="5"/>
      <c r="D2533" s="5"/>
    </row>
    <row r="2534" spans="3:4" customFormat="1" x14ac:dyDescent="0.2">
      <c r="C2534" s="5"/>
      <c r="D2534" s="5"/>
    </row>
    <row r="2535" spans="3:4" customFormat="1" x14ac:dyDescent="0.2">
      <c r="C2535" s="5"/>
      <c r="D2535" s="5"/>
    </row>
    <row r="2536" spans="3:4" customFormat="1" x14ac:dyDescent="0.2">
      <c r="C2536" s="5"/>
      <c r="D2536" s="5"/>
    </row>
    <row r="2537" spans="3:4" customFormat="1" x14ac:dyDescent="0.2">
      <c r="C2537" s="5"/>
      <c r="D2537" s="5"/>
    </row>
    <row r="2538" spans="3:4" customFormat="1" x14ac:dyDescent="0.2">
      <c r="C2538" s="5"/>
      <c r="D2538" s="5"/>
    </row>
    <row r="2539" spans="3:4" customFormat="1" x14ac:dyDescent="0.2">
      <c r="C2539" s="5"/>
      <c r="D2539" s="5"/>
    </row>
    <row r="2540" spans="3:4" customFormat="1" x14ac:dyDescent="0.2">
      <c r="C2540" s="5"/>
      <c r="D2540" s="5"/>
    </row>
    <row r="2541" spans="3:4" customFormat="1" x14ac:dyDescent="0.2">
      <c r="C2541" s="5"/>
      <c r="D2541" s="5"/>
    </row>
    <row r="2542" spans="3:4" customFormat="1" x14ac:dyDescent="0.2">
      <c r="C2542" s="5"/>
      <c r="D2542" s="5"/>
    </row>
    <row r="2543" spans="3:4" customFormat="1" x14ac:dyDescent="0.2">
      <c r="C2543" s="5"/>
      <c r="D2543" s="5"/>
    </row>
    <row r="2544" spans="3:4" customFormat="1" x14ac:dyDescent="0.2">
      <c r="C2544" s="5"/>
      <c r="D2544" s="5"/>
    </row>
    <row r="2545" spans="3:4" customFormat="1" x14ac:dyDescent="0.2">
      <c r="C2545" s="5"/>
      <c r="D2545" s="5"/>
    </row>
    <row r="2546" spans="3:4" customFormat="1" x14ac:dyDescent="0.2">
      <c r="C2546" s="5"/>
      <c r="D2546" s="5"/>
    </row>
    <row r="2547" spans="3:4" customFormat="1" x14ac:dyDescent="0.2">
      <c r="C2547" s="5"/>
      <c r="D2547" s="5"/>
    </row>
    <row r="2548" spans="3:4" customFormat="1" x14ac:dyDescent="0.2">
      <c r="C2548" s="5"/>
      <c r="D2548" s="5"/>
    </row>
    <row r="2549" spans="3:4" customFormat="1" x14ac:dyDescent="0.2">
      <c r="C2549" s="5"/>
      <c r="D2549" s="5"/>
    </row>
    <row r="2550" spans="3:4" customFormat="1" x14ac:dyDescent="0.2">
      <c r="C2550" s="5"/>
      <c r="D2550" s="5"/>
    </row>
    <row r="2551" spans="3:4" customFormat="1" x14ac:dyDescent="0.2">
      <c r="C2551" s="5"/>
      <c r="D2551" s="5"/>
    </row>
    <row r="2552" spans="3:4" customFormat="1" x14ac:dyDescent="0.2">
      <c r="C2552" s="5"/>
      <c r="D2552" s="5"/>
    </row>
    <row r="2553" spans="3:4" customFormat="1" x14ac:dyDescent="0.2">
      <c r="C2553" s="5"/>
      <c r="D2553" s="5"/>
    </row>
    <row r="2554" spans="3:4" customFormat="1" x14ac:dyDescent="0.2">
      <c r="C2554" s="5"/>
      <c r="D2554" s="5"/>
    </row>
    <row r="2555" spans="3:4" customFormat="1" x14ac:dyDescent="0.2">
      <c r="C2555" s="5"/>
      <c r="D2555" s="5"/>
    </row>
    <row r="2556" spans="3:4" customFormat="1" x14ac:dyDescent="0.2">
      <c r="C2556" s="5"/>
      <c r="D2556" s="5"/>
    </row>
    <row r="2557" spans="3:4" customFormat="1" x14ac:dyDescent="0.2">
      <c r="C2557" s="5"/>
      <c r="D2557" s="5"/>
    </row>
    <row r="2558" spans="3:4" customFormat="1" x14ac:dyDescent="0.2">
      <c r="C2558" s="5"/>
      <c r="D2558" s="5"/>
    </row>
    <row r="2559" spans="3:4" customFormat="1" x14ac:dyDescent="0.2">
      <c r="C2559" s="5"/>
      <c r="D2559" s="5"/>
    </row>
    <row r="2560" spans="3:4" customFormat="1" x14ac:dyDescent="0.2">
      <c r="C2560" s="5"/>
      <c r="D2560" s="5"/>
    </row>
    <row r="2561" spans="3:4" customFormat="1" x14ac:dyDescent="0.2">
      <c r="C2561" s="5"/>
      <c r="D2561" s="5"/>
    </row>
    <row r="2562" spans="3:4" customFormat="1" x14ac:dyDescent="0.2">
      <c r="C2562" s="5"/>
      <c r="D2562" s="5"/>
    </row>
    <row r="2563" spans="3:4" customFormat="1" x14ac:dyDescent="0.2">
      <c r="C2563" s="5"/>
      <c r="D2563" s="5"/>
    </row>
    <row r="2564" spans="3:4" customFormat="1" x14ac:dyDescent="0.2">
      <c r="C2564" s="5"/>
      <c r="D2564" s="5"/>
    </row>
    <row r="2565" spans="3:4" customFormat="1" x14ac:dyDescent="0.2">
      <c r="C2565" s="5"/>
      <c r="D2565" s="5"/>
    </row>
    <row r="2566" spans="3:4" customFormat="1" x14ac:dyDescent="0.2">
      <c r="C2566" s="5"/>
      <c r="D2566" s="5"/>
    </row>
    <row r="2567" spans="3:4" customFormat="1" x14ac:dyDescent="0.2">
      <c r="C2567" s="5"/>
      <c r="D2567" s="5"/>
    </row>
    <row r="2568" spans="3:4" customFormat="1" x14ac:dyDescent="0.2">
      <c r="C2568" s="5"/>
      <c r="D2568" s="5"/>
    </row>
    <row r="2569" spans="3:4" customFormat="1" x14ac:dyDescent="0.2">
      <c r="C2569" s="5"/>
      <c r="D2569" s="5"/>
    </row>
    <row r="2570" spans="3:4" customFormat="1" x14ac:dyDescent="0.2">
      <c r="C2570" s="5"/>
      <c r="D2570" s="5"/>
    </row>
    <row r="2571" spans="3:4" customFormat="1" x14ac:dyDescent="0.2">
      <c r="C2571" s="5"/>
      <c r="D2571" s="5"/>
    </row>
    <row r="2572" spans="3:4" customFormat="1" x14ac:dyDescent="0.2">
      <c r="C2572" s="5"/>
      <c r="D2572" s="5"/>
    </row>
    <row r="2573" spans="3:4" customFormat="1" x14ac:dyDescent="0.2">
      <c r="C2573" s="5"/>
      <c r="D2573" s="5"/>
    </row>
    <row r="2574" spans="3:4" customFormat="1" x14ac:dyDescent="0.2">
      <c r="C2574" s="5"/>
      <c r="D2574" s="5"/>
    </row>
    <row r="2575" spans="3:4" customFormat="1" x14ac:dyDescent="0.2">
      <c r="C2575" s="5"/>
      <c r="D2575" s="5"/>
    </row>
    <row r="2576" spans="3:4" customFormat="1" x14ac:dyDescent="0.2">
      <c r="C2576" s="5"/>
      <c r="D2576" s="5"/>
    </row>
    <row r="2577" spans="3:4" customFormat="1" x14ac:dyDescent="0.2">
      <c r="C2577" s="5"/>
      <c r="D2577" s="5"/>
    </row>
    <row r="2578" spans="3:4" customFormat="1" x14ac:dyDescent="0.2">
      <c r="C2578" s="5"/>
      <c r="D2578" s="5"/>
    </row>
    <row r="2579" spans="3:4" customFormat="1" x14ac:dyDescent="0.2">
      <c r="C2579" s="5"/>
      <c r="D2579" s="5"/>
    </row>
    <row r="2580" spans="3:4" customFormat="1" x14ac:dyDescent="0.2">
      <c r="C2580" s="5"/>
      <c r="D2580" s="5"/>
    </row>
    <row r="2581" spans="3:4" customFormat="1" x14ac:dyDescent="0.2">
      <c r="C2581" s="5"/>
      <c r="D2581" s="5"/>
    </row>
    <row r="2582" spans="3:4" customFormat="1" x14ac:dyDescent="0.2">
      <c r="C2582" s="5"/>
      <c r="D2582" s="5"/>
    </row>
    <row r="2583" spans="3:4" customFormat="1" x14ac:dyDescent="0.2">
      <c r="C2583" s="5"/>
      <c r="D2583" s="5"/>
    </row>
    <row r="2584" spans="3:4" customFormat="1" x14ac:dyDescent="0.2">
      <c r="C2584" s="5"/>
      <c r="D2584" s="5"/>
    </row>
    <row r="2585" spans="3:4" customFormat="1" x14ac:dyDescent="0.2">
      <c r="C2585" s="5"/>
      <c r="D2585" s="5"/>
    </row>
    <row r="2586" spans="3:4" customFormat="1" x14ac:dyDescent="0.2">
      <c r="C2586" s="5"/>
      <c r="D2586" s="5"/>
    </row>
    <row r="2587" spans="3:4" customFormat="1" x14ac:dyDescent="0.2">
      <c r="C2587" s="5"/>
      <c r="D2587" s="5"/>
    </row>
    <row r="2588" spans="3:4" customFormat="1" x14ac:dyDescent="0.2">
      <c r="C2588" s="5"/>
      <c r="D2588" s="5"/>
    </row>
    <row r="2589" spans="3:4" customFormat="1" x14ac:dyDescent="0.2">
      <c r="C2589" s="5"/>
      <c r="D2589" s="5"/>
    </row>
    <row r="2590" spans="3:4" customFormat="1" x14ac:dyDescent="0.2">
      <c r="C2590" s="5"/>
      <c r="D2590" s="5"/>
    </row>
    <row r="2591" spans="3:4" customFormat="1" x14ac:dyDescent="0.2">
      <c r="C2591" s="5"/>
      <c r="D2591" s="5"/>
    </row>
    <row r="2592" spans="3:4" customFormat="1" x14ac:dyDescent="0.2">
      <c r="C2592" s="5"/>
      <c r="D2592" s="5"/>
    </row>
    <row r="2593" spans="3:4" customFormat="1" x14ac:dyDescent="0.2">
      <c r="C2593" s="5"/>
      <c r="D2593" s="5"/>
    </row>
    <row r="2594" spans="3:4" customFormat="1" x14ac:dyDescent="0.2">
      <c r="C2594" s="5"/>
      <c r="D2594" s="5"/>
    </row>
    <row r="2595" spans="3:4" customFormat="1" x14ac:dyDescent="0.2">
      <c r="C2595" s="5"/>
      <c r="D2595" s="5"/>
    </row>
    <row r="2596" spans="3:4" customFormat="1" x14ac:dyDescent="0.2">
      <c r="C2596" s="5"/>
      <c r="D2596" s="5"/>
    </row>
    <row r="2597" spans="3:4" customFormat="1" x14ac:dyDescent="0.2">
      <c r="C2597" s="5"/>
      <c r="D2597" s="5"/>
    </row>
    <row r="2598" spans="3:4" customFormat="1" x14ac:dyDescent="0.2">
      <c r="C2598" s="5"/>
      <c r="D2598" s="5"/>
    </row>
    <row r="2599" spans="3:4" customFormat="1" x14ac:dyDescent="0.2">
      <c r="C2599" s="5"/>
      <c r="D2599" s="5"/>
    </row>
    <row r="2600" spans="3:4" customFormat="1" x14ac:dyDescent="0.2">
      <c r="C2600" s="5"/>
      <c r="D2600" s="5"/>
    </row>
    <row r="2601" spans="3:4" customFormat="1" x14ac:dyDescent="0.2">
      <c r="C2601" s="5"/>
      <c r="D2601" s="5"/>
    </row>
    <row r="2602" spans="3:4" customFormat="1" x14ac:dyDescent="0.2">
      <c r="C2602" s="5"/>
      <c r="D2602" s="5"/>
    </row>
    <row r="2603" spans="3:4" customFormat="1" x14ac:dyDescent="0.2">
      <c r="C2603" s="5"/>
      <c r="D2603" s="5"/>
    </row>
    <row r="2604" spans="3:4" customFormat="1" x14ac:dyDescent="0.2">
      <c r="C2604" s="5"/>
      <c r="D2604" s="5"/>
    </row>
    <row r="2605" spans="3:4" customFormat="1" x14ac:dyDescent="0.2">
      <c r="C2605" s="5"/>
      <c r="D2605" s="5"/>
    </row>
    <row r="2606" spans="3:4" customFormat="1" x14ac:dyDescent="0.2">
      <c r="C2606" s="5"/>
      <c r="D2606" s="5"/>
    </row>
    <row r="2607" spans="3:4" customFormat="1" x14ac:dyDescent="0.2">
      <c r="C2607" s="5"/>
      <c r="D2607" s="5"/>
    </row>
    <row r="2608" spans="3:4" customFormat="1" x14ac:dyDescent="0.2">
      <c r="C2608" s="5"/>
      <c r="D2608" s="5"/>
    </row>
    <row r="2609" spans="3:4" customFormat="1" x14ac:dyDescent="0.2">
      <c r="C2609" s="5"/>
      <c r="D2609" s="5"/>
    </row>
    <row r="2610" spans="3:4" customFormat="1" x14ac:dyDescent="0.2">
      <c r="C2610" s="5"/>
      <c r="D2610" s="5"/>
    </row>
    <row r="2611" spans="3:4" customFormat="1" x14ac:dyDescent="0.2">
      <c r="C2611" s="5"/>
      <c r="D2611" s="5"/>
    </row>
    <row r="2612" spans="3:4" customFormat="1" x14ac:dyDescent="0.2">
      <c r="C2612" s="5"/>
      <c r="D2612" s="5"/>
    </row>
    <row r="2613" spans="3:4" customFormat="1" x14ac:dyDescent="0.2">
      <c r="C2613" s="5"/>
      <c r="D2613" s="5"/>
    </row>
    <row r="2614" spans="3:4" customFormat="1" x14ac:dyDescent="0.2">
      <c r="C2614" s="5"/>
      <c r="D2614" s="5"/>
    </row>
    <row r="2615" spans="3:4" customFormat="1" x14ac:dyDescent="0.2">
      <c r="C2615" s="5"/>
      <c r="D2615" s="5"/>
    </row>
    <row r="2616" spans="3:4" customFormat="1" x14ac:dyDescent="0.2">
      <c r="C2616" s="5"/>
      <c r="D2616" s="5"/>
    </row>
    <row r="2617" spans="3:4" customFormat="1" x14ac:dyDescent="0.2">
      <c r="C2617" s="5"/>
      <c r="D2617" s="5"/>
    </row>
    <row r="2618" spans="3:4" customFormat="1" x14ac:dyDescent="0.2">
      <c r="C2618" s="5"/>
      <c r="D2618" s="5"/>
    </row>
    <row r="2619" spans="3:4" customFormat="1" x14ac:dyDescent="0.2">
      <c r="C2619" s="5"/>
      <c r="D2619" s="5"/>
    </row>
    <row r="2620" spans="3:4" customFormat="1" x14ac:dyDescent="0.2">
      <c r="C2620" s="5"/>
      <c r="D2620" s="5"/>
    </row>
    <row r="2621" spans="3:4" customFormat="1" x14ac:dyDescent="0.2">
      <c r="C2621" s="5"/>
      <c r="D2621" s="5"/>
    </row>
    <row r="2622" spans="3:4" customFormat="1" x14ac:dyDescent="0.2">
      <c r="C2622" s="5"/>
      <c r="D2622" s="5"/>
    </row>
    <row r="2623" spans="3:4" customFormat="1" x14ac:dyDescent="0.2">
      <c r="C2623" s="5"/>
      <c r="D2623" s="5"/>
    </row>
    <row r="2624" spans="3:4" customFormat="1" x14ac:dyDescent="0.2">
      <c r="C2624" s="5"/>
      <c r="D2624" s="5"/>
    </row>
    <row r="2625" spans="3:4" customFormat="1" x14ac:dyDescent="0.2">
      <c r="C2625" s="5"/>
      <c r="D2625" s="5"/>
    </row>
    <row r="2626" spans="3:4" customFormat="1" x14ac:dyDescent="0.2">
      <c r="C2626" s="5"/>
      <c r="D2626" s="5"/>
    </row>
    <row r="2627" spans="3:4" customFormat="1" x14ac:dyDescent="0.2">
      <c r="C2627" s="5"/>
      <c r="D2627" s="5"/>
    </row>
    <row r="2628" spans="3:4" customFormat="1" x14ac:dyDescent="0.2">
      <c r="C2628" s="5"/>
      <c r="D2628" s="5"/>
    </row>
    <row r="2629" spans="3:4" customFormat="1" x14ac:dyDescent="0.2">
      <c r="C2629" s="5"/>
      <c r="D2629" s="5"/>
    </row>
    <row r="2630" spans="3:4" customFormat="1" x14ac:dyDescent="0.2">
      <c r="C2630" s="5"/>
      <c r="D2630" s="5"/>
    </row>
    <row r="2631" spans="3:4" customFormat="1" x14ac:dyDescent="0.2">
      <c r="C2631" s="5"/>
      <c r="D2631" s="5"/>
    </row>
    <row r="2632" spans="3:4" customFormat="1" x14ac:dyDescent="0.2">
      <c r="C2632" s="5"/>
      <c r="D2632" s="5"/>
    </row>
    <row r="2633" spans="3:4" customFormat="1" x14ac:dyDescent="0.2">
      <c r="C2633" s="5"/>
      <c r="D2633" s="5"/>
    </row>
    <row r="2634" spans="3:4" customFormat="1" x14ac:dyDescent="0.2">
      <c r="C2634" s="5"/>
      <c r="D2634" s="5"/>
    </row>
    <row r="2635" spans="3:4" customFormat="1" x14ac:dyDescent="0.2">
      <c r="C2635" s="5"/>
      <c r="D2635" s="5"/>
    </row>
    <row r="2636" spans="3:4" customFormat="1" x14ac:dyDescent="0.2">
      <c r="C2636" s="5"/>
      <c r="D2636" s="5"/>
    </row>
    <row r="2637" spans="3:4" customFormat="1" x14ac:dyDescent="0.2">
      <c r="C2637" s="5"/>
      <c r="D2637" s="5"/>
    </row>
    <row r="2638" spans="3:4" customFormat="1" x14ac:dyDescent="0.2">
      <c r="C2638" s="5"/>
      <c r="D2638" s="5"/>
    </row>
    <row r="2639" spans="3:4" customFormat="1" x14ac:dyDescent="0.2">
      <c r="C2639" s="5"/>
      <c r="D2639" s="5"/>
    </row>
    <row r="2640" spans="3:4" customFormat="1" x14ac:dyDescent="0.2">
      <c r="C2640" s="5"/>
      <c r="D2640" s="5"/>
    </row>
    <row r="2641" spans="3:4" customFormat="1" x14ac:dyDescent="0.2">
      <c r="C2641" s="5"/>
      <c r="D2641" s="5"/>
    </row>
    <row r="2642" spans="3:4" customFormat="1" x14ac:dyDescent="0.2">
      <c r="C2642" s="5"/>
      <c r="D2642" s="5"/>
    </row>
    <row r="2643" spans="3:4" customFormat="1" x14ac:dyDescent="0.2">
      <c r="C2643" s="5"/>
      <c r="D2643" s="5"/>
    </row>
    <row r="2644" spans="3:4" customFormat="1" x14ac:dyDescent="0.2">
      <c r="C2644" s="5"/>
      <c r="D2644" s="5"/>
    </row>
    <row r="2645" spans="3:4" customFormat="1" x14ac:dyDescent="0.2">
      <c r="C2645" s="5"/>
      <c r="D2645" s="5"/>
    </row>
    <row r="2646" spans="3:4" customFormat="1" x14ac:dyDescent="0.2">
      <c r="C2646" s="5"/>
      <c r="D2646" s="5"/>
    </row>
    <row r="2647" spans="3:4" customFormat="1" x14ac:dyDescent="0.2">
      <c r="C2647" s="5"/>
      <c r="D2647" s="5"/>
    </row>
    <row r="2648" spans="3:4" customFormat="1" x14ac:dyDescent="0.2">
      <c r="C2648" s="5"/>
      <c r="D2648" s="5"/>
    </row>
    <row r="2649" spans="3:4" customFormat="1" x14ac:dyDescent="0.2">
      <c r="C2649" s="5"/>
      <c r="D2649" s="5"/>
    </row>
    <row r="2650" spans="3:4" customFormat="1" x14ac:dyDescent="0.2">
      <c r="C2650" s="5"/>
      <c r="D2650" s="5"/>
    </row>
    <row r="2651" spans="3:4" customFormat="1" x14ac:dyDescent="0.2">
      <c r="C2651" s="5"/>
      <c r="D2651" s="5"/>
    </row>
    <row r="2652" spans="3:4" customFormat="1" x14ac:dyDescent="0.2">
      <c r="C2652" s="5"/>
      <c r="D2652" s="5"/>
    </row>
    <row r="2653" spans="3:4" customFormat="1" x14ac:dyDescent="0.2">
      <c r="C2653" s="5"/>
      <c r="D2653" s="5"/>
    </row>
    <row r="2654" spans="3:4" customFormat="1" x14ac:dyDescent="0.2">
      <c r="C2654" s="5"/>
      <c r="D2654" s="5"/>
    </row>
    <row r="2655" spans="3:4" customFormat="1" x14ac:dyDescent="0.2">
      <c r="C2655" s="5"/>
      <c r="D2655" s="5"/>
    </row>
    <row r="2656" spans="3:4" customFormat="1" x14ac:dyDescent="0.2">
      <c r="C2656" s="5"/>
      <c r="D2656" s="5"/>
    </row>
    <row r="2657" spans="3:4" customFormat="1" x14ac:dyDescent="0.2">
      <c r="C2657" s="5"/>
      <c r="D2657" s="5"/>
    </row>
    <row r="2658" spans="3:4" customFormat="1" x14ac:dyDescent="0.2">
      <c r="C2658" s="5"/>
      <c r="D2658" s="5"/>
    </row>
    <row r="2659" spans="3:4" customFormat="1" x14ac:dyDescent="0.2">
      <c r="C2659" s="5"/>
      <c r="D2659" s="5"/>
    </row>
    <row r="2660" spans="3:4" customFormat="1" x14ac:dyDescent="0.2">
      <c r="C2660" s="5"/>
      <c r="D2660" s="5"/>
    </row>
    <row r="2661" spans="3:4" customFormat="1" x14ac:dyDescent="0.2">
      <c r="C2661" s="5"/>
      <c r="D2661" s="5"/>
    </row>
    <row r="2662" spans="3:4" customFormat="1" x14ac:dyDescent="0.2">
      <c r="C2662" s="5"/>
      <c r="D2662" s="5"/>
    </row>
    <row r="2663" spans="3:4" customFormat="1" x14ac:dyDescent="0.2">
      <c r="C2663" s="5"/>
      <c r="D2663" s="5"/>
    </row>
    <row r="2664" spans="3:4" customFormat="1" x14ac:dyDescent="0.2">
      <c r="C2664" s="5"/>
      <c r="D2664" s="5"/>
    </row>
    <row r="2665" spans="3:4" customFormat="1" x14ac:dyDescent="0.2">
      <c r="C2665" s="5"/>
      <c r="D2665" s="5"/>
    </row>
    <row r="2666" spans="3:4" customFormat="1" x14ac:dyDescent="0.2">
      <c r="C2666" s="5"/>
      <c r="D2666" s="5"/>
    </row>
    <row r="2667" spans="3:4" customFormat="1" x14ac:dyDescent="0.2">
      <c r="C2667" s="5"/>
      <c r="D2667" s="5"/>
    </row>
    <row r="2668" spans="3:4" customFormat="1" x14ac:dyDescent="0.2">
      <c r="C2668" s="5"/>
      <c r="D2668" s="5"/>
    </row>
    <row r="2669" spans="3:4" customFormat="1" x14ac:dyDescent="0.2">
      <c r="C2669" s="5"/>
      <c r="D2669" s="5"/>
    </row>
    <row r="2670" spans="3:4" customFormat="1" x14ac:dyDescent="0.2">
      <c r="C2670" s="5"/>
      <c r="D2670" s="5"/>
    </row>
    <row r="2671" spans="3:4" customFormat="1" x14ac:dyDescent="0.2">
      <c r="C2671" s="5"/>
      <c r="D2671" s="5"/>
    </row>
    <row r="2672" spans="3:4" customFormat="1" x14ac:dyDescent="0.2">
      <c r="C2672" s="5"/>
      <c r="D2672" s="5"/>
    </row>
    <row r="2673" spans="3:4" customFormat="1" x14ac:dyDescent="0.2">
      <c r="C2673" s="5"/>
      <c r="D2673" s="5"/>
    </row>
    <row r="2674" spans="3:4" customFormat="1" x14ac:dyDescent="0.2">
      <c r="C2674" s="5"/>
      <c r="D2674" s="5"/>
    </row>
    <row r="2675" spans="3:4" customFormat="1" x14ac:dyDescent="0.2">
      <c r="C2675" s="5"/>
      <c r="D2675" s="5"/>
    </row>
    <row r="2676" spans="3:4" customFormat="1" x14ac:dyDescent="0.2">
      <c r="C2676" s="5"/>
      <c r="D2676" s="5"/>
    </row>
    <row r="2677" spans="3:4" customFormat="1" x14ac:dyDescent="0.2">
      <c r="C2677" s="5"/>
      <c r="D2677" s="5"/>
    </row>
    <row r="2678" spans="3:4" customFormat="1" x14ac:dyDescent="0.2">
      <c r="C2678" s="5"/>
      <c r="D2678" s="5"/>
    </row>
    <row r="2679" spans="3:4" customFormat="1" x14ac:dyDescent="0.2">
      <c r="C2679" s="5"/>
      <c r="D2679" s="5"/>
    </row>
    <row r="2680" spans="3:4" customFormat="1" x14ac:dyDescent="0.2">
      <c r="C2680" s="5"/>
      <c r="D2680" s="5"/>
    </row>
    <row r="2681" spans="3:4" customFormat="1" x14ac:dyDescent="0.2">
      <c r="C2681" s="5"/>
      <c r="D2681" s="5"/>
    </row>
    <row r="2682" spans="3:4" customFormat="1" x14ac:dyDescent="0.2">
      <c r="C2682" s="5"/>
      <c r="D2682" s="5"/>
    </row>
    <row r="2683" spans="3:4" customFormat="1" x14ac:dyDescent="0.2">
      <c r="C2683" s="5"/>
      <c r="D2683" s="5"/>
    </row>
    <row r="2684" spans="3:4" customFormat="1" x14ac:dyDescent="0.2">
      <c r="C2684" s="5"/>
      <c r="D2684" s="5"/>
    </row>
    <row r="2685" spans="3:4" customFormat="1" x14ac:dyDescent="0.2">
      <c r="C2685" s="5"/>
      <c r="D2685" s="5"/>
    </row>
    <row r="2686" spans="3:4" customFormat="1" x14ac:dyDescent="0.2">
      <c r="C2686" s="5"/>
      <c r="D2686" s="5"/>
    </row>
    <row r="2687" spans="3:4" customFormat="1" x14ac:dyDescent="0.2">
      <c r="C2687" s="5"/>
      <c r="D2687" s="5"/>
    </row>
    <row r="2688" spans="3:4" customFormat="1" x14ac:dyDescent="0.2">
      <c r="C2688" s="5"/>
      <c r="D2688" s="5"/>
    </row>
    <row r="2689" spans="3:4" customFormat="1" x14ac:dyDescent="0.2">
      <c r="C2689" s="5"/>
      <c r="D2689" s="5"/>
    </row>
    <row r="2690" spans="3:4" customFormat="1" x14ac:dyDescent="0.2">
      <c r="C2690" s="5"/>
      <c r="D2690" s="5"/>
    </row>
    <row r="2691" spans="3:4" customFormat="1" x14ac:dyDescent="0.2">
      <c r="C2691" s="5"/>
      <c r="D2691" s="5"/>
    </row>
    <row r="2692" spans="3:4" customFormat="1" x14ac:dyDescent="0.2">
      <c r="C2692" s="5"/>
      <c r="D2692" s="5"/>
    </row>
    <row r="2693" spans="3:4" customFormat="1" x14ac:dyDescent="0.2">
      <c r="C2693" s="5"/>
      <c r="D2693" s="5"/>
    </row>
    <row r="2694" spans="3:4" customFormat="1" x14ac:dyDescent="0.2">
      <c r="C2694" s="5"/>
      <c r="D2694" s="5"/>
    </row>
    <row r="2695" spans="3:4" customFormat="1" x14ac:dyDescent="0.2">
      <c r="C2695" s="5"/>
      <c r="D2695" s="5"/>
    </row>
    <row r="2696" spans="3:4" customFormat="1" x14ac:dyDescent="0.2">
      <c r="C2696" s="5"/>
      <c r="D2696" s="5"/>
    </row>
    <row r="2697" spans="3:4" customFormat="1" x14ac:dyDescent="0.2">
      <c r="C2697" s="5"/>
      <c r="D2697" s="5"/>
    </row>
    <row r="2698" spans="3:4" customFormat="1" x14ac:dyDescent="0.2">
      <c r="C2698" s="5"/>
      <c r="D2698" s="5"/>
    </row>
    <row r="2699" spans="3:4" customFormat="1" x14ac:dyDescent="0.2">
      <c r="C2699" s="5"/>
      <c r="D2699" s="5"/>
    </row>
    <row r="2700" spans="3:4" customFormat="1" x14ac:dyDescent="0.2">
      <c r="C2700" s="5"/>
      <c r="D2700" s="5"/>
    </row>
    <row r="2701" spans="3:4" customFormat="1" x14ac:dyDescent="0.2">
      <c r="C2701" s="5"/>
      <c r="D2701" s="5"/>
    </row>
    <row r="2702" spans="3:4" customFormat="1" x14ac:dyDescent="0.2">
      <c r="C2702" s="5"/>
      <c r="D2702" s="5"/>
    </row>
    <row r="2703" spans="3:4" customFormat="1" x14ac:dyDescent="0.2">
      <c r="C2703" s="5"/>
      <c r="D2703" s="5"/>
    </row>
    <row r="2704" spans="3:4" customFormat="1" x14ac:dyDescent="0.2">
      <c r="C2704" s="5"/>
      <c r="D2704" s="5"/>
    </row>
    <row r="2705" spans="3:4" customFormat="1" x14ac:dyDescent="0.2">
      <c r="C2705" s="5"/>
      <c r="D2705" s="5"/>
    </row>
    <row r="2706" spans="3:4" customFormat="1" x14ac:dyDescent="0.2">
      <c r="C2706" s="5"/>
      <c r="D2706" s="5"/>
    </row>
    <row r="2707" spans="3:4" customFormat="1" x14ac:dyDescent="0.2">
      <c r="C2707" s="5"/>
      <c r="D2707" s="5"/>
    </row>
    <row r="2708" spans="3:4" customFormat="1" x14ac:dyDescent="0.2">
      <c r="C2708" s="5"/>
      <c r="D2708" s="5"/>
    </row>
    <row r="2709" spans="3:4" customFormat="1" x14ac:dyDescent="0.2">
      <c r="C2709" s="5"/>
      <c r="D2709" s="5"/>
    </row>
    <row r="2710" spans="3:4" customFormat="1" x14ac:dyDescent="0.2">
      <c r="C2710" s="5"/>
      <c r="D2710" s="5"/>
    </row>
    <row r="2711" spans="3:4" customFormat="1" x14ac:dyDescent="0.2">
      <c r="C2711" s="5"/>
      <c r="D2711" s="5"/>
    </row>
    <row r="2712" spans="3:4" customFormat="1" x14ac:dyDescent="0.2">
      <c r="C2712" s="5"/>
      <c r="D2712" s="5"/>
    </row>
    <row r="2713" spans="3:4" customFormat="1" x14ac:dyDescent="0.2">
      <c r="C2713" s="5"/>
      <c r="D2713" s="5"/>
    </row>
    <row r="2714" spans="3:4" customFormat="1" x14ac:dyDescent="0.2">
      <c r="C2714" s="5"/>
      <c r="D2714" s="5"/>
    </row>
    <row r="2715" spans="3:4" customFormat="1" x14ac:dyDescent="0.2">
      <c r="C2715" s="5"/>
      <c r="D2715" s="5"/>
    </row>
    <row r="2716" spans="3:4" customFormat="1" x14ac:dyDescent="0.2">
      <c r="C2716" s="5"/>
      <c r="D2716" s="5"/>
    </row>
    <row r="2717" spans="3:4" customFormat="1" x14ac:dyDescent="0.2">
      <c r="C2717" s="5"/>
      <c r="D2717" s="5"/>
    </row>
    <row r="2718" spans="3:4" customFormat="1" x14ac:dyDescent="0.2">
      <c r="C2718" s="5"/>
      <c r="D2718" s="5"/>
    </row>
    <row r="2719" spans="3:4" customFormat="1" x14ac:dyDescent="0.2">
      <c r="C2719" s="5"/>
      <c r="D2719" s="5"/>
    </row>
    <row r="2720" spans="3:4" customFormat="1" x14ac:dyDescent="0.2">
      <c r="C2720" s="5"/>
      <c r="D2720" s="5"/>
    </row>
    <row r="2721" spans="3:4" customFormat="1" x14ac:dyDescent="0.2">
      <c r="C2721" s="5"/>
      <c r="D2721" s="5"/>
    </row>
    <row r="2722" spans="3:4" customFormat="1" x14ac:dyDescent="0.2">
      <c r="C2722" s="5"/>
      <c r="D2722" s="5"/>
    </row>
    <row r="2723" spans="3:4" customFormat="1" x14ac:dyDescent="0.2">
      <c r="C2723" s="5"/>
      <c r="D2723" s="5"/>
    </row>
    <row r="2724" spans="3:4" customFormat="1" x14ac:dyDescent="0.2">
      <c r="C2724" s="5"/>
      <c r="D2724" s="5"/>
    </row>
    <row r="2725" spans="3:4" customFormat="1" x14ac:dyDescent="0.2">
      <c r="C2725" s="5"/>
      <c r="D2725" s="5"/>
    </row>
    <row r="2726" spans="3:4" customFormat="1" x14ac:dyDescent="0.2">
      <c r="C2726" s="5"/>
      <c r="D2726" s="5"/>
    </row>
    <row r="2727" spans="3:4" customFormat="1" x14ac:dyDescent="0.2">
      <c r="C2727" s="5"/>
      <c r="D2727" s="5"/>
    </row>
    <row r="2728" spans="3:4" customFormat="1" x14ac:dyDescent="0.2">
      <c r="C2728" s="5"/>
      <c r="D2728" s="5"/>
    </row>
    <row r="2729" spans="3:4" customFormat="1" x14ac:dyDescent="0.2">
      <c r="C2729" s="5"/>
      <c r="D2729" s="5"/>
    </row>
    <row r="2730" spans="3:4" customFormat="1" x14ac:dyDescent="0.2">
      <c r="C2730" s="5"/>
      <c r="D2730" s="5"/>
    </row>
    <row r="2731" spans="3:4" customFormat="1" x14ac:dyDescent="0.2">
      <c r="C2731" s="5"/>
      <c r="D2731" s="5"/>
    </row>
    <row r="2732" spans="3:4" customFormat="1" x14ac:dyDescent="0.2">
      <c r="C2732" s="5"/>
      <c r="D2732" s="5"/>
    </row>
    <row r="2733" spans="3:4" customFormat="1" x14ac:dyDescent="0.2">
      <c r="C2733" s="5"/>
      <c r="D2733" s="5"/>
    </row>
    <row r="2734" spans="3:4" customFormat="1" x14ac:dyDescent="0.2">
      <c r="C2734" s="5"/>
      <c r="D2734" s="5"/>
    </row>
    <row r="2735" spans="3:4" customFormat="1" x14ac:dyDescent="0.2">
      <c r="C2735" s="5"/>
      <c r="D2735" s="5"/>
    </row>
    <row r="2736" spans="3:4" customFormat="1" x14ac:dyDescent="0.2">
      <c r="C2736" s="5"/>
      <c r="D2736" s="5"/>
    </row>
    <row r="2737" spans="3:4" customFormat="1" x14ac:dyDescent="0.2">
      <c r="C2737" s="5"/>
      <c r="D2737" s="5"/>
    </row>
    <row r="2738" spans="3:4" customFormat="1" x14ac:dyDescent="0.2">
      <c r="C2738" s="5"/>
      <c r="D2738" s="5"/>
    </row>
    <row r="2739" spans="3:4" customFormat="1" x14ac:dyDescent="0.2">
      <c r="C2739" s="5"/>
      <c r="D2739" s="5"/>
    </row>
    <row r="2740" spans="3:4" customFormat="1" x14ac:dyDescent="0.2">
      <c r="C2740" s="5"/>
      <c r="D2740" s="5"/>
    </row>
    <row r="2741" spans="3:4" customFormat="1" x14ac:dyDescent="0.2">
      <c r="C2741" s="5"/>
      <c r="D2741" s="5"/>
    </row>
    <row r="2742" spans="3:4" customFormat="1" x14ac:dyDescent="0.2">
      <c r="C2742" s="5"/>
      <c r="D2742" s="5"/>
    </row>
    <row r="2743" spans="3:4" customFormat="1" x14ac:dyDescent="0.2">
      <c r="C2743" s="5"/>
      <c r="D2743" s="5"/>
    </row>
    <row r="2744" spans="3:4" customFormat="1" x14ac:dyDescent="0.2">
      <c r="C2744" s="5"/>
      <c r="D2744" s="5"/>
    </row>
    <row r="2745" spans="3:4" customFormat="1" x14ac:dyDescent="0.2">
      <c r="C2745" s="5"/>
      <c r="D2745" s="5"/>
    </row>
    <row r="2746" spans="3:4" customFormat="1" x14ac:dyDescent="0.2">
      <c r="C2746" s="5"/>
      <c r="D2746" s="5"/>
    </row>
    <row r="2747" spans="3:4" customFormat="1" x14ac:dyDescent="0.2">
      <c r="C2747" s="5"/>
      <c r="D2747" s="5"/>
    </row>
    <row r="2748" spans="3:4" customFormat="1" x14ac:dyDescent="0.2">
      <c r="C2748" s="5"/>
      <c r="D2748" s="5"/>
    </row>
    <row r="2749" spans="3:4" customFormat="1" x14ac:dyDescent="0.2">
      <c r="C2749" s="5"/>
      <c r="D2749" s="5"/>
    </row>
    <row r="2750" spans="3:4" customFormat="1" x14ac:dyDescent="0.2">
      <c r="C2750" s="5"/>
      <c r="D2750" s="5"/>
    </row>
    <row r="2751" spans="3:4" customFormat="1" x14ac:dyDescent="0.2">
      <c r="C2751" s="5"/>
      <c r="D2751" s="5"/>
    </row>
    <row r="2752" spans="3:4" customFormat="1" x14ac:dyDescent="0.2">
      <c r="C2752" s="5"/>
      <c r="D2752" s="5"/>
    </row>
    <row r="2753" spans="3:4" customFormat="1" x14ac:dyDescent="0.2">
      <c r="C2753" s="5"/>
      <c r="D2753" s="5"/>
    </row>
    <row r="2754" spans="3:4" customFormat="1" x14ac:dyDescent="0.2">
      <c r="C2754" s="5"/>
      <c r="D2754" s="5"/>
    </row>
    <row r="2755" spans="3:4" customFormat="1" x14ac:dyDescent="0.2">
      <c r="C2755" s="5"/>
      <c r="D2755" s="5"/>
    </row>
    <row r="2756" spans="3:4" customFormat="1" x14ac:dyDescent="0.2">
      <c r="C2756" s="5"/>
      <c r="D2756" s="5"/>
    </row>
    <row r="2757" spans="3:4" customFormat="1" x14ac:dyDescent="0.2">
      <c r="C2757" s="5"/>
      <c r="D2757" s="5"/>
    </row>
    <row r="2758" spans="3:4" customFormat="1" x14ac:dyDescent="0.2">
      <c r="C2758" s="5"/>
      <c r="D2758" s="5"/>
    </row>
    <row r="2759" spans="3:4" customFormat="1" x14ac:dyDescent="0.2">
      <c r="C2759" s="5"/>
      <c r="D2759" s="5"/>
    </row>
    <row r="2760" spans="3:4" customFormat="1" x14ac:dyDescent="0.2">
      <c r="C2760" s="5"/>
      <c r="D2760" s="5"/>
    </row>
    <row r="2761" spans="3:4" customFormat="1" x14ac:dyDescent="0.2">
      <c r="C2761" s="5"/>
      <c r="D2761" s="5"/>
    </row>
    <row r="2762" spans="3:4" customFormat="1" x14ac:dyDescent="0.2">
      <c r="C2762" s="5"/>
      <c r="D2762" s="5"/>
    </row>
    <row r="2763" spans="3:4" customFormat="1" x14ac:dyDescent="0.2">
      <c r="C2763" s="5"/>
      <c r="D2763" s="5"/>
    </row>
    <row r="2764" spans="3:4" customFormat="1" x14ac:dyDescent="0.2">
      <c r="C2764" s="5"/>
      <c r="D2764" s="5"/>
    </row>
    <row r="2765" spans="3:4" customFormat="1" x14ac:dyDescent="0.2">
      <c r="C2765" s="5"/>
      <c r="D2765" s="5"/>
    </row>
    <row r="2766" spans="3:4" customFormat="1" x14ac:dyDescent="0.2">
      <c r="C2766" s="5"/>
      <c r="D2766" s="5"/>
    </row>
    <row r="2767" spans="3:4" customFormat="1" x14ac:dyDescent="0.2">
      <c r="C2767" s="5"/>
      <c r="D2767" s="5"/>
    </row>
    <row r="2768" spans="3:4" customFormat="1" x14ac:dyDescent="0.2">
      <c r="C2768" s="5"/>
      <c r="D2768" s="5"/>
    </row>
    <row r="2769" spans="3:4" customFormat="1" x14ac:dyDescent="0.2">
      <c r="C2769" s="5"/>
      <c r="D2769" s="5"/>
    </row>
    <row r="2770" spans="3:4" customFormat="1" x14ac:dyDescent="0.2">
      <c r="C2770" s="5"/>
      <c r="D2770" s="5"/>
    </row>
    <row r="2771" spans="3:4" customFormat="1" x14ac:dyDescent="0.2">
      <c r="C2771" s="5"/>
      <c r="D2771" s="5"/>
    </row>
    <row r="2772" spans="3:4" customFormat="1" x14ac:dyDescent="0.2">
      <c r="C2772" s="5"/>
      <c r="D2772" s="5"/>
    </row>
    <row r="2773" spans="3:4" customFormat="1" x14ac:dyDescent="0.2">
      <c r="C2773" s="5"/>
      <c r="D2773" s="5"/>
    </row>
    <row r="2774" spans="3:4" customFormat="1" x14ac:dyDescent="0.2">
      <c r="C2774" s="5"/>
      <c r="D2774" s="5"/>
    </row>
    <row r="2775" spans="3:4" customFormat="1" x14ac:dyDescent="0.2">
      <c r="C2775" s="5"/>
      <c r="D2775" s="5"/>
    </row>
    <row r="2776" spans="3:4" customFormat="1" x14ac:dyDescent="0.2">
      <c r="C2776" s="5"/>
      <c r="D2776" s="5"/>
    </row>
    <row r="2777" spans="3:4" customFormat="1" x14ac:dyDescent="0.2">
      <c r="C2777" s="5"/>
      <c r="D2777" s="5"/>
    </row>
    <row r="2778" spans="3:4" customFormat="1" x14ac:dyDescent="0.2">
      <c r="C2778" s="5"/>
      <c r="D2778" s="5"/>
    </row>
    <row r="2779" spans="3:4" customFormat="1" x14ac:dyDescent="0.2">
      <c r="C2779" s="5"/>
      <c r="D2779" s="5"/>
    </row>
    <row r="2780" spans="3:4" customFormat="1" x14ac:dyDescent="0.2">
      <c r="C2780" s="5"/>
      <c r="D2780" s="5"/>
    </row>
    <row r="2781" spans="3:4" customFormat="1" x14ac:dyDescent="0.2">
      <c r="C2781" s="5"/>
      <c r="D2781" s="5"/>
    </row>
    <row r="2782" spans="3:4" customFormat="1" x14ac:dyDescent="0.2">
      <c r="C2782" s="5"/>
      <c r="D2782" s="5"/>
    </row>
    <row r="2783" spans="3:4" customFormat="1" x14ac:dyDescent="0.2">
      <c r="C2783" s="5"/>
      <c r="D2783" s="5"/>
    </row>
    <row r="2784" spans="3:4" customFormat="1" x14ac:dyDescent="0.2">
      <c r="C2784" s="5"/>
      <c r="D2784" s="5"/>
    </row>
    <row r="2785" spans="3:4" customFormat="1" x14ac:dyDescent="0.2">
      <c r="C2785" s="5"/>
      <c r="D2785" s="5"/>
    </row>
    <row r="2786" spans="3:4" customFormat="1" x14ac:dyDescent="0.2">
      <c r="C2786" s="5"/>
      <c r="D2786" s="5"/>
    </row>
    <row r="2787" spans="3:4" customFormat="1" x14ac:dyDescent="0.2">
      <c r="C2787" s="5"/>
      <c r="D2787" s="5"/>
    </row>
    <row r="2788" spans="3:4" customFormat="1" x14ac:dyDescent="0.2">
      <c r="C2788" s="5"/>
      <c r="D2788" s="5"/>
    </row>
    <row r="2789" spans="3:4" customFormat="1" x14ac:dyDescent="0.2">
      <c r="C2789" s="5"/>
      <c r="D2789" s="5"/>
    </row>
    <row r="2790" spans="3:4" customFormat="1" x14ac:dyDescent="0.2">
      <c r="C2790" s="5"/>
      <c r="D2790" s="5"/>
    </row>
    <row r="2791" spans="3:4" customFormat="1" x14ac:dyDescent="0.2">
      <c r="C2791" s="5"/>
      <c r="D2791" s="5"/>
    </row>
    <row r="2792" spans="3:4" customFormat="1" x14ac:dyDescent="0.2">
      <c r="C2792" s="5"/>
      <c r="D2792" s="5"/>
    </row>
    <row r="2793" spans="3:4" customFormat="1" x14ac:dyDescent="0.2">
      <c r="C2793" s="5"/>
      <c r="D2793" s="5"/>
    </row>
    <row r="2794" spans="3:4" customFormat="1" x14ac:dyDescent="0.2">
      <c r="C2794" s="5"/>
      <c r="D2794" s="5"/>
    </row>
    <row r="2795" spans="3:4" customFormat="1" x14ac:dyDescent="0.2">
      <c r="C2795" s="5"/>
      <c r="D2795" s="5"/>
    </row>
    <row r="2796" spans="3:4" customFormat="1" x14ac:dyDescent="0.2">
      <c r="C2796" s="5"/>
      <c r="D2796" s="5"/>
    </row>
    <row r="2797" spans="3:4" customFormat="1" x14ac:dyDescent="0.2">
      <c r="C2797" s="5"/>
      <c r="D2797" s="5"/>
    </row>
    <row r="2798" spans="3:4" customFormat="1" x14ac:dyDescent="0.2">
      <c r="C2798" s="5"/>
      <c r="D2798" s="5"/>
    </row>
    <row r="2799" spans="3:4" customFormat="1" x14ac:dyDescent="0.2">
      <c r="C2799" s="5"/>
      <c r="D2799" s="5"/>
    </row>
    <row r="2800" spans="3:4" customFormat="1" x14ac:dyDescent="0.2">
      <c r="C2800" s="5"/>
      <c r="D2800" s="5"/>
    </row>
    <row r="2801" spans="3:4" customFormat="1" x14ac:dyDescent="0.2">
      <c r="C2801" s="5"/>
      <c r="D2801" s="5"/>
    </row>
    <row r="2802" spans="3:4" customFormat="1" x14ac:dyDescent="0.2">
      <c r="C2802" s="5"/>
      <c r="D2802" s="5"/>
    </row>
    <row r="2803" spans="3:4" customFormat="1" x14ac:dyDescent="0.2">
      <c r="C2803" s="5"/>
      <c r="D2803" s="5"/>
    </row>
    <row r="2804" spans="3:4" customFormat="1" x14ac:dyDescent="0.2">
      <c r="C2804" s="5"/>
      <c r="D2804" s="5"/>
    </row>
    <row r="2805" spans="3:4" customFormat="1" x14ac:dyDescent="0.2">
      <c r="C2805" s="5"/>
      <c r="D2805" s="5"/>
    </row>
    <row r="2806" spans="3:4" customFormat="1" x14ac:dyDescent="0.2">
      <c r="C2806" s="5"/>
      <c r="D2806" s="5"/>
    </row>
    <row r="2807" spans="3:4" customFormat="1" x14ac:dyDescent="0.2">
      <c r="C2807" s="5"/>
      <c r="D2807" s="5"/>
    </row>
    <row r="2808" spans="3:4" customFormat="1" x14ac:dyDescent="0.2">
      <c r="C2808" s="5"/>
      <c r="D2808" s="5"/>
    </row>
    <row r="2809" spans="3:4" customFormat="1" x14ac:dyDescent="0.2">
      <c r="C2809" s="5"/>
      <c r="D2809" s="5"/>
    </row>
    <row r="2810" spans="3:4" customFormat="1" x14ac:dyDescent="0.2">
      <c r="C2810" s="5"/>
      <c r="D2810" s="5"/>
    </row>
    <row r="2811" spans="3:4" customFormat="1" x14ac:dyDescent="0.2">
      <c r="C2811" s="5"/>
      <c r="D2811" s="5"/>
    </row>
    <row r="2812" spans="3:4" customFormat="1" x14ac:dyDescent="0.2">
      <c r="C2812" s="5"/>
      <c r="D2812" s="5"/>
    </row>
    <row r="2813" spans="3:4" customFormat="1" x14ac:dyDescent="0.2">
      <c r="C2813" s="5"/>
      <c r="D2813" s="5"/>
    </row>
    <row r="2814" spans="3:4" customFormat="1" x14ac:dyDescent="0.2">
      <c r="C2814" s="5"/>
      <c r="D2814" s="5"/>
    </row>
    <row r="2815" spans="3:4" customFormat="1" x14ac:dyDescent="0.2">
      <c r="C2815" s="5"/>
      <c r="D2815" s="5"/>
    </row>
    <row r="2816" spans="3:4" customFormat="1" x14ac:dyDescent="0.2">
      <c r="C2816" s="5"/>
      <c r="D2816" s="5"/>
    </row>
    <row r="2817" spans="3:4" customFormat="1" x14ac:dyDescent="0.2">
      <c r="C2817" s="5"/>
      <c r="D2817" s="5"/>
    </row>
    <row r="2818" spans="3:4" customFormat="1" x14ac:dyDescent="0.2">
      <c r="C2818" s="5"/>
      <c r="D2818" s="5"/>
    </row>
    <row r="2819" spans="3:4" customFormat="1" x14ac:dyDescent="0.2">
      <c r="C2819" s="5"/>
      <c r="D2819" s="5"/>
    </row>
    <row r="2820" spans="3:4" customFormat="1" x14ac:dyDescent="0.2">
      <c r="C2820" s="5"/>
      <c r="D2820" s="5"/>
    </row>
    <row r="2821" spans="3:4" customFormat="1" x14ac:dyDescent="0.2">
      <c r="C2821" s="5"/>
      <c r="D2821" s="5"/>
    </row>
    <row r="2822" spans="3:4" customFormat="1" x14ac:dyDescent="0.2">
      <c r="C2822" s="5"/>
      <c r="D2822" s="5"/>
    </row>
    <row r="2823" spans="3:4" customFormat="1" x14ac:dyDescent="0.2">
      <c r="C2823" s="5"/>
      <c r="D2823" s="5"/>
    </row>
    <row r="2824" spans="3:4" customFormat="1" x14ac:dyDescent="0.2">
      <c r="C2824" s="5"/>
      <c r="D2824" s="5"/>
    </row>
    <row r="2825" spans="3:4" customFormat="1" x14ac:dyDescent="0.2">
      <c r="C2825" s="5"/>
      <c r="D2825" s="5"/>
    </row>
    <row r="2826" spans="3:4" customFormat="1" x14ac:dyDescent="0.2">
      <c r="C2826" s="5"/>
      <c r="D2826" s="5"/>
    </row>
    <row r="2827" spans="3:4" customFormat="1" x14ac:dyDescent="0.2">
      <c r="C2827" s="5"/>
      <c r="D2827" s="5"/>
    </row>
    <row r="2828" spans="3:4" customFormat="1" x14ac:dyDescent="0.2">
      <c r="C2828" s="5"/>
      <c r="D2828" s="5"/>
    </row>
    <row r="2829" spans="3:4" customFormat="1" x14ac:dyDescent="0.2">
      <c r="C2829" s="5"/>
      <c r="D2829" s="5"/>
    </row>
    <row r="2830" spans="3:4" customFormat="1" x14ac:dyDescent="0.2">
      <c r="C2830" s="5"/>
      <c r="D2830" s="5"/>
    </row>
    <row r="2831" spans="3:4" customFormat="1" x14ac:dyDescent="0.2">
      <c r="C2831" s="5"/>
      <c r="D2831" s="5"/>
    </row>
    <row r="2832" spans="3:4" customFormat="1" x14ac:dyDescent="0.2">
      <c r="C2832" s="5"/>
      <c r="D2832" s="5"/>
    </row>
    <row r="2833" spans="3:4" customFormat="1" x14ac:dyDescent="0.2">
      <c r="C2833" s="5"/>
      <c r="D2833" s="5"/>
    </row>
    <row r="2834" spans="3:4" customFormat="1" x14ac:dyDescent="0.2">
      <c r="C2834" s="5"/>
      <c r="D2834" s="5"/>
    </row>
    <row r="2835" spans="3:4" customFormat="1" x14ac:dyDescent="0.2">
      <c r="C2835" s="5"/>
      <c r="D2835" s="5"/>
    </row>
    <row r="2836" spans="3:4" customFormat="1" x14ac:dyDescent="0.2">
      <c r="C2836" s="5"/>
      <c r="D2836" s="5"/>
    </row>
    <row r="2837" spans="3:4" customFormat="1" x14ac:dyDescent="0.2">
      <c r="C2837" s="5"/>
      <c r="D2837" s="5"/>
    </row>
    <row r="2838" spans="3:4" customFormat="1" x14ac:dyDescent="0.2">
      <c r="C2838" s="5"/>
      <c r="D2838" s="5"/>
    </row>
    <row r="2839" spans="3:4" customFormat="1" x14ac:dyDescent="0.2">
      <c r="C2839" s="5"/>
      <c r="D2839" s="5"/>
    </row>
    <row r="2840" spans="3:4" customFormat="1" x14ac:dyDescent="0.2">
      <c r="C2840" s="5"/>
      <c r="D2840" s="5"/>
    </row>
    <row r="2841" spans="3:4" customFormat="1" x14ac:dyDescent="0.2">
      <c r="C2841" s="5"/>
      <c r="D2841" s="5"/>
    </row>
    <row r="2842" spans="3:4" customFormat="1" x14ac:dyDescent="0.2">
      <c r="C2842" s="5"/>
      <c r="D2842" s="5"/>
    </row>
    <row r="2843" spans="3:4" customFormat="1" x14ac:dyDescent="0.2">
      <c r="C2843" s="5"/>
      <c r="D2843" s="5"/>
    </row>
    <row r="2844" spans="3:4" customFormat="1" x14ac:dyDescent="0.2">
      <c r="C2844" s="5"/>
      <c r="D2844" s="5"/>
    </row>
    <row r="2845" spans="3:4" customFormat="1" x14ac:dyDescent="0.2">
      <c r="C2845" s="5"/>
      <c r="D2845" s="5"/>
    </row>
    <row r="2846" spans="3:4" customFormat="1" x14ac:dyDescent="0.2">
      <c r="C2846" s="5"/>
      <c r="D2846" s="5"/>
    </row>
    <row r="2847" spans="3:4" customFormat="1" x14ac:dyDescent="0.2">
      <c r="C2847" s="5"/>
      <c r="D2847" s="5"/>
    </row>
    <row r="2848" spans="3:4" customFormat="1" x14ac:dyDescent="0.2">
      <c r="C2848" s="5"/>
      <c r="D2848" s="5"/>
    </row>
    <row r="2849" spans="3:4" customFormat="1" x14ac:dyDescent="0.2">
      <c r="C2849" s="5"/>
      <c r="D2849" s="5"/>
    </row>
    <row r="2850" spans="3:4" customFormat="1" x14ac:dyDescent="0.2">
      <c r="C2850" s="5"/>
      <c r="D2850" s="5"/>
    </row>
    <row r="2851" spans="3:4" customFormat="1" x14ac:dyDescent="0.2">
      <c r="C2851" s="5"/>
      <c r="D2851" s="5"/>
    </row>
    <row r="2852" spans="3:4" customFormat="1" x14ac:dyDescent="0.2">
      <c r="C2852" s="5"/>
      <c r="D2852" s="5"/>
    </row>
    <row r="2853" spans="3:4" customFormat="1" x14ac:dyDescent="0.2">
      <c r="C2853" s="5"/>
      <c r="D2853" s="5"/>
    </row>
    <row r="2854" spans="3:4" customFormat="1" x14ac:dyDescent="0.2">
      <c r="C2854" s="5"/>
      <c r="D2854" s="5"/>
    </row>
    <row r="2855" spans="3:4" customFormat="1" x14ac:dyDescent="0.2">
      <c r="C2855" s="5"/>
      <c r="D2855" s="5"/>
    </row>
    <row r="2856" spans="3:4" customFormat="1" x14ac:dyDescent="0.2">
      <c r="C2856" s="5"/>
      <c r="D2856" s="5"/>
    </row>
    <row r="2857" spans="3:4" customFormat="1" x14ac:dyDescent="0.2">
      <c r="C2857" s="5"/>
      <c r="D2857" s="5"/>
    </row>
    <row r="2858" spans="3:4" customFormat="1" x14ac:dyDescent="0.2">
      <c r="C2858" s="5"/>
      <c r="D2858" s="5"/>
    </row>
    <row r="2859" spans="3:4" customFormat="1" x14ac:dyDescent="0.2">
      <c r="C2859" s="5"/>
      <c r="D2859" s="5"/>
    </row>
    <row r="2860" spans="3:4" customFormat="1" x14ac:dyDescent="0.2">
      <c r="C2860" s="5"/>
      <c r="D2860" s="5"/>
    </row>
    <row r="2861" spans="3:4" customFormat="1" x14ac:dyDescent="0.2">
      <c r="C2861" s="5"/>
      <c r="D2861" s="5"/>
    </row>
    <row r="2862" spans="3:4" customFormat="1" x14ac:dyDescent="0.2">
      <c r="C2862" s="5"/>
      <c r="D2862" s="5"/>
    </row>
    <row r="2863" spans="3:4" customFormat="1" x14ac:dyDescent="0.2">
      <c r="C2863" s="5"/>
      <c r="D2863" s="5"/>
    </row>
    <row r="2864" spans="3:4" customFormat="1" x14ac:dyDescent="0.2">
      <c r="C2864" s="5"/>
      <c r="D2864" s="5"/>
    </row>
    <row r="2865" spans="3:4" customFormat="1" x14ac:dyDescent="0.2">
      <c r="C2865" s="5"/>
      <c r="D2865" s="5"/>
    </row>
    <row r="2866" spans="3:4" customFormat="1" x14ac:dyDescent="0.2">
      <c r="C2866" s="5"/>
      <c r="D2866" s="5"/>
    </row>
    <row r="2867" spans="3:4" customFormat="1" x14ac:dyDescent="0.2">
      <c r="C2867" s="5"/>
      <c r="D2867" s="5"/>
    </row>
    <row r="2868" spans="3:4" customFormat="1" x14ac:dyDescent="0.2">
      <c r="C2868" s="5"/>
      <c r="D2868" s="5"/>
    </row>
    <row r="2869" spans="3:4" customFormat="1" x14ac:dyDescent="0.2">
      <c r="C2869" s="5"/>
      <c r="D2869" s="5"/>
    </row>
    <row r="2870" spans="3:4" customFormat="1" x14ac:dyDescent="0.2">
      <c r="C2870" s="5"/>
      <c r="D2870" s="5"/>
    </row>
    <row r="2871" spans="3:4" customFormat="1" x14ac:dyDescent="0.2">
      <c r="C2871" s="5"/>
      <c r="D2871" s="5"/>
    </row>
    <row r="2872" spans="3:4" customFormat="1" x14ac:dyDescent="0.2">
      <c r="C2872" s="5"/>
      <c r="D2872" s="5"/>
    </row>
    <row r="2873" spans="3:4" customFormat="1" x14ac:dyDescent="0.2">
      <c r="C2873" s="5"/>
      <c r="D2873" s="5"/>
    </row>
    <row r="2874" spans="3:4" customFormat="1" x14ac:dyDescent="0.2">
      <c r="C2874" s="5"/>
      <c r="D2874" s="5"/>
    </row>
    <row r="2875" spans="3:4" customFormat="1" x14ac:dyDescent="0.2">
      <c r="C2875" s="5"/>
      <c r="D2875" s="5"/>
    </row>
    <row r="2876" spans="3:4" customFormat="1" x14ac:dyDescent="0.2">
      <c r="C2876" s="5"/>
      <c r="D2876" s="5"/>
    </row>
    <row r="2877" spans="3:4" customFormat="1" x14ac:dyDescent="0.2">
      <c r="C2877" s="5"/>
      <c r="D2877" s="5"/>
    </row>
    <row r="2878" spans="3:4" customFormat="1" x14ac:dyDescent="0.2">
      <c r="C2878" s="5"/>
      <c r="D2878" s="5"/>
    </row>
    <row r="2879" spans="3:4" customFormat="1" x14ac:dyDescent="0.2">
      <c r="C2879" s="5"/>
      <c r="D2879" s="5"/>
    </row>
    <row r="2880" spans="3:4" customFormat="1" x14ac:dyDescent="0.2">
      <c r="C2880" s="5"/>
      <c r="D2880" s="5"/>
    </row>
    <row r="2881" spans="3:4" customFormat="1" x14ac:dyDescent="0.2">
      <c r="C2881" s="5"/>
      <c r="D2881" s="5"/>
    </row>
    <row r="2882" spans="3:4" customFormat="1" x14ac:dyDescent="0.2">
      <c r="C2882" s="5"/>
      <c r="D2882" s="5"/>
    </row>
    <row r="2883" spans="3:4" customFormat="1" x14ac:dyDescent="0.2">
      <c r="C2883" s="5"/>
      <c r="D2883" s="5"/>
    </row>
    <row r="2884" spans="3:4" customFormat="1" x14ac:dyDescent="0.2">
      <c r="C2884" s="5"/>
      <c r="D2884" s="5"/>
    </row>
    <row r="2885" spans="3:4" customFormat="1" x14ac:dyDescent="0.2">
      <c r="C2885" s="5"/>
      <c r="D2885" s="5"/>
    </row>
    <row r="2886" spans="3:4" customFormat="1" x14ac:dyDescent="0.2">
      <c r="C2886" s="5"/>
      <c r="D2886" s="5"/>
    </row>
    <row r="2887" spans="3:4" customFormat="1" x14ac:dyDescent="0.2">
      <c r="C2887" s="5"/>
      <c r="D2887" s="5"/>
    </row>
    <row r="2888" spans="3:4" customFormat="1" x14ac:dyDescent="0.2">
      <c r="C2888" s="5"/>
      <c r="D2888" s="5"/>
    </row>
    <row r="2889" spans="3:4" customFormat="1" x14ac:dyDescent="0.2">
      <c r="C2889" s="5"/>
      <c r="D2889" s="5"/>
    </row>
    <row r="2890" spans="3:4" customFormat="1" x14ac:dyDescent="0.2">
      <c r="C2890" s="5"/>
      <c r="D2890" s="5"/>
    </row>
    <row r="2891" spans="3:4" customFormat="1" x14ac:dyDescent="0.2">
      <c r="C2891" s="5"/>
      <c r="D2891" s="5"/>
    </row>
    <row r="2892" spans="3:4" customFormat="1" x14ac:dyDescent="0.2">
      <c r="C2892" s="5"/>
      <c r="D2892" s="5"/>
    </row>
    <row r="2893" spans="3:4" customFormat="1" x14ac:dyDescent="0.2">
      <c r="C2893" s="5"/>
      <c r="D2893" s="5"/>
    </row>
    <row r="2894" spans="3:4" customFormat="1" x14ac:dyDescent="0.2">
      <c r="C2894" s="5"/>
      <c r="D2894" s="5"/>
    </row>
    <row r="2895" spans="3:4" customFormat="1" x14ac:dyDescent="0.2">
      <c r="C2895" s="5"/>
      <c r="D2895" s="5"/>
    </row>
    <row r="2896" spans="3:4" customFormat="1" x14ac:dyDescent="0.2">
      <c r="C2896" s="5"/>
      <c r="D2896" s="5"/>
    </row>
    <row r="2897" spans="3:4" customFormat="1" x14ac:dyDescent="0.2">
      <c r="C2897" s="5"/>
      <c r="D2897" s="5"/>
    </row>
    <row r="2898" spans="3:4" customFormat="1" x14ac:dyDescent="0.2">
      <c r="C2898" s="5"/>
      <c r="D2898" s="5"/>
    </row>
    <row r="2899" spans="3:4" customFormat="1" x14ac:dyDescent="0.2">
      <c r="C2899" s="5"/>
      <c r="D2899" s="5"/>
    </row>
    <row r="2900" spans="3:4" customFormat="1" x14ac:dyDescent="0.2">
      <c r="C2900" s="5"/>
      <c r="D2900" s="5"/>
    </row>
    <row r="2901" spans="3:4" customFormat="1" x14ac:dyDescent="0.2">
      <c r="C2901" s="5"/>
      <c r="D2901" s="5"/>
    </row>
    <row r="2902" spans="3:4" customFormat="1" x14ac:dyDescent="0.2">
      <c r="C2902" s="5"/>
      <c r="D2902" s="5"/>
    </row>
    <row r="2903" spans="3:4" customFormat="1" x14ac:dyDescent="0.2">
      <c r="C2903" s="5"/>
      <c r="D2903" s="5"/>
    </row>
    <row r="2904" spans="3:4" customFormat="1" x14ac:dyDescent="0.2">
      <c r="C2904" s="5"/>
      <c r="D2904" s="5"/>
    </row>
    <row r="2905" spans="3:4" customFormat="1" x14ac:dyDescent="0.2">
      <c r="C2905" s="5"/>
      <c r="D2905" s="5"/>
    </row>
    <row r="2906" spans="3:4" customFormat="1" x14ac:dyDescent="0.2">
      <c r="C2906" s="5"/>
      <c r="D2906" s="5"/>
    </row>
    <row r="2907" spans="3:4" customFormat="1" x14ac:dyDescent="0.2">
      <c r="C2907" s="5"/>
      <c r="D2907" s="5"/>
    </row>
    <row r="2908" spans="3:4" customFormat="1" x14ac:dyDescent="0.2">
      <c r="C2908" s="5"/>
      <c r="D2908" s="5"/>
    </row>
    <row r="2909" spans="3:4" customFormat="1" x14ac:dyDescent="0.2">
      <c r="C2909" s="5"/>
      <c r="D2909" s="5"/>
    </row>
    <row r="2910" spans="3:4" customFormat="1" x14ac:dyDescent="0.2">
      <c r="C2910" s="5"/>
      <c r="D2910" s="5"/>
    </row>
    <row r="2911" spans="3:4" customFormat="1" x14ac:dyDescent="0.2">
      <c r="C2911" s="5"/>
      <c r="D2911" s="5"/>
    </row>
    <row r="2912" spans="3:4" customFormat="1" x14ac:dyDescent="0.2">
      <c r="C2912" s="5"/>
      <c r="D2912" s="5"/>
    </row>
    <row r="2913" spans="3:4" customFormat="1" x14ac:dyDescent="0.2">
      <c r="C2913" s="5"/>
      <c r="D2913" s="5"/>
    </row>
    <row r="2914" spans="3:4" customFormat="1" x14ac:dyDescent="0.2">
      <c r="C2914" s="5"/>
      <c r="D2914" s="5"/>
    </row>
    <row r="2915" spans="3:4" customFormat="1" x14ac:dyDescent="0.2">
      <c r="C2915" s="5"/>
      <c r="D2915" s="5"/>
    </row>
    <row r="2916" spans="3:4" customFormat="1" x14ac:dyDescent="0.2">
      <c r="C2916" s="5"/>
      <c r="D2916" s="5"/>
    </row>
    <row r="2917" spans="3:4" customFormat="1" x14ac:dyDescent="0.2">
      <c r="C2917" s="5"/>
      <c r="D2917" s="5"/>
    </row>
    <row r="2918" spans="3:4" customFormat="1" x14ac:dyDescent="0.2">
      <c r="C2918" s="5"/>
      <c r="D2918" s="5"/>
    </row>
    <row r="2919" spans="3:4" customFormat="1" x14ac:dyDescent="0.2">
      <c r="C2919" s="5"/>
      <c r="D2919" s="5"/>
    </row>
    <row r="2920" spans="3:4" customFormat="1" x14ac:dyDescent="0.2">
      <c r="C2920" s="5"/>
      <c r="D2920" s="5"/>
    </row>
    <row r="2921" spans="3:4" customFormat="1" x14ac:dyDescent="0.2">
      <c r="C2921" s="5"/>
      <c r="D2921" s="5"/>
    </row>
    <row r="2922" spans="3:4" customFormat="1" x14ac:dyDescent="0.2">
      <c r="C2922" s="5"/>
      <c r="D2922" s="5"/>
    </row>
    <row r="2923" spans="3:4" customFormat="1" x14ac:dyDescent="0.2">
      <c r="C2923" s="5"/>
      <c r="D2923" s="5"/>
    </row>
    <row r="2924" spans="3:4" customFormat="1" x14ac:dyDescent="0.2">
      <c r="C2924" s="5"/>
      <c r="D2924" s="5"/>
    </row>
    <row r="2925" spans="3:4" customFormat="1" x14ac:dyDescent="0.2">
      <c r="C2925" s="5"/>
      <c r="D2925" s="5"/>
    </row>
    <row r="2926" spans="3:4" customFormat="1" x14ac:dyDescent="0.2">
      <c r="C2926" s="5"/>
      <c r="D2926" s="5"/>
    </row>
    <row r="2927" spans="3:4" customFormat="1" x14ac:dyDescent="0.2">
      <c r="C2927" s="5"/>
      <c r="D2927" s="5"/>
    </row>
    <row r="2928" spans="3:4" customFormat="1" x14ac:dyDescent="0.2">
      <c r="C2928" s="5"/>
      <c r="D2928" s="5"/>
    </row>
    <row r="2929" spans="3:4" customFormat="1" x14ac:dyDescent="0.2">
      <c r="C2929" s="5"/>
      <c r="D2929" s="5"/>
    </row>
    <row r="2930" spans="3:4" customFormat="1" x14ac:dyDescent="0.2">
      <c r="C2930" s="5"/>
      <c r="D2930" s="5"/>
    </row>
    <row r="2931" spans="3:4" customFormat="1" x14ac:dyDescent="0.2">
      <c r="C2931" s="5"/>
      <c r="D2931" s="5"/>
    </row>
    <row r="2932" spans="3:4" customFormat="1" x14ac:dyDescent="0.2">
      <c r="C2932" s="5"/>
      <c r="D2932" s="5"/>
    </row>
    <row r="2933" spans="3:4" customFormat="1" x14ac:dyDescent="0.2">
      <c r="C2933" s="5"/>
      <c r="D2933" s="5"/>
    </row>
    <row r="2934" spans="3:4" customFormat="1" x14ac:dyDescent="0.2">
      <c r="C2934" s="5"/>
      <c r="D2934" s="5"/>
    </row>
    <row r="2935" spans="3:4" customFormat="1" x14ac:dyDescent="0.2">
      <c r="C2935" s="5"/>
      <c r="D2935" s="5"/>
    </row>
    <row r="2936" spans="3:4" customFormat="1" x14ac:dyDescent="0.2">
      <c r="C2936" s="5"/>
      <c r="D2936" s="5"/>
    </row>
    <row r="2937" spans="3:4" customFormat="1" x14ac:dyDescent="0.2">
      <c r="C2937" s="5"/>
      <c r="D2937" s="5"/>
    </row>
    <row r="2938" spans="3:4" customFormat="1" x14ac:dyDescent="0.2">
      <c r="C2938" s="5"/>
      <c r="D2938" s="5"/>
    </row>
    <row r="2939" spans="3:4" customFormat="1" x14ac:dyDescent="0.2">
      <c r="C2939" s="5"/>
      <c r="D2939" s="5"/>
    </row>
    <row r="2940" spans="3:4" customFormat="1" x14ac:dyDescent="0.2">
      <c r="C2940" s="5"/>
      <c r="D2940" s="5"/>
    </row>
    <row r="2941" spans="3:4" customFormat="1" x14ac:dyDescent="0.2">
      <c r="C2941" s="5"/>
      <c r="D2941" s="5"/>
    </row>
    <row r="2942" spans="3:4" customFormat="1" x14ac:dyDescent="0.2">
      <c r="C2942" s="5"/>
      <c r="D2942" s="5"/>
    </row>
    <row r="2943" spans="3:4" customFormat="1" x14ac:dyDescent="0.2">
      <c r="C2943" s="5"/>
      <c r="D2943" s="5"/>
    </row>
    <row r="2944" spans="3:4" customFormat="1" x14ac:dyDescent="0.2">
      <c r="C2944" s="5"/>
      <c r="D2944" s="5"/>
    </row>
    <row r="2945" spans="3:4" customFormat="1" x14ac:dyDescent="0.2">
      <c r="C2945" s="5"/>
      <c r="D2945" s="5"/>
    </row>
    <row r="2946" spans="3:4" customFormat="1" x14ac:dyDescent="0.2">
      <c r="C2946" s="5"/>
      <c r="D2946" s="5"/>
    </row>
    <row r="2947" spans="3:4" customFormat="1" x14ac:dyDescent="0.2">
      <c r="C2947" s="5"/>
      <c r="D2947" s="5"/>
    </row>
    <row r="2948" spans="3:4" customFormat="1" x14ac:dyDescent="0.2">
      <c r="C2948" s="5"/>
      <c r="D2948" s="5"/>
    </row>
    <row r="2949" spans="3:4" customFormat="1" x14ac:dyDescent="0.2">
      <c r="C2949" s="5"/>
      <c r="D2949" s="5"/>
    </row>
    <row r="2950" spans="3:4" customFormat="1" x14ac:dyDescent="0.2">
      <c r="C2950" s="5"/>
      <c r="D2950" s="5"/>
    </row>
    <row r="2951" spans="3:4" customFormat="1" x14ac:dyDescent="0.2">
      <c r="C2951" s="5"/>
      <c r="D2951" s="5"/>
    </row>
    <row r="2952" spans="3:4" customFormat="1" x14ac:dyDescent="0.2">
      <c r="C2952" s="5"/>
      <c r="D2952" s="5"/>
    </row>
    <row r="2953" spans="3:4" customFormat="1" x14ac:dyDescent="0.2">
      <c r="C2953" s="5"/>
      <c r="D2953" s="5"/>
    </row>
    <row r="2954" spans="3:4" customFormat="1" x14ac:dyDescent="0.2">
      <c r="C2954" s="5"/>
      <c r="D2954" s="5"/>
    </row>
    <row r="2955" spans="3:4" customFormat="1" x14ac:dyDescent="0.2">
      <c r="C2955" s="5"/>
      <c r="D2955" s="5"/>
    </row>
    <row r="2956" spans="3:4" customFormat="1" x14ac:dyDescent="0.2">
      <c r="C2956" s="5"/>
      <c r="D2956" s="5"/>
    </row>
    <row r="2957" spans="3:4" customFormat="1" x14ac:dyDescent="0.2">
      <c r="C2957" s="5"/>
      <c r="D2957" s="5"/>
    </row>
    <row r="2958" spans="3:4" customFormat="1" x14ac:dyDescent="0.2">
      <c r="C2958" s="5"/>
      <c r="D2958" s="5"/>
    </row>
    <row r="2959" spans="3:4" customFormat="1" x14ac:dyDescent="0.2">
      <c r="C2959" s="5"/>
      <c r="D2959" s="5"/>
    </row>
    <row r="2960" spans="3:4" customFormat="1" x14ac:dyDescent="0.2">
      <c r="C2960" s="5"/>
      <c r="D2960" s="5"/>
    </row>
    <row r="2961" spans="3:4" customFormat="1" x14ac:dyDescent="0.2">
      <c r="C2961" s="5"/>
      <c r="D2961" s="5"/>
    </row>
    <row r="2962" spans="3:4" customFormat="1" x14ac:dyDescent="0.2">
      <c r="C2962" s="5"/>
      <c r="D2962" s="5"/>
    </row>
    <row r="2963" spans="3:4" customFormat="1" x14ac:dyDescent="0.2">
      <c r="C2963" s="5"/>
      <c r="D2963" s="5"/>
    </row>
    <row r="2964" spans="3:4" customFormat="1" x14ac:dyDescent="0.2">
      <c r="C2964" s="5"/>
      <c r="D2964" s="5"/>
    </row>
    <row r="2965" spans="3:4" customFormat="1" x14ac:dyDescent="0.2">
      <c r="C2965" s="5"/>
      <c r="D2965" s="5"/>
    </row>
    <row r="2966" spans="3:4" customFormat="1" x14ac:dyDescent="0.2">
      <c r="C2966" s="5"/>
      <c r="D2966" s="5"/>
    </row>
    <row r="2967" spans="3:4" customFormat="1" x14ac:dyDescent="0.2">
      <c r="C2967" s="5"/>
      <c r="D2967" s="5"/>
    </row>
    <row r="2968" spans="3:4" customFormat="1" x14ac:dyDescent="0.2">
      <c r="C2968" s="5"/>
      <c r="D2968" s="5"/>
    </row>
    <row r="2969" spans="3:4" customFormat="1" x14ac:dyDescent="0.2">
      <c r="C2969" s="5"/>
      <c r="D2969" s="5"/>
    </row>
    <row r="2970" spans="3:4" customFormat="1" x14ac:dyDescent="0.2">
      <c r="C2970" s="5"/>
      <c r="D2970" s="5"/>
    </row>
    <row r="2971" spans="3:4" customFormat="1" x14ac:dyDescent="0.2">
      <c r="C2971" s="5"/>
      <c r="D2971" s="5"/>
    </row>
    <row r="2972" spans="3:4" customFormat="1" x14ac:dyDescent="0.2">
      <c r="C2972" s="5"/>
      <c r="D2972" s="5"/>
    </row>
    <row r="2973" spans="3:4" customFormat="1" x14ac:dyDescent="0.2">
      <c r="C2973" s="5"/>
      <c r="D2973" s="5"/>
    </row>
    <row r="2974" spans="3:4" customFormat="1" x14ac:dyDescent="0.2">
      <c r="C2974" s="5"/>
      <c r="D2974" s="5"/>
    </row>
    <row r="2975" spans="3:4" customFormat="1" x14ac:dyDescent="0.2">
      <c r="C2975" s="5"/>
      <c r="D2975" s="5"/>
    </row>
    <row r="2976" spans="3:4" customFormat="1" x14ac:dyDescent="0.2">
      <c r="C2976" s="5"/>
      <c r="D2976" s="5"/>
    </row>
    <row r="2977" spans="3:4" customFormat="1" x14ac:dyDescent="0.2">
      <c r="C2977" s="5"/>
      <c r="D2977" s="5"/>
    </row>
    <row r="2978" spans="3:4" customFormat="1" x14ac:dyDescent="0.2">
      <c r="C2978" s="5"/>
      <c r="D2978" s="5"/>
    </row>
    <row r="2979" spans="3:4" customFormat="1" x14ac:dyDescent="0.2">
      <c r="C2979" s="5"/>
      <c r="D2979" s="5"/>
    </row>
    <row r="2980" spans="3:4" customFormat="1" x14ac:dyDescent="0.2">
      <c r="C2980" s="5"/>
      <c r="D2980" s="5"/>
    </row>
    <row r="2981" spans="3:4" customFormat="1" x14ac:dyDescent="0.2">
      <c r="C2981" s="5"/>
      <c r="D2981" s="5"/>
    </row>
    <row r="2982" spans="3:4" customFormat="1" x14ac:dyDescent="0.2">
      <c r="C2982" s="5"/>
      <c r="D2982" s="5"/>
    </row>
    <row r="2983" spans="3:4" customFormat="1" x14ac:dyDescent="0.2">
      <c r="C2983" s="5"/>
      <c r="D2983" s="5"/>
    </row>
    <row r="2984" spans="3:4" customFormat="1" x14ac:dyDescent="0.2">
      <c r="C2984" s="5"/>
      <c r="D2984" s="5"/>
    </row>
    <row r="2985" spans="3:4" customFormat="1" x14ac:dyDescent="0.2">
      <c r="C2985" s="5"/>
      <c r="D2985" s="5"/>
    </row>
    <row r="2986" spans="3:4" customFormat="1" x14ac:dyDescent="0.2">
      <c r="C2986" s="5"/>
      <c r="D2986" s="5"/>
    </row>
    <row r="2987" spans="3:4" customFormat="1" x14ac:dyDescent="0.2">
      <c r="C2987" s="5"/>
      <c r="D2987" s="5"/>
    </row>
    <row r="2988" spans="3:4" customFormat="1" x14ac:dyDescent="0.2">
      <c r="C2988" s="5"/>
      <c r="D2988" s="5"/>
    </row>
    <row r="2989" spans="3:4" customFormat="1" x14ac:dyDescent="0.2">
      <c r="C2989" s="5"/>
      <c r="D2989" s="5"/>
    </row>
    <row r="2990" spans="3:4" customFormat="1" x14ac:dyDescent="0.2">
      <c r="C2990" s="5"/>
      <c r="D2990" s="5"/>
    </row>
    <row r="2991" spans="3:4" customFormat="1" x14ac:dyDescent="0.2">
      <c r="C2991" s="5"/>
      <c r="D2991" s="5"/>
    </row>
    <row r="2992" spans="3:4" customFormat="1" x14ac:dyDescent="0.2">
      <c r="C2992" s="5"/>
      <c r="D2992" s="5"/>
    </row>
    <row r="2993" spans="3:4" customFormat="1" x14ac:dyDescent="0.2">
      <c r="C2993" s="5"/>
      <c r="D2993" s="5"/>
    </row>
    <row r="2994" spans="3:4" customFormat="1" x14ac:dyDescent="0.2">
      <c r="C2994" s="5"/>
      <c r="D2994" s="5"/>
    </row>
    <row r="2995" spans="3:4" customFormat="1" x14ac:dyDescent="0.2">
      <c r="C2995" s="5"/>
      <c r="D2995" s="5"/>
    </row>
    <row r="2996" spans="3:4" customFormat="1" x14ac:dyDescent="0.2">
      <c r="C2996" s="5"/>
      <c r="D2996" s="5"/>
    </row>
    <row r="2997" spans="3:4" customFormat="1" x14ac:dyDescent="0.2">
      <c r="C2997" s="5"/>
      <c r="D2997" s="5"/>
    </row>
    <row r="2998" spans="3:4" customFormat="1" x14ac:dyDescent="0.2">
      <c r="C2998" s="5"/>
      <c r="D2998" s="5"/>
    </row>
    <row r="2999" spans="3:4" customFormat="1" x14ac:dyDescent="0.2">
      <c r="C2999" s="5"/>
      <c r="D2999" s="5"/>
    </row>
    <row r="3000" spans="3:4" customFormat="1" x14ac:dyDescent="0.2">
      <c r="C3000" s="5"/>
      <c r="D3000" s="5"/>
    </row>
    <row r="3001" spans="3:4" customFormat="1" x14ac:dyDescent="0.2">
      <c r="C3001" s="5"/>
      <c r="D3001" s="5"/>
    </row>
    <row r="3002" spans="3:4" customFormat="1" x14ac:dyDescent="0.2">
      <c r="C3002" s="5"/>
      <c r="D3002" s="5"/>
    </row>
    <row r="3003" spans="3:4" customFormat="1" x14ac:dyDescent="0.2">
      <c r="C3003" s="5"/>
      <c r="D3003" s="5"/>
    </row>
    <row r="3004" spans="3:4" customFormat="1" x14ac:dyDescent="0.2">
      <c r="C3004" s="5"/>
      <c r="D3004" s="5"/>
    </row>
    <row r="3005" spans="3:4" customFormat="1" x14ac:dyDescent="0.2">
      <c r="C3005" s="5"/>
      <c r="D3005" s="5"/>
    </row>
    <row r="3006" spans="3:4" customFormat="1" x14ac:dyDescent="0.2">
      <c r="C3006" s="5"/>
      <c r="D3006" s="5"/>
    </row>
    <row r="3007" spans="3:4" customFormat="1" x14ac:dyDescent="0.2">
      <c r="C3007" s="5"/>
      <c r="D3007" s="5"/>
    </row>
    <row r="3008" spans="3:4" customFormat="1" x14ac:dyDescent="0.2">
      <c r="C3008" s="5"/>
      <c r="D3008" s="5"/>
    </row>
    <row r="3009" spans="3:4" customFormat="1" x14ac:dyDescent="0.2">
      <c r="C3009" s="5"/>
      <c r="D3009" s="5"/>
    </row>
    <row r="3010" spans="3:4" customFormat="1" x14ac:dyDescent="0.2">
      <c r="C3010" s="5"/>
      <c r="D3010" s="5"/>
    </row>
    <row r="3011" spans="3:4" customFormat="1" x14ac:dyDescent="0.2">
      <c r="C3011" s="5"/>
      <c r="D3011" s="5"/>
    </row>
    <row r="3012" spans="3:4" customFormat="1" x14ac:dyDescent="0.2">
      <c r="C3012" s="5"/>
      <c r="D3012" s="5"/>
    </row>
    <row r="3013" spans="3:4" customFormat="1" x14ac:dyDescent="0.2">
      <c r="C3013" s="5"/>
      <c r="D3013" s="5"/>
    </row>
    <row r="3014" spans="3:4" customFormat="1" x14ac:dyDescent="0.2">
      <c r="C3014" s="5"/>
      <c r="D3014" s="5"/>
    </row>
    <row r="3015" spans="3:4" customFormat="1" x14ac:dyDescent="0.2">
      <c r="C3015" s="5"/>
      <c r="D3015" s="5"/>
    </row>
    <row r="3016" spans="3:4" customFormat="1" x14ac:dyDescent="0.2">
      <c r="C3016" s="5"/>
      <c r="D3016" s="5"/>
    </row>
    <row r="3017" spans="3:4" customFormat="1" x14ac:dyDescent="0.2">
      <c r="C3017" s="5"/>
      <c r="D3017" s="5"/>
    </row>
    <row r="3018" spans="3:4" customFormat="1" x14ac:dyDescent="0.2">
      <c r="C3018" s="5"/>
      <c r="D3018" s="5"/>
    </row>
    <row r="3019" spans="3:4" customFormat="1" x14ac:dyDescent="0.2">
      <c r="C3019" s="5"/>
      <c r="D3019" s="5"/>
    </row>
    <row r="3020" spans="3:4" customFormat="1" x14ac:dyDescent="0.2">
      <c r="C3020" s="5"/>
      <c r="D3020" s="5"/>
    </row>
    <row r="3021" spans="3:4" customFormat="1" x14ac:dyDescent="0.2">
      <c r="C3021" s="5"/>
      <c r="D3021" s="5"/>
    </row>
    <row r="3022" spans="3:4" customFormat="1" x14ac:dyDescent="0.2">
      <c r="C3022" s="5"/>
      <c r="D3022" s="5"/>
    </row>
    <row r="3023" spans="3:4" customFormat="1" x14ac:dyDescent="0.2">
      <c r="C3023" s="5"/>
      <c r="D3023" s="5"/>
    </row>
    <row r="3024" spans="3:4" customFormat="1" x14ac:dyDescent="0.2">
      <c r="C3024" s="5"/>
      <c r="D3024" s="5"/>
    </row>
    <row r="3025" spans="3:4" customFormat="1" x14ac:dyDescent="0.2">
      <c r="C3025" s="5"/>
      <c r="D3025" s="5"/>
    </row>
    <row r="3026" spans="3:4" customFormat="1" x14ac:dyDescent="0.2">
      <c r="C3026" s="5"/>
      <c r="D3026" s="5"/>
    </row>
    <row r="3027" spans="3:4" customFormat="1" x14ac:dyDescent="0.2">
      <c r="C3027" s="5"/>
      <c r="D3027" s="5"/>
    </row>
    <row r="3028" spans="3:4" customFormat="1" x14ac:dyDescent="0.2">
      <c r="C3028" s="5"/>
      <c r="D3028" s="5"/>
    </row>
    <row r="3029" spans="3:4" customFormat="1" x14ac:dyDescent="0.2">
      <c r="C3029" s="5"/>
      <c r="D3029" s="5"/>
    </row>
    <row r="3030" spans="3:4" customFormat="1" x14ac:dyDescent="0.2">
      <c r="C3030" s="5"/>
      <c r="D3030" s="5"/>
    </row>
    <row r="3031" spans="3:4" customFormat="1" x14ac:dyDescent="0.2">
      <c r="C3031" s="5"/>
      <c r="D3031" s="5"/>
    </row>
    <row r="3032" spans="3:4" customFormat="1" x14ac:dyDescent="0.2">
      <c r="C3032" s="5"/>
      <c r="D3032" s="5"/>
    </row>
    <row r="3033" spans="3:4" customFormat="1" x14ac:dyDescent="0.2">
      <c r="C3033" s="5"/>
      <c r="D3033" s="5"/>
    </row>
    <row r="3034" spans="3:4" customFormat="1" x14ac:dyDescent="0.2">
      <c r="C3034" s="5"/>
      <c r="D3034" s="5"/>
    </row>
    <row r="3035" spans="3:4" customFormat="1" x14ac:dyDescent="0.2">
      <c r="C3035" s="5"/>
      <c r="D3035" s="5"/>
    </row>
    <row r="3036" spans="3:4" customFormat="1" x14ac:dyDescent="0.2">
      <c r="C3036" s="5"/>
      <c r="D3036" s="5"/>
    </row>
    <row r="3037" spans="3:4" customFormat="1" x14ac:dyDescent="0.2">
      <c r="C3037" s="5"/>
      <c r="D3037" s="5"/>
    </row>
    <row r="3038" spans="3:4" customFormat="1" x14ac:dyDescent="0.2">
      <c r="C3038" s="5"/>
      <c r="D3038" s="5"/>
    </row>
    <row r="3039" spans="3:4" customFormat="1" x14ac:dyDescent="0.2">
      <c r="C3039" s="5"/>
      <c r="D3039" s="5"/>
    </row>
    <row r="3040" spans="3:4" customFormat="1" x14ac:dyDescent="0.2">
      <c r="C3040" s="5"/>
      <c r="D3040" s="5"/>
    </row>
    <row r="3041" spans="3:4" customFormat="1" x14ac:dyDescent="0.2">
      <c r="C3041" s="5"/>
      <c r="D3041" s="5"/>
    </row>
    <row r="3042" spans="3:4" customFormat="1" x14ac:dyDescent="0.2">
      <c r="C3042" s="5"/>
      <c r="D3042" s="5"/>
    </row>
    <row r="3043" spans="3:4" customFormat="1" x14ac:dyDescent="0.2">
      <c r="C3043" s="5"/>
      <c r="D3043" s="5"/>
    </row>
    <row r="3044" spans="3:4" customFormat="1" x14ac:dyDescent="0.2">
      <c r="C3044" s="5"/>
      <c r="D3044" s="5"/>
    </row>
    <row r="3045" spans="3:4" customFormat="1" x14ac:dyDescent="0.2">
      <c r="C3045" s="5"/>
      <c r="D3045" s="5"/>
    </row>
    <row r="3046" spans="3:4" customFormat="1" x14ac:dyDescent="0.2">
      <c r="C3046" s="5"/>
      <c r="D3046" s="5"/>
    </row>
    <row r="3047" spans="3:4" customFormat="1" x14ac:dyDescent="0.2">
      <c r="C3047" s="5"/>
      <c r="D3047" s="5"/>
    </row>
    <row r="3048" spans="3:4" customFormat="1" x14ac:dyDescent="0.2">
      <c r="C3048" s="5"/>
      <c r="D3048" s="5"/>
    </row>
    <row r="3049" spans="3:4" customFormat="1" x14ac:dyDescent="0.2">
      <c r="C3049" s="5"/>
      <c r="D3049" s="5"/>
    </row>
    <row r="3050" spans="3:4" customFormat="1" x14ac:dyDescent="0.2">
      <c r="C3050" s="5"/>
      <c r="D3050" s="5"/>
    </row>
    <row r="3051" spans="3:4" customFormat="1" x14ac:dyDescent="0.2">
      <c r="C3051" s="5"/>
      <c r="D3051" s="5"/>
    </row>
    <row r="3052" spans="3:4" customFormat="1" x14ac:dyDescent="0.2">
      <c r="C3052" s="5"/>
      <c r="D3052" s="5"/>
    </row>
    <row r="3053" spans="3:4" customFormat="1" x14ac:dyDescent="0.2">
      <c r="C3053" s="5"/>
      <c r="D3053" s="5"/>
    </row>
    <row r="3054" spans="3:4" customFormat="1" x14ac:dyDescent="0.2">
      <c r="C3054" s="5"/>
      <c r="D3054" s="5"/>
    </row>
    <row r="3055" spans="3:4" customFormat="1" x14ac:dyDescent="0.2">
      <c r="C3055" s="5"/>
      <c r="D3055" s="5"/>
    </row>
    <row r="3056" spans="3:4" customFormat="1" x14ac:dyDescent="0.2">
      <c r="C3056" s="5"/>
      <c r="D3056" s="5"/>
    </row>
    <row r="3057" spans="3:4" customFormat="1" x14ac:dyDescent="0.2">
      <c r="C3057" s="5"/>
      <c r="D3057" s="5"/>
    </row>
    <row r="3058" spans="3:4" customFormat="1" x14ac:dyDescent="0.2">
      <c r="C3058" s="5"/>
      <c r="D3058" s="5"/>
    </row>
    <row r="3059" spans="3:4" customFormat="1" x14ac:dyDescent="0.2">
      <c r="C3059" s="5"/>
      <c r="D3059" s="5"/>
    </row>
    <row r="3060" spans="3:4" customFormat="1" x14ac:dyDescent="0.2">
      <c r="C3060" s="5"/>
      <c r="D3060" s="5"/>
    </row>
    <row r="3061" spans="3:4" customFormat="1" x14ac:dyDescent="0.2">
      <c r="C3061" s="5"/>
      <c r="D3061" s="5"/>
    </row>
    <row r="3062" spans="3:4" customFormat="1" x14ac:dyDescent="0.2">
      <c r="C3062" s="5"/>
      <c r="D3062" s="5"/>
    </row>
    <row r="3063" spans="3:4" customFormat="1" x14ac:dyDescent="0.2">
      <c r="C3063" s="5"/>
      <c r="D3063" s="5"/>
    </row>
    <row r="3064" spans="3:4" customFormat="1" x14ac:dyDescent="0.2">
      <c r="C3064" s="5"/>
      <c r="D3064" s="5"/>
    </row>
    <row r="3065" spans="3:4" customFormat="1" x14ac:dyDescent="0.2">
      <c r="C3065" s="5"/>
      <c r="D3065" s="5"/>
    </row>
    <row r="3066" spans="3:4" customFormat="1" x14ac:dyDescent="0.2">
      <c r="C3066" s="5"/>
      <c r="D3066" s="5"/>
    </row>
    <row r="3067" spans="3:4" customFormat="1" x14ac:dyDescent="0.2">
      <c r="C3067" s="5"/>
      <c r="D3067" s="5"/>
    </row>
    <row r="3068" spans="3:4" customFormat="1" x14ac:dyDescent="0.2">
      <c r="C3068" s="5"/>
      <c r="D3068" s="5"/>
    </row>
    <row r="3069" spans="3:4" customFormat="1" x14ac:dyDescent="0.2">
      <c r="C3069" s="5"/>
      <c r="D3069" s="5"/>
    </row>
    <row r="3070" spans="3:4" customFormat="1" x14ac:dyDescent="0.2">
      <c r="C3070" s="5"/>
      <c r="D3070" s="5"/>
    </row>
    <row r="3071" spans="3:4" customFormat="1" x14ac:dyDescent="0.2">
      <c r="C3071" s="5"/>
      <c r="D3071" s="5"/>
    </row>
    <row r="3072" spans="3:4" customFormat="1" x14ac:dyDescent="0.2">
      <c r="C3072" s="5"/>
      <c r="D3072" s="5"/>
    </row>
    <row r="3073" spans="3:4" customFormat="1" x14ac:dyDescent="0.2">
      <c r="C3073" s="5"/>
      <c r="D3073" s="5"/>
    </row>
    <row r="3074" spans="3:4" customFormat="1" x14ac:dyDescent="0.2">
      <c r="C3074" s="5"/>
      <c r="D3074" s="5"/>
    </row>
    <row r="3075" spans="3:4" customFormat="1" x14ac:dyDescent="0.2">
      <c r="C3075" s="5"/>
      <c r="D3075" s="5"/>
    </row>
    <row r="3076" spans="3:4" customFormat="1" x14ac:dyDescent="0.2">
      <c r="C3076" s="5"/>
      <c r="D3076" s="5"/>
    </row>
    <row r="3077" spans="3:4" customFormat="1" x14ac:dyDescent="0.2">
      <c r="C3077" s="5"/>
      <c r="D3077" s="5"/>
    </row>
    <row r="3078" spans="3:4" customFormat="1" x14ac:dyDescent="0.2">
      <c r="C3078" s="5"/>
      <c r="D3078" s="5"/>
    </row>
    <row r="3079" spans="3:4" customFormat="1" x14ac:dyDescent="0.2">
      <c r="C3079" s="5"/>
      <c r="D3079" s="5"/>
    </row>
    <row r="3080" spans="3:4" customFormat="1" x14ac:dyDescent="0.2">
      <c r="C3080" s="5"/>
      <c r="D3080" s="5"/>
    </row>
    <row r="3081" spans="3:4" customFormat="1" x14ac:dyDescent="0.2">
      <c r="C3081" s="5"/>
      <c r="D3081" s="5"/>
    </row>
    <row r="3082" spans="3:4" customFormat="1" x14ac:dyDescent="0.2">
      <c r="C3082" s="5"/>
      <c r="D3082" s="5"/>
    </row>
    <row r="3083" spans="3:4" customFormat="1" x14ac:dyDescent="0.2">
      <c r="C3083" s="5"/>
      <c r="D3083" s="5"/>
    </row>
    <row r="3084" spans="3:4" customFormat="1" x14ac:dyDescent="0.2">
      <c r="C3084" s="5"/>
      <c r="D3084" s="5"/>
    </row>
    <row r="3085" spans="3:4" customFormat="1" x14ac:dyDescent="0.2">
      <c r="C3085" s="5"/>
      <c r="D3085" s="5"/>
    </row>
    <row r="3086" spans="3:4" customFormat="1" x14ac:dyDescent="0.2">
      <c r="C3086" s="5"/>
      <c r="D3086" s="5"/>
    </row>
    <row r="3087" spans="3:4" customFormat="1" x14ac:dyDescent="0.2">
      <c r="C3087" s="5"/>
      <c r="D3087" s="5"/>
    </row>
    <row r="3088" spans="3:4" customFormat="1" x14ac:dyDescent="0.2">
      <c r="C3088" s="5"/>
      <c r="D3088" s="5"/>
    </row>
    <row r="3089" spans="3:4" customFormat="1" x14ac:dyDescent="0.2">
      <c r="C3089" s="5"/>
      <c r="D3089" s="5"/>
    </row>
    <row r="3090" spans="3:4" customFormat="1" x14ac:dyDescent="0.2">
      <c r="C3090" s="5"/>
      <c r="D3090" s="5"/>
    </row>
    <row r="3091" spans="3:4" customFormat="1" x14ac:dyDescent="0.2">
      <c r="C3091" s="5"/>
      <c r="D3091" s="5"/>
    </row>
    <row r="3092" spans="3:4" customFormat="1" x14ac:dyDescent="0.2">
      <c r="C3092" s="5"/>
      <c r="D3092" s="5"/>
    </row>
    <row r="3093" spans="3:4" customFormat="1" x14ac:dyDescent="0.2">
      <c r="C3093" s="5"/>
      <c r="D3093" s="5"/>
    </row>
    <row r="3094" spans="3:4" customFormat="1" x14ac:dyDescent="0.2">
      <c r="C3094" s="5"/>
      <c r="D3094" s="5"/>
    </row>
    <row r="3095" spans="3:4" customFormat="1" x14ac:dyDescent="0.2">
      <c r="C3095" s="5"/>
      <c r="D3095" s="5"/>
    </row>
    <row r="3096" spans="3:4" customFormat="1" x14ac:dyDescent="0.2">
      <c r="C3096" s="5"/>
      <c r="D3096" s="5"/>
    </row>
    <row r="3097" spans="3:4" customFormat="1" x14ac:dyDescent="0.2">
      <c r="C3097" s="5"/>
      <c r="D3097" s="5"/>
    </row>
    <row r="3098" spans="3:4" customFormat="1" x14ac:dyDescent="0.2">
      <c r="C3098" s="5"/>
      <c r="D3098" s="5"/>
    </row>
    <row r="3099" spans="3:4" customFormat="1" x14ac:dyDescent="0.2">
      <c r="C3099" s="5"/>
      <c r="D3099" s="5"/>
    </row>
    <row r="3100" spans="3:4" customFormat="1" x14ac:dyDescent="0.2">
      <c r="C3100" s="5"/>
      <c r="D3100" s="5"/>
    </row>
    <row r="3101" spans="3:4" customFormat="1" x14ac:dyDescent="0.2">
      <c r="C3101" s="5"/>
      <c r="D3101" s="5"/>
    </row>
    <row r="3102" spans="3:4" customFormat="1" x14ac:dyDescent="0.2">
      <c r="C3102" s="5"/>
      <c r="D3102" s="5"/>
    </row>
    <row r="3103" spans="3:4" customFormat="1" x14ac:dyDescent="0.2">
      <c r="C3103" s="5"/>
      <c r="D3103" s="5"/>
    </row>
    <row r="3104" spans="3:4" customFormat="1" x14ac:dyDescent="0.2">
      <c r="C3104" s="5"/>
      <c r="D3104" s="5"/>
    </row>
    <row r="3105" spans="3:4" customFormat="1" x14ac:dyDescent="0.2">
      <c r="C3105" s="5"/>
      <c r="D3105" s="5"/>
    </row>
    <row r="3106" spans="3:4" customFormat="1" x14ac:dyDescent="0.2">
      <c r="C3106" s="5"/>
      <c r="D3106" s="5"/>
    </row>
    <row r="3107" spans="3:4" customFormat="1" x14ac:dyDescent="0.2">
      <c r="C3107" s="5"/>
      <c r="D3107" s="5"/>
    </row>
    <row r="3108" spans="3:4" customFormat="1" x14ac:dyDescent="0.2">
      <c r="C3108" s="5"/>
      <c r="D3108" s="5"/>
    </row>
    <row r="3109" spans="3:4" customFormat="1" x14ac:dyDescent="0.2">
      <c r="C3109" s="5"/>
      <c r="D3109" s="5"/>
    </row>
    <row r="3110" spans="3:4" customFormat="1" x14ac:dyDescent="0.2">
      <c r="C3110" s="5"/>
      <c r="D3110" s="5"/>
    </row>
    <row r="3111" spans="3:4" customFormat="1" x14ac:dyDescent="0.2">
      <c r="C3111" s="5"/>
      <c r="D3111" s="5"/>
    </row>
    <row r="3112" spans="3:4" customFormat="1" x14ac:dyDescent="0.2">
      <c r="C3112" s="5"/>
      <c r="D3112" s="5"/>
    </row>
    <row r="3113" spans="3:4" customFormat="1" x14ac:dyDescent="0.2">
      <c r="C3113" s="5"/>
      <c r="D3113" s="5"/>
    </row>
    <row r="3114" spans="3:4" customFormat="1" x14ac:dyDescent="0.2">
      <c r="C3114" s="5"/>
      <c r="D3114" s="5"/>
    </row>
    <row r="3115" spans="3:4" customFormat="1" x14ac:dyDescent="0.2">
      <c r="C3115" s="5"/>
      <c r="D3115" s="5"/>
    </row>
    <row r="3116" spans="3:4" customFormat="1" x14ac:dyDescent="0.2">
      <c r="C3116" s="5"/>
      <c r="D3116" s="5"/>
    </row>
    <row r="3117" spans="3:4" customFormat="1" x14ac:dyDescent="0.2">
      <c r="C3117" s="5"/>
      <c r="D3117" s="5"/>
    </row>
    <row r="3118" spans="3:4" customFormat="1" x14ac:dyDescent="0.2">
      <c r="C3118" s="5"/>
      <c r="D3118" s="5"/>
    </row>
    <row r="3119" spans="3:4" customFormat="1" x14ac:dyDescent="0.2">
      <c r="C3119" s="5"/>
      <c r="D3119" s="5"/>
    </row>
    <row r="3120" spans="3:4" customFormat="1" x14ac:dyDescent="0.2">
      <c r="C3120" s="5"/>
      <c r="D3120" s="5"/>
    </row>
    <row r="3121" spans="3:4" customFormat="1" x14ac:dyDescent="0.2">
      <c r="C3121" s="5"/>
      <c r="D3121" s="5"/>
    </row>
    <row r="3122" spans="3:4" customFormat="1" x14ac:dyDescent="0.2">
      <c r="C3122" s="5"/>
      <c r="D3122" s="5"/>
    </row>
    <row r="3123" spans="3:4" customFormat="1" x14ac:dyDescent="0.2">
      <c r="C3123" s="5"/>
      <c r="D3123" s="5"/>
    </row>
    <row r="3124" spans="3:4" customFormat="1" x14ac:dyDescent="0.2">
      <c r="C3124" s="5"/>
      <c r="D3124" s="5"/>
    </row>
    <row r="3125" spans="3:4" customFormat="1" x14ac:dyDescent="0.2">
      <c r="C3125" s="5"/>
      <c r="D3125" s="5"/>
    </row>
    <row r="3126" spans="3:4" customFormat="1" x14ac:dyDescent="0.2">
      <c r="C3126" s="5"/>
      <c r="D3126" s="5"/>
    </row>
    <row r="3127" spans="3:4" customFormat="1" x14ac:dyDescent="0.2">
      <c r="C3127" s="5"/>
      <c r="D3127" s="5"/>
    </row>
    <row r="3128" spans="3:4" customFormat="1" x14ac:dyDescent="0.2">
      <c r="C3128" s="5"/>
      <c r="D3128" s="5"/>
    </row>
    <row r="3129" spans="3:4" customFormat="1" x14ac:dyDescent="0.2">
      <c r="C3129" s="5"/>
      <c r="D3129" s="5"/>
    </row>
    <row r="3130" spans="3:4" customFormat="1" x14ac:dyDescent="0.2">
      <c r="C3130" s="5"/>
      <c r="D3130" s="5"/>
    </row>
    <row r="3131" spans="3:4" customFormat="1" x14ac:dyDescent="0.2">
      <c r="C3131" s="5"/>
      <c r="D3131" s="5"/>
    </row>
    <row r="3132" spans="3:4" customFormat="1" x14ac:dyDescent="0.2">
      <c r="C3132" s="5"/>
      <c r="D3132" s="5"/>
    </row>
    <row r="3133" spans="3:4" customFormat="1" x14ac:dyDescent="0.2">
      <c r="C3133" s="5"/>
      <c r="D3133" s="5"/>
    </row>
    <row r="3134" spans="3:4" customFormat="1" x14ac:dyDescent="0.2">
      <c r="C3134" s="5"/>
      <c r="D3134" s="5"/>
    </row>
    <row r="3135" spans="3:4" customFormat="1" x14ac:dyDescent="0.2">
      <c r="C3135" s="5"/>
      <c r="D3135" s="5"/>
    </row>
    <row r="3136" spans="3:4" customFormat="1" x14ac:dyDescent="0.2">
      <c r="C3136" s="5"/>
      <c r="D3136" s="5"/>
    </row>
    <row r="3137" spans="3:4" customFormat="1" x14ac:dyDescent="0.2">
      <c r="C3137" s="5"/>
      <c r="D3137" s="5"/>
    </row>
    <row r="3138" spans="3:4" customFormat="1" x14ac:dyDescent="0.2">
      <c r="C3138" s="5"/>
      <c r="D3138" s="5"/>
    </row>
    <row r="3139" spans="3:4" customFormat="1" x14ac:dyDescent="0.2">
      <c r="C3139" s="5"/>
      <c r="D3139" s="5"/>
    </row>
    <row r="3140" spans="3:4" customFormat="1" x14ac:dyDescent="0.2">
      <c r="C3140" s="5"/>
      <c r="D3140" s="5"/>
    </row>
    <row r="3141" spans="3:4" customFormat="1" x14ac:dyDescent="0.2">
      <c r="C3141" s="5"/>
      <c r="D3141" s="5"/>
    </row>
    <row r="3142" spans="3:4" customFormat="1" x14ac:dyDescent="0.2">
      <c r="C3142" s="5"/>
      <c r="D3142" s="5"/>
    </row>
    <row r="3143" spans="3:4" customFormat="1" x14ac:dyDescent="0.2">
      <c r="C3143" s="5"/>
      <c r="D3143" s="5"/>
    </row>
    <row r="3144" spans="3:4" customFormat="1" x14ac:dyDescent="0.2">
      <c r="C3144" s="5"/>
      <c r="D3144" s="5"/>
    </row>
    <row r="3145" spans="3:4" customFormat="1" x14ac:dyDescent="0.2">
      <c r="C3145" s="5"/>
      <c r="D3145" s="5"/>
    </row>
    <row r="3146" spans="3:4" customFormat="1" x14ac:dyDescent="0.2">
      <c r="C3146" s="5"/>
      <c r="D3146" s="5"/>
    </row>
    <row r="3147" spans="3:4" customFormat="1" x14ac:dyDescent="0.2">
      <c r="C3147" s="5"/>
      <c r="D3147" s="5"/>
    </row>
    <row r="3148" spans="3:4" customFormat="1" x14ac:dyDescent="0.2">
      <c r="C3148" s="5"/>
      <c r="D3148" s="5"/>
    </row>
    <row r="3149" spans="3:4" customFormat="1" x14ac:dyDescent="0.2">
      <c r="C3149" s="5"/>
      <c r="D3149" s="5"/>
    </row>
    <row r="3150" spans="3:4" customFormat="1" x14ac:dyDescent="0.2">
      <c r="C3150" s="5"/>
      <c r="D3150" s="5"/>
    </row>
    <row r="3151" spans="3:4" customFormat="1" x14ac:dyDescent="0.2">
      <c r="C3151" s="5"/>
      <c r="D3151" s="5"/>
    </row>
    <row r="3152" spans="3:4" customFormat="1" x14ac:dyDescent="0.2">
      <c r="C3152" s="5"/>
      <c r="D3152" s="5"/>
    </row>
    <row r="3153" spans="3:4" customFormat="1" x14ac:dyDescent="0.2">
      <c r="C3153" s="5"/>
      <c r="D3153" s="5"/>
    </row>
    <row r="3154" spans="3:4" customFormat="1" x14ac:dyDescent="0.2">
      <c r="C3154" s="5"/>
      <c r="D3154" s="5"/>
    </row>
    <row r="3155" spans="3:4" customFormat="1" x14ac:dyDescent="0.2">
      <c r="C3155" s="5"/>
      <c r="D3155" s="5"/>
    </row>
    <row r="3156" spans="3:4" customFormat="1" x14ac:dyDescent="0.2">
      <c r="C3156" s="5"/>
      <c r="D3156" s="5"/>
    </row>
    <row r="3157" spans="3:4" customFormat="1" x14ac:dyDescent="0.2">
      <c r="C3157" s="5"/>
      <c r="D3157" s="5"/>
    </row>
    <row r="3158" spans="3:4" customFormat="1" x14ac:dyDescent="0.2">
      <c r="C3158" s="5"/>
      <c r="D3158" s="5"/>
    </row>
    <row r="3159" spans="3:4" customFormat="1" x14ac:dyDescent="0.2">
      <c r="C3159" s="5"/>
      <c r="D3159" s="5"/>
    </row>
    <row r="3160" spans="3:4" customFormat="1" x14ac:dyDescent="0.2">
      <c r="C3160" s="5"/>
      <c r="D3160" s="5"/>
    </row>
    <row r="3161" spans="3:4" customFormat="1" x14ac:dyDescent="0.2">
      <c r="C3161" s="5"/>
      <c r="D3161" s="5"/>
    </row>
    <row r="3162" spans="3:4" customFormat="1" x14ac:dyDescent="0.2">
      <c r="C3162" s="5"/>
      <c r="D3162" s="5"/>
    </row>
    <row r="3163" spans="3:4" customFormat="1" x14ac:dyDescent="0.2">
      <c r="C3163" s="5"/>
      <c r="D3163" s="5"/>
    </row>
    <row r="3164" spans="3:4" customFormat="1" x14ac:dyDescent="0.2">
      <c r="C3164" s="5"/>
      <c r="D3164" s="5"/>
    </row>
    <row r="3165" spans="3:4" customFormat="1" x14ac:dyDescent="0.2">
      <c r="C3165" s="5"/>
      <c r="D3165" s="5"/>
    </row>
    <row r="3166" spans="3:4" customFormat="1" x14ac:dyDescent="0.2">
      <c r="C3166" s="5"/>
      <c r="D3166" s="5"/>
    </row>
    <row r="3167" spans="3:4" customFormat="1" x14ac:dyDescent="0.2">
      <c r="C3167" s="5"/>
      <c r="D3167" s="5"/>
    </row>
    <row r="3168" spans="3:4" customFormat="1" x14ac:dyDescent="0.2">
      <c r="C3168" s="5"/>
      <c r="D3168" s="5"/>
    </row>
    <row r="3169" spans="3:4" customFormat="1" x14ac:dyDescent="0.2">
      <c r="C3169" s="5"/>
      <c r="D3169" s="5"/>
    </row>
    <row r="3170" spans="3:4" customFormat="1" x14ac:dyDescent="0.2">
      <c r="C3170" s="5"/>
      <c r="D3170" s="5"/>
    </row>
    <row r="3171" spans="3:4" customFormat="1" x14ac:dyDescent="0.2">
      <c r="C3171" s="5"/>
      <c r="D3171" s="5"/>
    </row>
    <row r="3172" spans="3:4" customFormat="1" x14ac:dyDescent="0.2">
      <c r="C3172" s="5"/>
      <c r="D3172" s="5"/>
    </row>
    <row r="3173" spans="3:4" customFormat="1" x14ac:dyDescent="0.2">
      <c r="C3173" s="5"/>
      <c r="D3173" s="5"/>
    </row>
    <row r="3174" spans="3:4" customFormat="1" x14ac:dyDescent="0.2">
      <c r="C3174" s="5"/>
      <c r="D3174" s="5"/>
    </row>
    <row r="3175" spans="3:4" customFormat="1" x14ac:dyDescent="0.2">
      <c r="C3175" s="5"/>
      <c r="D3175" s="5"/>
    </row>
    <row r="3176" spans="3:4" customFormat="1" x14ac:dyDescent="0.2">
      <c r="C3176" s="5"/>
      <c r="D3176" s="5"/>
    </row>
    <row r="3177" spans="3:4" customFormat="1" x14ac:dyDescent="0.2">
      <c r="C3177" s="5"/>
      <c r="D3177" s="5"/>
    </row>
    <row r="3178" spans="3:4" customFormat="1" x14ac:dyDescent="0.2">
      <c r="C3178" s="5"/>
      <c r="D3178" s="5"/>
    </row>
    <row r="3179" spans="3:4" customFormat="1" x14ac:dyDescent="0.2">
      <c r="C3179" s="5"/>
      <c r="D3179" s="5"/>
    </row>
    <row r="3180" spans="3:4" customFormat="1" x14ac:dyDescent="0.2">
      <c r="C3180" s="5"/>
      <c r="D3180" s="5"/>
    </row>
    <row r="3181" spans="3:4" customFormat="1" x14ac:dyDescent="0.2">
      <c r="C3181" s="5"/>
      <c r="D3181" s="5"/>
    </row>
    <row r="3182" spans="3:4" customFormat="1" x14ac:dyDescent="0.2">
      <c r="C3182" s="5"/>
      <c r="D3182" s="5"/>
    </row>
    <row r="3183" spans="3:4" customFormat="1" x14ac:dyDescent="0.2">
      <c r="C3183" s="5"/>
      <c r="D3183" s="5"/>
    </row>
    <row r="3184" spans="3:4" customFormat="1" x14ac:dyDescent="0.2">
      <c r="C3184" s="5"/>
      <c r="D3184" s="5"/>
    </row>
    <row r="3185" spans="3:4" customFormat="1" x14ac:dyDescent="0.2">
      <c r="C3185" s="5"/>
      <c r="D3185" s="5"/>
    </row>
    <row r="3186" spans="3:4" customFormat="1" x14ac:dyDescent="0.2">
      <c r="C3186" s="5"/>
      <c r="D3186" s="5"/>
    </row>
    <row r="3187" spans="3:4" customFormat="1" x14ac:dyDescent="0.2">
      <c r="C3187" s="5"/>
      <c r="D3187" s="5"/>
    </row>
    <row r="3188" spans="3:4" customFormat="1" x14ac:dyDescent="0.2">
      <c r="C3188" s="5"/>
      <c r="D3188" s="5"/>
    </row>
    <row r="3189" spans="3:4" customFormat="1" x14ac:dyDescent="0.2">
      <c r="C3189" s="5"/>
      <c r="D3189" s="5"/>
    </row>
    <row r="3190" spans="3:4" customFormat="1" x14ac:dyDescent="0.2">
      <c r="C3190" s="5"/>
      <c r="D3190" s="5"/>
    </row>
    <row r="3191" spans="3:4" customFormat="1" x14ac:dyDescent="0.2">
      <c r="C3191" s="5"/>
      <c r="D3191" s="5"/>
    </row>
    <row r="3192" spans="3:4" customFormat="1" x14ac:dyDescent="0.2">
      <c r="C3192" s="5"/>
      <c r="D3192" s="5"/>
    </row>
    <row r="3193" spans="3:4" customFormat="1" x14ac:dyDescent="0.2">
      <c r="C3193" s="5"/>
      <c r="D3193" s="5"/>
    </row>
    <row r="3194" spans="3:4" customFormat="1" x14ac:dyDescent="0.2">
      <c r="C3194" s="5"/>
      <c r="D3194" s="5"/>
    </row>
    <row r="3195" spans="3:4" customFormat="1" x14ac:dyDescent="0.2">
      <c r="C3195" s="5"/>
      <c r="D3195" s="5"/>
    </row>
    <row r="3196" spans="3:4" customFormat="1" x14ac:dyDescent="0.2">
      <c r="C3196" s="5"/>
      <c r="D3196" s="5"/>
    </row>
    <row r="3197" spans="3:4" customFormat="1" x14ac:dyDescent="0.2">
      <c r="C3197" s="5"/>
      <c r="D3197" s="5"/>
    </row>
    <row r="3198" spans="3:4" customFormat="1" x14ac:dyDescent="0.2">
      <c r="C3198" s="5"/>
      <c r="D3198" s="5"/>
    </row>
    <row r="3199" spans="3:4" customFormat="1" x14ac:dyDescent="0.2">
      <c r="C3199" s="5"/>
      <c r="D3199" s="5"/>
    </row>
    <row r="3200" spans="3:4" customFormat="1" x14ac:dyDescent="0.2">
      <c r="C3200" s="5"/>
      <c r="D3200" s="5"/>
    </row>
    <row r="3201" spans="3:4" customFormat="1" x14ac:dyDescent="0.2">
      <c r="C3201" s="5"/>
      <c r="D3201" s="5"/>
    </row>
    <row r="3202" spans="3:4" customFormat="1" x14ac:dyDescent="0.2">
      <c r="C3202" s="5"/>
      <c r="D3202" s="5"/>
    </row>
    <row r="3203" spans="3:4" customFormat="1" x14ac:dyDescent="0.2">
      <c r="C3203" s="5"/>
      <c r="D3203" s="5"/>
    </row>
    <row r="3204" spans="3:4" customFormat="1" x14ac:dyDescent="0.2">
      <c r="C3204" s="5"/>
      <c r="D3204" s="5"/>
    </row>
    <row r="3205" spans="3:4" customFormat="1" x14ac:dyDescent="0.2">
      <c r="C3205" s="5"/>
      <c r="D3205" s="5"/>
    </row>
    <row r="3206" spans="3:4" customFormat="1" x14ac:dyDescent="0.2">
      <c r="C3206" s="5"/>
      <c r="D3206" s="5"/>
    </row>
    <row r="3207" spans="3:4" customFormat="1" x14ac:dyDescent="0.2">
      <c r="C3207" s="5"/>
      <c r="D3207" s="5"/>
    </row>
    <row r="3208" spans="3:4" customFormat="1" x14ac:dyDescent="0.2">
      <c r="C3208" s="5"/>
      <c r="D3208" s="5"/>
    </row>
    <row r="3209" spans="3:4" customFormat="1" x14ac:dyDescent="0.2">
      <c r="C3209" s="5"/>
      <c r="D3209" s="5"/>
    </row>
    <row r="3210" spans="3:4" customFormat="1" x14ac:dyDescent="0.2">
      <c r="C3210" s="5"/>
      <c r="D3210" s="5"/>
    </row>
    <row r="3211" spans="3:4" customFormat="1" x14ac:dyDescent="0.2">
      <c r="C3211" s="5"/>
      <c r="D3211" s="5"/>
    </row>
    <row r="3212" spans="3:4" customFormat="1" x14ac:dyDescent="0.2">
      <c r="C3212" s="5"/>
      <c r="D3212" s="5"/>
    </row>
    <row r="3213" spans="3:4" customFormat="1" x14ac:dyDescent="0.2">
      <c r="C3213" s="5"/>
      <c r="D3213" s="5"/>
    </row>
    <row r="3214" spans="3:4" customFormat="1" x14ac:dyDescent="0.2">
      <c r="C3214" s="5"/>
      <c r="D3214" s="5"/>
    </row>
    <row r="3215" spans="3:4" customFormat="1" x14ac:dyDescent="0.2">
      <c r="C3215" s="5"/>
      <c r="D3215" s="5"/>
    </row>
    <row r="3216" spans="3:4" customFormat="1" x14ac:dyDescent="0.2">
      <c r="C3216" s="5"/>
      <c r="D3216" s="5"/>
    </row>
    <row r="3217" spans="3:4" customFormat="1" x14ac:dyDescent="0.2">
      <c r="C3217" s="5"/>
      <c r="D3217" s="5"/>
    </row>
    <row r="3218" spans="3:4" customFormat="1" x14ac:dyDescent="0.2">
      <c r="C3218" s="5"/>
      <c r="D3218" s="5"/>
    </row>
    <row r="3219" spans="3:4" customFormat="1" x14ac:dyDescent="0.2">
      <c r="C3219" s="5"/>
      <c r="D3219" s="5"/>
    </row>
    <row r="3220" spans="3:4" customFormat="1" x14ac:dyDescent="0.2">
      <c r="C3220" s="5"/>
      <c r="D3220" s="5"/>
    </row>
    <row r="3221" spans="3:4" customFormat="1" x14ac:dyDescent="0.2">
      <c r="C3221" s="5"/>
      <c r="D3221" s="5"/>
    </row>
    <row r="3222" spans="3:4" customFormat="1" x14ac:dyDescent="0.2">
      <c r="C3222" s="5"/>
      <c r="D3222" s="5"/>
    </row>
    <row r="3223" spans="3:4" customFormat="1" x14ac:dyDescent="0.2">
      <c r="C3223" s="5"/>
      <c r="D3223" s="5"/>
    </row>
    <row r="3224" spans="3:4" customFormat="1" x14ac:dyDescent="0.2">
      <c r="C3224" s="5"/>
      <c r="D3224" s="5"/>
    </row>
    <row r="3225" spans="3:4" customFormat="1" x14ac:dyDescent="0.2">
      <c r="C3225" s="5"/>
      <c r="D3225" s="5"/>
    </row>
    <row r="3226" spans="3:4" customFormat="1" x14ac:dyDescent="0.2">
      <c r="C3226" s="5"/>
      <c r="D3226" s="5"/>
    </row>
    <row r="3227" spans="3:4" customFormat="1" x14ac:dyDescent="0.2">
      <c r="C3227" s="5"/>
      <c r="D3227" s="5"/>
    </row>
    <row r="3228" spans="3:4" customFormat="1" x14ac:dyDescent="0.2">
      <c r="C3228" s="5"/>
      <c r="D3228" s="5"/>
    </row>
    <row r="3229" spans="3:4" customFormat="1" x14ac:dyDescent="0.2">
      <c r="C3229" s="5"/>
      <c r="D3229" s="5"/>
    </row>
    <row r="3230" spans="3:4" customFormat="1" x14ac:dyDescent="0.2">
      <c r="C3230" s="5"/>
      <c r="D3230" s="5"/>
    </row>
    <row r="3231" spans="3:4" customFormat="1" x14ac:dyDescent="0.2">
      <c r="C3231" s="5"/>
      <c r="D3231" s="5"/>
    </row>
    <row r="3232" spans="3:4" customFormat="1" x14ac:dyDescent="0.2">
      <c r="C3232" s="5"/>
      <c r="D3232" s="5"/>
    </row>
    <row r="3233" spans="3:4" customFormat="1" x14ac:dyDescent="0.2">
      <c r="C3233" s="5"/>
      <c r="D3233" s="5"/>
    </row>
    <row r="3234" spans="3:4" customFormat="1" x14ac:dyDescent="0.2">
      <c r="C3234" s="5"/>
      <c r="D3234" s="5"/>
    </row>
    <row r="3235" spans="3:4" customFormat="1" x14ac:dyDescent="0.2">
      <c r="C3235" s="5"/>
      <c r="D3235" s="5"/>
    </row>
    <row r="3236" spans="3:4" customFormat="1" x14ac:dyDescent="0.2">
      <c r="C3236" s="5"/>
      <c r="D3236" s="5"/>
    </row>
    <row r="3237" spans="3:4" customFormat="1" x14ac:dyDescent="0.2">
      <c r="C3237" s="5"/>
      <c r="D3237" s="5"/>
    </row>
    <row r="3238" spans="3:4" customFormat="1" x14ac:dyDescent="0.2">
      <c r="C3238" s="5"/>
      <c r="D3238" s="5"/>
    </row>
    <row r="3239" spans="3:4" customFormat="1" x14ac:dyDescent="0.2">
      <c r="C3239" s="5"/>
      <c r="D3239" s="5"/>
    </row>
    <row r="3240" spans="3:4" customFormat="1" x14ac:dyDescent="0.2">
      <c r="C3240" s="5"/>
      <c r="D3240" s="5"/>
    </row>
    <row r="3241" spans="3:4" customFormat="1" x14ac:dyDescent="0.2">
      <c r="C3241" s="5"/>
      <c r="D3241" s="5"/>
    </row>
    <row r="3242" spans="3:4" customFormat="1" x14ac:dyDescent="0.2">
      <c r="C3242" s="5"/>
      <c r="D3242" s="5"/>
    </row>
    <row r="3243" spans="3:4" customFormat="1" x14ac:dyDescent="0.2">
      <c r="C3243" s="5"/>
      <c r="D3243" s="5"/>
    </row>
    <row r="3244" spans="3:4" customFormat="1" x14ac:dyDescent="0.2">
      <c r="C3244" s="5"/>
      <c r="D3244" s="5"/>
    </row>
    <row r="3245" spans="3:4" customFormat="1" x14ac:dyDescent="0.2">
      <c r="C3245" s="5"/>
      <c r="D3245" s="5"/>
    </row>
    <row r="3246" spans="3:4" customFormat="1" x14ac:dyDescent="0.2">
      <c r="C3246" s="5"/>
      <c r="D3246" s="5"/>
    </row>
    <row r="3247" spans="3:4" customFormat="1" x14ac:dyDescent="0.2">
      <c r="C3247" s="5"/>
      <c r="D3247" s="5"/>
    </row>
    <row r="3248" spans="3:4" customFormat="1" x14ac:dyDescent="0.2">
      <c r="C3248" s="5"/>
      <c r="D3248" s="5"/>
    </row>
    <row r="3249" spans="3:4" customFormat="1" x14ac:dyDescent="0.2">
      <c r="C3249" s="5"/>
      <c r="D3249" s="5"/>
    </row>
    <row r="3250" spans="3:4" customFormat="1" x14ac:dyDescent="0.2">
      <c r="C3250" s="5"/>
      <c r="D3250" s="5"/>
    </row>
    <row r="3251" spans="3:4" customFormat="1" x14ac:dyDescent="0.2">
      <c r="C3251" s="5"/>
      <c r="D3251" s="5"/>
    </row>
    <row r="3252" spans="3:4" customFormat="1" x14ac:dyDescent="0.2">
      <c r="C3252" s="5"/>
      <c r="D3252" s="5"/>
    </row>
    <row r="3253" spans="3:4" customFormat="1" x14ac:dyDescent="0.2">
      <c r="C3253" s="5"/>
      <c r="D3253" s="5"/>
    </row>
    <row r="3254" spans="3:4" customFormat="1" x14ac:dyDescent="0.2">
      <c r="C3254" s="5"/>
      <c r="D3254" s="5"/>
    </row>
    <row r="3255" spans="3:4" customFormat="1" x14ac:dyDescent="0.2">
      <c r="C3255" s="5"/>
      <c r="D3255" s="5"/>
    </row>
    <row r="3256" spans="3:4" customFormat="1" x14ac:dyDescent="0.2">
      <c r="C3256" s="5"/>
      <c r="D3256" s="5"/>
    </row>
    <row r="3257" spans="3:4" customFormat="1" x14ac:dyDescent="0.2">
      <c r="C3257" s="5"/>
      <c r="D3257" s="5"/>
    </row>
    <row r="3258" spans="3:4" customFormat="1" x14ac:dyDescent="0.2">
      <c r="C3258" s="5"/>
      <c r="D3258" s="5"/>
    </row>
    <row r="3259" spans="3:4" customFormat="1" x14ac:dyDescent="0.2">
      <c r="C3259" s="5"/>
      <c r="D3259" s="5"/>
    </row>
    <row r="3260" spans="3:4" customFormat="1" x14ac:dyDescent="0.2">
      <c r="C3260" s="5"/>
      <c r="D3260" s="5"/>
    </row>
    <row r="3261" spans="3:4" customFormat="1" x14ac:dyDescent="0.2">
      <c r="C3261" s="5"/>
      <c r="D3261" s="5"/>
    </row>
    <row r="3262" spans="3:4" customFormat="1" x14ac:dyDescent="0.2">
      <c r="C3262" s="5"/>
      <c r="D3262" s="5"/>
    </row>
    <row r="3263" spans="3:4" customFormat="1" x14ac:dyDescent="0.2">
      <c r="C3263" s="5"/>
      <c r="D3263" s="5"/>
    </row>
    <row r="3264" spans="3:4" customFormat="1" x14ac:dyDescent="0.2">
      <c r="C3264" s="5"/>
      <c r="D3264" s="5"/>
    </row>
    <row r="3265" spans="3:4" customFormat="1" x14ac:dyDescent="0.2">
      <c r="C3265" s="5"/>
      <c r="D3265" s="5"/>
    </row>
    <row r="3266" spans="3:4" customFormat="1" x14ac:dyDescent="0.2">
      <c r="C3266" s="5"/>
      <c r="D3266" s="5"/>
    </row>
    <row r="3267" spans="3:4" customFormat="1" x14ac:dyDescent="0.2">
      <c r="C3267" s="5"/>
      <c r="D3267" s="5"/>
    </row>
    <row r="3268" spans="3:4" customFormat="1" x14ac:dyDescent="0.2">
      <c r="C3268" s="5"/>
      <c r="D3268" s="5"/>
    </row>
    <row r="3269" spans="3:4" customFormat="1" x14ac:dyDescent="0.2">
      <c r="C3269" s="5"/>
      <c r="D3269" s="5"/>
    </row>
    <row r="3270" spans="3:4" customFormat="1" x14ac:dyDescent="0.2">
      <c r="C3270" s="5"/>
      <c r="D3270" s="5"/>
    </row>
    <row r="3271" spans="3:4" customFormat="1" x14ac:dyDescent="0.2">
      <c r="C3271" s="5"/>
      <c r="D3271" s="5"/>
    </row>
    <row r="3272" spans="3:4" customFormat="1" x14ac:dyDescent="0.2">
      <c r="C3272" s="5"/>
      <c r="D3272" s="5"/>
    </row>
    <row r="3273" spans="3:4" customFormat="1" x14ac:dyDescent="0.2">
      <c r="C3273" s="5"/>
      <c r="D3273" s="5"/>
    </row>
    <row r="3274" spans="3:4" customFormat="1" x14ac:dyDescent="0.2">
      <c r="C3274" s="5"/>
      <c r="D3274" s="5"/>
    </row>
    <row r="3275" spans="3:4" customFormat="1" x14ac:dyDescent="0.2">
      <c r="C3275" s="5"/>
      <c r="D3275" s="5"/>
    </row>
    <row r="3276" spans="3:4" customFormat="1" x14ac:dyDescent="0.2">
      <c r="C3276" s="5"/>
      <c r="D3276" s="5"/>
    </row>
    <row r="3277" spans="3:4" customFormat="1" x14ac:dyDescent="0.2">
      <c r="C3277" s="5"/>
      <c r="D3277" s="5"/>
    </row>
    <row r="3278" spans="3:4" customFormat="1" x14ac:dyDescent="0.2">
      <c r="C3278" s="5"/>
      <c r="D3278" s="5"/>
    </row>
    <row r="3279" spans="3:4" customFormat="1" x14ac:dyDescent="0.2">
      <c r="C3279" s="5"/>
      <c r="D3279" s="5"/>
    </row>
    <row r="3280" spans="3:4" customFormat="1" x14ac:dyDescent="0.2">
      <c r="C3280" s="5"/>
      <c r="D3280" s="5"/>
    </row>
    <row r="3281" spans="3:4" customFormat="1" x14ac:dyDescent="0.2">
      <c r="C3281" s="5"/>
      <c r="D3281" s="5"/>
    </row>
    <row r="3282" spans="3:4" customFormat="1" x14ac:dyDescent="0.2">
      <c r="C3282" s="5"/>
      <c r="D3282" s="5"/>
    </row>
    <row r="3283" spans="3:4" customFormat="1" x14ac:dyDescent="0.2">
      <c r="C3283" s="5"/>
      <c r="D3283" s="5"/>
    </row>
    <row r="3284" spans="3:4" customFormat="1" x14ac:dyDescent="0.2">
      <c r="C3284" s="5"/>
      <c r="D3284" s="5"/>
    </row>
    <row r="3285" spans="3:4" customFormat="1" x14ac:dyDescent="0.2">
      <c r="C3285" s="5"/>
      <c r="D3285" s="5"/>
    </row>
    <row r="3286" spans="3:4" customFormat="1" x14ac:dyDescent="0.2">
      <c r="C3286" s="5"/>
      <c r="D3286" s="5"/>
    </row>
    <row r="3287" spans="3:4" customFormat="1" x14ac:dyDescent="0.2">
      <c r="C3287" s="5"/>
      <c r="D3287" s="5"/>
    </row>
    <row r="3288" spans="3:4" customFormat="1" x14ac:dyDescent="0.2">
      <c r="C3288" s="5"/>
      <c r="D3288" s="5"/>
    </row>
    <row r="3289" spans="3:4" customFormat="1" x14ac:dyDescent="0.2">
      <c r="C3289" s="5"/>
      <c r="D3289" s="5"/>
    </row>
    <row r="3290" spans="3:4" customFormat="1" x14ac:dyDescent="0.2">
      <c r="C3290" s="5"/>
      <c r="D3290" s="5"/>
    </row>
    <row r="3291" spans="3:4" customFormat="1" x14ac:dyDescent="0.2">
      <c r="C3291" s="5"/>
      <c r="D3291" s="5"/>
    </row>
    <row r="3292" spans="3:4" customFormat="1" x14ac:dyDescent="0.2">
      <c r="C3292" s="5"/>
      <c r="D3292" s="5"/>
    </row>
    <row r="3293" spans="3:4" customFormat="1" x14ac:dyDescent="0.2">
      <c r="C3293" s="5"/>
      <c r="D3293" s="5"/>
    </row>
    <row r="3294" spans="3:4" customFormat="1" x14ac:dyDescent="0.2">
      <c r="C3294" s="5"/>
      <c r="D3294" s="5"/>
    </row>
    <row r="3295" spans="3:4" customFormat="1" x14ac:dyDescent="0.2">
      <c r="C3295" s="5"/>
      <c r="D3295" s="5"/>
    </row>
    <row r="3296" spans="3:4" customFormat="1" x14ac:dyDescent="0.2">
      <c r="C3296" s="5"/>
      <c r="D3296" s="5"/>
    </row>
    <row r="3297" spans="3:4" customFormat="1" x14ac:dyDescent="0.2">
      <c r="C3297" s="5"/>
      <c r="D3297" s="5"/>
    </row>
    <row r="3298" spans="3:4" customFormat="1" x14ac:dyDescent="0.2">
      <c r="C3298" s="5"/>
      <c r="D3298" s="5"/>
    </row>
    <row r="3299" spans="3:4" customFormat="1" x14ac:dyDescent="0.2">
      <c r="C3299" s="5"/>
      <c r="D3299" s="5"/>
    </row>
    <row r="3300" spans="3:4" customFormat="1" x14ac:dyDescent="0.2">
      <c r="C3300" s="5"/>
      <c r="D3300" s="5"/>
    </row>
    <row r="3301" spans="3:4" customFormat="1" x14ac:dyDescent="0.2">
      <c r="C3301" s="5"/>
      <c r="D3301" s="5"/>
    </row>
    <row r="3302" spans="3:4" customFormat="1" x14ac:dyDescent="0.2">
      <c r="C3302" s="5"/>
      <c r="D3302" s="5"/>
    </row>
    <row r="3303" spans="3:4" customFormat="1" x14ac:dyDescent="0.2">
      <c r="C3303" s="5"/>
      <c r="D3303" s="5"/>
    </row>
    <row r="3304" spans="3:4" customFormat="1" x14ac:dyDescent="0.2">
      <c r="C3304" s="5"/>
      <c r="D3304" s="5"/>
    </row>
    <row r="3305" spans="3:4" customFormat="1" x14ac:dyDescent="0.2">
      <c r="C3305" s="5"/>
      <c r="D3305" s="5"/>
    </row>
    <row r="3306" spans="3:4" customFormat="1" x14ac:dyDescent="0.2">
      <c r="C3306" s="5"/>
      <c r="D3306" s="5"/>
    </row>
    <row r="3307" spans="3:4" customFormat="1" x14ac:dyDescent="0.2">
      <c r="C3307" s="5"/>
      <c r="D3307" s="5"/>
    </row>
    <row r="3308" spans="3:4" customFormat="1" x14ac:dyDescent="0.2">
      <c r="C3308" s="5"/>
      <c r="D3308" s="5"/>
    </row>
    <row r="3309" spans="3:4" customFormat="1" x14ac:dyDescent="0.2">
      <c r="C3309" s="5"/>
      <c r="D3309" s="5"/>
    </row>
    <row r="3310" spans="3:4" customFormat="1" x14ac:dyDescent="0.2">
      <c r="C3310" s="5"/>
      <c r="D3310" s="5"/>
    </row>
    <row r="3311" spans="3:4" customFormat="1" x14ac:dyDescent="0.2">
      <c r="C3311" s="5"/>
      <c r="D3311" s="5"/>
    </row>
    <row r="3312" spans="3:4" customFormat="1" x14ac:dyDescent="0.2">
      <c r="C3312" s="5"/>
      <c r="D3312" s="5"/>
    </row>
    <row r="3313" spans="3:4" customFormat="1" x14ac:dyDescent="0.2">
      <c r="C3313" s="5"/>
      <c r="D3313" s="5"/>
    </row>
    <row r="3314" spans="3:4" customFormat="1" x14ac:dyDescent="0.2">
      <c r="C3314" s="5"/>
      <c r="D3314" s="5"/>
    </row>
    <row r="3315" spans="3:4" customFormat="1" x14ac:dyDescent="0.2">
      <c r="C3315" s="5"/>
      <c r="D3315" s="5"/>
    </row>
    <row r="3316" spans="3:4" customFormat="1" x14ac:dyDescent="0.2">
      <c r="C3316" s="5"/>
      <c r="D3316" s="5"/>
    </row>
    <row r="3317" spans="3:4" customFormat="1" x14ac:dyDescent="0.2">
      <c r="C3317" s="5"/>
      <c r="D3317" s="5"/>
    </row>
    <row r="3318" spans="3:4" customFormat="1" x14ac:dyDescent="0.2">
      <c r="C3318" s="5"/>
      <c r="D3318" s="5"/>
    </row>
    <row r="3319" spans="3:4" customFormat="1" x14ac:dyDescent="0.2">
      <c r="C3319" s="5"/>
      <c r="D3319" s="5"/>
    </row>
    <row r="3320" spans="3:4" customFormat="1" x14ac:dyDescent="0.2">
      <c r="C3320" s="5"/>
      <c r="D3320" s="5"/>
    </row>
    <row r="3321" spans="3:4" customFormat="1" x14ac:dyDescent="0.2">
      <c r="C3321" s="5"/>
      <c r="D3321" s="5"/>
    </row>
    <row r="3322" spans="3:4" customFormat="1" x14ac:dyDescent="0.2">
      <c r="C3322" s="5"/>
      <c r="D3322" s="5"/>
    </row>
    <row r="3323" spans="3:4" customFormat="1" x14ac:dyDescent="0.2">
      <c r="C3323" s="5"/>
      <c r="D3323" s="5"/>
    </row>
    <row r="3324" spans="3:4" customFormat="1" x14ac:dyDescent="0.2">
      <c r="C3324" s="5"/>
      <c r="D3324" s="5"/>
    </row>
    <row r="3325" spans="3:4" customFormat="1" x14ac:dyDescent="0.2">
      <c r="C3325" s="5"/>
      <c r="D3325" s="5"/>
    </row>
    <row r="3326" spans="3:4" customFormat="1" x14ac:dyDescent="0.2">
      <c r="C3326" s="5"/>
      <c r="D3326" s="5"/>
    </row>
    <row r="3327" spans="3:4" customFormat="1" x14ac:dyDescent="0.2">
      <c r="C3327" s="5"/>
      <c r="D3327" s="5"/>
    </row>
    <row r="3328" spans="3:4" customFormat="1" x14ac:dyDescent="0.2">
      <c r="C3328" s="5"/>
      <c r="D3328" s="5"/>
    </row>
    <row r="3329" spans="3:4" customFormat="1" x14ac:dyDescent="0.2">
      <c r="C3329" s="5"/>
      <c r="D3329" s="5"/>
    </row>
    <row r="3330" spans="3:4" customFormat="1" x14ac:dyDescent="0.2">
      <c r="C3330" s="5"/>
      <c r="D3330" s="5"/>
    </row>
    <row r="3331" spans="3:4" customFormat="1" x14ac:dyDescent="0.2">
      <c r="C3331" s="5"/>
      <c r="D3331" s="5"/>
    </row>
    <row r="3332" spans="3:4" customFormat="1" x14ac:dyDescent="0.2">
      <c r="C3332" s="5"/>
      <c r="D3332" s="5"/>
    </row>
    <row r="3333" spans="3:4" customFormat="1" x14ac:dyDescent="0.2">
      <c r="C3333" s="5"/>
      <c r="D3333" s="5"/>
    </row>
    <row r="3334" spans="3:4" customFormat="1" x14ac:dyDescent="0.2">
      <c r="C3334" s="5"/>
      <c r="D3334" s="5"/>
    </row>
    <row r="3335" spans="3:4" customFormat="1" x14ac:dyDescent="0.2">
      <c r="C3335" s="5"/>
      <c r="D3335" s="5"/>
    </row>
    <row r="3336" spans="3:4" customFormat="1" x14ac:dyDescent="0.2">
      <c r="C3336" s="5"/>
      <c r="D3336" s="5"/>
    </row>
    <row r="3337" spans="3:4" customFormat="1" x14ac:dyDescent="0.2">
      <c r="C3337" s="5"/>
      <c r="D3337" s="5"/>
    </row>
    <row r="3338" spans="3:4" customFormat="1" x14ac:dyDescent="0.2">
      <c r="C3338" s="5"/>
      <c r="D3338" s="5"/>
    </row>
    <row r="3339" spans="3:4" customFormat="1" x14ac:dyDescent="0.2">
      <c r="C3339" s="5"/>
      <c r="D3339" s="5"/>
    </row>
    <row r="3340" spans="3:4" customFormat="1" x14ac:dyDescent="0.2">
      <c r="C3340" s="5"/>
      <c r="D3340" s="5"/>
    </row>
    <row r="3341" spans="3:4" customFormat="1" x14ac:dyDescent="0.2">
      <c r="C3341" s="5"/>
      <c r="D3341" s="5"/>
    </row>
    <row r="3342" spans="3:4" customFormat="1" x14ac:dyDescent="0.2">
      <c r="C3342" s="5"/>
      <c r="D3342" s="5"/>
    </row>
    <row r="3343" spans="3:4" customFormat="1" x14ac:dyDescent="0.2">
      <c r="C3343" s="5"/>
      <c r="D3343" s="5"/>
    </row>
    <row r="3344" spans="3:4" customFormat="1" x14ac:dyDescent="0.2">
      <c r="C3344" s="5"/>
      <c r="D3344" s="5"/>
    </row>
    <row r="3345" spans="3:4" customFormat="1" x14ac:dyDescent="0.2">
      <c r="C3345" s="5"/>
      <c r="D3345" s="5"/>
    </row>
    <row r="3346" spans="3:4" customFormat="1" x14ac:dyDescent="0.2">
      <c r="C3346" s="5"/>
      <c r="D3346" s="5"/>
    </row>
    <row r="3347" spans="3:4" customFormat="1" x14ac:dyDescent="0.2">
      <c r="C3347" s="5"/>
      <c r="D3347" s="5"/>
    </row>
    <row r="3348" spans="3:4" customFormat="1" x14ac:dyDescent="0.2">
      <c r="C3348" s="5"/>
      <c r="D3348" s="5"/>
    </row>
    <row r="3349" spans="3:4" customFormat="1" x14ac:dyDescent="0.2">
      <c r="C3349" s="5"/>
      <c r="D3349" s="5"/>
    </row>
    <row r="3350" spans="3:4" customFormat="1" x14ac:dyDescent="0.2">
      <c r="C3350" s="5"/>
      <c r="D3350" s="5"/>
    </row>
    <row r="3351" spans="3:4" customFormat="1" x14ac:dyDescent="0.2">
      <c r="C3351" s="5"/>
      <c r="D3351" s="5"/>
    </row>
    <row r="3352" spans="3:4" customFormat="1" x14ac:dyDescent="0.2">
      <c r="C3352" s="5"/>
      <c r="D3352" s="5"/>
    </row>
    <row r="3353" spans="3:4" customFormat="1" x14ac:dyDescent="0.2">
      <c r="C3353" s="5"/>
      <c r="D3353" s="5"/>
    </row>
    <row r="3354" spans="3:4" customFormat="1" x14ac:dyDescent="0.2">
      <c r="C3354" s="5"/>
      <c r="D3354" s="5"/>
    </row>
    <row r="3355" spans="3:4" customFormat="1" x14ac:dyDescent="0.2">
      <c r="C3355" s="5"/>
      <c r="D3355" s="5"/>
    </row>
    <row r="3356" spans="3:4" customFormat="1" x14ac:dyDescent="0.2">
      <c r="C3356" s="5"/>
      <c r="D3356" s="5"/>
    </row>
    <row r="3357" spans="3:4" customFormat="1" x14ac:dyDescent="0.2">
      <c r="C3357" s="5"/>
      <c r="D3357" s="5"/>
    </row>
    <row r="3358" spans="3:4" customFormat="1" x14ac:dyDescent="0.2">
      <c r="C3358" s="5"/>
      <c r="D3358" s="5"/>
    </row>
    <row r="3359" spans="3:4" customFormat="1" x14ac:dyDescent="0.2">
      <c r="C3359" s="5"/>
      <c r="D3359" s="5"/>
    </row>
    <row r="3360" spans="3:4" customFormat="1" x14ac:dyDescent="0.2">
      <c r="C3360" s="5"/>
      <c r="D3360" s="5"/>
    </row>
    <row r="3361" spans="3:4" customFormat="1" x14ac:dyDescent="0.2">
      <c r="C3361" s="5"/>
      <c r="D3361" s="5"/>
    </row>
    <row r="3362" spans="3:4" customFormat="1" x14ac:dyDescent="0.2">
      <c r="C3362" s="5"/>
      <c r="D3362" s="5"/>
    </row>
    <row r="3363" spans="3:4" customFormat="1" x14ac:dyDescent="0.2">
      <c r="C3363" s="5"/>
      <c r="D3363" s="5"/>
    </row>
    <row r="3364" spans="3:4" customFormat="1" x14ac:dyDescent="0.2">
      <c r="C3364" s="5"/>
      <c r="D3364" s="5"/>
    </row>
    <row r="3365" spans="3:4" customFormat="1" x14ac:dyDescent="0.2">
      <c r="C3365" s="5"/>
      <c r="D3365" s="5"/>
    </row>
    <row r="3366" spans="3:4" customFormat="1" x14ac:dyDescent="0.2">
      <c r="C3366" s="5"/>
      <c r="D3366" s="5"/>
    </row>
    <row r="3367" spans="3:4" customFormat="1" x14ac:dyDescent="0.2">
      <c r="C3367" s="5"/>
      <c r="D3367" s="5"/>
    </row>
    <row r="3368" spans="3:4" customFormat="1" x14ac:dyDescent="0.2">
      <c r="C3368" s="5"/>
      <c r="D3368" s="5"/>
    </row>
    <row r="3369" spans="3:4" customFormat="1" x14ac:dyDescent="0.2">
      <c r="C3369" s="5"/>
      <c r="D3369" s="5"/>
    </row>
    <row r="3370" spans="3:4" customFormat="1" x14ac:dyDescent="0.2">
      <c r="C3370" s="5"/>
      <c r="D3370" s="5"/>
    </row>
    <row r="3371" spans="3:4" customFormat="1" x14ac:dyDescent="0.2">
      <c r="C3371" s="5"/>
      <c r="D3371" s="5"/>
    </row>
    <row r="3372" spans="3:4" customFormat="1" x14ac:dyDescent="0.2">
      <c r="C3372" s="5"/>
      <c r="D3372" s="5"/>
    </row>
    <row r="3373" spans="3:4" customFormat="1" x14ac:dyDescent="0.2">
      <c r="C3373" s="5"/>
      <c r="D3373" s="5"/>
    </row>
    <row r="3374" spans="3:4" customFormat="1" x14ac:dyDescent="0.2">
      <c r="C3374" s="5"/>
      <c r="D3374" s="5"/>
    </row>
    <row r="3375" spans="3:4" customFormat="1" x14ac:dyDescent="0.2">
      <c r="C3375" s="5"/>
      <c r="D3375" s="5"/>
    </row>
    <row r="3376" spans="3:4" customFormat="1" x14ac:dyDescent="0.2">
      <c r="C3376" s="5"/>
      <c r="D3376" s="5"/>
    </row>
    <row r="3377" spans="3:4" customFormat="1" x14ac:dyDescent="0.2">
      <c r="C3377" s="5"/>
      <c r="D3377" s="5"/>
    </row>
    <row r="3378" spans="3:4" customFormat="1" x14ac:dyDescent="0.2">
      <c r="C3378" s="5"/>
      <c r="D3378" s="5"/>
    </row>
    <row r="3379" spans="3:4" customFormat="1" x14ac:dyDescent="0.2">
      <c r="C3379" s="5"/>
      <c r="D3379" s="5"/>
    </row>
    <row r="3380" spans="3:4" customFormat="1" x14ac:dyDescent="0.2">
      <c r="C3380" s="5"/>
      <c r="D3380" s="5"/>
    </row>
    <row r="3381" spans="3:4" customFormat="1" x14ac:dyDescent="0.2">
      <c r="C3381" s="5"/>
      <c r="D3381" s="5"/>
    </row>
    <row r="3382" spans="3:4" customFormat="1" x14ac:dyDescent="0.2">
      <c r="C3382" s="5"/>
      <c r="D3382" s="5"/>
    </row>
    <row r="3383" spans="3:4" customFormat="1" x14ac:dyDescent="0.2">
      <c r="C3383" s="5"/>
      <c r="D3383" s="5"/>
    </row>
    <row r="3384" spans="3:4" customFormat="1" x14ac:dyDescent="0.2">
      <c r="C3384" s="5"/>
      <c r="D3384" s="5"/>
    </row>
    <row r="3385" spans="3:4" customFormat="1" x14ac:dyDescent="0.2">
      <c r="C3385" s="5"/>
      <c r="D3385" s="5"/>
    </row>
    <row r="3386" spans="3:4" customFormat="1" x14ac:dyDescent="0.2">
      <c r="C3386" s="5"/>
      <c r="D3386" s="5"/>
    </row>
    <row r="3387" spans="3:4" customFormat="1" x14ac:dyDescent="0.2">
      <c r="C3387" s="5"/>
      <c r="D3387" s="5"/>
    </row>
    <row r="3388" spans="3:4" customFormat="1" x14ac:dyDescent="0.2">
      <c r="C3388" s="5"/>
      <c r="D3388" s="5"/>
    </row>
    <row r="3389" spans="3:4" customFormat="1" x14ac:dyDescent="0.2">
      <c r="C3389" s="5"/>
      <c r="D3389" s="5"/>
    </row>
    <row r="3390" spans="3:4" customFormat="1" x14ac:dyDescent="0.2">
      <c r="C3390" s="5"/>
      <c r="D3390" s="5"/>
    </row>
    <row r="3391" spans="3:4" customFormat="1" x14ac:dyDescent="0.2">
      <c r="C3391" s="5"/>
      <c r="D3391" s="5"/>
    </row>
    <row r="3392" spans="3:4" customFormat="1" x14ac:dyDescent="0.2">
      <c r="C3392" s="5"/>
      <c r="D3392" s="5"/>
    </row>
    <row r="3393" spans="3:4" customFormat="1" x14ac:dyDescent="0.2">
      <c r="C3393" s="5"/>
      <c r="D3393" s="5"/>
    </row>
    <row r="3394" spans="3:4" customFormat="1" x14ac:dyDescent="0.2">
      <c r="C3394" s="5"/>
      <c r="D3394" s="5"/>
    </row>
    <row r="3395" spans="3:4" customFormat="1" x14ac:dyDescent="0.2">
      <c r="C3395" s="5"/>
      <c r="D3395" s="5"/>
    </row>
    <row r="3396" spans="3:4" customFormat="1" x14ac:dyDescent="0.2">
      <c r="C3396" s="5"/>
      <c r="D3396" s="5"/>
    </row>
    <row r="3397" spans="3:4" customFormat="1" x14ac:dyDescent="0.2">
      <c r="C3397" s="5"/>
      <c r="D3397" s="5"/>
    </row>
    <row r="3398" spans="3:4" customFormat="1" x14ac:dyDescent="0.2">
      <c r="C3398" s="5"/>
      <c r="D3398" s="5"/>
    </row>
    <row r="3399" spans="3:4" customFormat="1" x14ac:dyDescent="0.2">
      <c r="C3399" s="5"/>
      <c r="D3399" s="5"/>
    </row>
    <row r="3400" spans="3:4" customFormat="1" x14ac:dyDescent="0.2">
      <c r="C3400" s="5"/>
      <c r="D3400" s="5"/>
    </row>
    <row r="3401" spans="3:4" customFormat="1" x14ac:dyDescent="0.2">
      <c r="C3401" s="5"/>
      <c r="D3401" s="5"/>
    </row>
    <row r="3402" spans="3:4" customFormat="1" x14ac:dyDescent="0.2">
      <c r="C3402" s="5"/>
      <c r="D3402" s="5"/>
    </row>
    <row r="3403" spans="3:4" customFormat="1" x14ac:dyDescent="0.2">
      <c r="C3403" s="5"/>
      <c r="D3403" s="5"/>
    </row>
    <row r="3404" spans="3:4" customFormat="1" x14ac:dyDescent="0.2">
      <c r="C3404" s="5"/>
      <c r="D3404" s="5"/>
    </row>
    <row r="3405" spans="3:4" customFormat="1" x14ac:dyDescent="0.2">
      <c r="C3405" s="5"/>
      <c r="D3405" s="5"/>
    </row>
    <row r="3406" spans="3:4" customFormat="1" x14ac:dyDescent="0.2">
      <c r="C3406" s="5"/>
      <c r="D3406" s="5"/>
    </row>
    <row r="3407" spans="3:4" customFormat="1" x14ac:dyDescent="0.2">
      <c r="C3407" s="5"/>
      <c r="D3407" s="5"/>
    </row>
    <row r="3408" spans="3:4" customFormat="1" x14ac:dyDescent="0.2">
      <c r="C3408" s="5"/>
      <c r="D3408" s="5"/>
    </row>
    <row r="3409" spans="3:4" customFormat="1" x14ac:dyDescent="0.2">
      <c r="C3409" s="5"/>
      <c r="D3409" s="5"/>
    </row>
    <row r="3410" spans="3:4" customFormat="1" x14ac:dyDescent="0.2">
      <c r="C3410" s="5"/>
      <c r="D3410" s="5"/>
    </row>
    <row r="3411" spans="3:4" customFormat="1" x14ac:dyDescent="0.2">
      <c r="C3411" s="5"/>
      <c r="D3411" s="5"/>
    </row>
    <row r="3412" spans="3:4" customFormat="1" x14ac:dyDescent="0.2">
      <c r="C3412" s="5"/>
      <c r="D3412" s="5"/>
    </row>
    <row r="3413" spans="3:4" customFormat="1" x14ac:dyDescent="0.2">
      <c r="C3413" s="5"/>
      <c r="D3413" s="5"/>
    </row>
    <row r="3414" spans="3:4" customFormat="1" x14ac:dyDescent="0.2">
      <c r="C3414" s="5"/>
      <c r="D3414" s="5"/>
    </row>
    <row r="3415" spans="3:4" customFormat="1" x14ac:dyDescent="0.2">
      <c r="C3415" s="5"/>
      <c r="D3415" s="5"/>
    </row>
    <row r="3416" spans="3:4" customFormat="1" x14ac:dyDescent="0.2">
      <c r="C3416" s="5"/>
      <c r="D3416" s="5"/>
    </row>
    <row r="3417" spans="3:4" customFormat="1" x14ac:dyDescent="0.2">
      <c r="C3417" s="5"/>
      <c r="D3417" s="5"/>
    </row>
    <row r="3418" spans="3:4" customFormat="1" x14ac:dyDescent="0.2">
      <c r="C3418" s="5"/>
      <c r="D3418" s="5"/>
    </row>
    <row r="3419" spans="3:4" customFormat="1" x14ac:dyDescent="0.2">
      <c r="C3419" s="5"/>
      <c r="D3419" s="5"/>
    </row>
    <row r="3420" spans="3:4" customFormat="1" x14ac:dyDescent="0.2">
      <c r="C3420" s="5"/>
      <c r="D3420" s="5"/>
    </row>
    <row r="3421" spans="3:4" customFormat="1" x14ac:dyDescent="0.2">
      <c r="C3421" s="5"/>
      <c r="D3421" s="5"/>
    </row>
    <row r="3422" spans="3:4" customFormat="1" x14ac:dyDescent="0.2">
      <c r="C3422" s="5"/>
      <c r="D3422" s="5"/>
    </row>
    <row r="3423" spans="3:4" customFormat="1" x14ac:dyDescent="0.2">
      <c r="C3423" s="5"/>
      <c r="D3423" s="5"/>
    </row>
    <row r="3424" spans="3:4" customFormat="1" x14ac:dyDescent="0.2">
      <c r="C3424" s="5"/>
      <c r="D3424" s="5"/>
    </row>
    <row r="3425" spans="3:4" customFormat="1" x14ac:dyDescent="0.2">
      <c r="C3425" s="5"/>
      <c r="D3425" s="5"/>
    </row>
    <row r="3426" spans="3:4" customFormat="1" x14ac:dyDescent="0.2">
      <c r="C3426" s="5"/>
      <c r="D3426" s="5"/>
    </row>
    <row r="3427" spans="3:4" customFormat="1" x14ac:dyDescent="0.2">
      <c r="C3427" s="5"/>
      <c r="D3427" s="5"/>
    </row>
    <row r="3428" spans="3:4" customFormat="1" x14ac:dyDescent="0.2">
      <c r="C3428" s="5"/>
      <c r="D3428" s="5"/>
    </row>
    <row r="3429" spans="3:4" customFormat="1" x14ac:dyDescent="0.2">
      <c r="C3429" s="5"/>
      <c r="D3429" s="5"/>
    </row>
    <row r="3430" spans="3:4" customFormat="1" x14ac:dyDescent="0.2">
      <c r="C3430" s="5"/>
      <c r="D3430" s="5"/>
    </row>
    <row r="3431" spans="3:4" customFormat="1" x14ac:dyDescent="0.2">
      <c r="C3431" s="5"/>
      <c r="D3431" s="5"/>
    </row>
    <row r="3432" spans="3:4" customFormat="1" x14ac:dyDescent="0.2">
      <c r="C3432" s="5"/>
      <c r="D3432" s="5"/>
    </row>
    <row r="3433" spans="3:4" customFormat="1" x14ac:dyDescent="0.2">
      <c r="C3433" s="5"/>
      <c r="D3433" s="5"/>
    </row>
    <row r="3434" spans="3:4" customFormat="1" x14ac:dyDescent="0.2">
      <c r="C3434" s="5"/>
      <c r="D3434" s="5"/>
    </row>
    <row r="3435" spans="3:4" customFormat="1" x14ac:dyDescent="0.2">
      <c r="C3435" s="5"/>
      <c r="D3435" s="5"/>
    </row>
    <row r="3436" spans="3:4" customFormat="1" x14ac:dyDescent="0.2">
      <c r="C3436" s="5"/>
      <c r="D3436" s="5"/>
    </row>
    <row r="3437" spans="3:4" customFormat="1" x14ac:dyDescent="0.2">
      <c r="C3437" s="5"/>
      <c r="D3437" s="5"/>
    </row>
    <row r="3438" spans="3:4" customFormat="1" x14ac:dyDescent="0.2">
      <c r="C3438" s="5"/>
      <c r="D3438" s="5"/>
    </row>
    <row r="3439" spans="3:4" customFormat="1" x14ac:dyDescent="0.2">
      <c r="C3439" s="5"/>
      <c r="D3439" s="5"/>
    </row>
    <row r="3440" spans="3:4" customFormat="1" x14ac:dyDescent="0.2">
      <c r="C3440" s="5"/>
      <c r="D3440" s="5"/>
    </row>
    <row r="3441" spans="3:4" customFormat="1" x14ac:dyDescent="0.2">
      <c r="C3441" s="5"/>
      <c r="D3441" s="5"/>
    </row>
    <row r="3442" spans="3:4" customFormat="1" x14ac:dyDescent="0.2">
      <c r="C3442" s="5"/>
      <c r="D3442" s="5"/>
    </row>
    <row r="3443" spans="3:4" customFormat="1" x14ac:dyDescent="0.2">
      <c r="C3443" s="5"/>
      <c r="D3443" s="5"/>
    </row>
    <row r="3444" spans="3:4" customFormat="1" x14ac:dyDescent="0.2">
      <c r="C3444" s="5"/>
      <c r="D3444" s="5"/>
    </row>
    <row r="3445" spans="3:4" customFormat="1" x14ac:dyDescent="0.2">
      <c r="C3445" s="5"/>
      <c r="D3445" s="5"/>
    </row>
    <row r="3446" spans="3:4" customFormat="1" x14ac:dyDescent="0.2">
      <c r="C3446" s="5"/>
      <c r="D3446" s="5"/>
    </row>
    <row r="3447" spans="3:4" customFormat="1" x14ac:dyDescent="0.2">
      <c r="C3447" s="5"/>
      <c r="D3447" s="5"/>
    </row>
    <row r="3448" spans="3:4" customFormat="1" x14ac:dyDescent="0.2">
      <c r="C3448" s="5"/>
      <c r="D3448" s="5"/>
    </row>
    <row r="3449" spans="3:4" customFormat="1" x14ac:dyDescent="0.2">
      <c r="C3449" s="5"/>
      <c r="D3449" s="5"/>
    </row>
    <row r="3450" spans="3:4" customFormat="1" x14ac:dyDescent="0.2">
      <c r="C3450" s="5"/>
      <c r="D3450" s="5"/>
    </row>
    <row r="3451" spans="3:4" customFormat="1" x14ac:dyDescent="0.2">
      <c r="C3451" s="5"/>
      <c r="D3451" s="5"/>
    </row>
    <row r="3452" spans="3:4" customFormat="1" x14ac:dyDescent="0.2">
      <c r="C3452" s="5"/>
      <c r="D3452" s="5"/>
    </row>
    <row r="3453" spans="3:4" customFormat="1" x14ac:dyDescent="0.2">
      <c r="C3453" s="5"/>
      <c r="D3453" s="5"/>
    </row>
    <row r="3454" spans="3:4" customFormat="1" x14ac:dyDescent="0.2">
      <c r="C3454" s="5"/>
      <c r="D3454" s="5"/>
    </row>
    <row r="3455" spans="3:4" customFormat="1" x14ac:dyDescent="0.2">
      <c r="C3455" s="5"/>
      <c r="D3455" s="5"/>
    </row>
    <row r="3456" spans="3:4" customFormat="1" x14ac:dyDescent="0.2">
      <c r="C3456" s="5"/>
      <c r="D3456" s="5"/>
    </row>
    <row r="3457" spans="3:4" customFormat="1" x14ac:dyDescent="0.2">
      <c r="C3457" s="5"/>
      <c r="D3457" s="5"/>
    </row>
    <row r="3458" spans="3:4" customFormat="1" x14ac:dyDescent="0.2">
      <c r="C3458" s="5"/>
      <c r="D3458" s="5"/>
    </row>
    <row r="3459" spans="3:4" customFormat="1" x14ac:dyDescent="0.2">
      <c r="C3459" s="5"/>
      <c r="D3459" s="5"/>
    </row>
    <row r="3460" spans="3:4" customFormat="1" x14ac:dyDescent="0.2">
      <c r="C3460" s="5"/>
      <c r="D3460" s="5"/>
    </row>
    <row r="3461" spans="3:4" customFormat="1" x14ac:dyDescent="0.2">
      <c r="C3461" s="5"/>
      <c r="D3461" s="5"/>
    </row>
    <row r="3462" spans="3:4" customFormat="1" x14ac:dyDescent="0.2">
      <c r="C3462" s="5"/>
      <c r="D3462" s="5"/>
    </row>
    <row r="3463" spans="3:4" customFormat="1" x14ac:dyDescent="0.2">
      <c r="C3463" s="5"/>
      <c r="D3463" s="5"/>
    </row>
    <row r="3464" spans="3:4" customFormat="1" x14ac:dyDescent="0.2">
      <c r="C3464" s="5"/>
      <c r="D3464" s="5"/>
    </row>
    <row r="3465" spans="3:4" customFormat="1" x14ac:dyDescent="0.2">
      <c r="C3465" s="5"/>
      <c r="D3465" s="5"/>
    </row>
    <row r="3466" spans="3:4" customFormat="1" x14ac:dyDescent="0.2">
      <c r="C3466" s="5"/>
      <c r="D3466" s="5"/>
    </row>
    <row r="3467" spans="3:4" customFormat="1" x14ac:dyDescent="0.2">
      <c r="C3467" s="5"/>
      <c r="D3467" s="5"/>
    </row>
    <row r="3468" spans="3:4" customFormat="1" x14ac:dyDescent="0.2">
      <c r="C3468" s="5"/>
      <c r="D3468" s="5"/>
    </row>
    <row r="3469" spans="3:4" customFormat="1" x14ac:dyDescent="0.2">
      <c r="C3469" s="5"/>
      <c r="D3469" s="5"/>
    </row>
    <row r="3470" spans="3:4" customFormat="1" x14ac:dyDescent="0.2">
      <c r="C3470" s="5"/>
      <c r="D3470" s="5"/>
    </row>
    <row r="3471" spans="3:4" customFormat="1" x14ac:dyDescent="0.2">
      <c r="C3471" s="5"/>
      <c r="D3471" s="5"/>
    </row>
    <row r="3472" spans="3:4" customFormat="1" x14ac:dyDescent="0.2">
      <c r="C3472" s="5"/>
      <c r="D3472" s="5"/>
    </row>
    <row r="3473" spans="3:4" customFormat="1" x14ac:dyDescent="0.2">
      <c r="C3473" s="5"/>
      <c r="D3473" s="5"/>
    </row>
    <row r="3474" spans="3:4" customFormat="1" x14ac:dyDescent="0.2">
      <c r="C3474" s="5"/>
      <c r="D3474" s="5"/>
    </row>
    <row r="3475" spans="3:4" customFormat="1" x14ac:dyDescent="0.2">
      <c r="C3475" s="5"/>
      <c r="D3475" s="5"/>
    </row>
    <row r="3476" spans="3:4" customFormat="1" x14ac:dyDescent="0.2">
      <c r="C3476" s="5"/>
      <c r="D3476" s="5"/>
    </row>
    <row r="3477" spans="3:4" customFormat="1" x14ac:dyDescent="0.2">
      <c r="C3477" s="5"/>
      <c r="D3477" s="5"/>
    </row>
    <row r="3478" spans="3:4" customFormat="1" x14ac:dyDescent="0.2">
      <c r="C3478" s="5"/>
      <c r="D3478" s="5"/>
    </row>
    <row r="3479" spans="3:4" customFormat="1" x14ac:dyDescent="0.2">
      <c r="C3479" s="5"/>
      <c r="D3479" s="5"/>
    </row>
    <row r="3480" spans="3:4" customFormat="1" x14ac:dyDescent="0.2">
      <c r="C3480" s="5"/>
      <c r="D3480" s="5"/>
    </row>
    <row r="3481" spans="3:4" customFormat="1" x14ac:dyDescent="0.2">
      <c r="C3481" s="5"/>
      <c r="D3481" s="5"/>
    </row>
    <row r="3482" spans="3:4" customFormat="1" x14ac:dyDescent="0.2">
      <c r="C3482" s="5"/>
      <c r="D3482" s="5"/>
    </row>
    <row r="3483" spans="3:4" customFormat="1" x14ac:dyDescent="0.2">
      <c r="C3483" s="5"/>
      <c r="D3483" s="5"/>
    </row>
    <row r="3484" spans="3:4" customFormat="1" x14ac:dyDescent="0.2">
      <c r="C3484" s="5"/>
      <c r="D3484" s="5"/>
    </row>
    <row r="3485" spans="3:4" customFormat="1" x14ac:dyDescent="0.2">
      <c r="C3485" s="5"/>
      <c r="D3485" s="5"/>
    </row>
    <row r="3486" spans="3:4" customFormat="1" x14ac:dyDescent="0.2">
      <c r="C3486" s="5"/>
      <c r="D3486" s="5"/>
    </row>
    <row r="3487" spans="3:4" customFormat="1" x14ac:dyDescent="0.2">
      <c r="C3487" s="5"/>
      <c r="D3487" s="5"/>
    </row>
    <row r="3488" spans="3:4" customFormat="1" x14ac:dyDescent="0.2">
      <c r="C3488" s="5"/>
      <c r="D3488" s="5"/>
    </row>
    <row r="3489" spans="3:4" customFormat="1" x14ac:dyDescent="0.2">
      <c r="C3489" s="5"/>
      <c r="D3489" s="5"/>
    </row>
    <row r="3490" spans="3:4" customFormat="1" x14ac:dyDescent="0.2">
      <c r="C3490" s="5"/>
      <c r="D3490" s="5"/>
    </row>
    <row r="3491" spans="3:4" customFormat="1" x14ac:dyDescent="0.2">
      <c r="C3491" s="5"/>
      <c r="D3491" s="5"/>
    </row>
    <row r="3492" spans="3:4" customFormat="1" x14ac:dyDescent="0.2">
      <c r="C3492" s="5"/>
      <c r="D3492" s="5"/>
    </row>
    <row r="3493" spans="3:4" customFormat="1" x14ac:dyDescent="0.2">
      <c r="C3493" s="5"/>
      <c r="D3493" s="5"/>
    </row>
    <row r="3494" spans="3:4" customFormat="1" x14ac:dyDescent="0.2">
      <c r="C3494" s="5"/>
      <c r="D3494" s="5"/>
    </row>
    <row r="3495" spans="3:4" customFormat="1" x14ac:dyDescent="0.2">
      <c r="C3495" s="5"/>
      <c r="D3495" s="5"/>
    </row>
    <row r="3496" spans="3:4" customFormat="1" x14ac:dyDescent="0.2">
      <c r="C3496" s="5"/>
      <c r="D3496" s="5"/>
    </row>
    <row r="3497" spans="3:4" customFormat="1" x14ac:dyDescent="0.2">
      <c r="C3497" s="5"/>
      <c r="D3497" s="5"/>
    </row>
    <row r="3498" spans="3:4" customFormat="1" x14ac:dyDescent="0.2">
      <c r="C3498" s="5"/>
      <c r="D3498" s="5"/>
    </row>
    <row r="3499" spans="3:4" customFormat="1" x14ac:dyDescent="0.2">
      <c r="C3499" s="5"/>
      <c r="D3499" s="5"/>
    </row>
    <row r="3500" spans="3:4" customFormat="1" x14ac:dyDescent="0.2">
      <c r="C3500" s="5"/>
      <c r="D3500" s="5"/>
    </row>
    <row r="3501" spans="3:4" customFormat="1" x14ac:dyDescent="0.2">
      <c r="C3501" s="5"/>
      <c r="D3501" s="5"/>
    </row>
    <row r="3502" spans="3:4" customFormat="1" x14ac:dyDescent="0.2">
      <c r="C3502" s="5"/>
      <c r="D3502" s="5"/>
    </row>
    <row r="3503" spans="3:4" customFormat="1" x14ac:dyDescent="0.2">
      <c r="C3503" s="5"/>
      <c r="D3503" s="5"/>
    </row>
    <row r="3504" spans="3:4" customFormat="1" x14ac:dyDescent="0.2">
      <c r="C3504" s="5"/>
      <c r="D3504" s="5"/>
    </row>
    <row r="3505" spans="3:4" customFormat="1" x14ac:dyDescent="0.2">
      <c r="C3505" s="5"/>
      <c r="D3505" s="5"/>
    </row>
    <row r="3506" spans="3:4" customFormat="1" x14ac:dyDescent="0.2">
      <c r="C3506" s="5"/>
      <c r="D3506" s="5"/>
    </row>
    <row r="3507" spans="3:4" customFormat="1" x14ac:dyDescent="0.2">
      <c r="C3507" s="5"/>
      <c r="D3507" s="5"/>
    </row>
    <row r="3508" spans="3:4" customFormat="1" x14ac:dyDescent="0.2">
      <c r="C3508" s="5"/>
      <c r="D3508" s="5"/>
    </row>
    <row r="3509" spans="3:4" customFormat="1" x14ac:dyDescent="0.2">
      <c r="C3509" s="5"/>
      <c r="D3509" s="5"/>
    </row>
    <row r="3510" spans="3:4" customFormat="1" x14ac:dyDescent="0.2">
      <c r="C3510" s="5"/>
      <c r="D3510" s="5"/>
    </row>
    <row r="3511" spans="3:4" customFormat="1" x14ac:dyDescent="0.2">
      <c r="C3511" s="5"/>
      <c r="D3511" s="5"/>
    </row>
    <row r="3512" spans="3:4" customFormat="1" x14ac:dyDescent="0.2">
      <c r="C3512" s="5"/>
      <c r="D3512" s="5"/>
    </row>
    <row r="3513" spans="3:4" customFormat="1" x14ac:dyDescent="0.2">
      <c r="C3513" s="5"/>
      <c r="D3513" s="5"/>
    </row>
    <row r="3514" spans="3:4" customFormat="1" x14ac:dyDescent="0.2">
      <c r="C3514" s="5"/>
      <c r="D3514" s="5"/>
    </row>
    <row r="3515" spans="3:4" customFormat="1" x14ac:dyDescent="0.2">
      <c r="C3515" s="5"/>
      <c r="D3515" s="5"/>
    </row>
    <row r="3516" spans="3:4" customFormat="1" x14ac:dyDescent="0.2">
      <c r="C3516" s="5"/>
      <c r="D3516" s="5"/>
    </row>
    <row r="3517" spans="3:4" customFormat="1" x14ac:dyDescent="0.2">
      <c r="C3517" s="5"/>
      <c r="D3517" s="5"/>
    </row>
    <row r="3518" spans="3:4" customFormat="1" x14ac:dyDescent="0.2">
      <c r="C3518" s="5"/>
      <c r="D3518" s="5"/>
    </row>
    <row r="3519" spans="3:4" customFormat="1" x14ac:dyDescent="0.2">
      <c r="C3519" s="5"/>
      <c r="D3519" s="5"/>
    </row>
    <row r="3520" spans="3:4" customFormat="1" x14ac:dyDescent="0.2">
      <c r="C3520" s="5"/>
      <c r="D3520" s="5"/>
    </row>
    <row r="3521" spans="3:4" customFormat="1" x14ac:dyDescent="0.2">
      <c r="C3521" s="5"/>
      <c r="D3521" s="5"/>
    </row>
    <row r="3522" spans="3:4" customFormat="1" x14ac:dyDescent="0.2">
      <c r="C3522" s="5"/>
      <c r="D3522" s="5"/>
    </row>
    <row r="3523" spans="3:4" customFormat="1" x14ac:dyDescent="0.2">
      <c r="C3523" s="5"/>
      <c r="D3523" s="5"/>
    </row>
    <row r="3524" spans="3:4" customFormat="1" x14ac:dyDescent="0.2">
      <c r="C3524" s="5"/>
      <c r="D3524" s="5"/>
    </row>
    <row r="3525" spans="3:4" customFormat="1" x14ac:dyDescent="0.2">
      <c r="C3525" s="5"/>
      <c r="D3525" s="5"/>
    </row>
    <row r="3526" spans="3:4" customFormat="1" x14ac:dyDescent="0.2">
      <c r="C3526" s="5"/>
      <c r="D3526" s="5"/>
    </row>
    <row r="3527" spans="3:4" customFormat="1" x14ac:dyDescent="0.2">
      <c r="C3527" s="5"/>
      <c r="D3527" s="5"/>
    </row>
    <row r="3528" spans="3:4" customFormat="1" x14ac:dyDescent="0.2">
      <c r="C3528" s="5"/>
      <c r="D3528" s="5"/>
    </row>
    <row r="3529" spans="3:4" customFormat="1" x14ac:dyDescent="0.2">
      <c r="C3529" s="5"/>
      <c r="D3529" s="5"/>
    </row>
    <row r="3530" spans="3:4" customFormat="1" x14ac:dyDescent="0.2">
      <c r="C3530" s="5"/>
      <c r="D3530" s="5"/>
    </row>
    <row r="3531" spans="3:4" customFormat="1" x14ac:dyDescent="0.2">
      <c r="C3531" s="5"/>
      <c r="D3531" s="5"/>
    </row>
    <row r="3532" spans="3:4" customFormat="1" x14ac:dyDescent="0.2">
      <c r="C3532" s="5"/>
      <c r="D3532" s="5"/>
    </row>
    <row r="3533" spans="3:4" customFormat="1" x14ac:dyDescent="0.2">
      <c r="C3533" s="5"/>
      <c r="D3533" s="5"/>
    </row>
    <row r="3534" spans="3:4" customFormat="1" x14ac:dyDescent="0.2">
      <c r="C3534" s="5"/>
      <c r="D3534" s="5"/>
    </row>
    <row r="3535" spans="3:4" customFormat="1" x14ac:dyDescent="0.2">
      <c r="C3535" s="5"/>
      <c r="D3535" s="5"/>
    </row>
    <row r="3536" spans="3:4" customFormat="1" x14ac:dyDescent="0.2">
      <c r="C3536" s="5"/>
      <c r="D3536" s="5"/>
    </row>
    <row r="3537" spans="3:4" customFormat="1" x14ac:dyDescent="0.2">
      <c r="C3537" s="5"/>
      <c r="D3537" s="5"/>
    </row>
    <row r="3538" spans="3:4" customFormat="1" x14ac:dyDescent="0.2">
      <c r="C3538" s="5"/>
      <c r="D3538" s="5"/>
    </row>
    <row r="3539" spans="3:4" customFormat="1" x14ac:dyDescent="0.2">
      <c r="C3539" s="5"/>
      <c r="D3539" s="5"/>
    </row>
    <row r="3540" spans="3:4" customFormat="1" x14ac:dyDescent="0.2">
      <c r="C3540" s="5"/>
      <c r="D3540" s="5"/>
    </row>
    <row r="3541" spans="3:4" customFormat="1" x14ac:dyDescent="0.2">
      <c r="C3541" s="5"/>
      <c r="D3541" s="5"/>
    </row>
    <row r="3542" spans="3:4" customFormat="1" x14ac:dyDescent="0.2">
      <c r="C3542" s="5"/>
      <c r="D3542" s="5"/>
    </row>
    <row r="3543" spans="3:4" customFormat="1" x14ac:dyDescent="0.2">
      <c r="C3543" s="5"/>
      <c r="D3543" s="5"/>
    </row>
    <row r="3544" spans="3:4" customFormat="1" x14ac:dyDescent="0.2">
      <c r="C3544" s="5"/>
      <c r="D3544" s="5"/>
    </row>
    <row r="3545" spans="3:4" customFormat="1" x14ac:dyDescent="0.2">
      <c r="C3545" s="5"/>
      <c r="D3545" s="5"/>
    </row>
    <row r="3546" spans="3:4" customFormat="1" x14ac:dyDescent="0.2">
      <c r="C3546" s="5"/>
      <c r="D3546" s="5"/>
    </row>
    <row r="3547" spans="3:4" customFormat="1" x14ac:dyDescent="0.2">
      <c r="C3547" s="5"/>
      <c r="D3547" s="5"/>
    </row>
    <row r="3548" spans="3:4" customFormat="1" x14ac:dyDescent="0.2">
      <c r="C3548" s="5"/>
      <c r="D3548" s="5"/>
    </row>
    <row r="3549" spans="3:4" customFormat="1" x14ac:dyDescent="0.2">
      <c r="C3549" s="5"/>
      <c r="D3549" s="5"/>
    </row>
    <row r="3550" spans="3:4" customFormat="1" x14ac:dyDescent="0.2">
      <c r="C3550" s="5"/>
      <c r="D3550" s="5"/>
    </row>
    <row r="3551" spans="3:4" customFormat="1" x14ac:dyDescent="0.2">
      <c r="C3551" s="5"/>
      <c r="D3551" s="5"/>
    </row>
    <row r="3552" spans="3:4" customFormat="1" x14ac:dyDescent="0.2">
      <c r="C3552" s="5"/>
      <c r="D3552" s="5"/>
    </row>
    <row r="3553" spans="3:4" customFormat="1" x14ac:dyDescent="0.2">
      <c r="C3553" s="5"/>
      <c r="D3553" s="5"/>
    </row>
    <row r="3554" spans="3:4" customFormat="1" x14ac:dyDescent="0.2">
      <c r="C3554" s="5"/>
      <c r="D3554" s="5"/>
    </row>
    <row r="3555" spans="3:4" customFormat="1" x14ac:dyDescent="0.2">
      <c r="C3555" s="5"/>
      <c r="D3555" s="5"/>
    </row>
    <row r="3556" spans="3:4" customFormat="1" x14ac:dyDescent="0.2">
      <c r="C3556" s="5"/>
      <c r="D3556" s="5"/>
    </row>
    <row r="3557" spans="3:4" customFormat="1" x14ac:dyDescent="0.2">
      <c r="C3557" s="5"/>
      <c r="D3557" s="5"/>
    </row>
    <row r="3558" spans="3:4" customFormat="1" x14ac:dyDescent="0.2">
      <c r="C3558" s="5"/>
      <c r="D3558" s="5"/>
    </row>
    <row r="3559" spans="3:4" customFormat="1" x14ac:dyDescent="0.2">
      <c r="C3559" s="5"/>
      <c r="D3559" s="5"/>
    </row>
    <row r="3560" spans="3:4" customFormat="1" x14ac:dyDescent="0.2">
      <c r="C3560" s="5"/>
      <c r="D3560" s="5"/>
    </row>
    <row r="3561" spans="3:4" customFormat="1" x14ac:dyDescent="0.2">
      <c r="C3561" s="5"/>
      <c r="D3561" s="5"/>
    </row>
    <row r="3562" spans="3:4" customFormat="1" x14ac:dyDescent="0.2">
      <c r="C3562" s="5"/>
      <c r="D3562" s="5"/>
    </row>
    <row r="3563" spans="3:4" customFormat="1" x14ac:dyDescent="0.2">
      <c r="C3563" s="5"/>
      <c r="D3563" s="5"/>
    </row>
    <row r="3564" spans="3:4" customFormat="1" x14ac:dyDescent="0.2">
      <c r="C3564" s="5"/>
      <c r="D3564" s="5"/>
    </row>
    <row r="3565" spans="3:4" customFormat="1" x14ac:dyDescent="0.2">
      <c r="C3565" s="5"/>
      <c r="D3565" s="5"/>
    </row>
    <row r="3566" spans="3:4" customFormat="1" x14ac:dyDescent="0.2">
      <c r="C3566" s="5"/>
      <c r="D3566" s="5"/>
    </row>
    <row r="3567" spans="3:4" customFormat="1" x14ac:dyDescent="0.2">
      <c r="C3567" s="5"/>
      <c r="D3567" s="5"/>
    </row>
    <row r="3568" spans="3:4" customFormat="1" x14ac:dyDescent="0.2">
      <c r="C3568" s="5"/>
      <c r="D3568" s="5"/>
    </row>
    <row r="3569" spans="3:4" customFormat="1" x14ac:dyDescent="0.2">
      <c r="C3569" s="5"/>
      <c r="D3569" s="5"/>
    </row>
    <row r="3570" spans="3:4" customFormat="1" x14ac:dyDescent="0.2">
      <c r="C3570" s="5"/>
      <c r="D3570" s="5"/>
    </row>
    <row r="3571" spans="3:4" customFormat="1" x14ac:dyDescent="0.2">
      <c r="C3571" s="5"/>
      <c r="D3571" s="5"/>
    </row>
    <row r="3572" spans="3:4" customFormat="1" x14ac:dyDescent="0.2">
      <c r="C3572" s="5"/>
      <c r="D3572" s="5"/>
    </row>
    <row r="3573" spans="3:4" customFormat="1" x14ac:dyDescent="0.2">
      <c r="C3573" s="5"/>
      <c r="D3573" s="5"/>
    </row>
    <row r="3574" spans="3:4" customFormat="1" x14ac:dyDescent="0.2">
      <c r="C3574" s="5"/>
      <c r="D3574" s="5"/>
    </row>
    <row r="3575" spans="3:4" customFormat="1" x14ac:dyDescent="0.2">
      <c r="C3575" s="5"/>
      <c r="D3575" s="5"/>
    </row>
    <row r="3576" spans="3:4" customFormat="1" x14ac:dyDescent="0.2">
      <c r="C3576" s="5"/>
      <c r="D3576" s="5"/>
    </row>
    <row r="3577" spans="3:4" customFormat="1" x14ac:dyDescent="0.2">
      <c r="C3577" s="5"/>
      <c r="D3577" s="5"/>
    </row>
    <row r="3578" spans="3:4" customFormat="1" x14ac:dyDescent="0.2">
      <c r="C3578" s="5"/>
      <c r="D3578" s="5"/>
    </row>
    <row r="3579" spans="3:4" customFormat="1" x14ac:dyDescent="0.2">
      <c r="C3579" s="5"/>
      <c r="D3579" s="5"/>
    </row>
    <row r="3580" spans="3:4" customFormat="1" x14ac:dyDescent="0.2">
      <c r="C3580" s="5"/>
      <c r="D3580" s="5"/>
    </row>
    <row r="3581" spans="3:4" customFormat="1" x14ac:dyDescent="0.2">
      <c r="C3581" s="5"/>
      <c r="D3581" s="5"/>
    </row>
    <row r="3582" spans="3:4" customFormat="1" x14ac:dyDescent="0.2">
      <c r="C3582" s="5"/>
      <c r="D3582" s="5"/>
    </row>
    <row r="3583" spans="3:4" customFormat="1" x14ac:dyDescent="0.2">
      <c r="C3583" s="5"/>
      <c r="D3583" s="5"/>
    </row>
    <row r="3584" spans="3:4" customFormat="1" x14ac:dyDescent="0.2">
      <c r="C3584" s="5"/>
      <c r="D3584" s="5"/>
    </row>
    <row r="3585" spans="3:4" customFormat="1" x14ac:dyDescent="0.2">
      <c r="C3585" s="5"/>
      <c r="D3585" s="5"/>
    </row>
    <row r="3586" spans="3:4" customFormat="1" x14ac:dyDescent="0.2">
      <c r="C3586" s="5"/>
      <c r="D3586" s="5"/>
    </row>
    <row r="3587" spans="3:4" customFormat="1" x14ac:dyDescent="0.2">
      <c r="C3587" s="5"/>
      <c r="D3587" s="5"/>
    </row>
    <row r="3588" spans="3:4" customFormat="1" x14ac:dyDescent="0.2">
      <c r="C3588" s="5"/>
      <c r="D3588" s="5"/>
    </row>
    <row r="3589" spans="3:4" customFormat="1" x14ac:dyDescent="0.2">
      <c r="C3589" s="5"/>
      <c r="D3589" s="5"/>
    </row>
    <row r="3590" spans="3:4" customFormat="1" x14ac:dyDescent="0.2">
      <c r="C3590" s="5"/>
      <c r="D3590" s="5"/>
    </row>
    <row r="3591" spans="3:4" customFormat="1" x14ac:dyDescent="0.2">
      <c r="C3591" s="5"/>
      <c r="D3591" s="5"/>
    </row>
    <row r="3592" spans="3:4" customFormat="1" x14ac:dyDescent="0.2">
      <c r="C3592" s="5"/>
      <c r="D3592" s="5"/>
    </row>
    <row r="3593" spans="3:4" customFormat="1" x14ac:dyDescent="0.2">
      <c r="C3593" s="5"/>
      <c r="D3593" s="5"/>
    </row>
    <row r="3594" spans="3:4" customFormat="1" x14ac:dyDescent="0.2">
      <c r="C3594" s="5"/>
      <c r="D3594" s="5"/>
    </row>
    <row r="3595" spans="3:4" customFormat="1" x14ac:dyDescent="0.2">
      <c r="C3595" s="5"/>
      <c r="D3595" s="5"/>
    </row>
    <row r="3596" spans="3:4" customFormat="1" x14ac:dyDescent="0.2">
      <c r="C3596" s="5"/>
      <c r="D3596" s="5"/>
    </row>
    <row r="3597" spans="3:4" customFormat="1" x14ac:dyDescent="0.2">
      <c r="C3597" s="5"/>
      <c r="D3597" s="5"/>
    </row>
    <row r="3598" spans="3:4" customFormat="1" x14ac:dyDescent="0.2">
      <c r="C3598" s="5"/>
      <c r="D3598" s="5"/>
    </row>
    <row r="3599" spans="3:4" customFormat="1" x14ac:dyDescent="0.2">
      <c r="C3599" s="5"/>
      <c r="D3599" s="5"/>
    </row>
    <row r="3600" spans="3:4" customFormat="1" x14ac:dyDescent="0.2">
      <c r="C3600" s="5"/>
      <c r="D3600" s="5"/>
    </row>
    <row r="3601" spans="3:4" customFormat="1" x14ac:dyDescent="0.2">
      <c r="C3601" s="5"/>
      <c r="D3601" s="5"/>
    </row>
    <row r="3602" spans="3:4" customFormat="1" x14ac:dyDescent="0.2">
      <c r="C3602" s="5"/>
      <c r="D3602" s="5"/>
    </row>
    <row r="3603" spans="3:4" customFormat="1" x14ac:dyDescent="0.2">
      <c r="C3603" s="5"/>
      <c r="D3603" s="5"/>
    </row>
    <row r="3604" spans="3:4" customFormat="1" x14ac:dyDescent="0.2">
      <c r="C3604" s="5"/>
      <c r="D3604" s="5"/>
    </row>
    <row r="3605" spans="3:4" customFormat="1" x14ac:dyDescent="0.2">
      <c r="C3605" s="5"/>
      <c r="D3605" s="5"/>
    </row>
    <row r="3606" spans="3:4" customFormat="1" x14ac:dyDescent="0.2">
      <c r="C3606" s="5"/>
      <c r="D3606" s="5"/>
    </row>
    <row r="3607" spans="3:4" customFormat="1" x14ac:dyDescent="0.2">
      <c r="C3607" s="5"/>
      <c r="D3607" s="5"/>
    </row>
    <row r="3608" spans="3:4" customFormat="1" x14ac:dyDescent="0.2">
      <c r="C3608" s="5"/>
      <c r="D3608" s="5"/>
    </row>
    <row r="3609" spans="3:4" customFormat="1" x14ac:dyDescent="0.2">
      <c r="C3609" s="5"/>
      <c r="D3609" s="5"/>
    </row>
    <row r="3610" spans="3:4" customFormat="1" x14ac:dyDescent="0.2">
      <c r="C3610" s="5"/>
      <c r="D3610" s="5"/>
    </row>
    <row r="3611" spans="3:4" customFormat="1" x14ac:dyDescent="0.2">
      <c r="C3611" s="5"/>
      <c r="D3611" s="5"/>
    </row>
    <row r="3612" spans="3:4" customFormat="1" x14ac:dyDescent="0.2">
      <c r="C3612" s="5"/>
      <c r="D3612" s="5"/>
    </row>
    <row r="3613" spans="3:4" customFormat="1" x14ac:dyDescent="0.2">
      <c r="C3613" s="5"/>
      <c r="D3613" s="5"/>
    </row>
    <row r="3614" spans="3:4" customFormat="1" x14ac:dyDescent="0.2">
      <c r="C3614" s="5"/>
      <c r="D3614" s="5"/>
    </row>
    <row r="3615" spans="3:4" customFormat="1" x14ac:dyDescent="0.2">
      <c r="C3615" s="5"/>
      <c r="D3615" s="5"/>
    </row>
    <row r="3616" spans="3:4" customFormat="1" x14ac:dyDescent="0.2">
      <c r="C3616" s="5"/>
      <c r="D3616" s="5"/>
    </row>
    <row r="3617" spans="3:4" customFormat="1" x14ac:dyDescent="0.2">
      <c r="C3617" s="5"/>
      <c r="D3617" s="5"/>
    </row>
    <row r="3618" spans="3:4" customFormat="1" x14ac:dyDescent="0.2">
      <c r="C3618" s="5"/>
      <c r="D3618" s="5"/>
    </row>
    <row r="3619" spans="3:4" customFormat="1" x14ac:dyDescent="0.2">
      <c r="C3619" s="5"/>
      <c r="D3619" s="5"/>
    </row>
    <row r="3620" spans="3:4" customFormat="1" x14ac:dyDescent="0.2">
      <c r="C3620" s="5"/>
      <c r="D3620" s="5"/>
    </row>
    <row r="3621" spans="3:4" customFormat="1" x14ac:dyDescent="0.2">
      <c r="C3621" s="5"/>
      <c r="D3621" s="5"/>
    </row>
    <row r="3622" spans="3:4" customFormat="1" x14ac:dyDescent="0.2">
      <c r="C3622" s="5"/>
      <c r="D3622" s="5"/>
    </row>
    <row r="3623" spans="3:4" customFormat="1" x14ac:dyDescent="0.2">
      <c r="C3623" s="5"/>
      <c r="D3623" s="5"/>
    </row>
    <row r="3624" spans="3:4" customFormat="1" x14ac:dyDescent="0.2">
      <c r="C3624" s="5"/>
      <c r="D3624" s="5"/>
    </row>
    <row r="3625" spans="3:4" customFormat="1" x14ac:dyDescent="0.2">
      <c r="C3625" s="5"/>
      <c r="D3625" s="5"/>
    </row>
    <row r="3626" spans="3:4" customFormat="1" x14ac:dyDescent="0.2">
      <c r="C3626" s="5"/>
      <c r="D3626" s="5"/>
    </row>
    <row r="3627" spans="3:4" customFormat="1" x14ac:dyDescent="0.2">
      <c r="C3627" s="5"/>
      <c r="D3627" s="5"/>
    </row>
    <row r="3628" spans="3:4" customFormat="1" x14ac:dyDescent="0.2">
      <c r="C3628" s="5"/>
      <c r="D3628" s="5"/>
    </row>
    <row r="3629" spans="3:4" customFormat="1" x14ac:dyDescent="0.2">
      <c r="C3629" s="5"/>
      <c r="D3629" s="5"/>
    </row>
    <row r="3630" spans="3:4" customFormat="1" x14ac:dyDescent="0.2">
      <c r="C3630" s="5"/>
      <c r="D3630" s="5"/>
    </row>
    <row r="3631" spans="3:4" customFormat="1" x14ac:dyDescent="0.2">
      <c r="C3631" s="5"/>
      <c r="D3631" s="5"/>
    </row>
    <row r="3632" spans="3:4" customFormat="1" x14ac:dyDescent="0.2">
      <c r="C3632" s="5"/>
      <c r="D3632" s="5"/>
    </row>
    <row r="3633" spans="3:4" customFormat="1" x14ac:dyDescent="0.2">
      <c r="C3633" s="5"/>
      <c r="D3633" s="5"/>
    </row>
    <row r="3634" spans="3:4" customFormat="1" x14ac:dyDescent="0.2">
      <c r="C3634" s="5"/>
      <c r="D3634" s="5"/>
    </row>
    <row r="3635" spans="3:4" customFormat="1" x14ac:dyDescent="0.2">
      <c r="C3635" s="5"/>
      <c r="D3635" s="5"/>
    </row>
    <row r="3636" spans="3:4" customFormat="1" x14ac:dyDescent="0.2">
      <c r="C3636" s="5"/>
      <c r="D3636" s="5"/>
    </row>
    <row r="3637" spans="3:4" customFormat="1" x14ac:dyDescent="0.2">
      <c r="C3637" s="5"/>
      <c r="D3637" s="5"/>
    </row>
    <row r="3638" spans="3:4" customFormat="1" x14ac:dyDescent="0.2">
      <c r="C3638" s="5"/>
      <c r="D3638" s="5"/>
    </row>
    <row r="3639" spans="3:4" customFormat="1" x14ac:dyDescent="0.2">
      <c r="C3639" s="5"/>
      <c r="D3639" s="5"/>
    </row>
    <row r="3640" spans="3:4" customFormat="1" x14ac:dyDescent="0.2">
      <c r="C3640" s="5"/>
      <c r="D3640" s="5"/>
    </row>
    <row r="3641" spans="3:4" customFormat="1" x14ac:dyDescent="0.2">
      <c r="C3641" s="5"/>
      <c r="D3641" s="5"/>
    </row>
    <row r="3642" spans="3:4" customFormat="1" x14ac:dyDescent="0.2">
      <c r="C3642" s="5"/>
      <c r="D3642" s="5"/>
    </row>
    <row r="3643" spans="3:4" customFormat="1" x14ac:dyDescent="0.2">
      <c r="C3643" s="5"/>
      <c r="D3643" s="5"/>
    </row>
    <row r="3644" spans="3:4" customFormat="1" x14ac:dyDescent="0.2">
      <c r="C3644" s="5"/>
      <c r="D3644" s="5"/>
    </row>
    <row r="3645" spans="3:4" customFormat="1" x14ac:dyDescent="0.2">
      <c r="C3645" s="5"/>
      <c r="D3645" s="5"/>
    </row>
    <row r="3646" spans="3:4" customFormat="1" x14ac:dyDescent="0.2">
      <c r="C3646" s="5"/>
      <c r="D3646" s="5"/>
    </row>
    <row r="3647" spans="3:4" customFormat="1" x14ac:dyDescent="0.2">
      <c r="C3647" s="5"/>
      <c r="D3647" s="5"/>
    </row>
    <row r="3648" spans="3:4" customFormat="1" x14ac:dyDescent="0.2">
      <c r="C3648" s="5"/>
      <c r="D3648" s="5"/>
    </row>
    <row r="3649" spans="3:4" customFormat="1" x14ac:dyDescent="0.2">
      <c r="C3649" s="5"/>
      <c r="D3649" s="5"/>
    </row>
    <row r="3650" spans="3:4" customFormat="1" x14ac:dyDescent="0.2">
      <c r="C3650" s="5"/>
      <c r="D3650" s="5"/>
    </row>
    <row r="3651" spans="3:4" customFormat="1" x14ac:dyDescent="0.2">
      <c r="C3651" s="5"/>
      <c r="D3651" s="5"/>
    </row>
    <row r="3652" spans="3:4" customFormat="1" x14ac:dyDescent="0.2">
      <c r="C3652" s="5"/>
      <c r="D3652" s="5"/>
    </row>
    <row r="3653" spans="3:4" customFormat="1" x14ac:dyDescent="0.2">
      <c r="C3653" s="5"/>
      <c r="D3653" s="5"/>
    </row>
    <row r="3654" spans="3:4" customFormat="1" x14ac:dyDescent="0.2">
      <c r="C3654" s="5"/>
      <c r="D3654" s="5"/>
    </row>
    <row r="3655" spans="3:4" customFormat="1" x14ac:dyDescent="0.2">
      <c r="C3655" s="5"/>
      <c r="D3655" s="5"/>
    </row>
    <row r="3656" spans="3:4" customFormat="1" x14ac:dyDescent="0.2">
      <c r="C3656" s="5"/>
      <c r="D3656" s="5"/>
    </row>
    <row r="3657" spans="3:4" customFormat="1" x14ac:dyDescent="0.2">
      <c r="C3657" s="5"/>
      <c r="D3657" s="5"/>
    </row>
    <row r="3658" spans="3:4" customFormat="1" x14ac:dyDescent="0.2">
      <c r="C3658" s="5"/>
      <c r="D3658" s="5"/>
    </row>
    <row r="3659" spans="3:4" customFormat="1" x14ac:dyDescent="0.2">
      <c r="C3659" s="5"/>
      <c r="D3659" s="5"/>
    </row>
    <row r="3660" spans="3:4" customFormat="1" x14ac:dyDescent="0.2">
      <c r="C3660" s="5"/>
      <c r="D3660" s="5"/>
    </row>
    <row r="3661" spans="3:4" customFormat="1" x14ac:dyDescent="0.2">
      <c r="C3661" s="5"/>
      <c r="D3661" s="5"/>
    </row>
    <row r="3662" spans="3:4" customFormat="1" x14ac:dyDescent="0.2">
      <c r="C3662" s="5"/>
      <c r="D3662" s="5"/>
    </row>
    <row r="3663" spans="3:4" customFormat="1" x14ac:dyDescent="0.2">
      <c r="C3663" s="5"/>
      <c r="D3663" s="5"/>
    </row>
    <row r="3664" spans="3:4" customFormat="1" x14ac:dyDescent="0.2">
      <c r="C3664" s="5"/>
      <c r="D3664" s="5"/>
    </row>
    <row r="3665" spans="3:4" customFormat="1" x14ac:dyDescent="0.2">
      <c r="C3665" s="5"/>
      <c r="D3665" s="5"/>
    </row>
    <row r="3666" spans="3:4" customFormat="1" x14ac:dyDescent="0.2">
      <c r="C3666" s="5"/>
      <c r="D3666" s="5"/>
    </row>
    <row r="3667" spans="3:4" customFormat="1" x14ac:dyDescent="0.2">
      <c r="C3667" s="5"/>
      <c r="D3667" s="5"/>
    </row>
    <row r="3668" spans="3:4" customFormat="1" x14ac:dyDescent="0.2">
      <c r="C3668" s="5"/>
      <c r="D3668" s="5"/>
    </row>
    <row r="3669" spans="3:4" customFormat="1" x14ac:dyDescent="0.2">
      <c r="C3669" s="5"/>
      <c r="D3669" s="5"/>
    </row>
    <row r="3670" spans="3:4" customFormat="1" x14ac:dyDescent="0.2">
      <c r="C3670" s="5"/>
      <c r="D3670" s="5"/>
    </row>
    <row r="3671" spans="3:4" customFormat="1" x14ac:dyDescent="0.2">
      <c r="C3671" s="5"/>
      <c r="D3671" s="5"/>
    </row>
    <row r="3672" spans="3:4" customFormat="1" x14ac:dyDescent="0.2">
      <c r="C3672" s="5"/>
      <c r="D3672" s="5"/>
    </row>
    <row r="3673" spans="3:4" customFormat="1" x14ac:dyDescent="0.2">
      <c r="C3673" s="5"/>
      <c r="D3673" s="5"/>
    </row>
    <row r="3674" spans="3:4" customFormat="1" x14ac:dyDescent="0.2">
      <c r="C3674" s="5"/>
      <c r="D3674" s="5"/>
    </row>
    <row r="3675" spans="3:4" customFormat="1" x14ac:dyDescent="0.2">
      <c r="C3675" s="5"/>
      <c r="D3675" s="5"/>
    </row>
    <row r="3676" spans="3:4" customFormat="1" x14ac:dyDescent="0.2">
      <c r="C3676" s="5"/>
      <c r="D3676" s="5"/>
    </row>
    <row r="3677" spans="3:4" customFormat="1" x14ac:dyDescent="0.2">
      <c r="C3677" s="5"/>
      <c r="D3677" s="5"/>
    </row>
    <row r="3678" spans="3:4" customFormat="1" x14ac:dyDescent="0.2">
      <c r="C3678" s="5"/>
      <c r="D3678" s="5"/>
    </row>
    <row r="3679" spans="3:4" customFormat="1" x14ac:dyDescent="0.2">
      <c r="C3679" s="5"/>
      <c r="D3679" s="5"/>
    </row>
    <row r="3680" spans="3:4" customFormat="1" x14ac:dyDescent="0.2">
      <c r="C3680" s="5"/>
      <c r="D3680" s="5"/>
    </row>
    <row r="3681" spans="3:4" customFormat="1" x14ac:dyDescent="0.2">
      <c r="C3681" s="5"/>
      <c r="D3681" s="5"/>
    </row>
    <row r="3682" spans="3:4" customFormat="1" x14ac:dyDescent="0.2">
      <c r="C3682" s="5"/>
      <c r="D3682" s="5"/>
    </row>
    <row r="3683" spans="3:4" customFormat="1" x14ac:dyDescent="0.2">
      <c r="C3683" s="5"/>
      <c r="D3683" s="5"/>
    </row>
    <row r="3684" spans="3:4" customFormat="1" x14ac:dyDescent="0.2">
      <c r="C3684" s="5"/>
      <c r="D3684" s="5"/>
    </row>
    <row r="3685" spans="3:4" customFormat="1" x14ac:dyDescent="0.2">
      <c r="C3685" s="5"/>
      <c r="D3685" s="5"/>
    </row>
    <row r="3686" spans="3:4" customFormat="1" x14ac:dyDescent="0.2">
      <c r="C3686" s="5"/>
      <c r="D3686" s="5"/>
    </row>
    <row r="3687" spans="3:4" customFormat="1" x14ac:dyDescent="0.2">
      <c r="C3687" s="5"/>
      <c r="D3687" s="5"/>
    </row>
    <row r="3688" spans="3:4" customFormat="1" x14ac:dyDescent="0.2">
      <c r="C3688" s="5"/>
      <c r="D3688" s="5"/>
    </row>
    <row r="3689" spans="3:4" customFormat="1" x14ac:dyDescent="0.2">
      <c r="C3689" s="5"/>
      <c r="D3689" s="5"/>
    </row>
    <row r="3690" spans="3:4" customFormat="1" x14ac:dyDescent="0.2">
      <c r="C3690" s="5"/>
      <c r="D3690" s="5"/>
    </row>
    <row r="3691" spans="3:4" customFormat="1" x14ac:dyDescent="0.2">
      <c r="C3691" s="5"/>
      <c r="D3691" s="5"/>
    </row>
    <row r="3692" spans="3:4" customFormat="1" x14ac:dyDescent="0.2">
      <c r="C3692" s="5"/>
      <c r="D3692" s="5"/>
    </row>
    <row r="3693" spans="3:4" customFormat="1" x14ac:dyDescent="0.2">
      <c r="C3693" s="5"/>
      <c r="D3693" s="5"/>
    </row>
    <row r="3694" spans="3:4" customFormat="1" x14ac:dyDescent="0.2">
      <c r="C3694" s="5"/>
      <c r="D3694" s="5"/>
    </row>
    <row r="3695" spans="3:4" customFormat="1" x14ac:dyDescent="0.2">
      <c r="C3695" s="5"/>
      <c r="D3695" s="5"/>
    </row>
    <row r="3696" spans="3:4" customFormat="1" x14ac:dyDescent="0.2">
      <c r="C3696" s="5"/>
      <c r="D3696" s="5"/>
    </row>
    <row r="3697" spans="3:4" customFormat="1" x14ac:dyDescent="0.2">
      <c r="C3697" s="5"/>
      <c r="D3697" s="5"/>
    </row>
    <row r="3698" spans="3:4" customFormat="1" x14ac:dyDescent="0.2">
      <c r="C3698" s="5"/>
      <c r="D3698" s="5"/>
    </row>
    <row r="3699" spans="3:4" customFormat="1" x14ac:dyDescent="0.2">
      <c r="C3699" s="5"/>
      <c r="D3699" s="5"/>
    </row>
    <row r="3700" spans="3:4" customFormat="1" x14ac:dyDescent="0.2">
      <c r="C3700" s="5"/>
      <c r="D3700" s="5"/>
    </row>
    <row r="3701" spans="3:4" customFormat="1" x14ac:dyDescent="0.2">
      <c r="C3701" s="5"/>
      <c r="D3701" s="5"/>
    </row>
    <row r="3702" spans="3:4" customFormat="1" x14ac:dyDescent="0.2">
      <c r="C3702" s="5"/>
      <c r="D3702" s="5"/>
    </row>
    <row r="3703" spans="3:4" customFormat="1" x14ac:dyDescent="0.2">
      <c r="C3703" s="5"/>
      <c r="D3703" s="5"/>
    </row>
    <row r="3704" spans="3:4" customFormat="1" x14ac:dyDescent="0.2">
      <c r="C3704" s="5"/>
      <c r="D3704" s="5"/>
    </row>
    <row r="3705" spans="3:4" customFormat="1" x14ac:dyDescent="0.2">
      <c r="C3705" s="5"/>
      <c r="D3705" s="5"/>
    </row>
    <row r="3706" spans="3:4" customFormat="1" x14ac:dyDescent="0.2">
      <c r="C3706" s="5"/>
      <c r="D3706" s="5"/>
    </row>
    <row r="3707" spans="3:4" customFormat="1" x14ac:dyDescent="0.2">
      <c r="C3707" s="5"/>
      <c r="D3707" s="5"/>
    </row>
    <row r="3708" spans="3:4" customFormat="1" x14ac:dyDescent="0.2">
      <c r="C3708" s="5"/>
      <c r="D3708" s="5"/>
    </row>
    <row r="3709" spans="3:4" customFormat="1" x14ac:dyDescent="0.2">
      <c r="C3709" s="5"/>
      <c r="D3709" s="5"/>
    </row>
    <row r="3710" spans="3:4" customFormat="1" x14ac:dyDescent="0.2">
      <c r="C3710" s="5"/>
      <c r="D3710" s="5"/>
    </row>
    <row r="3711" spans="3:4" customFormat="1" x14ac:dyDescent="0.2">
      <c r="C3711" s="5"/>
      <c r="D3711" s="5"/>
    </row>
    <row r="3712" spans="3:4" customFormat="1" x14ac:dyDescent="0.2">
      <c r="C3712" s="5"/>
      <c r="D3712" s="5"/>
    </row>
    <row r="3713" spans="3:4" customFormat="1" x14ac:dyDescent="0.2">
      <c r="C3713" s="5"/>
      <c r="D3713" s="5"/>
    </row>
    <row r="3714" spans="3:4" customFormat="1" x14ac:dyDescent="0.2">
      <c r="C3714" s="5"/>
      <c r="D3714" s="5"/>
    </row>
    <row r="3715" spans="3:4" customFormat="1" x14ac:dyDescent="0.2">
      <c r="C3715" s="5"/>
      <c r="D3715" s="5"/>
    </row>
    <row r="3716" spans="3:4" customFormat="1" x14ac:dyDescent="0.2">
      <c r="C3716" s="5"/>
      <c r="D3716" s="5"/>
    </row>
    <row r="3717" spans="3:4" customFormat="1" x14ac:dyDescent="0.2">
      <c r="C3717" s="5"/>
      <c r="D3717" s="5"/>
    </row>
    <row r="3718" spans="3:4" customFormat="1" x14ac:dyDescent="0.2">
      <c r="C3718" s="5"/>
      <c r="D3718" s="5"/>
    </row>
    <row r="3719" spans="3:4" customFormat="1" x14ac:dyDescent="0.2">
      <c r="C3719" s="5"/>
      <c r="D3719" s="5"/>
    </row>
    <row r="3720" spans="3:4" customFormat="1" x14ac:dyDescent="0.2">
      <c r="C3720" s="5"/>
      <c r="D3720" s="5"/>
    </row>
    <row r="3721" spans="3:4" customFormat="1" x14ac:dyDescent="0.2">
      <c r="C3721" s="5"/>
      <c r="D3721" s="5"/>
    </row>
    <row r="3722" spans="3:4" customFormat="1" x14ac:dyDescent="0.2">
      <c r="C3722" s="5"/>
      <c r="D3722" s="5"/>
    </row>
    <row r="3723" spans="3:4" customFormat="1" x14ac:dyDescent="0.2">
      <c r="C3723" s="5"/>
      <c r="D3723" s="5"/>
    </row>
    <row r="3724" spans="3:4" customFormat="1" x14ac:dyDescent="0.2">
      <c r="C3724" s="5"/>
      <c r="D3724" s="5"/>
    </row>
    <row r="3725" spans="3:4" customFormat="1" x14ac:dyDescent="0.2">
      <c r="C3725" s="5"/>
      <c r="D3725" s="5"/>
    </row>
    <row r="3726" spans="3:4" customFormat="1" x14ac:dyDescent="0.2">
      <c r="C3726" s="5"/>
      <c r="D3726" s="5"/>
    </row>
    <row r="3727" spans="3:4" customFormat="1" x14ac:dyDescent="0.2">
      <c r="C3727" s="5"/>
      <c r="D3727" s="5"/>
    </row>
    <row r="3728" spans="3:4" customFormat="1" x14ac:dyDescent="0.2">
      <c r="C3728" s="5"/>
      <c r="D3728" s="5"/>
    </row>
    <row r="3729" spans="3:4" customFormat="1" x14ac:dyDescent="0.2">
      <c r="C3729" s="5"/>
      <c r="D3729" s="5"/>
    </row>
    <row r="3730" spans="3:4" customFormat="1" x14ac:dyDescent="0.2">
      <c r="C3730" s="5"/>
      <c r="D3730" s="5"/>
    </row>
    <row r="3731" spans="3:4" customFormat="1" x14ac:dyDescent="0.2">
      <c r="C3731" s="5"/>
      <c r="D3731" s="5"/>
    </row>
    <row r="3732" spans="3:4" customFormat="1" x14ac:dyDescent="0.2">
      <c r="C3732" s="5"/>
      <c r="D3732" s="5"/>
    </row>
    <row r="3733" spans="3:4" customFormat="1" x14ac:dyDescent="0.2">
      <c r="C3733" s="5"/>
      <c r="D3733" s="5"/>
    </row>
    <row r="3734" spans="3:4" customFormat="1" x14ac:dyDescent="0.2">
      <c r="C3734" s="5"/>
      <c r="D3734" s="5"/>
    </row>
    <row r="3735" spans="3:4" customFormat="1" x14ac:dyDescent="0.2">
      <c r="C3735" s="5"/>
      <c r="D3735" s="5"/>
    </row>
    <row r="3736" spans="3:4" customFormat="1" x14ac:dyDescent="0.2">
      <c r="C3736" s="5"/>
      <c r="D3736" s="5"/>
    </row>
    <row r="3737" spans="3:4" customFormat="1" x14ac:dyDescent="0.2">
      <c r="C3737" s="5"/>
      <c r="D3737" s="5"/>
    </row>
    <row r="3738" spans="3:4" customFormat="1" x14ac:dyDescent="0.2">
      <c r="C3738" s="5"/>
      <c r="D3738" s="5"/>
    </row>
    <row r="3739" spans="3:4" customFormat="1" x14ac:dyDescent="0.2">
      <c r="C3739" s="5"/>
      <c r="D3739" s="5"/>
    </row>
    <row r="3740" spans="3:4" customFormat="1" x14ac:dyDescent="0.2">
      <c r="C3740" s="5"/>
      <c r="D3740" s="5"/>
    </row>
    <row r="3741" spans="3:4" customFormat="1" x14ac:dyDescent="0.2">
      <c r="C3741" s="5"/>
      <c r="D3741" s="5"/>
    </row>
    <row r="3742" spans="3:4" customFormat="1" x14ac:dyDescent="0.2">
      <c r="C3742" s="5"/>
      <c r="D3742" s="5"/>
    </row>
    <row r="3743" spans="3:4" customFormat="1" x14ac:dyDescent="0.2">
      <c r="C3743" s="5"/>
      <c r="D3743" s="5"/>
    </row>
    <row r="3744" spans="3:4" customFormat="1" x14ac:dyDescent="0.2">
      <c r="C3744" s="5"/>
      <c r="D3744" s="5"/>
    </row>
    <row r="3745" spans="3:4" customFormat="1" x14ac:dyDescent="0.2">
      <c r="C3745" s="5"/>
      <c r="D3745" s="5"/>
    </row>
    <row r="3746" spans="3:4" customFormat="1" x14ac:dyDescent="0.2">
      <c r="C3746" s="5"/>
      <c r="D3746" s="5"/>
    </row>
    <row r="3747" spans="3:4" customFormat="1" x14ac:dyDescent="0.2">
      <c r="C3747" s="5"/>
      <c r="D3747" s="5"/>
    </row>
    <row r="3748" spans="3:4" customFormat="1" x14ac:dyDescent="0.2">
      <c r="C3748" s="5"/>
      <c r="D3748" s="5"/>
    </row>
    <row r="3749" spans="3:4" customFormat="1" x14ac:dyDescent="0.2">
      <c r="C3749" s="5"/>
      <c r="D3749" s="5"/>
    </row>
    <row r="3750" spans="3:4" customFormat="1" x14ac:dyDescent="0.2">
      <c r="C3750" s="5"/>
      <c r="D3750" s="5"/>
    </row>
    <row r="3751" spans="3:4" customFormat="1" x14ac:dyDescent="0.2">
      <c r="C3751" s="5"/>
      <c r="D3751" s="5"/>
    </row>
    <row r="3752" spans="3:4" customFormat="1" x14ac:dyDescent="0.2">
      <c r="C3752" s="5"/>
      <c r="D3752" s="5"/>
    </row>
    <row r="3753" spans="3:4" customFormat="1" x14ac:dyDescent="0.2">
      <c r="C3753" s="5"/>
      <c r="D3753" s="5"/>
    </row>
    <row r="3754" spans="3:4" customFormat="1" x14ac:dyDescent="0.2">
      <c r="C3754" s="5"/>
      <c r="D3754" s="5"/>
    </row>
    <row r="3755" spans="3:4" customFormat="1" x14ac:dyDescent="0.2">
      <c r="C3755" s="5"/>
      <c r="D3755" s="5"/>
    </row>
    <row r="3756" spans="3:4" customFormat="1" x14ac:dyDescent="0.2">
      <c r="C3756" s="5"/>
      <c r="D3756" s="5"/>
    </row>
    <row r="3757" spans="3:4" customFormat="1" x14ac:dyDescent="0.2">
      <c r="C3757" s="5"/>
      <c r="D3757" s="5"/>
    </row>
    <row r="3758" spans="3:4" customFormat="1" x14ac:dyDescent="0.2">
      <c r="C3758" s="5"/>
      <c r="D3758" s="5"/>
    </row>
    <row r="3759" spans="3:4" customFormat="1" x14ac:dyDescent="0.2">
      <c r="C3759" s="5"/>
      <c r="D3759" s="5"/>
    </row>
    <row r="3760" spans="3:4" customFormat="1" x14ac:dyDescent="0.2">
      <c r="C3760" s="5"/>
      <c r="D3760" s="5"/>
    </row>
    <row r="3761" spans="3:4" customFormat="1" x14ac:dyDescent="0.2">
      <c r="C3761" s="5"/>
      <c r="D3761" s="5"/>
    </row>
    <row r="3762" spans="3:4" customFormat="1" x14ac:dyDescent="0.2">
      <c r="C3762" s="5"/>
      <c r="D3762" s="5"/>
    </row>
    <row r="3763" spans="3:4" customFormat="1" x14ac:dyDescent="0.2">
      <c r="C3763" s="5"/>
      <c r="D3763" s="5"/>
    </row>
    <row r="3764" spans="3:4" customFormat="1" x14ac:dyDescent="0.2">
      <c r="C3764" s="5"/>
      <c r="D3764" s="5"/>
    </row>
    <row r="3765" spans="3:4" customFormat="1" x14ac:dyDescent="0.2">
      <c r="C3765" s="5"/>
      <c r="D3765" s="5"/>
    </row>
    <row r="3766" spans="3:4" customFormat="1" x14ac:dyDescent="0.2">
      <c r="C3766" s="5"/>
      <c r="D3766" s="5"/>
    </row>
    <row r="3767" spans="3:4" customFormat="1" x14ac:dyDescent="0.2">
      <c r="C3767" s="5"/>
      <c r="D3767" s="5"/>
    </row>
    <row r="3768" spans="3:4" customFormat="1" x14ac:dyDescent="0.2">
      <c r="C3768" s="5"/>
      <c r="D3768" s="5"/>
    </row>
    <row r="3769" spans="3:4" customFormat="1" x14ac:dyDescent="0.2">
      <c r="C3769" s="5"/>
      <c r="D3769" s="5"/>
    </row>
    <row r="3770" spans="3:4" customFormat="1" x14ac:dyDescent="0.2">
      <c r="C3770" s="5"/>
      <c r="D3770" s="5"/>
    </row>
    <row r="3771" spans="3:4" customFormat="1" x14ac:dyDescent="0.2">
      <c r="C3771" s="5"/>
      <c r="D3771" s="5"/>
    </row>
    <row r="3772" spans="3:4" customFormat="1" x14ac:dyDescent="0.2">
      <c r="C3772" s="5"/>
      <c r="D3772" s="5"/>
    </row>
    <row r="3773" spans="3:4" customFormat="1" x14ac:dyDescent="0.2">
      <c r="C3773" s="5"/>
      <c r="D3773" s="5"/>
    </row>
    <row r="3774" spans="3:4" customFormat="1" x14ac:dyDescent="0.2">
      <c r="C3774" s="5"/>
      <c r="D3774" s="5"/>
    </row>
    <row r="3775" spans="3:4" customFormat="1" x14ac:dyDescent="0.2">
      <c r="C3775" s="5"/>
      <c r="D3775" s="5"/>
    </row>
    <row r="3776" spans="3:4" customFormat="1" x14ac:dyDescent="0.2">
      <c r="C3776" s="5"/>
      <c r="D3776" s="5"/>
    </row>
    <row r="3777" spans="3:4" customFormat="1" x14ac:dyDescent="0.2">
      <c r="C3777" s="5"/>
      <c r="D3777" s="5"/>
    </row>
    <row r="3778" spans="3:4" customFormat="1" x14ac:dyDescent="0.2">
      <c r="C3778" s="5"/>
      <c r="D3778" s="5"/>
    </row>
    <row r="3779" spans="3:4" customFormat="1" x14ac:dyDescent="0.2">
      <c r="C3779" s="5"/>
      <c r="D3779" s="5"/>
    </row>
    <row r="3780" spans="3:4" customFormat="1" x14ac:dyDescent="0.2">
      <c r="C3780" s="5"/>
      <c r="D3780" s="5"/>
    </row>
    <row r="3781" spans="3:4" customFormat="1" x14ac:dyDescent="0.2">
      <c r="C3781" s="5"/>
      <c r="D3781" s="5"/>
    </row>
    <row r="3782" spans="3:4" customFormat="1" x14ac:dyDescent="0.2">
      <c r="C3782" s="5"/>
      <c r="D3782" s="5"/>
    </row>
    <row r="3783" spans="3:4" customFormat="1" x14ac:dyDescent="0.2">
      <c r="C3783" s="5"/>
      <c r="D3783" s="5"/>
    </row>
    <row r="3784" spans="3:4" customFormat="1" x14ac:dyDescent="0.2">
      <c r="C3784" s="5"/>
      <c r="D3784" s="5"/>
    </row>
    <row r="3785" spans="3:4" customFormat="1" x14ac:dyDescent="0.2">
      <c r="C3785" s="5"/>
      <c r="D3785" s="5"/>
    </row>
    <row r="3786" spans="3:4" customFormat="1" x14ac:dyDescent="0.2">
      <c r="C3786" s="5"/>
      <c r="D3786" s="5"/>
    </row>
    <row r="3787" spans="3:4" customFormat="1" x14ac:dyDescent="0.2">
      <c r="C3787" s="5"/>
      <c r="D3787" s="5"/>
    </row>
    <row r="3788" spans="3:4" customFormat="1" x14ac:dyDescent="0.2">
      <c r="C3788" s="5"/>
      <c r="D3788" s="5"/>
    </row>
    <row r="3789" spans="3:4" customFormat="1" x14ac:dyDescent="0.2">
      <c r="C3789" s="5"/>
      <c r="D3789" s="5"/>
    </row>
    <row r="3790" spans="3:4" customFormat="1" x14ac:dyDescent="0.2">
      <c r="C3790" s="5"/>
      <c r="D3790" s="5"/>
    </row>
    <row r="3791" spans="3:4" customFormat="1" x14ac:dyDescent="0.2">
      <c r="C3791" s="5"/>
      <c r="D3791" s="5"/>
    </row>
    <row r="3792" spans="3:4" customFormat="1" x14ac:dyDescent="0.2">
      <c r="C3792" s="5"/>
      <c r="D3792" s="5"/>
    </row>
    <row r="3793" spans="3:4" customFormat="1" x14ac:dyDescent="0.2">
      <c r="C3793" s="5"/>
      <c r="D3793" s="5"/>
    </row>
    <row r="3794" spans="3:4" customFormat="1" x14ac:dyDescent="0.2">
      <c r="C3794" s="5"/>
      <c r="D3794" s="5"/>
    </row>
    <row r="3795" spans="3:4" customFormat="1" x14ac:dyDescent="0.2">
      <c r="C3795" s="5"/>
      <c r="D3795" s="5"/>
    </row>
    <row r="3796" spans="3:4" customFormat="1" x14ac:dyDescent="0.2">
      <c r="C3796" s="5"/>
      <c r="D3796" s="5"/>
    </row>
    <row r="3797" spans="3:4" customFormat="1" x14ac:dyDescent="0.2">
      <c r="C3797" s="5"/>
      <c r="D3797" s="5"/>
    </row>
    <row r="3798" spans="3:4" customFormat="1" x14ac:dyDescent="0.2">
      <c r="C3798" s="5"/>
      <c r="D3798" s="5"/>
    </row>
    <row r="3799" spans="3:4" customFormat="1" x14ac:dyDescent="0.2">
      <c r="C3799" s="5"/>
      <c r="D3799" s="5"/>
    </row>
    <row r="3800" spans="3:4" customFormat="1" x14ac:dyDescent="0.2">
      <c r="C3800" s="5"/>
      <c r="D3800" s="5"/>
    </row>
    <row r="3801" spans="3:4" customFormat="1" x14ac:dyDescent="0.2">
      <c r="C3801" s="5"/>
      <c r="D3801" s="5"/>
    </row>
    <row r="3802" spans="3:4" customFormat="1" x14ac:dyDescent="0.2">
      <c r="C3802" s="5"/>
      <c r="D3802" s="5"/>
    </row>
    <row r="3803" spans="3:4" customFormat="1" x14ac:dyDescent="0.2">
      <c r="C3803" s="5"/>
      <c r="D3803" s="5"/>
    </row>
    <row r="3804" spans="3:4" customFormat="1" x14ac:dyDescent="0.2">
      <c r="C3804" s="5"/>
      <c r="D3804" s="5"/>
    </row>
    <row r="3805" spans="3:4" customFormat="1" x14ac:dyDescent="0.2">
      <c r="C3805" s="5"/>
      <c r="D3805" s="5"/>
    </row>
    <row r="3806" spans="3:4" customFormat="1" x14ac:dyDescent="0.2">
      <c r="C3806" s="5"/>
      <c r="D3806" s="5"/>
    </row>
    <row r="3807" spans="3:4" customFormat="1" x14ac:dyDescent="0.2">
      <c r="C3807" s="5"/>
      <c r="D3807" s="5"/>
    </row>
    <row r="3808" spans="3:4" customFormat="1" x14ac:dyDescent="0.2">
      <c r="C3808" s="5"/>
      <c r="D3808" s="5"/>
    </row>
    <row r="3809" spans="3:4" customFormat="1" x14ac:dyDescent="0.2">
      <c r="C3809" s="5"/>
      <c r="D3809" s="5"/>
    </row>
    <row r="3810" spans="3:4" customFormat="1" x14ac:dyDescent="0.2">
      <c r="C3810" s="5"/>
      <c r="D3810" s="5"/>
    </row>
    <row r="3811" spans="3:4" customFormat="1" x14ac:dyDescent="0.2">
      <c r="C3811" s="5"/>
      <c r="D3811" s="5"/>
    </row>
    <row r="3812" spans="3:4" customFormat="1" x14ac:dyDescent="0.2">
      <c r="C3812" s="5"/>
      <c r="D3812" s="5"/>
    </row>
    <row r="3813" spans="3:4" customFormat="1" x14ac:dyDescent="0.2">
      <c r="C3813" s="5"/>
      <c r="D3813" s="5"/>
    </row>
    <row r="3814" spans="3:4" customFormat="1" x14ac:dyDescent="0.2">
      <c r="C3814" s="5"/>
      <c r="D3814" s="5"/>
    </row>
    <row r="3815" spans="3:4" customFormat="1" x14ac:dyDescent="0.2">
      <c r="C3815" s="5"/>
      <c r="D3815" s="5"/>
    </row>
    <row r="3816" spans="3:4" customFormat="1" x14ac:dyDescent="0.2">
      <c r="C3816" s="5"/>
      <c r="D3816" s="5"/>
    </row>
    <row r="3817" spans="3:4" customFormat="1" x14ac:dyDescent="0.2">
      <c r="C3817" s="5"/>
      <c r="D3817" s="5"/>
    </row>
    <row r="3818" spans="3:4" customFormat="1" x14ac:dyDescent="0.2">
      <c r="C3818" s="5"/>
      <c r="D3818" s="5"/>
    </row>
    <row r="3819" spans="3:4" customFormat="1" x14ac:dyDescent="0.2">
      <c r="C3819" s="5"/>
      <c r="D3819" s="5"/>
    </row>
    <row r="3820" spans="3:4" customFormat="1" x14ac:dyDescent="0.2">
      <c r="C3820" s="5"/>
      <c r="D3820" s="5"/>
    </row>
    <row r="3821" spans="3:4" customFormat="1" x14ac:dyDescent="0.2">
      <c r="C3821" s="5"/>
      <c r="D3821" s="5"/>
    </row>
    <row r="3822" spans="3:4" customFormat="1" x14ac:dyDescent="0.2">
      <c r="C3822" s="5"/>
      <c r="D3822" s="5"/>
    </row>
    <row r="3823" spans="3:4" customFormat="1" x14ac:dyDescent="0.2">
      <c r="C3823" s="5"/>
      <c r="D3823" s="5"/>
    </row>
    <row r="3824" spans="3:4" customFormat="1" x14ac:dyDescent="0.2">
      <c r="C3824" s="5"/>
      <c r="D3824" s="5"/>
    </row>
    <row r="3825" spans="3:4" customFormat="1" x14ac:dyDescent="0.2">
      <c r="C3825" s="5"/>
      <c r="D3825" s="5"/>
    </row>
    <row r="3826" spans="3:4" customFormat="1" x14ac:dyDescent="0.2">
      <c r="C3826" s="5"/>
      <c r="D3826" s="5"/>
    </row>
    <row r="3827" spans="3:4" customFormat="1" x14ac:dyDescent="0.2">
      <c r="C3827" s="5"/>
      <c r="D3827" s="5"/>
    </row>
    <row r="3828" spans="3:4" customFormat="1" x14ac:dyDescent="0.2">
      <c r="C3828" s="5"/>
      <c r="D3828" s="5"/>
    </row>
    <row r="3829" spans="3:4" customFormat="1" x14ac:dyDescent="0.2">
      <c r="C3829" s="5"/>
      <c r="D3829" s="5"/>
    </row>
    <row r="3830" spans="3:4" customFormat="1" x14ac:dyDescent="0.2">
      <c r="C3830" s="5"/>
      <c r="D3830" s="5"/>
    </row>
    <row r="3831" spans="3:4" customFormat="1" x14ac:dyDescent="0.2">
      <c r="C3831" s="5"/>
      <c r="D3831" s="5"/>
    </row>
    <row r="3832" spans="3:4" customFormat="1" x14ac:dyDescent="0.2">
      <c r="C3832" s="5"/>
      <c r="D3832" s="5"/>
    </row>
    <row r="3833" spans="3:4" customFormat="1" x14ac:dyDescent="0.2">
      <c r="C3833" s="5"/>
      <c r="D3833" s="5"/>
    </row>
    <row r="3834" spans="3:4" customFormat="1" x14ac:dyDescent="0.2">
      <c r="C3834" s="5"/>
      <c r="D3834" s="5"/>
    </row>
    <row r="3835" spans="3:4" customFormat="1" x14ac:dyDescent="0.2">
      <c r="C3835" s="5"/>
      <c r="D3835" s="5"/>
    </row>
    <row r="3836" spans="3:4" customFormat="1" x14ac:dyDescent="0.2">
      <c r="C3836" s="5"/>
      <c r="D3836" s="5"/>
    </row>
    <row r="3837" spans="3:4" customFormat="1" x14ac:dyDescent="0.2">
      <c r="C3837" s="5"/>
      <c r="D3837" s="5"/>
    </row>
    <row r="3838" spans="3:4" customFormat="1" x14ac:dyDescent="0.2">
      <c r="C3838" s="5"/>
      <c r="D3838" s="5"/>
    </row>
    <row r="3839" spans="3:4" customFormat="1" x14ac:dyDescent="0.2">
      <c r="C3839" s="5"/>
      <c r="D3839" s="5"/>
    </row>
    <row r="3840" spans="3:4" customFormat="1" x14ac:dyDescent="0.2">
      <c r="C3840" s="5"/>
      <c r="D3840" s="5"/>
    </row>
    <row r="3841" spans="3:4" customFormat="1" x14ac:dyDescent="0.2">
      <c r="C3841" s="5"/>
      <c r="D3841" s="5"/>
    </row>
    <row r="3842" spans="3:4" customFormat="1" x14ac:dyDescent="0.2">
      <c r="C3842" s="5"/>
      <c r="D3842" s="5"/>
    </row>
    <row r="3843" spans="3:4" customFormat="1" x14ac:dyDescent="0.2">
      <c r="C3843" s="5"/>
      <c r="D3843" s="5"/>
    </row>
    <row r="3844" spans="3:4" customFormat="1" x14ac:dyDescent="0.2">
      <c r="C3844" s="5"/>
      <c r="D3844" s="5"/>
    </row>
    <row r="3845" spans="3:4" customFormat="1" x14ac:dyDescent="0.2">
      <c r="C3845" s="5"/>
      <c r="D3845" s="5"/>
    </row>
    <row r="3846" spans="3:4" customFormat="1" x14ac:dyDescent="0.2">
      <c r="C3846" s="5"/>
      <c r="D3846" s="5"/>
    </row>
    <row r="3847" spans="3:4" customFormat="1" x14ac:dyDescent="0.2">
      <c r="C3847" s="5"/>
      <c r="D3847" s="5"/>
    </row>
    <row r="3848" spans="3:4" customFormat="1" x14ac:dyDescent="0.2">
      <c r="C3848" s="5"/>
      <c r="D3848" s="5"/>
    </row>
    <row r="3849" spans="3:4" customFormat="1" x14ac:dyDescent="0.2">
      <c r="C3849" s="5"/>
      <c r="D3849" s="5"/>
    </row>
    <row r="3850" spans="3:4" customFormat="1" x14ac:dyDescent="0.2">
      <c r="C3850" s="5"/>
      <c r="D3850" s="5"/>
    </row>
    <row r="3851" spans="3:4" customFormat="1" x14ac:dyDescent="0.2">
      <c r="C3851" s="5"/>
      <c r="D3851" s="5"/>
    </row>
    <row r="3852" spans="3:4" customFormat="1" x14ac:dyDescent="0.2">
      <c r="C3852" s="5"/>
      <c r="D3852" s="5"/>
    </row>
    <row r="3853" spans="3:4" customFormat="1" x14ac:dyDescent="0.2">
      <c r="C3853" s="5"/>
      <c r="D3853" s="5"/>
    </row>
    <row r="3854" spans="3:4" customFormat="1" x14ac:dyDescent="0.2">
      <c r="C3854" s="5"/>
      <c r="D3854" s="5"/>
    </row>
    <row r="3855" spans="3:4" customFormat="1" x14ac:dyDescent="0.2">
      <c r="C3855" s="5"/>
      <c r="D3855" s="5"/>
    </row>
    <row r="3856" spans="3:4" customFormat="1" x14ac:dyDescent="0.2">
      <c r="C3856" s="5"/>
      <c r="D3856" s="5"/>
    </row>
    <row r="3857" spans="3:4" customFormat="1" x14ac:dyDescent="0.2">
      <c r="C3857" s="5"/>
      <c r="D3857" s="5"/>
    </row>
    <row r="3858" spans="3:4" customFormat="1" x14ac:dyDescent="0.2">
      <c r="C3858" s="5"/>
      <c r="D3858" s="5"/>
    </row>
    <row r="3859" spans="3:4" customFormat="1" x14ac:dyDescent="0.2">
      <c r="C3859" s="5"/>
      <c r="D3859" s="5"/>
    </row>
    <row r="3860" spans="3:4" customFormat="1" x14ac:dyDescent="0.2">
      <c r="C3860" s="5"/>
      <c r="D3860" s="5"/>
    </row>
    <row r="3861" spans="3:4" customFormat="1" x14ac:dyDescent="0.2">
      <c r="C3861" s="5"/>
      <c r="D3861" s="5"/>
    </row>
    <row r="3862" spans="3:4" customFormat="1" x14ac:dyDescent="0.2">
      <c r="C3862" s="5"/>
      <c r="D3862" s="5"/>
    </row>
    <row r="3863" spans="3:4" customFormat="1" x14ac:dyDescent="0.2">
      <c r="C3863" s="5"/>
      <c r="D3863" s="5"/>
    </row>
    <row r="3864" spans="3:4" customFormat="1" x14ac:dyDescent="0.2">
      <c r="C3864" s="5"/>
      <c r="D3864" s="5"/>
    </row>
    <row r="3865" spans="3:4" customFormat="1" x14ac:dyDescent="0.2">
      <c r="C3865" s="5"/>
      <c r="D3865" s="5"/>
    </row>
    <row r="3866" spans="3:4" customFormat="1" x14ac:dyDescent="0.2">
      <c r="C3866" s="5"/>
      <c r="D3866" s="5"/>
    </row>
    <row r="3867" spans="3:4" customFormat="1" x14ac:dyDescent="0.2">
      <c r="C3867" s="5"/>
      <c r="D3867" s="5"/>
    </row>
    <row r="3868" spans="3:4" customFormat="1" x14ac:dyDescent="0.2">
      <c r="C3868" s="5"/>
      <c r="D3868" s="5"/>
    </row>
    <row r="3869" spans="3:4" customFormat="1" x14ac:dyDescent="0.2">
      <c r="C3869" s="5"/>
      <c r="D3869" s="5"/>
    </row>
    <row r="3870" spans="3:4" customFormat="1" x14ac:dyDescent="0.2">
      <c r="C3870" s="5"/>
      <c r="D3870" s="5"/>
    </row>
    <row r="3871" spans="3:4" customFormat="1" x14ac:dyDescent="0.2">
      <c r="C3871" s="5"/>
      <c r="D3871" s="5"/>
    </row>
    <row r="3872" spans="3:4" customFormat="1" x14ac:dyDescent="0.2">
      <c r="C3872" s="5"/>
      <c r="D3872" s="5"/>
    </row>
    <row r="3873" spans="3:4" customFormat="1" x14ac:dyDescent="0.2">
      <c r="C3873" s="5"/>
      <c r="D3873" s="5"/>
    </row>
    <row r="3874" spans="3:4" customFormat="1" x14ac:dyDescent="0.2">
      <c r="C3874" s="5"/>
      <c r="D3874" s="5"/>
    </row>
    <row r="3875" spans="3:4" customFormat="1" x14ac:dyDescent="0.2">
      <c r="C3875" s="5"/>
      <c r="D3875" s="5"/>
    </row>
    <row r="3876" spans="3:4" customFormat="1" x14ac:dyDescent="0.2">
      <c r="C3876" s="5"/>
      <c r="D3876" s="5"/>
    </row>
    <row r="3877" spans="3:4" customFormat="1" x14ac:dyDescent="0.2">
      <c r="C3877" s="5"/>
      <c r="D3877" s="5"/>
    </row>
    <row r="3878" spans="3:4" customFormat="1" x14ac:dyDescent="0.2">
      <c r="C3878" s="5"/>
      <c r="D3878" s="5"/>
    </row>
    <row r="3879" spans="3:4" customFormat="1" x14ac:dyDescent="0.2">
      <c r="C3879" s="5"/>
      <c r="D3879" s="5"/>
    </row>
    <row r="3880" spans="3:4" customFormat="1" x14ac:dyDescent="0.2">
      <c r="C3880" s="5"/>
      <c r="D3880" s="5"/>
    </row>
    <row r="3881" spans="3:4" customFormat="1" x14ac:dyDescent="0.2">
      <c r="C3881" s="5"/>
      <c r="D3881" s="5"/>
    </row>
    <row r="3882" spans="3:4" customFormat="1" x14ac:dyDescent="0.2">
      <c r="C3882" s="5"/>
      <c r="D3882" s="5"/>
    </row>
    <row r="3883" spans="3:4" customFormat="1" x14ac:dyDescent="0.2">
      <c r="C3883" s="5"/>
      <c r="D3883" s="5"/>
    </row>
    <row r="3884" spans="3:4" customFormat="1" x14ac:dyDescent="0.2">
      <c r="C3884" s="5"/>
      <c r="D3884" s="5"/>
    </row>
    <row r="3885" spans="3:4" customFormat="1" x14ac:dyDescent="0.2">
      <c r="C3885" s="5"/>
      <c r="D3885" s="5"/>
    </row>
    <row r="3886" spans="3:4" customFormat="1" x14ac:dyDescent="0.2">
      <c r="C3886" s="5"/>
      <c r="D3886" s="5"/>
    </row>
    <row r="3887" spans="3:4" customFormat="1" x14ac:dyDescent="0.2">
      <c r="C3887" s="5"/>
      <c r="D3887" s="5"/>
    </row>
    <row r="3888" spans="3:4" customFormat="1" x14ac:dyDescent="0.2">
      <c r="C3888" s="5"/>
      <c r="D3888" s="5"/>
    </row>
    <row r="3889" spans="3:4" customFormat="1" x14ac:dyDescent="0.2">
      <c r="C3889" s="5"/>
      <c r="D3889" s="5"/>
    </row>
    <row r="3890" spans="3:4" customFormat="1" x14ac:dyDescent="0.2">
      <c r="C3890" s="5"/>
      <c r="D3890" s="5"/>
    </row>
    <row r="3891" spans="3:4" customFormat="1" x14ac:dyDescent="0.2">
      <c r="C3891" s="5"/>
      <c r="D3891" s="5"/>
    </row>
    <row r="3892" spans="3:4" customFormat="1" x14ac:dyDescent="0.2">
      <c r="C3892" s="5"/>
      <c r="D3892" s="5"/>
    </row>
    <row r="3893" spans="3:4" customFormat="1" x14ac:dyDescent="0.2">
      <c r="C3893" s="5"/>
      <c r="D3893" s="5"/>
    </row>
    <row r="3894" spans="3:4" customFormat="1" x14ac:dyDescent="0.2">
      <c r="C3894" s="5"/>
      <c r="D3894" s="5"/>
    </row>
    <row r="3895" spans="3:4" customFormat="1" x14ac:dyDescent="0.2">
      <c r="C3895" s="5"/>
      <c r="D3895" s="5"/>
    </row>
    <row r="3896" spans="3:4" customFormat="1" x14ac:dyDescent="0.2">
      <c r="C3896" s="5"/>
      <c r="D3896" s="5"/>
    </row>
    <row r="3897" spans="3:4" customFormat="1" x14ac:dyDescent="0.2">
      <c r="C3897" s="5"/>
      <c r="D3897" s="5"/>
    </row>
    <row r="3898" spans="3:4" customFormat="1" x14ac:dyDescent="0.2">
      <c r="C3898" s="5"/>
      <c r="D3898" s="5"/>
    </row>
    <row r="3899" spans="3:4" customFormat="1" x14ac:dyDescent="0.2">
      <c r="C3899" s="5"/>
      <c r="D3899" s="5"/>
    </row>
    <row r="3900" spans="3:4" customFormat="1" x14ac:dyDescent="0.2">
      <c r="C3900" s="5"/>
      <c r="D3900" s="5"/>
    </row>
    <row r="3901" spans="3:4" customFormat="1" x14ac:dyDescent="0.2">
      <c r="C3901" s="5"/>
      <c r="D3901" s="5"/>
    </row>
    <row r="3902" spans="3:4" customFormat="1" x14ac:dyDescent="0.2">
      <c r="C3902" s="5"/>
      <c r="D3902" s="5"/>
    </row>
    <row r="3903" spans="3:4" customFormat="1" x14ac:dyDescent="0.2">
      <c r="C3903" s="5"/>
      <c r="D3903" s="5"/>
    </row>
    <row r="3904" spans="3:4" customFormat="1" x14ac:dyDescent="0.2">
      <c r="C3904" s="5"/>
      <c r="D3904" s="5"/>
    </row>
    <row r="3905" spans="3:4" customFormat="1" x14ac:dyDescent="0.2">
      <c r="C3905" s="5"/>
      <c r="D3905" s="5"/>
    </row>
    <row r="3906" spans="3:4" customFormat="1" x14ac:dyDescent="0.2">
      <c r="C3906" s="5"/>
      <c r="D3906" s="5"/>
    </row>
    <row r="3907" spans="3:4" customFormat="1" x14ac:dyDescent="0.2">
      <c r="C3907" s="5"/>
      <c r="D3907" s="5"/>
    </row>
    <row r="3908" spans="3:4" customFormat="1" x14ac:dyDescent="0.2">
      <c r="C3908" s="5"/>
      <c r="D3908" s="5"/>
    </row>
    <row r="3909" spans="3:4" customFormat="1" x14ac:dyDescent="0.2">
      <c r="C3909" s="5"/>
      <c r="D3909" s="5"/>
    </row>
    <row r="3910" spans="3:4" customFormat="1" x14ac:dyDescent="0.2">
      <c r="C3910" s="5"/>
      <c r="D3910" s="5"/>
    </row>
    <row r="3911" spans="3:4" customFormat="1" x14ac:dyDescent="0.2">
      <c r="C3911" s="5"/>
      <c r="D3911" s="5"/>
    </row>
    <row r="3912" spans="3:4" customFormat="1" x14ac:dyDescent="0.2">
      <c r="C3912" s="5"/>
      <c r="D3912" s="5"/>
    </row>
    <row r="3913" spans="3:4" customFormat="1" x14ac:dyDescent="0.2">
      <c r="C3913" s="5"/>
      <c r="D3913" s="5"/>
    </row>
    <row r="3914" spans="3:4" customFormat="1" x14ac:dyDescent="0.2">
      <c r="C3914" s="5"/>
      <c r="D3914" s="5"/>
    </row>
    <row r="3915" spans="3:4" customFormat="1" x14ac:dyDescent="0.2">
      <c r="C3915" s="5"/>
      <c r="D3915" s="5"/>
    </row>
    <row r="3916" spans="3:4" customFormat="1" x14ac:dyDescent="0.2">
      <c r="C3916" s="5"/>
      <c r="D3916" s="5"/>
    </row>
    <row r="3917" spans="3:4" customFormat="1" x14ac:dyDescent="0.2">
      <c r="C3917" s="5"/>
      <c r="D3917" s="5"/>
    </row>
    <row r="3918" spans="3:4" customFormat="1" x14ac:dyDescent="0.2">
      <c r="C3918" s="5"/>
      <c r="D3918" s="5"/>
    </row>
    <row r="3919" spans="3:4" customFormat="1" x14ac:dyDescent="0.2">
      <c r="C3919" s="5"/>
      <c r="D3919" s="5"/>
    </row>
    <row r="3920" spans="3:4" customFormat="1" x14ac:dyDescent="0.2">
      <c r="C3920" s="5"/>
      <c r="D3920" s="5"/>
    </row>
    <row r="3921" spans="3:4" customFormat="1" x14ac:dyDescent="0.2">
      <c r="C3921" s="5"/>
      <c r="D3921" s="5"/>
    </row>
    <row r="3922" spans="3:4" customFormat="1" x14ac:dyDescent="0.2">
      <c r="C3922" s="5"/>
      <c r="D3922" s="5"/>
    </row>
    <row r="3923" spans="3:4" customFormat="1" x14ac:dyDescent="0.2">
      <c r="C3923" s="5"/>
      <c r="D3923" s="5"/>
    </row>
    <row r="3924" spans="3:4" customFormat="1" x14ac:dyDescent="0.2">
      <c r="C3924" s="5"/>
      <c r="D3924" s="5"/>
    </row>
    <row r="3925" spans="3:4" customFormat="1" x14ac:dyDescent="0.2">
      <c r="C3925" s="5"/>
      <c r="D3925" s="5"/>
    </row>
    <row r="3926" spans="3:4" customFormat="1" x14ac:dyDescent="0.2">
      <c r="C3926" s="5"/>
      <c r="D3926" s="5"/>
    </row>
    <row r="3927" spans="3:4" customFormat="1" x14ac:dyDescent="0.2">
      <c r="C3927" s="5"/>
      <c r="D3927" s="5"/>
    </row>
    <row r="3928" spans="3:4" customFormat="1" x14ac:dyDescent="0.2">
      <c r="C3928" s="5"/>
      <c r="D3928" s="5"/>
    </row>
    <row r="3929" spans="3:4" customFormat="1" x14ac:dyDescent="0.2">
      <c r="C3929" s="5"/>
      <c r="D3929" s="5"/>
    </row>
    <row r="3930" spans="3:4" customFormat="1" x14ac:dyDescent="0.2">
      <c r="C3930" s="5"/>
      <c r="D3930" s="5"/>
    </row>
    <row r="3931" spans="3:4" customFormat="1" x14ac:dyDescent="0.2">
      <c r="C3931" s="5"/>
      <c r="D3931" s="5"/>
    </row>
    <row r="3932" spans="3:4" customFormat="1" x14ac:dyDescent="0.2">
      <c r="C3932" s="5"/>
      <c r="D3932" s="5"/>
    </row>
    <row r="3933" spans="3:4" customFormat="1" x14ac:dyDescent="0.2">
      <c r="C3933" s="5"/>
      <c r="D3933" s="5"/>
    </row>
    <row r="3934" spans="3:4" customFormat="1" x14ac:dyDescent="0.2">
      <c r="C3934" s="5"/>
      <c r="D3934" s="5"/>
    </row>
    <row r="3935" spans="3:4" customFormat="1" x14ac:dyDescent="0.2">
      <c r="C3935" s="5"/>
      <c r="D3935" s="5"/>
    </row>
    <row r="3936" spans="3:4" customFormat="1" x14ac:dyDescent="0.2">
      <c r="C3936" s="5"/>
      <c r="D3936" s="5"/>
    </row>
    <row r="3937" spans="3:4" customFormat="1" x14ac:dyDescent="0.2">
      <c r="C3937" s="5"/>
      <c r="D3937" s="5"/>
    </row>
    <row r="3938" spans="3:4" customFormat="1" x14ac:dyDescent="0.2">
      <c r="C3938" s="5"/>
      <c r="D3938" s="5"/>
    </row>
    <row r="3939" spans="3:4" customFormat="1" x14ac:dyDescent="0.2">
      <c r="C3939" s="5"/>
      <c r="D3939" s="5"/>
    </row>
    <row r="3940" spans="3:4" customFormat="1" x14ac:dyDescent="0.2">
      <c r="C3940" s="5"/>
      <c r="D3940" s="5"/>
    </row>
    <row r="3941" spans="3:4" customFormat="1" x14ac:dyDescent="0.2">
      <c r="C3941" s="5"/>
      <c r="D3941" s="5"/>
    </row>
    <row r="3942" spans="3:4" customFormat="1" x14ac:dyDescent="0.2">
      <c r="C3942" s="5"/>
      <c r="D3942" s="5"/>
    </row>
    <row r="3943" spans="3:4" customFormat="1" x14ac:dyDescent="0.2">
      <c r="C3943" s="5"/>
      <c r="D3943" s="5"/>
    </row>
    <row r="3944" spans="3:4" customFormat="1" x14ac:dyDescent="0.2">
      <c r="C3944" s="5"/>
      <c r="D3944" s="5"/>
    </row>
    <row r="3945" spans="3:4" customFormat="1" x14ac:dyDescent="0.2">
      <c r="C3945" s="5"/>
      <c r="D3945" s="5"/>
    </row>
    <row r="3946" spans="3:4" customFormat="1" x14ac:dyDescent="0.2">
      <c r="C3946" s="5"/>
      <c r="D3946" s="5"/>
    </row>
    <row r="3947" spans="3:4" customFormat="1" x14ac:dyDescent="0.2">
      <c r="C3947" s="5"/>
      <c r="D3947" s="5"/>
    </row>
    <row r="3948" spans="3:4" customFormat="1" x14ac:dyDescent="0.2">
      <c r="C3948" s="5"/>
      <c r="D3948" s="5"/>
    </row>
    <row r="3949" spans="3:4" customFormat="1" x14ac:dyDescent="0.2">
      <c r="C3949" s="5"/>
      <c r="D3949" s="5"/>
    </row>
    <row r="3950" spans="3:4" customFormat="1" x14ac:dyDescent="0.2">
      <c r="C3950" s="5"/>
      <c r="D3950" s="5"/>
    </row>
    <row r="3951" spans="3:4" customFormat="1" x14ac:dyDescent="0.2">
      <c r="C3951" s="5"/>
      <c r="D3951" s="5"/>
    </row>
    <row r="3952" spans="3:4" customFormat="1" x14ac:dyDescent="0.2">
      <c r="C3952" s="5"/>
      <c r="D3952" s="5"/>
    </row>
    <row r="3953" spans="3:4" customFormat="1" x14ac:dyDescent="0.2">
      <c r="C3953" s="5"/>
      <c r="D3953" s="5"/>
    </row>
    <row r="3954" spans="3:4" customFormat="1" x14ac:dyDescent="0.2">
      <c r="C3954" s="5"/>
      <c r="D3954" s="5"/>
    </row>
    <row r="3955" spans="3:4" customFormat="1" x14ac:dyDescent="0.2">
      <c r="C3955" s="5"/>
      <c r="D3955" s="5"/>
    </row>
    <row r="3956" spans="3:4" customFormat="1" x14ac:dyDescent="0.2">
      <c r="C3956" s="5"/>
      <c r="D3956" s="5"/>
    </row>
    <row r="3957" spans="3:4" customFormat="1" x14ac:dyDescent="0.2">
      <c r="C3957" s="5"/>
      <c r="D3957" s="5"/>
    </row>
    <row r="3958" spans="3:4" customFormat="1" x14ac:dyDescent="0.2">
      <c r="C3958" s="5"/>
      <c r="D3958" s="5"/>
    </row>
    <row r="3959" spans="3:4" customFormat="1" x14ac:dyDescent="0.2">
      <c r="C3959" s="5"/>
      <c r="D3959" s="5"/>
    </row>
    <row r="3960" spans="3:4" customFormat="1" x14ac:dyDescent="0.2">
      <c r="C3960" s="5"/>
      <c r="D3960" s="5"/>
    </row>
    <row r="3961" spans="3:4" customFormat="1" x14ac:dyDescent="0.2">
      <c r="C3961" s="5"/>
      <c r="D3961" s="5"/>
    </row>
    <row r="3962" spans="3:4" customFormat="1" x14ac:dyDescent="0.2">
      <c r="C3962" s="5"/>
      <c r="D3962" s="5"/>
    </row>
    <row r="3963" spans="3:4" customFormat="1" x14ac:dyDescent="0.2">
      <c r="C3963" s="5"/>
      <c r="D3963" s="5"/>
    </row>
    <row r="3964" spans="3:4" customFormat="1" x14ac:dyDescent="0.2">
      <c r="C3964" s="5"/>
      <c r="D3964" s="5"/>
    </row>
    <row r="3965" spans="3:4" customFormat="1" x14ac:dyDescent="0.2">
      <c r="C3965" s="5"/>
      <c r="D3965" s="5"/>
    </row>
    <row r="3966" spans="3:4" customFormat="1" x14ac:dyDescent="0.2">
      <c r="C3966" s="5"/>
      <c r="D3966" s="5"/>
    </row>
    <row r="3967" spans="3:4" customFormat="1" x14ac:dyDescent="0.2">
      <c r="C3967" s="5"/>
      <c r="D3967" s="5"/>
    </row>
    <row r="3968" spans="3:4" customFormat="1" x14ac:dyDescent="0.2">
      <c r="C3968" s="5"/>
      <c r="D3968" s="5"/>
    </row>
    <row r="3969" spans="3:4" customFormat="1" x14ac:dyDescent="0.2">
      <c r="C3969" s="5"/>
      <c r="D3969" s="5"/>
    </row>
    <row r="3970" spans="3:4" customFormat="1" x14ac:dyDescent="0.2">
      <c r="C3970" s="5"/>
      <c r="D3970" s="5"/>
    </row>
    <row r="3971" spans="3:4" customFormat="1" x14ac:dyDescent="0.2">
      <c r="C3971" s="5"/>
      <c r="D3971" s="5"/>
    </row>
    <row r="3972" spans="3:4" customFormat="1" x14ac:dyDescent="0.2">
      <c r="C3972" s="5"/>
      <c r="D3972" s="5"/>
    </row>
    <row r="3973" spans="3:4" customFormat="1" x14ac:dyDescent="0.2">
      <c r="C3973" s="5"/>
      <c r="D3973" s="5"/>
    </row>
    <row r="3974" spans="3:4" customFormat="1" x14ac:dyDescent="0.2">
      <c r="C3974" s="5"/>
      <c r="D3974" s="5"/>
    </row>
    <row r="3975" spans="3:4" customFormat="1" x14ac:dyDescent="0.2">
      <c r="C3975" s="5"/>
      <c r="D3975" s="5"/>
    </row>
    <row r="3976" spans="3:4" customFormat="1" x14ac:dyDescent="0.2">
      <c r="C3976" s="5"/>
      <c r="D3976" s="5"/>
    </row>
    <row r="3977" spans="3:4" customFormat="1" x14ac:dyDescent="0.2">
      <c r="C3977" s="5"/>
      <c r="D3977" s="5"/>
    </row>
    <row r="3978" spans="3:4" customFormat="1" x14ac:dyDescent="0.2">
      <c r="C3978" s="5"/>
      <c r="D3978" s="5"/>
    </row>
    <row r="3979" spans="3:4" customFormat="1" x14ac:dyDescent="0.2">
      <c r="C3979" s="5"/>
      <c r="D3979" s="5"/>
    </row>
    <row r="3980" spans="3:4" customFormat="1" x14ac:dyDescent="0.2">
      <c r="C3980" s="5"/>
      <c r="D3980" s="5"/>
    </row>
    <row r="3981" spans="3:4" customFormat="1" x14ac:dyDescent="0.2">
      <c r="C3981" s="5"/>
      <c r="D3981" s="5"/>
    </row>
    <row r="3982" spans="3:4" customFormat="1" x14ac:dyDescent="0.2">
      <c r="C3982" s="5"/>
      <c r="D3982" s="5"/>
    </row>
    <row r="3983" spans="3:4" customFormat="1" x14ac:dyDescent="0.2">
      <c r="C3983" s="5"/>
      <c r="D3983" s="5"/>
    </row>
    <row r="3984" spans="3:4" customFormat="1" x14ac:dyDescent="0.2">
      <c r="C3984" s="5"/>
      <c r="D3984" s="5"/>
    </row>
    <row r="3985" spans="3:4" customFormat="1" x14ac:dyDescent="0.2">
      <c r="C3985" s="5"/>
      <c r="D3985" s="5"/>
    </row>
    <row r="3986" spans="3:4" customFormat="1" x14ac:dyDescent="0.2">
      <c r="C3986" s="5"/>
      <c r="D3986" s="5"/>
    </row>
    <row r="3987" spans="3:4" customFormat="1" x14ac:dyDescent="0.2">
      <c r="C3987" s="5"/>
      <c r="D3987" s="5"/>
    </row>
    <row r="3988" spans="3:4" customFormat="1" x14ac:dyDescent="0.2">
      <c r="C3988" s="5"/>
      <c r="D3988" s="5"/>
    </row>
    <row r="3989" spans="3:4" customFormat="1" x14ac:dyDescent="0.2">
      <c r="C3989" s="5"/>
      <c r="D3989" s="5"/>
    </row>
    <row r="3990" spans="3:4" customFormat="1" x14ac:dyDescent="0.2">
      <c r="C3990" s="5"/>
      <c r="D3990" s="5"/>
    </row>
    <row r="3991" spans="3:4" customFormat="1" x14ac:dyDescent="0.2">
      <c r="C3991" s="5"/>
      <c r="D3991" s="5"/>
    </row>
    <row r="3992" spans="3:4" customFormat="1" x14ac:dyDescent="0.2">
      <c r="C3992" s="5"/>
      <c r="D3992" s="5"/>
    </row>
    <row r="3993" spans="3:4" customFormat="1" x14ac:dyDescent="0.2">
      <c r="C3993" s="5"/>
      <c r="D3993" s="5"/>
    </row>
    <row r="3994" spans="3:4" customFormat="1" x14ac:dyDescent="0.2">
      <c r="C3994" s="5"/>
      <c r="D3994" s="5"/>
    </row>
    <row r="3995" spans="3:4" customFormat="1" x14ac:dyDescent="0.2">
      <c r="C3995" s="5"/>
      <c r="D3995" s="5"/>
    </row>
    <row r="3996" spans="3:4" customFormat="1" x14ac:dyDescent="0.2">
      <c r="C3996" s="5"/>
      <c r="D3996" s="5"/>
    </row>
    <row r="3997" spans="3:4" customFormat="1" x14ac:dyDescent="0.2">
      <c r="C3997" s="5"/>
      <c r="D3997" s="5"/>
    </row>
    <row r="3998" spans="3:4" customFormat="1" x14ac:dyDescent="0.2">
      <c r="C3998" s="5"/>
      <c r="D3998" s="5"/>
    </row>
    <row r="3999" spans="3:4" customFormat="1" x14ac:dyDescent="0.2">
      <c r="C3999" s="5"/>
      <c r="D3999" s="5"/>
    </row>
    <row r="4000" spans="3:4" customFormat="1" x14ac:dyDescent="0.2">
      <c r="C4000" s="5"/>
      <c r="D4000" s="5"/>
    </row>
    <row r="4001" spans="3:4" customFormat="1" x14ac:dyDescent="0.2">
      <c r="C4001" s="5"/>
      <c r="D4001" s="5"/>
    </row>
    <row r="4002" spans="3:4" customFormat="1" x14ac:dyDescent="0.2">
      <c r="C4002" s="5"/>
      <c r="D4002" s="5"/>
    </row>
    <row r="4003" spans="3:4" customFormat="1" x14ac:dyDescent="0.2">
      <c r="C4003" s="5"/>
      <c r="D4003" s="5"/>
    </row>
    <row r="4004" spans="3:4" customFormat="1" x14ac:dyDescent="0.2">
      <c r="C4004" s="5"/>
      <c r="D4004" s="5"/>
    </row>
    <row r="4005" spans="3:4" customFormat="1" x14ac:dyDescent="0.2">
      <c r="C4005" s="5"/>
      <c r="D4005" s="5"/>
    </row>
    <row r="4006" spans="3:4" customFormat="1" x14ac:dyDescent="0.2">
      <c r="C4006" s="5"/>
      <c r="D4006" s="5"/>
    </row>
    <row r="4007" spans="3:4" customFormat="1" x14ac:dyDescent="0.2">
      <c r="C4007" s="5"/>
      <c r="D4007" s="5"/>
    </row>
    <row r="4008" spans="3:4" customFormat="1" x14ac:dyDescent="0.2">
      <c r="C4008" s="5"/>
      <c r="D4008" s="5"/>
    </row>
    <row r="4009" spans="3:4" customFormat="1" x14ac:dyDescent="0.2">
      <c r="C4009" s="5"/>
      <c r="D4009" s="5"/>
    </row>
    <row r="4010" spans="3:4" customFormat="1" x14ac:dyDescent="0.2">
      <c r="C4010" s="5"/>
      <c r="D4010" s="5"/>
    </row>
    <row r="4011" spans="3:4" customFormat="1" x14ac:dyDescent="0.2">
      <c r="C4011" s="5"/>
      <c r="D4011" s="5"/>
    </row>
    <row r="4012" spans="3:4" customFormat="1" x14ac:dyDescent="0.2">
      <c r="C4012" s="5"/>
      <c r="D4012" s="5"/>
    </row>
    <row r="4013" spans="3:4" customFormat="1" x14ac:dyDescent="0.2">
      <c r="C4013" s="5"/>
      <c r="D4013" s="5"/>
    </row>
    <row r="4014" spans="3:4" customFormat="1" x14ac:dyDescent="0.2">
      <c r="C4014" s="5"/>
      <c r="D4014" s="5"/>
    </row>
    <row r="4015" spans="3:4" customFormat="1" x14ac:dyDescent="0.2">
      <c r="C4015" s="5"/>
      <c r="D4015" s="5"/>
    </row>
    <row r="4016" spans="3:4" customFormat="1" x14ac:dyDescent="0.2">
      <c r="C4016" s="5"/>
      <c r="D4016" s="5"/>
    </row>
    <row r="4017" spans="3:4" customFormat="1" x14ac:dyDescent="0.2">
      <c r="C4017" s="5"/>
      <c r="D4017" s="5"/>
    </row>
    <row r="4018" spans="3:4" customFormat="1" x14ac:dyDescent="0.2">
      <c r="C4018" s="5"/>
      <c r="D4018" s="5"/>
    </row>
    <row r="4019" spans="3:4" customFormat="1" x14ac:dyDescent="0.2">
      <c r="C4019" s="5"/>
      <c r="D4019" s="5"/>
    </row>
    <row r="4020" spans="3:4" customFormat="1" x14ac:dyDescent="0.2">
      <c r="C4020" s="5"/>
      <c r="D4020" s="5"/>
    </row>
    <row r="4021" spans="3:4" customFormat="1" x14ac:dyDescent="0.2">
      <c r="C4021" s="5"/>
      <c r="D4021" s="5"/>
    </row>
    <row r="4022" spans="3:4" customFormat="1" x14ac:dyDescent="0.2">
      <c r="C4022" s="5"/>
      <c r="D4022" s="5"/>
    </row>
    <row r="4023" spans="3:4" customFormat="1" x14ac:dyDescent="0.2">
      <c r="C4023" s="5"/>
      <c r="D4023" s="5"/>
    </row>
    <row r="4024" spans="3:4" customFormat="1" x14ac:dyDescent="0.2">
      <c r="C4024" s="5"/>
      <c r="D4024" s="5"/>
    </row>
    <row r="4025" spans="3:4" customFormat="1" x14ac:dyDescent="0.2">
      <c r="C4025" s="5"/>
      <c r="D4025" s="5"/>
    </row>
    <row r="4026" spans="3:4" customFormat="1" x14ac:dyDescent="0.2">
      <c r="C4026" s="5"/>
      <c r="D4026" s="5"/>
    </row>
    <row r="4027" spans="3:4" customFormat="1" x14ac:dyDescent="0.2">
      <c r="C4027" s="5"/>
      <c r="D4027" s="5"/>
    </row>
    <row r="4028" spans="3:4" customFormat="1" x14ac:dyDescent="0.2">
      <c r="C4028" s="5"/>
      <c r="D4028" s="5"/>
    </row>
    <row r="4029" spans="3:4" customFormat="1" x14ac:dyDescent="0.2">
      <c r="C4029" s="5"/>
      <c r="D4029" s="5"/>
    </row>
    <row r="4030" spans="3:4" customFormat="1" x14ac:dyDescent="0.2">
      <c r="C4030" s="5"/>
      <c r="D4030" s="5"/>
    </row>
    <row r="4031" spans="3:4" customFormat="1" x14ac:dyDescent="0.2">
      <c r="C4031" s="5"/>
      <c r="D4031" s="5"/>
    </row>
    <row r="4032" spans="3:4" customFormat="1" x14ac:dyDescent="0.2">
      <c r="C4032" s="5"/>
      <c r="D4032" s="5"/>
    </row>
    <row r="4033" spans="3:4" customFormat="1" x14ac:dyDescent="0.2">
      <c r="C4033" s="5"/>
      <c r="D4033" s="5"/>
    </row>
    <row r="4034" spans="3:4" customFormat="1" x14ac:dyDescent="0.2">
      <c r="C4034" s="5"/>
      <c r="D4034" s="5"/>
    </row>
    <row r="4035" spans="3:4" customFormat="1" x14ac:dyDescent="0.2">
      <c r="C4035" s="5"/>
      <c r="D4035" s="5"/>
    </row>
    <row r="4036" spans="3:4" customFormat="1" x14ac:dyDescent="0.2">
      <c r="C4036" s="5"/>
      <c r="D4036" s="5"/>
    </row>
    <row r="4037" spans="3:4" customFormat="1" x14ac:dyDescent="0.2">
      <c r="C4037" s="5"/>
      <c r="D4037" s="5"/>
    </row>
    <row r="4038" spans="3:4" customFormat="1" x14ac:dyDescent="0.2">
      <c r="C4038" s="5"/>
      <c r="D4038" s="5"/>
    </row>
    <row r="4039" spans="3:4" customFormat="1" x14ac:dyDescent="0.2">
      <c r="C4039" s="5"/>
      <c r="D4039" s="5"/>
    </row>
    <row r="4040" spans="3:4" customFormat="1" x14ac:dyDescent="0.2">
      <c r="C4040" s="5"/>
      <c r="D4040" s="5"/>
    </row>
    <row r="4041" spans="3:4" customFormat="1" x14ac:dyDescent="0.2">
      <c r="C4041" s="5"/>
      <c r="D4041" s="5"/>
    </row>
    <row r="4042" spans="3:4" customFormat="1" x14ac:dyDescent="0.2">
      <c r="C4042" s="5"/>
      <c r="D4042" s="5"/>
    </row>
    <row r="4043" spans="3:4" customFormat="1" x14ac:dyDescent="0.2">
      <c r="C4043" s="5"/>
      <c r="D4043" s="5"/>
    </row>
    <row r="4044" spans="3:4" customFormat="1" x14ac:dyDescent="0.2">
      <c r="C4044" s="5"/>
      <c r="D4044" s="5"/>
    </row>
    <row r="4045" spans="3:4" customFormat="1" x14ac:dyDescent="0.2">
      <c r="C4045" s="5"/>
      <c r="D4045" s="5"/>
    </row>
    <row r="4046" spans="3:4" customFormat="1" x14ac:dyDescent="0.2">
      <c r="C4046" s="5"/>
      <c r="D4046" s="5"/>
    </row>
    <row r="4047" spans="3:4" customFormat="1" x14ac:dyDescent="0.2">
      <c r="C4047" s="5"/>
      <c r="D4047" s="5"/>
    </row>
    <row r="4048" spans="3:4" customFormat="1" x14ac:dyDescent="0.2">
      <c r="C4048" s="5"/>
      <c r="D4048" s="5"/>
    </row>
    <row r="4049" spans="3:4" customFormat="1" x14ac:dyDescent="0.2">
      <c r="C4049" s="5"/>
      <c r="D4049" s="5"/>
    </row>
    <row r="4050" spans="3:4" customFormat="1" x14ac:dyDescent="0.2">
      <c r="C4050" s="5"/>
      <c r="D4050" s="5"/>
    </row>
    <row r="4051" spans="3:4" customFormat="1" x14ac:dyDescent="0.2">
      <c r="C4051" s="5"/>
      <c r="D4051" s="5"/>
    </row>
    <row r="4052" spans="3:4" customFormat="1" x14ac:dyDescent="0.2">
      <c r="C4052" s="5"/>
      <c r="D4052" s="5"/>
    </row>
    <row r="4053" spans="3:4" customFormat="1" x14ac:dyDescent="0.2">
      <c r="C4053" s="5"/>
      <c r="D4053" s="5"/>
    </row>
    <row r="4054" spans="3:4" customFormat="1" x14ac:dyDescent="0.2">
      <c r="C4054" s="5"/>
      <c r="D4054" s="5"/>
    </row>
    <row r="4055" spans="3:4" customFormat="1" x14ac:dyDescent="0.2">
      <c r="C4055" s="5"/>
      <c r="D4055" s="5"/>
    </row>
    <row r="4056" spans="3:4" customFormat="1" x14ac:dyDescent="0.2">
      <c r="C4056" s="5"/>
      <c r="D4056" s="5"/>
    </row>
    <row r="4057" spans="3:4" customFormat="1" x14ac:dyDescent="0.2">
      <c r="C4057" s="5"/>
      <c r="D4057" s="5"/>
    </row>
    <row r="4058" spans="3:4" customFormat="1" x14ac:dyDescent="0.2">
      <c r="C4058" s="5"/>
      <c r="D4058" s="5"/>
    </row>
    <row r="4059" spans="3:4" customFormat="1" x14ac:dyDescent="0.2">
      <c r="C4059" s="5"/>
      <c r="D4059" s="5"/>
    </row>
    <row r="4060" spans="3:4" customFormat="1" x14ac:dyDescent="0.2">
      <c r="C4060" s="5"/>
      <c r="D4060" s="5"/>
    </row>
    <row r="4061" spans="3:4" customFormat="1" x14ac:dyDescent="0.2">
      <c r="C4061" s="5"/>
      <c r="D4061" s="5"/>
    </row>
    <row r="4062" spans="3:4" customFormat="1" x14ac:dyDescent="0.2">
      <c r="C4062" s="5"/>
      <c r="D4062" s="5"/>
    </row>
    <row r="4063" spans="3:4" customFormat="1" x14ac:dyDescent="0.2">
      <c r="C4063" s="5"/>
      <c r="D4063" s="5"/>
    </row>
    <row r="4064" spans="3:4" customFormat="1" x14ac:dyDescent="0.2">
      <c r="C4064" s="5"/>
      <c r="D4064" s="5"/>
    </row>
    <row r="4065" spans="3:4" customFormat="1" x14ac:dyDescent="0.2">
      <c r="C4065" s="5"/>
      <c r="D4065" s="5"/>
    </row>
    <row r="4066" spans="3:4" customFormat="1" x14ac:dyDescent="0.2">
      <c r="C4066" s="5"/>
      <c r="D4066" s="5"/>
    </row>
    <row r="4067" spans="3:4" customFormat="1" x14ac:dyDescent="0.2">
      <c r="C4067" s="5"/>
      <c r="D4067" s="5"/>
    </row>
    <row r="4068" spans="3:4" customFormat="1" x14ac:dyDescent="0.2">
      <c r="C4068" s="5"/>
      <c r="D4068" s="5"/>
    </row>
    <row r="4069" spans="3:4" customFormat="1" x14ac:dyDescent="0.2">
      <c r="C4069" s="5"/>
      <c r="D4069" s="5"/>
    </row>
    <row r="4070" spans="3:4" customFormat="1" x14ac:dyDescent="0.2">
      <c r="C4070" s="5"/>
      <c r="D4070" s="5"/>
    </row>
    <row r="4071" spans="3:4" customFormat="1" x14ac:dyDescent="0.2">
      <c r="C4071" s="5"/>
      <c r="D4071" s="5"/>
    </row>
    <row r="4072" spans="3:4" customFormat="1" x14ac:dyDescent="0.2">
      <c r="C4072" s="5"/>
      <c r="D4072" s="5"/>
    </row>
    <row r="4073" spans="3:4" customFormat="1" x14ac:dyDescent="0.2">
      <c r="C4073" s="5"/>
      <c r="D4073" s="5"/>
    </row>
    <row r="4074" spans="3:4" customFormat="1" x14ac:dyDescent="0.2">
      <c r="C4074" s="5"/>
      <c r="D4074" s="5"/>
    </row>
    <row r="4075" spans="3:4" customFormat="1" x14ac:dyDescent="0.2">
      <c r="C4075" s="5"/>
      <c r="D4075" s="5"/>
    </row>
    <row r="4076" spans="3:4" customFormat="1" x14ac:dyDescent="0.2">
      <c r="C4076" s="5"/>
      <c r="D4076" s="5"/>
    </row>
    <row r="4077" spans="3:4" customFormat="1" x14ac:dyDescent="0.2">
      <c r="C4077" s="5"/>
      <c r="D4077" s="5"/>
    </row>
    <row r="4078" spans="3:4" customFormat="1" x14ac:dyDescent="0.2">
      <c r="C4078" s="5"/>
      <c r="D4078" s="5"/>
    </row>
    <row r="4079" spans="3:4" customFormat="1" x14ac:dyDescent="0.2">
      <c r="C4079" s="5"/>
      <c r="D4079" s="5"/>
    </row>
    <row r="4080" spans="3:4" customFormat="1" x14ac:dyDescent="0.2">
      <c r="C4080" s="5"/>
      <c r="D4080" s="5"/>
    </row>
    <row r="4081" spans="3:4" customFormat="1" x14ac:dyDescent="0.2">
      <c r="C4081" s="5"/>
      <c r="D4081" s="5"/>
    </row>
    <row r="4082" spans="3:4" customFormat="1" x14ac:dyDescent="0.2">
      <c r="C4082" s="5"/>
      <c r="D4082" s="5"/>
    </row>
    <row r="4083" spans="3:4" customFormat="1" x14ac:dyDescent="0.2">
      <c r="C4083" s="5"/>
      <c r="D4083" s="5"/>
    </row>
    <row r="4084" spans="3:4" customFormat="1" x14ac:dyDescent="0.2">
      <c r="C4084" s="5"/>
      <c r="D4084" s="5"/>
    </row>
    <row r="4085" spans="3:4" customFormat="1" x14ac:dyDescent="0.2">
      <c r="C4085" s="5"/>
      <c r="D4085" s="5"/>
    </row>
    <row r="4086" spans="3:4" customFormat="1" x14ac:dyDescent="0.2">
      <c r="C4086" s="5"/>
      <c r="D4086" s="5"/>
    </row>
    <row r="4087" spans="3:4" customFormat="1" x14ac:dyDescent="0.2">
      <c r="C4087" s="5"/>
      <c r="D4087" s="5"/>
    </row>
    <row r="4088" spans="3:4" customFormat="1" x14ac:dyDescent="0.2">
      <c r="C4088" s="5"/>
      <c r="D4088" s="5"/>
    </row>
    <row r="4089" spans="3:4" customFormat="1" x14ac:dyDescent="0.2">
      <c r="C4089" s="5"/>
      <c r="D4089" s="5"/>
    </row>
    <row r="4090" spans="3:4" customFormat="1" x14ac:dyDescent="0.2">
      <c r="C4090" s="5"/>
      <c r="D4090" s="5"/>
    </row>
    <row r="4091" spans="3:4" customFormat="1" x14ac:dyDescent="0.2">
      <c r="C4091" s="5"/>
      <c r="D4091" s="5"/>
    </row>
    <row r="4092" spans="3:4" customFormat="1" x14ac:dyDescent="0.2">
      <c r="C4092" s="5"/>
      <c r="D4092" s="5"/>
    </row>
    <row r="4093" spans="3:4" customFormat="1" x14ac:dyDescent="0.2">
      <c r="C4093" s="5"/>
      <c r="D4093" s="5"/>
    </row>
    <row r="4094" spans="3:4" customFormat="1" x14ac:dyDescent="0.2">
      <c r="C4094" s="5"/>
      <c r="D4094" s="5"/>
    </row>
    <row r="4095" spans="3:4" customFormat="1" x14ac:dyDescent="0.2">
      <c r="C4095" s="5"/>
      <c r="D4095" s="5"/>
    </row>
    <row r="4096" spans="3:4" customFormat="1" x14ac:dyDescent="0.2">
      <c r="C4096" s="5"/>
      <c r="D4096" s="5"/>
    </row>
    <row r="4097" spans="3:4" customFormat="1" x14ac:dyDescent="0.2">
      <c r="C4097" s="5"/>
      <c r="D4097" s="5"/>
    </row>
    <row r="4098" spans="3:4" customFormat="1" x14ac:dyDescent="0.2">
      <c r="C4098" s="5"/>
      <c r="D4098" s="5"/>
    </row>
    <row r="4099" spans="3:4" customFormat="1" x14ac:dyDescent="0.2">
      <c r="C4099" s="5"/>
      <c r="D4099" s="5"/>
    </row>
    <row r="4100" spans="3:4" customFormat="1" x14ac:dyDescent="0.2">
      <c r="C4100" s="5"/>
      <c r="D4100" s="5"/>
    </row>
    <row r="4101" spans="3:4" customFormat="1" x14ac:dyDescent="0.2">
      <c r="C4101" s="5"/>
      <c r="D4101" s="5"/>
    </row>
    <row r="4102" spans="3:4" customFormat="1" x14ac:dyDescent="0.2">
      <c r="C4102" s="5"/>
      <c r="D4102" s="5"/>
    </row>
    <row r="4103" spans="3:4" customFormat="1" x14ac:dyDescent="0.2">
      <c r="C4103" s="5"/>
      <c r="D4103" s="5"/>
    </row>
    <row r="4104" spans="3:4" customFormat="1" x14ac:dyDescent="0.2">
      <c r="C4104" s="5"/>
      <c r="D4104" s="5"/>
    </row>
    <row r="4105" spans="3:4" customFormat="1" x14ac:dyDescent="0.2">
      <c r="C4105" s="5"/>
      <c r="D4105" s="5"/>
    </row>
    <row r="4106" spans="3:4" customFormat="1" x14ac:dyDescent="0.2">
      <c r="C4106" s="5"/>
      <c r="D4106" s="5"/>
    </row>
    <row r="4107" spans="3:4" customFormat="1" x14ac:dyDescent="0.2">
      <c r="C4107" s="5"/>
      <c r="D4107" s="5"/>
    </row>
    <row r="4108" spans="3:4" customFormat="1" x14ac:dyDescent="0.2">
      <c r="C4108" s="5"/>
      <c r="D4108" s="5"/>
    </row>
    <row r="4109" spans="3:4" customFormat="1" x14ac:dyDescent="0.2">
      <c r="C4109" s="5"/>
      <c r="D4109" s="5"/>
    </row>
    <row r="4110" spans="3:4" customFormat="1" x14ac:dyDescent="0.2">
      <c r="C4110" s="5"/>
      <c r="D4110" s="5"/>
    </row>
    <row r="4111" spans="3:4" customFormat="1" x14ac:dyDescent="0.2">
      <c r="C4111" s="5"/>
      <c r="D4111" s="5"/>
    </row>
    <row r="4112" spans="3:4" customFormat="1" x14ac:dyDescent="0.2">
      <c r="C4112" s="5"/>
      <c r="D4112" s="5"/>
    </row>
    <row r="4113" spans="3:4" customFormat="1" x14ac:dyDescent="0.2">
      <c r="C4113" s="5"/>
      <c r="D4113" s="5"/>
    </row>
    <row r="4114" spans="3:4" customFormat="1" x14ac:dyDescent="0.2">
      <c r="C4114" s="5"/>
      <c r="D4114" s="5"/>
    </row>
    <row r="4115" spans="3:4" customFormat="1" x14ac:dyDescent="0.2">
      <c r="C4115" s="5"/>
      <c r="D4115" s="5"/>
    </row>
    <row r="4116" spans="3:4" customFormat="1" x14ac:dyDescent="0.2">
      <c r="C4116" s="5"/>
      <c r="D4116" s="5"/>
    </row>
    <row r="4117" spans="3:4" customFormat="1" x14ac:dyDescent="0.2">
      <c r="C4117" s="5"/>
      <c r="D4117" s="5"/>
    </row>
    <row r="4118" spans="3:4" customFormat="1" x14ac:dyDescent="0.2">
      <c r="C4118" s="5"/>
      <c r="D4118" s="5"/>
    </row>
    <row r="4119" spans="3:4" customFormat="1" x14ac:dyDescent="0.2">
      <c r="C4119" s="5"/>
      <c r="D4119" s="5"/>
    </row>
    <row r="4120" spans="3:4" customFormat="1" x14ac:dyDescent="0.2">
      <c r="C4120" s="5"/>
      <c r="D4120" s="5"/>
    </row>
    <row r="4121" spans="3:4" customFormat="1" x14ac:dyDescent="0.2">
      <c r="C4121" s="5"/>
      <c r="D4121" s="5"/>
    </row>
    <row r="4122" spans="3:4" customFormat="1" x14ac:dyDescent="0.2">
      <c r="C4122" s="5"/>
      <c r="D4122" s="5"/>
    </row>
    <row r="4123" spans="3:4" customFormat="1" x14ac:dyDescent="0.2">
      <c r="C4123" s="5"/>
      <c r="D4123" s="5"/>
    </row>
    <row r="4124" spans="3:4" customFormat="1" x14ac:dyDescent="0.2">
      <c r="C4124" s="5"/>
      <c r="D4124" s="5"/>
    </row>
    <row r="4125" spans="3:4" customFormat="1" x14ac:dyDescent="0.2">
      <c r="C4125" s="5"/>
      <c r="D4125" s="5"/>
    </row>
    <row r="4126" spans="3:4" customFormat="1" x14ac:dyDescent="0.2">
      <c r="C4126" s="5"/>
      <c r="D4126" s="5"/>
    </row>
    <row r="4127" spans="3:4" customFormat="1" x14ac:dyDescent="0.2">
      <c r="C4127" s="5"/>
      <c r="D4127" s="5"/>
    </row>
    <row r="4128" spans="3:4" customFormat="1" x14ac:dyDescent="0.2">
      <c r="C4128" s="5"/>
      <c r="D4128" s="5"/>
    </row>
    <row r="4129" spans="3:4" customFormat="1" x14ac:dyDescent="0.2">
      <c r="C4129" s="5"/>
      <c r="D4129" s="5"/>
    </row>
    <row r="4130" spans="3:4" customFormat="1" x14ac:dyDescent="0.2">
      <c r="C4130" s="5"/>
      <c r="D4130" s="5"/>
    </row>
    <row r="4131" spans="3:4" customFormat="1" x14ac:dyDescent="0.2">
      <c r="C4131" s="5"/>
      <c r="D4131" s="5"/>
    </row>
    <row r="4132" spans="3:4" customFormat="1" x14ac:dyDescent="0.2">
      <c r="C4132" s="5"/>
      <c r="D4132" s="5"/>
    </row>
    <row r="4133" spans="3:4" customFormat="1" x14ac:dyDescent="0.2">
      <c r="C4133" s="5"/>
      <c r="D4133" s="5"/>
    </row>
    <row r="4134" spans="3:4" customFormat="1" x14ac:dyDescent="0.2">
      <c r="C4134" s="5"/>
      <c r="D4134" s="5"/>
    </row>
    <row r="4135" spans="3:4" customFormat="1" x14ac:dyDescent="0.2">
      <c r="C4135" s="5"/>
      <c r="D4135" s="5"/>
    </row>
    <row r="4136" spans="3:4" customFormat="1" x14ac:dyDescent="0.2">
      <c r="C4136" s="5"/>
      <c r="D4136" s="5"/>
    </row>
    <row r="4137" spans="3:4" customFormat="1" x14ac:dyDescent="0.2">
      <c r="C4137" s="5"/>
      <c r="D4137" s="5"/>
    </row>
    <row r="4138" spans="3:4" customFormat="1" x14ac:dyDescent="0.2">
      <c r="C4138" s="5"/>
      <c r="D4138" s="5"/>
    </row>
    <row r="4139" spans="3:4" customFormat="1" x14ac:dyDescent="0.2">
      <c r="C4139" s="5"/>
      <c r="D4139" s="5"/>
    </row>
    <row r="4140" spans="3:4" customFormat="1" x14ac:dyDescent="0.2">
      <c r="C4140" s="5"/>
      <c r="D4140" s="5"/>
    </row>
    <row r="4141" spans="3:4" customFormat="1" x14ac:dyDescent="0.2">
      <c r="C4141" s="5"/>
      <c r="D4141" s="5"/>
    </row>
    <row r="4142" spans="3:4" customFormat="1" x14ac:dyDescent="0.2">
      <c r="C4142" s="5"/>
      <c r="D4142" s="5"/>
    </row>
    <row r="4143" spans="3:4" customFormat="1" x14ac:dyDescent="0.2">
      <c r="C4143" s="5"/>
      <c r="D4143" s="5"/>
    </row>
    <row r="4144" spans="3:4" customFormat="1" x14ac:dyDescent="0.2">
      <c r="C4144" s="5"/>
      <c r="D4144" s="5"/>
    </row>
    <row r="4145" spans="3:4" customFormat="1" x14ac:dyDescent="0.2">
      <c r="C4145" s="5"/>
      <c r="D4145" s="5"/>
    </row>
    <row r="4146" spans="3:4" customFormat="1" x14ac:dyDescent="0.2">
      <c r="C4146" s="5"/>
      <c r="D4146" s="5"/>
    </row>
    <row r="4147" spans="3:4" customFormat="1" x14ac:dyDescent="0.2">
      <c r="C4147" s="5"/>
      <c r="D4147" s="5"/>
    </row>
    <row r="4148" spans="3:4" customFormat="1" x14ac:dyDescent="0.2">
      <c r="C4148" s="5"/>
      <c r="D4148" s="5"/>
    </row>
    <row r="4149" spans="3:4" customFormat="1" x14ac:dyDescent="0.2">
      <c r="C4149" s="5"/>
      <c r="D4149" s="5"/>
    </row>
    <row r="4150" spans="3:4" customFormat="1" x14ac:dyDescent="0.2">
      <c r="C4150" s="5"/>
      <c r="D4150" s="5"/>
    </row>
    <row r="4151" spans="3:4" customFormat="1" x14ac:dyDescent="0.2">
      <c r="C4151" s="5"/>
      <c r="D4151" s="5"/>
    </row>
    <row r="4152" spans="3:4" customFormat="1" x14ac:dyDescent="0.2">
      <c r="C4152" s="5"/>
      <c r="D4152" s="5"/>
    </row>
    <row r="4153" spans="3:4" customFormat="1" x14ac:dyDescent="0.2">
      <c r="C4153" s="5"/>
      <c r="D4153" s="5"/>
    </row>
    <row r="4154" spans="3:4" customFormat="1" x14ac:dyDescent="0.2">
      <c r="C4154" s="5"/>
      <c r="D4154" s="5"/>
    </row>
    <row r="4155" spans="3:4" customFormat="1" x14ac:dyDescent="0.2">
      <c r="C4155" s="5"/>
      <c r="D4155" s="5"/>
    </row>
    <row r="4156" spans="3:4" customFormat="1" x14ac:dyDescent="0.2">
      <c r="C4156" s="5"/>
      <c r="D4156" s="5"/>
    </row>
    <row r="4157" spans="3:4" customFormat="1" x14ac:dyDescent="0.2">
      <c r="C4157" s="5"/>
      <c r="D4157" s="5"/>
    </row>
    <row r="4158" spans="3:4" customFormat="1" x14ac:dyDescent="0.2">
      <c r="C4158" s="5"/>
      <c r="D4158" s="5"/>
    </row>
    <row r="4159" spans="3:4" customFormat="1" x14ac:dyDescent="0.2">
      <c r="C4159" s="5"/>
      <c r="D4159" s="5"/>
    </row>
    <row r="4160" spans="3:4" customFormat="1" x14ac:dyDescent="0.2">
      <c r="C4160" s="5"/>
      <c r="D4160" s="5"/>
    </row>
    <row r="4161" spans="3:4" customFormat="1" x14ac:dyDescent="0.2">
      <c r="C4161" s="5"/>
      <c r="D4161" s="5"/>
    </row>
    <row r="4162" spans="3:4" customFormat="1" x14ac:dyDescent="0.2">
      <c r="C4162" s="5"/>
      <c r="D4162" s="5"/>
    </row>
    <row r="4163" spans="3:4" customFormat="1" x14ac:dyDescent="0.2">
      <c r="C4163" s="5"/>
      <c r="D4163" s="5"/>
    </row>
    <row r="4164" spans="3:4" customFormat="1" x14ac:dyDescent="0.2">
      <c r="C4164" s="5"/>
      <c r="D4164" s="5"/>
    </row>
    <row r="4165" spans="3:4" customFormat="1" x14ac:dyDescent="0.2">
      <c r="C4165" s="5"/>
      <c r="D4165" s="5"/>
    </row>
    <row r="4166" spans="3:4" customFormat="1" x14ac:dyDescent="0.2">
      <c r="C4166" s="5"/>
      <c r="D4166" s="5"/>
    </row>
    <row r="4167" spans="3:4" customFormat="1" x14ac:dyDescent="0.2">
      <c r="C4167" s="5"/>
      <c r="D4167" s="5"/>
    </row>
    <row r="4168" spans="3:4" customFormat="1" x14ac:dyDescent="0.2">
      <c r="C4168" s="5"/>
      <c r="D4168" s="5"/>
    </row>
    <row r="4169" spans="3:4" customFormat="1" x14ac:dyDescent="0.2">
      <c r="C4169" s="5"/>
      <c r="D4169" s="5"/>
    </row>
    <row r="4170" spans="3:4" customFormat="1" x14ac:dyDescent="0.2">
      <c r="C4170" s="5"/>
      <c r="D4170" s="5"/>
    </row>
    <row r="4171" spans="3:4" customFormat="1" x14ac:dyDescent="0.2">
      <c r="C4171" s="5"/>
      <c r="D4171" s="5"/>
    </row>
    <row r="4172" spans="3:4" customFormat="1" x14ac:dyDescent="0.2">
      <c r="C4172" s="5"/>
      <c r="D4172" s="5"/>
    </row>
    <row r="4173" spans="3:4" customFormat="1" x14ac:dyDescent="0.2">
      <c r="C4173" s="5"/>
      <c r="D4173" s="5"/>
    </row>
    <row r="4174" spans="3:4" customFormat="1" x14ac:dyDescent="0.2">
      <c r="C4174" s="5"/>
      <c r="D4174" s="5"/>
    </row>
    <row r="4175" spans="3:4" customFormat="1" x14ac:dyDescent="0.2">
      <c r="C4175" s="5"/>
      <c r="D4175" s="5"/>
    </row>
    <row r="4176" spans="3:4" customFormat="1" x14ac:dyDescent="0.2">
      <c r="C4176" s="5"/>
      <c r="D4176" s="5"/>
    </row>
    <row r="4177" spans="3:4" customFormat="1" x14ac:dyDescent="0.2">
      <c r="C4177" s="5"/>
      <c r="D4177" s="5"/>
    </row>
    <row r="4178" spans="3:4" customFormat="1" x14ac:dyDescent="0.2">
      <c r="C4178" s="5"/>
      <c r="D4178" s="5"/>
    </row>
    <row r="4179" spans="3:4" customFormat="1" x14ac:dyDescent="0.2">
      <c r="C4179" s="5"/>
      <c r="D4179" s="5"/>
    </row>
    <row r="4180" spans="3:4" customFormat="1" x14ac:dyDescent="0.2">
      <c r="C4180" s="5"/>
      <c r="D4180" s="5"/>
    </row>
    <row r="4181" spans="3:4" customFormat="1" x14ac:dyDescent="0.2">
      <c r="C4181" s="5"/>
      <c r="D4181" s="5"/>
    </row>
    <row r="4182" spans="3:4" customFormat="1" x14ac:dyDescent="0.2">
      <c r="C4182" s="5"/>
      <c r="D4182" s="5"/>
    </row>
    <row r="4183" spans="3:4" customFormat="1" x14ac:dyDescent="0.2">
      <c r="C4183" s="5"/>
      <c r="D4183" s="5"/>
    </row>
    <row r="4184" spans="3:4" customFormat="1" x14ac:dyDescent="0.2">
      <c r="C4184" s="5"/>
      <c r="D4184" s="5"/>
    </row>
    <row r="4185" spans="3:4" customFormat="1" x14ac:dyDescent="0.2">
      <c r="C4185" s="5"/>
      <c r="D4185" s="5"/>
    </row>
    <row r="4186" spans="3:4" customFormat="1" x14ac:dyDescent="0.2">
      <c r="C4186" s="5"/>
      <c r="D4186" s="5"/>
    </row>
    <row r="4187" spans="3:4" customFormat="1" x14ac:dyDescent="0.2">
      <c r="C4187" s="5"/>
      <c r="D4187" s="5"/>
    </row>
    <row r="4188" spans="3:4" customFormat="1" x14ac:dyDescent="0.2">
      <c r="C4188" s="5"/>
      <c r="D4188" s="5"/>
    </row>
    <row r="4189" spans="3:4" customFormat="1" x14ac:dyDescent="0.2">
      <c r="C4189" s="5"/>
      <c r="D4189" s="5"/>
    </row>
    <row r="4190" spans="3:4" customFormat="1" x14ac:dyDescent="0.2">
      <c r="C4190" s="5"/>
      <c r="D4190" s="5"/>
    </row>
    <row r="4191" spans="3:4" customFormat="1" x14ac:dyDescent="0.2">
      <c r="C4191" s="5"/>
      <c r="D4191" s="5"/>
    </row>
    <row r="4192" spans="3:4" customFormat="1" x14ac:dyDescent="0.2">
      <c r="C4192" s="5"/>
      <c r="D4192" s="5"/>
    </row>
    <row r="4193" spans="3:4" customFormat="1" x14ac:dyDescent="0.2">
      <c r="C4193" s="5"/>
      <c r="D4193" s="5"/>
    </row>
    <row r="4194" spans="3:4" customFormat="1" x14ac:dyDescent="0.2">
      <c r="C4194" s="5"/>
      <c r="D4194" s="5"/>
    </row>
    <row r="4195" spans="3:4" customFormat="1" x14ac:dyDescent="0.2">
      <c r="C4195" s="5"/>
      <c r="D4195" s="5"/>
    </row>
    <row r="4196" spans="3:4" customFormat="1" x14ac:dyDescent="0.2">
      <c r="C4196" s="5"/>
      <c r="D4196" s="5"/>
    </row>
    <row r="4197" spans="3:4" customFormat="1" x14ac:dyDescent="0.2">
      <c r="C4197" s="5"/>
      <c r="D4197" s="5"/>
    </row>
    <row r="4198" spans="3:4" customFormat="1" x14ac:dyDescent="0.2">
      <c r="C4198" s="5"/>
      <c r="D4198" s="5"/>
    </row>
    <row r="4199" spans="3:4" customFormat="1" x14ac:dyDescent="0.2">
      <c r="C4199" s="5"/>
      <c r="D4199" s="5"/>
    </row>
    <row r="4200" spans="3:4" customFormat="1" x14ac:dyDescent="0.2">
      <c r="C4200" s="5"/>
      <c r="D4200" s="5"/>
    </row>
    <row r="4201" spans="3:4" customFormat="1" x14ac:dyDescent="0.2">
      <c r="C4201" s="5"/>
      <c r="D4201" s="5"/>
    </row>
    <row r="4202" spans="3:4" customFormat="1" x14ac:dyDescent="0.2">
      <c r="C4202" s="5"/>
      <c r="D4202" s="5"/>
    </row>
    <row r="4203" spans="3:4" customFormat="1" x14ac:dyDescent="0.2">
      <c r="C4203" s="5"/>
      <c r="D4203" s="5"/>
    </row>
    <row r="4204" spans="3:4" customFormat="1" x14ac:dyDescent="0.2">
      <c r="C4204" s="5"/>
      <c r="D4204" s="5"/>
    </row>
    <row r="4205" spans="3:4" customFormat="1" x14ac:dyDescent="0.2">
      <c r="C4205" s="5"/>
      <c r="D4205" s="5"/>
    </row>
    <row r="4206" spans="3:4" customFormat="1" x14ac:dyDescent="0.2">
      <c r="C4206" s="5"/>
      <c r="D4206" s="5"/>
    </row>
    <row r="4207" spans="3:4" customFormat="1" x14ac:dyDescent="0.2">
      <c r="C4207" s="5"/>
      <c r="D4207" s="5"/>
    </row>
    <row r="4208" spans="3:4" customFormat="1" x14ac:dyDescent="0.2">
      <c r="C4208" s="5"/>
      <c r="D4208" s="5"/>
    </row>
    <row r="4209" spans="3:4" customFormat="1" x14ac:dyDescent="0.2">
      <c r="C4209" s="5"/>
      <c r="D4209" s="5"/>
    </row>
    <row r="4210" spans="3:4" customFormat="1" x14ac:dyDescent="0.2">
      <c r="C4210" s="5"/>
      <c r="D4210" s="5"/>
    </row>
    <row r="4211" spans="3:4" customFormat="1" x14ac:dyDescent="0.2">
      <c r="C4211" s="5"/>
      <c r="D4211" s="5"/>
    </row>
    <row r="4212" spans="3:4" customFormat="1" x14ac:dyDescent="0.2">
      <c r="C4212" s="5"/>
      <c r="D4212" s="5"/>
    </row>
    <row r="4213" spans="3:4" customFormat="1" x14ac:dyDescent="0.2">
      <c r="C4213" s="5"/>
      <c r="D4213" s="5"/>
    </row>
    <row r="4214" spans="3:4" customFormat="1" x14ac:dyDescent="0.2">
      <c r="C4214" s="5"/>
      <c r="D4214" s="5"/>
    </row>
    <row r="4215" spans="3:4" customFormat="1" x14ac:dyDescent="0.2">
      <c r="C4215" s="5"/>
      <c r="D4215" s="5"/>
    </row>
    <row r="4216" spans="3:4" customFormat="1" x14ac:dyDescent="0.2">
      <c r="C4216" s="5"/>
      <c r="D4216" s="5"/>
    </row>
    <row r="4217" spans="3:4" customFormat="1" x14ac:dyDescent="0.2">
      <c r="C4217" s="5"/>
      <c r="D4217" s="5"/>
    </row>
    <row r="4218" spans="3:4" customFormat="1" x14ac:dyDescent="0.2">
      <c r="C4218" s="5"/>
      <c r="D4218" s="5"/>
    </row>
    <row r="4219" spans="3:4" customFormat="1" x14ac:dyDescent="0.2">
      <c r="C4219" s="5"/>
      <c r="D4219" s="5"/>
    </row>
    <row r="4220" spans="3:4" customFormat="1" x14ac:dyDescent="0.2">
      <c r="C4220" s="5"/>
      <c r="D4220" s="5"/>
    </row>
    <row r="4221" spans="3:4" customFormat="1" x14ac:dyDescent="0.2">
      <c r="C4221" s="5"/>
      <c r="D4221" s="5"/>
    </row>
    <row r="4222" spans="3:4" customFormat="1" x14ac:dyDescent="0.2">
      <c r="C4222" s="5"/>
      <c r="D4222" s="5"/>
    </row>
    <row r="4223" spans="3:4" customFormat="1" x14ac:dyDescent="0.2">
      <c r="C4223" s="5"/>
      <c r="D4223" s="5"/>
    </row>
    <row r="4224" spans="3:4" customFormat="1" x14ac:dyDescent="0.2">
      <c r="C4224" s="5"/>
      <c r="D4224" s="5"/>
    </row>
    <row r="4225" spans="3:4" customFormat="1" x14ac:dyDescent="0.2">
      <c r="C4225" s="5"/>
      <c r="D4225" s="5"/>
    </row>
    <row r="4226" spans="3:4" customFormat="1" x14ac:dyDescent="0.2">
      <c r="C4226" s="5"/>
      <c r="D4226" s="5"/>
    </row>
    <row r="4227" spans="3:4" customFormat="1" x14ac:dyDescent="0.2">
      <c r="C4227" s="5"/>
      <c r="D4227" s="5"/>
    </row>
    <row r="4228" spans="3:4" customFormat="1" x14ac:dyDescent="0.2">
      <c r="C4228" s="5"/>
      <c r="D4228" s="5"/>
    </row>
    <row r="4229" spans="3:4" customFormat="1" x14ac:dyDescent="0.2">
      <c r="C4229" s="5"/>
      <c r="D4229" s="5"/>
    </row>
    <row r="4230" spans="3:4" customFormat="1" x14ac:dyDescent="0.2">
      <c r="C4230" s="5"/>
      <c r="D4230" s="5"/>
    </row>
    <row r="4231" spans="3:4" customFormat="1" x14ac:dyDescent="0.2">
      <c r="C4231" s="5"/>
      <c r="D4231" s="5"/>
    </row>
    <row r="4232" spans="3:4" customFormat="1" x14ac:dyDescent="0.2">
      <c r="C4232" s="5"/>
      <c r="D4232" s="5"/>
    </row>
    <row r="4233" spans="3:4" customFormat="1" x14ac:dyDescent="0.2">
      <c r="C4233" s="5"/>
      <c r="D4233" s="5"/>
    </row>
    <row r="4234" spans="3:4" customFormat="1" x14ac:dyDescent="0.2">
      <c r="C4234" s="5"/>
      <c r="D4234" s="5"/>
    </row>
    <row r="4235" spans="3:4" customFormat="1" x14ac:dyDescent="0.2">
      <c r="C4235" s="5"/>
      <c r="D4235" s="5"/>
    </row>
    <row r="4236" spans="3:4" customFormat="1" x14ac:dyDescent="0.2">
      <c r="C4236" s="5"/>
      <c r="D4236" s="5"/>
    </row>
    <row r="4237" spans="3:4" customFormat="1" x14ac:dyDescent="0.2">
      <c r="C4237" s="5"/>
      <c r="D4237" s="5"/>
    </row>
    <row r="4238" spans="3:4" customFormat="1" x14ac:dyDescent="0.2">
      <c r="C4238" s="5"/>
      <c r="D4238" s="5"/>
    </row>
    <row r="4239" spans="3:4" customFormat="1" x14ac:dyDescent="0.2">
      <c r="C4239" s="5"/>
      <c r="D4239" s="5"/>
    </row>
    <row r="4240" spans="3:4" customFormat="1" x14ac:dyDescent="0.2">
      <c r="C4240" s="5"/>
      <c r="D4240" s="5"/>
    </row>
    <row r="4241" spans="3:4" customFormat="1" x14ac:dyDescent="0.2">
      <c r="C4241" s="5"/>
      <c r="D4241" s="5"/>
    </row>
    <row r="4242" spans="3:4" customFormat="1" x14ac:dyDescent="0.2">
      <c r="C4242" s="5"/>
      <c r="D4242" s="5"/>
    </row>
    <row r="4243" spans="3:4" customFormat="1" x14ac:dyDescent="0.2">
      <c r="C4243" s="5"/>
      <c r="D4243" s="5"/>
    </row>
    <row r="4244" spans="3:4" customFormat="1" x14ac:dyDescent="0.2">
      <c r="C4244" s="5"/>
      <c r="D4244" s="5"/>
    </row>
    <row r="4245" spans="3:4" customFormat="1" x14ac:dyDescent="0.2">
      <c r="C4245" s="5"/>
      <c r="D4245" s="5"/>
    </row>
    <row r="4246" spans="3:4" customFormat="1" x14ac:dyDescent="0.2">
      <c r="C4246" s="5"/>
      <c r="D4246" s="5"/>
    </row>
    <row r="4247" spans="3:4" customFormat="1" x14ac:dyDescent="0.2">
      <c r="C4247" s="5"/>
      <c r="D4247" s="5"/>
    </row>
    <row r="4248" spans="3:4" customFormat="1" x14ac:dyDescent="0.2">
      <c r="C4248" s="5"/>
      <c r="D4248" s="5"/>
    </row>
    <row r="4249" spans="3:4" customFormat="1" x14ac:dyDescent="0.2">
      <c r="C4249" s="5"/>
      <c r="D4249" s="5"/>
    </row>
    <row r="4250" spans="3:4" customFormat="1" x14ac:dyDescent="0.2">
      <c r="C4250" s="5"/>
      <c r="D4250" s="5"/>
    </row>
    <row r="4251" spans="3:4" customFormat="1" x14ac:dyDescent="0.2">
      <c r="C4251" s="5"/>
      <c r="D4251" s="5"/>
    </row>
    <row r="4252" spans="3:4" customFormat="1" x14ac:dyDescent="0.2">
      <c r="C4252" s="5"/>
      <c r="D4252" s="5"/>
    </row>
    <row r="4253" spans="3:4" customFormat="1" x14ac:dyDescent="0.2">
      <c r="C4253" s="5"/>
      <c r="D4253" s="5"/>
    </row>
    <row r="4254" spans="3:4" customFormat="1" x14ac:dyDescent="0.2">
      <c r="C4254" s="5"/>
      <c r="D4254" s="5"/>
    </row>
    <row r="4255" spans="3:4" customFormat="1" x14ac:dyDescent="0.2">
      <c r="C4255" s="5"/>
      <c r="D4255" s="5"/>
    </row>
    <row r="4256" spans="3:4" customFormat="1" x14ac:dyDescent="0.2">
      <c r="C4256" s="5"/>
      <c r="D4256" s="5"/>
    </row>
    <row r="4257" spans="3:4" customFormat="1" x14ac:dyDescent="0.2">
      <c r="C4257" s="5"/>
      <c r="D4257" s="5"/>
    </row>
    <row r="4258" spans="3:4" customFormat="1" x14ac:dyDescent="0.2">
      <c r="C4258" s="5"/>
      <c r="D4258" s="5"/>
    </row>
    <row r="4259" spans="3:4" customFormat="1" x14ac:dyDescent="0.2">
      <c r="C4259" s="5"/>
      <c r="D4259" s="5"/>
    </row>
    <row r="4260" spans="3:4" customFormat="1" x14ac:dyDescent="0.2">
      <c r="C4260" s="5"/>
      <c r="D4260" s="5"/>
    </row>
    <row r="4261" spans="3:4" customFormat="1" x14ac:dyDescent="0.2">
      <c r="C4261" s="5"/>
      <c r="D4261" s="5"/>
    </row>
    <row r="4262" spans="3:4" customFormat="1" x14ac:dyDescent="0.2">
      <c r="C4262" s="5"/>
      <c r="D4262" s="5"/>
    </row>
    <row r="4263" spans="3:4" customFormat="1" x14ac:dyDescent="0.2">
      <c r="C4263" s="5"/>
      <c r="D4263" s="5"/>
    </row>
    <row r="4264" spans="3:4" customFormat="1" x14ac:dyDescent="0.2">
      <c r="C4264" s="5"/>
      <c r="D4264" s="5"/>
    </row>
    <row r="4265" spans="3:4" customFormat="1" x14ac:dyDescent="0.2">
      <c r="C4265" s="5"/>
      <c r="D4265" s="5"/>
    </row>
    <row r="4266" spans="3:4" customFormat="1" x14ac:dyDescent="0.2">
      <c r="C4266" s="5"/>
      <c r="D4266" s="5"/>
    </row>
    <row r="4267" spans="3:4" customFormat="1" x14ac:dyDescent="0.2">
      <c r="C4267" s="5"/>
      <c r="D4267" s="5"/>
    </row>
    <row r="4268" spans="3:4" customFormat="1" x14ac:dyDescent="0.2">
      <c r="C4268" s="5"/>
      <c r="D4268" s="5"/>
    </row>
    <row r="4269" spans="3:4" customFormat="1" x14ac:dyDescent="0.2">
      <c r="C4269" s="5"/>
      <c r="D4269" s="5"/>
    </row>
    <row r="4270" spans="3:4" customFormat="1" x14ac:dyDescent="0.2">
      <c r="C4270" s="5"/>
      <c r="D4270" s="5"/>
    </row>
    <row r="4271" spans="3:4" customFormat="1" x14ac:dyDescent="0.2">
      <c r="C4271" s="5"/>
      <c r="D4271" s="5"/>
    </row>
    <row r="4272" spans="3:4" customFormat="1" x14ac:dyDescent="0.2">
      <c r="C4272" s="5"/>
      <c r="D4272" s="5"/>
    </row>
    <row r="4273" spans="3:4" customFormat="1" x14ac:dyDescent="0.2">
      <c r="C4273" s="5"/>
      <c r="D4273" s="5"/>
    </row>
    <row r="4274" spans="3:4" customFormat="1" x14ac:dyDescent="0.2">
      <c r="C4274" s="5"/>
      <c r="D4274" s="5"/>
    </row>
    <row r="4275" spans="3:4" customFormat="1" x14ac:dyDescent="0.2">
      <c r="C4275" s="5"/>
      <c r="D4275" s="5"/>
    </row>
    <row r="4276" spans="3:4" customFormat="1" x14ac:dyDescent="0.2">
      <c r="C4276" s="5"/>
      <c r="D4276" s="5"/>
    </row>
    <row r="4277" spans="3:4" customFormat="1" x14ac:dyDescent="0.2">
      <c r="C4277" s="5"/>
      <c r="D4277" s="5"/>
    </row>
    <row r="4278" spans="3:4" customFormat="1" x14ac:dyDescent="0.2">
      <c r="C4278" s="5"/>
      <c r="D4278" s="5"/>
    </row>
    <row r="4279" spans="3:4" customFormat="1" x14ac:dyDescent="0.2">
      <c r="C4279" s="5"/>
      <c r="D4279" s="5"/>
    </row>
    <row r="4280" spans="3:4" customFormat="1" x14ac:dyDescent="0.2">
      <c r="C4280" s="5"/>
      <c r="D4280" s="5"/>
    </row>
    <row r="4281" spans="3:4" customFormat="1" x14ac:dyDescent="0.2">
      <c r="C4281" s="5"/>
      <c r="D4281" s="5"/>
    </row>
    <row r="4282" spans="3:4" customFormat="1" x14ac:dyDescent="0.2">
      <c r="C4282" s="5"/>
      <c r="D4282" s="5"/>
    </row>
    <row r="4283" spans="3:4" customFormat="1" x14ac:dyDescent="0.2">
      <c r="C4283" s="5"/>
      <c r="D4283" s="5"/>
    </row>
    <row r="4284" spans="3:4" customFormat="1" x14ac:dyDescent="0.2">
      <c r="C4284" s="5"/>
      <c r="D4284" s="5"/>
    </row>
    <row r="4285" spans="3:4" customFormat="1" x14ac:dyDescent="0.2">
      <c r="C4285" s="5"/>
      <c r="D4285" s="5"/>
    </row>
    <row r="4286" spans="3:4" customFormat="1" x14ac:dyDescent="0.2">
      <c r="C4286" s="5"/>
      <c r="D4286" s="5"/>
    </row>
    <row r="4287" spans="3:4" customFormat="1" x14ac:dyDescent="0.2">
      <c r="C4287" s="5"/>
      <c r="D4287" s="5"/>
    </row>
    <row r="4288" spans="3:4" customFormat="1" x14ac:dyDescent="0.2">
      <c r="C4288" s="5"/>
      <c r="D4288" s="5"/>
    </row>
    <row r="4289" spans="3:4" customFormat="1" x14ac:dyDescent="0.2">
      <c r="C4289" s="5"/>
      <c r="D4289" s="5"/>
    </row>
    <row r="4290" spans="3:4" customFormat="1" x14ac:dyDescent="0.2">
      <c r="C4290" s="5"/>
      <c r="D4290" s="5"/>
    </row>
    <row r="4291" spans="3:4" customFormat="1" x14ac:dyDescent="0.2">
      <c r="C4291" s="5"/>
      <c r="D4291" s="5"/>
    </row>
    <row r="4292" spans="3:4" customFormat="1" x14ac:dyDescent="0.2">
      <c r="C4292" s="5"/>
      <c r="D4292" s="5"/>
    </row>
    <row r="4293" spans="3:4" customFormat="1" x14ac:dyDescent="0.2">
      <c r="C4293" s="5"/>
      <c r="D4293" s="5"/>
    </row>
    <row r="4294" spans="3:4" customFormat="1" x14ac:dyDescent="0.2">
      <c r="C4294" s="5"/>
      <c r="D4294" s="5"/>
    </row>
    <row r="4295" spans="3:4" customFormat="1" x14ac:dyDescent="0.2">
      <c r="C4295" s="5"/>
      <c r="D4295" s="5"/>
    </row>
    <row r="4296" spans="3:4" customFormat="1" x14ac:dyDescent="0.2">
      <c r="C4296" s="5"/>
      <c r="D4296" s="5"/>
    </row>
    <row r="4297" spans="3:4" customFormat="1" x14ac:dyDescent="0.2">
      <c r="C4297" s="5"/>
      <c r="D4297" s="5"/>
    </row>
    <row r="4298" spans="3:4" customFormat="1" x14ac:dyDescent="0.2">
      <c r="C4298" s="5"/>
      <c r="D4298" s="5"/>
    </row>
    <row r="4299" spans="3:4" customFormat="1" x14ac:dyDescent="0.2">
      <c r="C4299" s="5"/>
      <c r="D4299" s="5"/>
    </row>
    <row r="4300" spans="3:4" customFormat="1" x14ac:dyDescent="0.2">
      <c r="C4300" s="5"/>
      <c r="D4300" s="5"/>
    </row>
    <row r="4301" spans="3:4" customFormat="1" x14ac:dyDescent="0.2">
      <c r="C4301" s="5"/>
      <c r="D4301" s="5"/>
    </row>
    <row r="4302" spans="3:4" customFormat="1" x14ac:dyDescent="0.2">
      <c r="C4302" s="5"/>
      <c r="D4302" s="5"/>
    </row>
    <row r="4303" spans="3:4" customFormat="1" x14ac:dyDescent="0.2">
      <c r="C4303" s="5"/>
      <c r="D4303" s="5"/>
    </row>
    <row r="4304" spans="3:4" customFormat="1" x14ac:dyDescent="0.2">
      <c r="C4304" s="5"/>
      <c r="D4304" s="5"/>
    </row>
    <row r="4305" spans="3:4" customFormat="1" x14ac:dyDescent="0.2">
      <c r="C4305" s="5"/>
      <c r="D4305" s="5"/>
    </row>
    <row r="4306" spans="3:4" customFormat="1" x14ac:dyDescent="0.2">
      <c r="C4306" s="5"/>
      <c r="D4306" s="5"/>
    </row>
    <row r="4307" spans="3:4" customFormat="1" x14ac:dyDescent="0.2">
      <c r="C4307" s="5"/>
      <c r="D4307" s="5"/>
    </row>
    <row r="4308" spans="3:4" customFormat="1" x14ac:dyDescent="0.2">
      <c r="C4308" s="5"/>
      <c r="D4308" s="5"/>
    </row>
    <row r="4309" spans="3:4" customFormat="1" x14ac:dyDescent="0.2">
      <c r="C4309" s="5"/>
      <c r="D4309" s="5"/>
    </row>
    <row r="4310" spans="3:4" customFormat="1" x14ac:dyDescent="0.2">
      <c r="C4310" s="5"/>
      <c r="D4310" s="5"/>
    </row>
    <row r="4311" spans="3:4" customFormat="1" x14ac:dyDescent="0.2">
      <c r="C4311" s="5"/>
      <c r="D4311" s="5"/>
    </row>
    <row r="4312" spans="3:4" customFormat="1" x14ac:dyDescent="0.2">
      <c r="C4312" s="5"/>
      <c r="D4312" s="5"/>
    </row>
    <row r="4313" spans="3:4" customFormat="1" x14ac:dyDescent="0.2">
      <c r="C4313" s="5"/>
      <c r="D4313" s="5"/>
    </row>
    <row r="4314" spans="3:4" customFormat="1" x14ac:dyDescent="0.2">
      <c r="C4314" s="5"/>
      <c r="D4314" s="5"/>
    </row>
    <row r="4315" spans="3:4" customFormat="1" x14ac:dyDescent="0.2">
      <c r="C4315" s="5"/>
      <c r="D4315" s="5"/>
    </row>
    <row r="4316" spans="3:4" customFormat="1" x14ac:dyDescent="0.2">
      <c r="C4316" s="5"/>
      <c r="D4316" s="5"/>
    </row>
    <row r="4317" spans="3:4" customFormat="1" x14ac:dyDescent="0.2">
      <c r="C4317" s="5"/>
      <c r="D4317" s="5"/>
    </row>
    <row r="4318" spans="3:4" customFormat="1" x14ac:dyDescent="0.2">
      <c r="C4318" s="5"/>
      <c r="D4318" s="5"/>
    </row>
    <row r="4319" spans="3:4" customFormat="1" x14ac:dyDescent="0.2">
      <c r="C4319" s="5"/>
      <c r="D4319" s="5"/>
    </row>
    <row r="4320" spans="3:4" customFormat="1" x14ac:dyDescent="0.2">
      <c r="C4320" s="5"/>
      <c r="D4320" s="5"/>
    </row>
    <row r="4321" spans="3:4" customFormat="1" x14ac:dyDescent="0.2">
      <c r="C4321" s="5"/>
      <c r="D4321" s="5"/>
    </row>
    <row r="4322" spans="3:4" customFormat="1" x14ac:dyDescent="0.2">
      <c r="C4322" s="5"/>
      <c r="D4322" s="5"/>
    </row>
    <row r="4323" spans="3:4" customFormat="1" x14ac:dyDescent="0.2">
      <c r="C4323" s="5"/>
      <c r="D4323" s="5"/>
    </row>
    <row r="4324" spans="3:4" customFormat="1" x14ac:dyDescent="0.2">
      <c r="C4324" s="5"/>
      <c r="D4324" s="5"/>
    </row>
    <row r="4325" spans="3:4" customFormat="1" x14ac:dyDescent="0.2">
      <c r="C4325" s="5"/>
      <c r="D4325" s="5"/>
    </row>
    <row r="4326" spans="3:4" customFormat="1" x14ac:dyDescent="0.2">
      <c r="C4326" s="5"/>
      <c r="D4326" s="5"/>
    </row>
    <row r="4327" spans="3:4" customFormat="1" x14ac:dyDescent="0.2">
      <c r="C4327" s="5"/>
      <c r="D4327" s="5"/>
    </row>
    <row r="4328" spans="3:4" customFormat="1" x14ac:dyDescent="0.2">
      <c r="C4328" s="5"/>
      <c r="D4328" s="5"/>
    </row>
    <row r="4329" spans="3:4" customFormat="1" x14ac:dyDescent="0.2">
      <c r="C4329" s="5"/>
      <c r="D4329" s="5"/>
    </row>
    <row r="4330" spans="3:4" customFormat="1" x14ac:dyDescent="0.2">
      <c r="C4330" s="5"/>
      <c r="D4330" s="5"/>
    </row>
    <row r="4331" spans="3:4" customFormat="1" x14ac:dyDescent="0.2">
      <c r="C4331" s="5"/>
      <c r="D4331" s="5"/>
    </row>
    <row r="4332" spans="3:4" customFormat="1" x14ac:dyDescent="0.2">
      <c r="C4332" s="5"/>
      <c r="D4332" s="5"/>
    </row>
    <row r="4333" spans="3:4" customFormat="1" x14ac:dyDescent="0.2">
      <c r="C4333" s="5"/>
      <c r="D4333" s="5"/>
    </row>
    <row r="4334" spans="3:4" customFormat="1" x14ac:dyDescent="0.2">
      <c r="C4334" s="5"/>
      <c r="D4334" s="5"/>
    </row>
    <row r="4335" spans="3:4" customFormat="1" x14ac:dyDescent="0.2">
      <c r="C4335" s="5"/>
      <c r="D4335" s="5"/>
    </row>
    <row r="4336" spans="3:4" customFormat="1" x14ac:dyDescent="0.2">
      <c r="C4336" s="5"/>
      <c r="D4336" s="5"/>
    </row>
    <row r="4337" spans="3:4" customFormat="1" x14ac:dyDescent="0.2">
      <c r="C4337" s="5"/>
      <c r="D4337" s="5"/>
    </row>
    <row r="4338" spans="3:4" customFormat="1" x14ac:dyDescent="0.2">
      <c r="C4338" s="5"/>
      <c r="D4338" s="5"/>
    </row>
    <row r="4339" spans="3:4" customFormat="1" x14ac:dyDescent="0.2">
      <c r="C4339" s="5"/>
      <c r="D4339" s="5"/>
    </row>
    <row r="4340" spans="3:4" customFormat="1" x14ac:dyDescent="0.2">
      <c r="C4340" s="5"/>
      <c r="D4340" s="5"/>
    </row>
    <row r="4341" spans="3:4" customFormat="1" x14ac:dyDescent="0.2">
      <c r="C4341" s="5"/>
      <c r="D4341" s="5"/>
    </row>
    <row r="4342" spans="3:4" customFormat="1" x14ac:dyDescent="0.2">
      <c r="C4342" s="5"/>
      <c r="D4342" s="5"/>
    </row>
    <row r="4343" spans="3:4" customFormat="1" x14ac:dyDescent="0.2">
      <c r="C4343" s="5"/>
      <c r="D4343" s="5"/>
    </row>
    <row r="4344" spans="3:4" customFormat="1" x14ac:dyDescent="0.2">
      <c r="C4344" s="5"/>
      <c r="D4344" s="5"/>
    </row>
    <row r="4345" spans="3:4" customFormat="1" x14ac:dyDescent="0.2">
      <c r="C4345" s="5"/>
      <c r="D4345" s="5"/>
    </row>
    <row r="4346" spans="3:4" customFormat="1" x14ac:dyDescent="0.2">
      <c r="C4346" s="5"/>
      <c r="D4346" s="5"/>
    </row>
    <row r="4347" spans="3:4" customFormat="1" x14ac:dyDescent="0.2">
      <c r="C4347" s="5"/>
      <c r="D4347" s="5"/>
    </row>
    <row r="4348" spans="3:4" customFormat="1" x14ac:dyDescent="0.2">
      <c r="C4348" s="5"/>
      <c r="D4348" s="5"/>
    </row>
    <row r="4349" spans="3:4" customFormat="1" x14ac:dyDescent="0.2">
      <c r="C4349" s="5"/>
      <c r="D4349" s="5"/>
    </row>
    <row r="4350" spans="3:4" customFormat="1" x14ac:dyDescent="0.2">
      <c r="C4350" s="5"/>
      <c r="D4350" s="5"/>
    </row>
    <row r="4351" spans="3:4" customFormat="1" x14ac:dyDescent="0.2">
      <c r="C4351" s="5"/>
      <c r="D4351" s="5"/>
    </row>
    <row r="4352" spans="3:4" customFormat="1" x14ac:dyDescent="0.2">
      <c r="C4352" s="5"/>
      <c r="D4352" s="5"/>
    </row>
    <row r="4353" spans="3:4" customFormat="1" x14ac:dyDescent="0.2">
      <c r="C4353" s="5"/>
      <c r="D4353" s="5"/>
    </row>
    <row r="4354" spans="3:4" customFormat="1" x14ac:dyDescent="0.2">
      <c r="C4354" s="5"/>
      <c r="D4354" s="5"/>
    </row>
    <row r="4355" spans="3:4" customFormat="1" x14ac:dyDescent="0.2">
      <c r="C4355" s="5"/>
      <c r="D4355" s="5"/>
    </row>
    <row r="4356" spans="3:4" customFormat="1" x14ac:dyDescent="0.2">
      <c r="C4356" s="5"/>
      <c r="D4356" s="5"/>
    </row>
    <row r="4357" spans="3:4" customFormat="1" x14ac:dyDescent="0.2">
      <c r="C4357" s="5"/>
      <c r="D4357" s="5"/>
    </row>
    <row r="4358" spans="3:4" customFormat="1" x14ac:dyDescent="0.2">
      <c r="C4358" s="5"/>
      <c r="D4358" s="5"/>
    </row>
    <row r="4359" spans="3:4" customFormat="1" x14ac:dyDescent="0.2">
      <c r="C4359" s="5"/>
      <c r="D4359" s="5"/>
    </row>
    <row r="4360" spans="3:4" customFormat="1" x14ac:dyDescent="0.2">
      <c r="C4360" s="5"/>
      <c r="D4360" s="5"/>
    </row>
    <row r="4361" spans="3:4" customFormat="1" x14ac:dyDescent="0.2">
      <c r="C4361" s="5"/>
      <c r="D4361" s="5"/>
    </row>
    <row r="4362" spans="3:4" customFormat="1" x14ac:dyDescent="0.2">
      <c r="C4362" s="5"/>
      <c r="D4362" s="5"/>
    </row>
    <row r="4363" spans="3:4" customFormat="1" x14ac:dyDescent="0.2">
      <c r="C4363" s="5"/>
      <c r="D4363" s="5"/>
    </row>
    <row r="4364" spans="3:4" customFormat="1" x14ac:dyDescent="0.2">
      <c r="C4364" s="5"/>
      <c r="D4364" s="5"/>
    </row>
    <row r="4365" spans="3:4" customFormat="1" x14ac:dyDescent="0.2">
      <c r="C4365" s="5"/>
      <c r="D4365" s="5"/>
    </row>
    <row r="4366" spans="3:4" customFormat="1" x14ac:dyDescent="0.2">
      <c r="C4366" s="5"/>
      <c r="D4366" s="5"/>
    </row>
    <row r="4367" spans="3:4" customFormat="1" x14ac:dyDescent="0.2">
      <c r="C4367" s="5"/>
      <c r="D4367" s="5"/>
    </row>
    <row r="4368" spans="3:4" customFormat="1" x14ac:dyDescent="0.2">
      <c r="C4368" s="5"/>
      <c r="D4368" s="5"/>
    </row>
    <row r="4369" spans="3:4" customFormat="1" x14ac:dyDescent="0.2">
      <c r="C4369" s="5"/>
      <c r="D4369" s="5"/>
    </row>
    <row r="4370" spans="3:4" customFormat="1" x14ac:dyDescent="0.2">
      <c r="C4370" s="5"/>
      <c r="D4370" s="5"/>
    </row>
    <row r="4371" spans="3:4" customFormat="1" x14ac:dyDescent="0.2">
      <c r="C4371" s="5"/>
      <c r="D4371" s="5"/>
    </row>
    <row r="4372" spans="3:4" customFormat="1" x14ac:dyDescent="0.2">
      <c r="C4372" s="5"/>
      <c r="D4372" s="5"/>
    </row>
    <row r="4373" spans="3:4" customFormat="1" x14ac:dyDescent="0.2">
      <c r="C4373" s="5"/>
      <c r="D4373" s="5"/>
    </row>
    <row r="4374" spans="3:4" customFormat="1" x14ac:dyDescent="0.2">
      <c r="C4374" s="5"/>
      <c r="D4374" s="5"/>
    </row>
    <row r="4375" spans="3:4" customFormat="1" x14ac:dyDescent="0.2">
      <c r="C4375" s="5"/>
      <c r="D4375" s="5"/>
    </row>
    <row r="4376" spans="3:4" customFormat="1" x14ac:dyDescent="0.2">
      <c r="C4376" s="5"/>
      <c r="D4376" s="5"/>
    </row>
    <row r="4377" spans="3:4" customFormat="1" x14ac:dyDescent="0.2">
      <c r="C4377" s="5"/>
      <c r="D4377" s="5"/>
    </row>
    <row r="4378" spans="3:4" customFormat="1" x14ac:dyDescent="0.2">
      <c r="C4378" s="5"/>
      <c r="D4378" s="5"/>
    </row>
    <row r="4379" spans="3:4" customFormat="1" x14ac:dyDescent="0.2">
      <c r="C4379" s="5"/>
      <c r="D4379" s="5"/>
    </row>
    <row r="4380" spans="3:4" customFormat="1" x14ac:dyDescent="0.2">
      <c r="C4380" s="5"/>
      <c r="D4380" s="5"/>
    </row>
    <row r="4381" spans="3:4" customFormat="1" x14ac:dyDescent="0.2">
      <c r="C4381" s="5"/>
      <c r="D4381" s="5"/>
    </row>
    <row r="4382" spans="3:4" customFormat="1" x14ac:dyDescent="0.2">
      <c r="C4382" s="5"/>
      <c r="D4382" s="5"/>
    </row>
    <row r="4383" spans="3:4" customFormat="1" x14ac:dyDescent="0.2">
      <c r="C4383" s="5"/>
      <c r="D4383" s="5"/>
    </row>
    <row r="4384" spans="3:4" customFormat="1" x14ac:dyDescent="0.2">
      <c r="C4384" s="5"/>
      <c r="D4384" s="5"/>
    </row>
    <row r="4385" spans="3:4" customFormat="1" x14ac:dyDescent="0.2">
      <c r="C4385" s="5"/>
      <c r="D4385" s="5"/>
    </row>
    <row r="4386" spans="3:4" customFormat="1" x14ac:dyDescent="0.2">
      <c r="C4386" s="5"/>
      <c r="D4386" s="5"/>
    </row>
    <row r="4387" spans="3:4" customFormat="1" x14ac:dyDescent="0.2">
      <c r="C4387" s="5"/>
      <c r="D4387" s="5"/>
    </row>
    <row r="4388" spans="3:4" customFormat="1" x14ac:dyDescent="0.2">
      <c r="C4388" s="5"/>
      <c r="D4388" s="5"/>
    </row>
    <row r="4389" spans="3:4" customFormat="1" x14ac:dyDescent="0.2">
      <c r="C4389" s="5"/>
      <c r="D4389" s="5"/>
    </row>
    <row r="4390" spans="3:4" customFormat="1" x14ac:dyDescent="0.2">
      <c r="C4390" s="5"/>
      <c r="D4390" s="5"/>
    </row>
    <row r="4391" spans="3:4" customFormat="1" x14ac:dyDescent="0.2">
      <c r="C4391" s="5"/>
      <c r="D4391" s="5"/>
    </row>
    <row r="4392" spans="3:4" customFormat="1" x14ac:dyDescent="0.2">
      <c r="C4392" s="5"/>
      <c r="D4392" s="5"/>
    </row>
    <row r="4393" spans="3:4" customFormat="1" x14ac:dyDescent="0.2">
      <c r="C4393" s="5"/>
      <c r="D4393" s="5"/>
    </row>
    <row r="4394" spans="3:4" customFormat="1" x14ac:dyDescent="0.2">
      <c r="C4394" s="5"/>
      <c r="D4394" s="5"/>
    </row>
    <row r="4395" spans="3:4" customFormat="1" x14ac:dyDescent="0.2">
      <c r="C4395" s="5"/>
      <c r="D4395" s="5"/>
    </row>
    <row r="4396" spans="3:4" customFormat="1" x14ac:dyDescent="0.2">
      <c r="C4396" s="5"/>
      <c r="D4396" s="5"/>
    </row>
    <row r="4397" spans="3:4" customFormat="1" x14ac:dyDescent="0.2">
      <c r="C4397" s="5"/>
      <c r="D4397" s="5"/>
    </row>
    <row r="4398" spans="3:4" customFormat="1" x14ac:dyDescent="0.2">
      <c r="C4398" s="5"/>
      <c r="D4398" s="5"/>
    </row>
    <row r="4399" spans="3:4" customFormat="1" x14ac:dyDescent="0.2">
      <c r="C4399" s="5"/>
      <c r="D4399" s="5"/>
    </row>
    <row r="4400" spans="3:4" customFormat="1" x14ac:dyDescent="0.2">
      <c r="C4400" s="5"/>
      <c r="D4400" s="5"/>
    </row>
    <row r="4401" spans="3:4" customFormat="1" x14ac:dyDescent="0.2">
      <c r="C4401" s="5"/>
      <c r="D4401" s="5"/>
    </row>
    <row r="4402" spans="3:4" customFormat="1" x14ac:dyDescent="0.2">
      <c r="C4402" s="5"/>
      <c r="D4402" s="5"/>
    </row>
    <row r="4403" spans="3:4" customFormat="1" x14ac:dyDescent="0.2">
      <c r="C4403" s="5"/>
      <c r="D4403" s="5"/>
    </row>
    <row r="4404" spans="3:4" customFormat="1" x14ac:dyDescent="0.2">
      <c r="C4404" s="5"/>
      <c r="D4404" s="5"/>
    </row>
    <row r="4405" spans="3:4" customFormat="1" x14ac:dyDescent="0.2">
      <c r="C4405" s="5"/>
      <c r="D4405" s="5"/>
    </row>
    <row r="4406" spans="3:4" customFormat="1" x14ac:dyDescent="0.2">
      <c r="C4406" s="5"/>
      <c r="D4406" s="5"/>
    </row>
    <row r="4407" spans="3:4" customFormat="1" x14ac:dyDescent="0.2">
      <c r="C4407" s="5"/>
      <c r="D4407" s="5"/>
    </row>
    <row r="4408" spans="3:4" customFormat="1" x14ac:dyDescent="0.2">
      <c r="C4408" s="5"/>
      <c r="D4408" s="5"/>
    </row>
    <row r="4409" spans="3:4" customFormat="1" x14ac:dyDescent="0.2">
      <c r="C4409" s="5"/>
      <c r="D4409" s="5"/>
    </row>
    <row r="4410" spans="3:4" customFormat="1" x14ac:dyDescent="0.2">
      <c r="C4410" s="5"/>
      <c r="D4410" s="5"/>
    </row>
    <row r="4411" spans="3:4" customFormat="1" x14ac:dyDescent="0.2">
      <c r="C4411" s="5"/>
      <c r="D4411" s="5"/>
    </row>
    <row r="4412" spans="3:4" customFormat="1" x14ac:dyDescent="0.2">
      <c r="C4412" s="5"/>
      <c r="D4412" s="5"/>
    </row>
    <row r="4413" spans="3:4" customFormat="1" x14ac:dyDescent="0.2">
      <c r="C4413" s="5"/>
      <c r="D4413" s="5"/>
    </row>
    <row r="4414" spans="3:4" customFormat="1" x14ac:dyDescent="0.2">
      <c r="C4414" s="5"/>
      <c r="D4414" s="5"/>
    </row>
    <row r="4415" spans="3:4" customFormat="1" x14ac:dyDescent="0.2">
      <c r="C4415" s="5"/>
      <c r="D4415" s="5"/>
    </row>
    <row r="4416" spans="3:4" customFormat="1" x14ac:dyDescent="0.2">
      <c r="C4416" s="5"/>
      <c r="D4416" s="5"/>
    </row>
    <row r="4417" spans="3:4" customFormat="1" x14ac:dyDescent="0.2">
      <c r="C4417" s="5"/>
      <c r="D4417" s="5"/>
    </row>
    <row r="4418" spans="3:4" customFormat="1" x14ac:dyDescent="0.2">
      <c r="C4418" s="5"/>
      <c r="D4418" s="5"/>
    </row>
    <row r="4419" spans="3:4" customFormat="1" x14ac:dyDescent="0.2">
      <c r="C4419" s="5"/>
      <c r="D4419" s="5"/>
    </row>
    <row r="4420" spans="3:4" customFormat="1" x14ac:dyDescent="0.2">
      <c r="C4420" s="5"/>
      <c r="D4420" s="5"/>
    </row>
    <row r="4421" spans="3:4" customFormat="1" x14ac:dyDescent="0.2">
      <c r="C4421" s="5"/>
      <c r="D4421" s="5"/>
    </row>
    <row r="4422" spans="3:4" customFormat="1" x14ac:dyDescent="0.2">
      <c r="C4422" s="5"/>
      <c r="D4422" s="5"/>
    </row>
    <row r="4423" spans="3:4" customFormat="1" x14ac:dyDescent="0.2">
      <c r="C4423" s="5"/>
      <c r="D4423" s="5"/>
    </row>
    <row r="4424" spans="3:4" customFormat="1" x14ac:dyDescent="0.2">
      <c r="C4424" s="5"/>
      <c r="D4424" s="5"/>
    </row>
    <row r="4425" spans="3:4" customFormat="1" x14ac:dyDescent="0.2">
      <c r="C4425" s="5"/>
      <c r="D4425" s="5"/>
    </row>
    <row r="4426" spans="3:4" customFormat="1" x14ac:dyDescent="0.2">
      <c r="C4426" s="5"/>
      <c r="D4426" s="5"/>
    </row>
    <row r="4427" spans="3:4" customFormat="1" x14ac:dyDescent="0.2">
      <c r="C4427" s="5"/>
      <c r="D4427" s="5"/>
    </row>
    <row r="4428" spans="3:4" customFormat="1" x14ac:dyDescent="0.2">
      <c r="C4428" s="5"/>
      <c r="D4428" s="5"/>
    </row>
    <row r="4429" spans="3:4" customFormat="1" x14ac:dyDescent="0.2">
      <c r="C4429" s="5"/>
      <c r="D4429" s="5"/>
    </row>
    <row r="4430" spans="3:4" customFormat="1" x14ac:dyDescent="0.2">
      <c r="C4430" s="5"/>
      <c r="D4430" s="5"/>
    </row>
    <row r="4431" spans="3:4" customFormat="1" x14ac:dyDescent="0.2">
      <c r="C4431" s="5"/>
      <c r="D4431" s="5"/>
    </row>
    <row r="4432" spans="3:4" customFormat="1" x14ac:dyDescent="0.2">
      <c r="C4432" s="5"/>
      <c r="D4432" s="5"/>
    </row>
    <row r="4433" spans="3:4" customFormat="1" x14ac:dyDescent="0.2">
      <c r="C4433" s="5"/>
      <c r="D4433" s="5"/>
    </row>
    <row r="4434" spans="3:4" customFormat="1" x14ac:dyDescent="0.2">
      <c r="C4434" s="5"/>
      <c r="D4434" s="5"/>
    </row>
    <row r="4435" spans="3:4" customFormat="1" x14ac:dyDescent="0.2">
      <c r="C4435" s="5"/>
      <c r="D4435" s="5"/>
    </row>
    <row r="4436" spans="3:4" customFormat="1" x14ac:dyDescent="0.2">
      <c r="C4436" s="5"/>
      <c r="D4436" s="5"/>
    </row>
    <row r="4437" spans="3:4" customFormat="1" x14ac:dyDescent="0.2">
      <c r="C4437" s="5"/>
      <c r="D4437" s="5"/>
    </row>
    <row r="4438" spans="3:4" customFormat="1" x14ac:dyDescent="0.2">
      <c r="C4438" s="5"/>
      <c r="D4438" s="5"/>
    </row>
    <row r="4439" spans="3:4" customFormat="1" x14ac:dyDescent="0.2">
      <c r="C4439" s="5"/>
      <c r="D4439" s="5"/>
    </row>
    <row r="4440" spans="3:4" customFormat="1" x14ac:dyDescent="0.2">
      <c r="C4440" s="5"/>
      <c r="D4440" s="5"/>
    </row>
    <row r="4441" spans="3:4" customFormat="1" x14ac:dyDescent="0.2">
      <c r="C4441" s="5"/>
      <c r="D4441" s="5"/>
    </row>
    <row r="4442" spans="3:4" customFormat="1" x14ac:dyDescent="0.2">
      <c r="C4442" s="5"/>
      <c r="D4442" s="5"/>
    </row>
    <row r="4443" spans="3:4" customFormat="1" x14ac:dyDescent="0.2">
      <c r="C4443" s="5"/>
      <c r="D4443" s="5"/>
    </row>
    <row r="4444" spans="3:4" customFormat="1" x14ac:dyDescent="0.2">
      <c r="C4444" s="5"/>
      <c r="D4444" s="5"/>
    </row>
    <row r="4445" spans="3:4" customFormat="1" x14ac:dyDescent="0.2">
      <c r="C4445" s="5"/>
      <c r="D4445" s="5"/>
    </row>
    <row r="4446" spans="3:4" customFormat="1" x14ac:dyDescent="0.2">
      <c r="C4446" s="5"/>
      <c r="D4446" s="5"/>
    </row>
    <row r="4447" spans="3:4" customFormat="1" x14ac:dyDescent="0.2">
      <c r="C4447" s="5"/>
      <c r="D4447" s="5"/>
    </row>
    <row r="4448" spans="3:4" customFormat="1" x14ac:dyDescent="0.2">
      <c r="C4448" s="5"/>
      <c r="D4448" s="5"/>
    </row>
    <row r="4449" spans="3:4" customFormat="1" x14ac:dyDescent="0.2">
      <c r="C4449" s="5"/>
      <c r="D4449" s="5"/>
    </row>
    <row r="4450" spans="3:4" customFormat="1" x14ac:dyDescent="0.2">
      <c r="C4450" s="5"/>
      <c r="D4450" s="5"/>
    </row>
    <row r="4451" spans="3:4" customFormat="1" x14ac:dyDescent="0.2">
      <c r="C4451" s="5"/>
      <c r="D4451" s="5"/>
    </row>
    <row r="4452" spans="3:4" customFormat="1" x14ac:dyDescent="0.2">
      <c r="C4452" s="5"/>
      <c r="D4452" s="5"/>
    </row>
    <row r="4453" spans="3:4" customFormat="1" x14ac:dyDescent="0.2">
      <c r="C4453" s="5"/>
      <c r="D4453" s="5"/>
    </row>
    <row r="4454" spans="3:4" customFormat="1" x14ac:dyDescent="0.2">
      <c r="C4454" s="5"/>
      <c r="D4454" s="5"/>
    </row>
    <row r="4455" spans="3:4" customFormat="1" x14ac:dyDescent="0.2">
      <c r="C4455" s="5"/>
      <c r="D4455" s="5"/>
    </row>
    <row r="4456" spans="3:4" customFormat="1" x14ac:dyDescent="0.2">
      <c r="C4456" s="5"/>
      <c r="D4456" s="5"/>
    </row>
    <row r="4457" spans="3:4" customFormat="1" x14ac:dyDescent="0.2">
      <c r="C4457" s="5"/>
      <c r="D4457" s="5"/>
    </row>
    <row r="4458" spans="3:4" customFormat="1" x14ac:dyDescent="0.2">
      <c r="C4458" s="5"/>
      <c r="D4458" s="5"/>
    </row>
    <row r="4459" spans="3:4" customFormat="1" x14ac:dyDescent="0.2">
      <c r="C4459" s="5"/>
      <c r="D4459" s="5"/>
    </row>
    <row r="4460" spans="3:4" customFormat="1" x14ac:dyDescent="0.2">
      <c r="C4460" s="5"/>
      <c r="D4460" s="5"/>
    </row>
    <row r="4461" spans="3:4" customFormat="1" x14ac:dyDescent="0.2">
      <c r="C4461" s="5"/>
      <c r="D4461" s="5"/>
    </row>
    <row r="4462" spans="3:4" customFormat="1" x14ac:dyDescent="0.2">
      <c r="C4462" s="5"/>
      <c r="D4462" s="5"/>
    </row>
    <row r="4463" spans="3:4" customFormat="1" x14ac:dyDescent="0.2">
      <c r="C4463" s="5"/>
      <c r="D4463" s="5"/>
    </row>
    <row r="4464" spans="3:4" customFormat="1" x14ac:dyDescent="0.2">
      <c r="C4464" s="5"/>
      <c r="D4464" s="5"/>
    </row>
    <row r="4465" spans="3:4" customFormat="1" x14ac:dyDescent="0.2">
      <c r="C4465" s="5"/>
      <c r="D4465" s="5"/>
    </row>
    <row r="4466" spans="3:4" customFormat="1" x14ac:dyDescent="0.2">
      <c r="C4466" s="5"/>
      <c r="D4466" s="5"/>
    </row>
    <row r="4467" spans="3:4" customFormat="1" x14ac:dyDescent="0.2">
      <c r="C4467" s="5"/>
      <c r="D4467" s="5"/>
    </row>
    <row r="4468" spans="3:4" customFormat="1" x14ac:dyDescent="0.2">
      <c r="C4468" s="5"/>
      <c r="D4468" s="5"/>
    </row>
    <row r="4469" spans="3:4" customFormat="1" x14ac:dyDescent="0.2">
      <c r="C4469" s="5"/>
      <c r="D4469" s="5"/>
    </row>
    <row r="4470" spans="3:4" customFormat="1" x14ac:dyDescent="0.2">
      <c r="C4470" s="5"/>
      <c r="D4470" s="5"/>
    </row>
    <row r="4471" spans="3:4" customFormat="1" x14ac:dyDescent="0.2">
      <c r="C4471" s="5"/>
      <c r="D4471" s="5"/>
    </row>
    <row r="4472" spans="3:4" customFormat="1" x14ac:dyDescent="0.2">
      <c r="C4472" s="5"/>
      <c r="D4472" s="5"/>
    </row>
    <row r="4473" spans="3:4" customFormat="1" x14ac:dyDescent="0.2">
      <c r="C4473" s="5"/>
      <c r="D4473" s="5"/>
    </row>
    <row r="4474" spans="3:4" customFormat="1" x14ac:dyDescent="0.2">
      <c r="C4474" s="5"/>
      <c r="D4474" s="5"/>
    </row>
    <row r="4475" spans="3:4" customFormat="1" x14ac:dyDescent="0.2">
      <c r="C4475" s="5"/>
      <c r="D4475" s="5"/>
    </row>
    <row r="4476" spans="3:4" customFormat="1" x14ac:dyDescent="0.2">
      <c r="C4476" s="5"/>
      <c r="D4476" s="5"/>
    </row>
    <row r="4477" spans="3:4" customFormat="1" x14ac:dyDescent="0.2">
      <c r="C4477" s="5"/>
      <c r="D4477" s="5"/>
    </row>
    <row r="4478" spans="3:4" customFormat="1" x14ac:dyDescent="0.2">
      <c r="C4478" s="5"/>
      <c r="D4478" s="5"/>
    </row>
    <row r="4479" spans="3:4" customFormat="1" x14ac:dyDescent="0.2">
      <c r="C4479" s="5"/>
      <c r="D4479" s="5"/>
    </row>
    <row r="4480" spans="3:4" customFormat="1" x14ac:dyDescent="0.2">
      <c r="C4480" s="5"/>
      <c r="D4480" s="5"/>
    </row>
    <row r="4481" spans="3:4" customFormat="1" x14ac:dyDescent="0.2">
      <c r="C4481" s="5"/>
      <c r="D4481" s="5"/>
    </row>
    <row r="4482" spans="3:4" customFormat="1" x14ac:dyDescent="0.2">
      <c r="C4482" s="5"/>
      <c r="D4482" s="5"/>
    </row>
    <row r="4483" spans="3:4" customFormat="1" x14ac:dyDescent="0.2">
      <c r="C4483" s="5"/>
      <c r="D4483" s="5"/>
    </row>
    <row r="4484" spans="3:4" customFormat="1" x14ac:dyDescent="0.2">
      <c r="C4484" s="5"/>
      <c r="D4484" s="5"/>
    </row>
    <row r="4485" spans="3:4" customFormat="1" x14ac:dyDescent="0.2">
      <c r="C4485" s="5"/>
      <c r="D4485" s="5"/>
    </row>
    <row r="4486" spans="3:4" customFormat="1" x14ac:dyDescent="0.2">
      <c r="C4486" s="5"/>
      <c r="D4486" s="5"/>
    </row>
    <row r="4487" spans="3:4" customFormat="1" x14ac:dyDescent="0.2">
      <c r="C4487" s="5"/>
      <c r="D4487" s="5"/>
    </row>
    <row r="4488" spans="3:4" customFormat="1" x14ac:dyDescent="0.2">
      <c r="C4488" s="5"/>
      <c r="D4488" s="5"/>
    </row>
    <row r="4489" spans="3:4" customFormat="1" x14ac:dyDescent="0.2">
      <c r="C4489" s="5"/>
      <c r="D4489" s="5"/>
    </row>
    <row r="4490" spans="3:4" customFormat="1" x14ac:dyDescent="0.2">
      <c r="C4490" s="5"/>
      <c r="D4490" s="5"/>
    </row>
    <row r="4491" spans="3:4" customFormat="1" x14ac:dyDescent="0.2">
      <c r="C4491" s="5"/>
      <c r="D4491" s="5"/>
    </row>
    <row r="4492" spans="3:4" customFormat="1" x14ac:dyDescent="0.2">
      <c r="C4492" s="5"/>
      <c r="D4492" s="5"/>
    </row>
    <row r="4493" spans="3:4" customFormat="1" x14ac:dyDescent="0.2">
      <c r="C4493" s="5"/>
      <c r="D4493" s="5"/>
    </row>
    <row r="4494" spans="3:4" customFormat="1" x14ac:dyDescent="0.2">
      <c r="C4494" s="5"/>
      <c r="D4494" s="5"/>
    </row>
    <row r="4495" spans="3:4" customFormat="1" x14ac:dyDescent="0.2">
      <c r="C4495" s="5"/>
      <c r="D4495" s="5"/>
    </row>
    <row r="4496" spans="3:4" customFormat="1" x14ac:dyDescent="0.2">
      <c r="C4496" s="5"/>
      <c r="D4496" s="5"/>
    </row>
    <row r="4497" spans="3:4" customFormat="1" x14ac:dyDescent="0.2">
      <c r="C4497" s="5"/>
      <c r="D4497" s="5"/>
    </row>
    <row r="4498" spans="3:4" customFormat="1" x14ac:dyDescent="0.2">
      <c r="C4498" s="5"/>
      <c r="D4498" s="5"/>
    </row>
    <row r="4499" spans="3:4" customFormat="1" x14ac:dyDescent="0.2">
      <c r="C4499" s="5"/>
      <c r="D4499" s="5"/>
    </row>
    <row r="4500" spans="3:4" customFormat="1" x14ac:dyDescent="0.2">
      <c r="C4500" s="5"/>
      <c r="D4500" s="5"/>
    </row>
    <row r="4501" spans="3:4" customFormat="1" x14ac:dyDescent="0.2">
      <c r="C4501" s="5"/>
      <c r="D4501" s="5"/>
    </row>
    <row r="4502" spans="3:4" customFormat="1" x14ac:dyDescent="0.2">
      <c r="C4502" s="5"/>
      <c r="D4502" s="5"/>
    </row>
    <row r="4503" spans="3:4" customFormat="1" x14ac:dyDescent="0.2">
      <c r="C4503" s="5"/>
      <c r="D4503" s="5"/>
    </row>
    <row r="4504" spans="3:4" customFormat="1" x14ac:dyDescent="0.2">
      <c r="C4504" s="5"/>
      <c r="D4504" s="5"/>
    </row>
    <row r="4505" spans="3:4" customFormat="1" x14ac:dyDescent="0.2">
      <c r="C4505" s="5"/>
      <c r="D4505" s="5"/>
    </row>
    <row r="4506" spans="3:4" customFormat="1" x14ac:dyDescent="0.2">
      <c r="C4506" s="5"/>
      <c r="D4506" s="5"/>
    </row>
    <row r="4507" spans="3:4" customFormat="1" x14ac:dyDescent="0.2">
      <c r="C4507" s="5"/>
      <c r="D4507" s="5"/>
    </row>
    <row r="4508" spans="3:4" customFormat="1" x14ac:dyDescent="0.2">
      <c r="C4508" s="5"/>
      <c r="D4508" s="5"/>
    </row>
    <row r="4509" spans="3:4" customFormat="1" x14ac:dyDescent="0.2">
      <c r="C4509" s="5"/>
      <c r="D4509" s="5"/>
    </row>
    <row r="4510" spans="3:4" customFormat="1" x14ac:dyDescent="0.2">
      <c r="C4510" s="5"/>
      <c r="D4510" s="5"/>
    </row>
    <row r="4511" spans="3:4" customFormat="1" x14ac:dyDescent="0.2">
      <c r="C4511" s="5"/>
      <c r="D4511" s="5"/>
    </row>
    <row r="4512" spans="3:4" customFormat="1" x14ac:dyDescent="0.2">
      <c r="C4512" s="5"/>
      <c r="D4512" s="5"/>
    </row>
    <row r="4513" spans="3:4" customFormat="1" x14ac:dyDescent="0.2">
      <c r="C4513" s="5"/>
      <c r="D4513" s="5"/>
    </row>
    <row r="4514" spans="3:4" customFormat="1" x14ac:dyDescent="0.2">
      <c r="C4514" s="5"/>
      <c r="D4514" s="5"/>
    </row>
    <row r="4515" spans="3:4" customFormat="1" x14ac:dyDescent="0.2">
      <c r="C4515" s="5"/>
      <c r="D4515" s="5"/>
    </row>
    <row r="4516" spans="3:4" customFormat="1" x14ac:dyDescent="0.2">
      <c r="C4516" s="5"/>
      <c r="D4516" s="5"/>
    </row>
    <row r="4517" spans="3:4" customFormat="1" x14ac:dyDescent="0.2">
      <c r="C4517" s="5"/>
      <c r="D4517" s="5"/>
    </row>
    <row r="4518" spans="3:4" customFormat="1" x14ac:dyDescent="0.2">
      <c r="C4518" s="5"/>
      <c r="D4518" s="5"/>
    </row>
    <row r="4519" spans="3:4" customFormat="1" x14ac:dyDescent="0.2">
      <c r="C4519" s="5"/>
      <c r="D4519" s="5"/>
    </row>
    <row r="4520" spans="3:4" customFormat="1" x14ac:dyDescent="0.2">
      <c r="C4520" s="5"/>
      <c r="D4520" s="5"/>
    </row>
    <row r="4521" spans="3:4" customFormat="1" x14ac:dyDescent="0.2">
      <c r="C4521" s="5"/>
      <c r="D4521" s="5"/>
    </row>
    <row r="4522" spans="3:4" customFormat="1" x14ac:dyDescent="0.2">
      <c r="C4522" s="5"/>
      <c r="D4522" s="5"/>
    </row>
    <row r="4523" spans="3:4" customFormat="1" x14ac:dyDescent="0.2">
      <c r="C4523" s="5"/>
      <c r="D4523" s="5"/>
    </row>
    <row r="4524" spans="3:4" customFormat="1" x14ac:dyDescent="0.2">
      <c r="C4524" s="5"/>
      <c r="D4524" s="5"/>
    </row>
    <row r="4525" spans="3:4" customFormat="1" x14ac:dyDescent="0.2">
      <c r="C4525" s="5"/>
      <c r="D4525" s="5"/>
    </row>
    <row r="4526" spans="3:4" customFormat="1" x14ac:dyDescent="0.2">
      <c r="C4526" s="5"/>
      <c r="D4526" s="5"/>
    </row>
    <row r="4527" spans="3:4" customFormat="1" x14ac:dyDescent="0.2">
      <c r="C4527" s="5"/>
      <c r="D4527" s="5"/>
    </row>
    <row r="4528" spans="3:4" customFormat="1" x14ac:dyDescent="0.2">
      <c r="C4528" s="5"/>
      <c r="D4528" s="5"/>
    </row>
    <row r="4529" spans="3:4" customFormat="1" x14ac:dyDescent="0.2">
      <c r="C4529" s="5"/>
      <c r="D4529" s="5"/>
    </row>
    <row r="4530" spans="3:4" customFormat="1" x14ac:dyDescent="0.2">
      <c r="C4530" s="5"/>
      <c r="D4530" s="5"/>
    </row>
    <row r="4531" spans="3:4" customFormat="1" x14ac:dyDescent="0.2">
      <c r="C4531" s="5"/>
      <c r="D4531" s="5"/>
    </row>
    <row r="4532" spans="3:4" customFormat="1" x14ac:dyDescent="0.2">
      <c r="C4532" s="5"/>
      <c r="D4532" s="5"/>
    </row>
    <row r="4533" spans="3:4" customFormat="1" x14ac:dyDescent="0.2">
      <c r="C4533" s="5"/>
      <c r="D4533" s="5"/>
    </row>
    <row r="4534" spans="3:4" customFormat="1" x14ac:dyDescent="0.2">
      <c r="C4534" s="5"/>
      <c r="D4534" s="5"/>
    </row>
    <row r="4535" spans="3:4" customFormat="1" x14ac:dyDescent="0.2">
      <c r="C4535" s="5"/>
      <c r="D4535" s="5"/>
    </row>
    <row r="4536" spans="3:4" customFormat="1" x14ac:dyDescent="0.2">
      <c r="C4536" s="5"/>
      <c r="D4536" s="5"/>
    </row>
    <row r="4537" spans="3:4" customFormat="1" x14ac:dyDescent="0.2">
      <c r="C4537" s="5"/>
      <c r="D4537" s="5"/>
    </row>
    <row r="4538" spans="3:4" customFormat="1" x14ac:dyDescent="0.2">
      <c r="C4538" s="5"/>
      <c r="D4538" s="5"/>
    </row>
    <row r="4539" spans="3:4" customFormat="1" x14ac:dyDescent="0.2">
      <c r="C4539" s="5"/>
      <c r="D4539" s="5"/>
    </row>
    <row r="4540" spans="3:4" customFormat="1" x14ac:dyDescent="0.2">
      <c r="C4540" s="5"/>
      <c r="D4540" s="5"/>
    </row>
    <row r="4541" spans="3:4" customFormat="1" x14ac:dyDescent="0.2">
      <c r="C4541" s="5"/>
      <c r="D4541" s="5"/>
    </row>
    <row r="4542" spans="3:4" customFormat="1" x14ac:dyDescent="0.2">
      <c r="C4542" s="5"/>
      <c r="D4542" s="5"/>
    </row>
    <row r="4543" spans="3:4" customFormat="1" x14ac:dyDescent="0.2">
      <c r="C4543" s="5"/>
      <c r="D4543" s="5"/>
    </row>
    <row r="4544" spans="3:4" customFormat="1" x14ac:dyDescent="0.2">
      <c r="C4544" s="5"/>
      <c r="D4544" s="5"/>
    </row>
    <row r="4545" spans="3:4" customFormat="1" x14ac:dyDescent="0.2">
      <c r="C4545" s="5"/>
      <c r="D4545" s="5"/>
    </row>
    <row r="4546" spans="3:4" customFormat="1" x14ac:dyDescent="0.2">
      <c r="C4546" s="5"/>
      <c r="D4546" s="5"/>
    </row>
    <row r="4547" spans="3:4" customFormat="1" x14ac:dyDescent="0.2">
      <c r="C4547" s="5"/>
      <c r="D4547" s="5"/>
    </row>
    <row r="4548" spans="3:4" customFormat="1" x14ac:dyDescent="0.2">
      <c r="C4548" s="5"/>
      <c r="D4548" s="5"/>
    </row>
    <row r="4549" spans="3:4" customFormat="1" x14ac:dyDescent="0.2">
      <c r="C4549" s="5"/>
      <c r="D4549" s="5"/>
    </row>
    <row r="4550" spans="3:4" customFormat="1" x14ac:dyDescent="0.2">
      <c r="C4550" s="5"/>
      <c r="D4550" s="5"/>
    </row>
    <row r="4551" spans="3:4" customFormat="1" x14ac:dyDescent="0.2">
      <c r="C4551" s="5"/>
      <c r="D4551" s="5"/>
    </row>
    <row r="4552" spans="3:4" customFormat="1" x14ac:dyDescent="0.2">
      <c r="C4552" s="5"/>
      <c r="D4552" s="5"/>
    </row>
    <row r="4553" spans="3:4" customFormat="1" x14ac:dyDescent="0.2">
      <c r="C4553" s="5"/>
      <c r="D4553" s="5"/>
    </row>
    <row r="4554" spans="3:4" customFormat="1" x14ac:dyDescent="0.2">
      <c r="C4554" s="5"/>
      <c r="D4554" s="5"/>
    </row>
    <row r="4555" spans="3:4" customFormat="1" x14ac:dyDescent="0.2">
      <c r="C4555" s="5"/>
      <c r="D4555" s="5"/>
    </row>
    <row r="4556" spans="3:4" customFormat="1" x14ac:dyDescent="0.2">
      <c r="C4556" s="5"/>
      <c r="D4556" s="5"/>
    </row>
    <row r="4557" spans="3:4" customFormat="1" x14ac:dyDescent="0.2">
      <c r="C4557" s="5"/>
      <c r="D4557" s="5"/>
    </row>
    <row r="4558" spans="3:4" customFormat="1" x14ac:dyDescent="0.2">
      <c r="C4558" s="5"/>
      <c r="D4558" s="5"/>
    </row>
    <row r="4559" spans="3:4" customFormat="1" x14ac:dyDescent="0.2">
      <c r="C4559" s="5"/>
      <c r="D4559" s="5"/>
    </row>
    <row r="4560" spans="3:4" customFormat="1" x14ac:dyDescent="0.2">
      <c r="C4560" s="5"/>
      <c r="D4560" s="5"/>
    </row>
    <row r="4561" spans="3:4" customFormat="1" x14ac:dyDescent="0.2">
      <c r="C4561" s="5"/>
      <c r="D4561" s="5"/>
    </row>
    <row r="4562" spans="3:4" customFormat="1" x14ac:dyDescent="0.2">
      <c r="C4562" s="5"/>
      <c r="D4562" s="5"/>
    </row>
    <row r="4563" spans="3:4" customFormat="1" x14ac:dyDescent="0.2">
      <c r="C4563" s="5"/>
      <c r="D4563" s="5"/>
    </row>
    <row r="4564" spans="3:4" customFormat="1" x14ac:dyDescent="0.2">
      <c r="C4564" s="5"/>
      <c r="D4564" s="5"/>
    </row>
    <row r="4565" spans="3:4" customFormat="1" x14ac:dyDescent="0.2">
      <c r="C4565" s="5"/>
      <c r="D4565" s="5"/>
    </row>
    <row r="4566" spans="3:4" customFormat="1" x14ac:dyDescent="0.2">
      <c r="C4566" s="5"/>
      <c r="D4566" s="5"/>
    </row>
    <row r="4567" spans="3:4" customFormat="1" x14ac:dyDescent="0.2">
      <c r="C4567" s="5"/>
      <c r="D4567" s="5"/>
    </row>
    <row r="4568" spans="3:4" customFormat="1" x14ac:dyDescent="0.2">
      <c r="C4568" s="5"/>
      <c r="D4568" s="5"/>
    </row>
    <row r="4569" spans="3:4" customFormat="1" x14ac:dyDescent="0.2">
      <c r="C4569" s="5"/>
      <c r="D4569" s="5"/>
    </row>
    <row r="4570" spans="3:4" customFormat="1" x14ac:dyDescent="0.2">
      <c r="C4570" s="5"/>
      <c r="D4570" s="5"/>
    </row>
    <row r="4571" spans="3:4" customFormat="1" x14ac:dyDescent="0.2">
      <c r="C4571" s="5"/>
      <c r="D4571" s="5"/>
    </row>
    <row r="4572" spans="3:4" customFormat="1" x14ac:dyDescent="0.2">
      <c r="C4572" s="5"/>
      <c r="D4572" s="5"/>
    </row>
    <row r="4573" spans="3:4" customFormat="1" x14ac:dyDescent="0.2">
      <c r="C4573" s="5"/>
      <c r="D4573" s="5"/>
    </row>
    <row r="4574" spans="3:4" customFormat="1" x14ac:dyDescent="0.2">
      <c r="C4574" s="5"/>
      <c r="D4574" s="5"/>
    </row>
    <row r="4575" spans="3:4" customFormat="1" x14ac:dyDescent="0.2">
      <c r="C4575" s="5"/>
      <c r="D4575" s="5"/>
    </row>
    <row r="4576" spans="3:4" customFormat="1" x14ac:dyDescent="0.2">
      <c r="C4576" s="5"/>
      <c r="D4576" s="5"/>
    </row>
    <row r="4577" spans="3:4" customFormat="1" x14ac:dyDescent="0.2">
      <c r="C4577" s="5"/>
      <c r="D4577" s="5"/>
    </row>
    <row r="4578" spans="3:4" customFormat="1" x14ac:dyDescent="0.2">
      <c r="C4578" s="5"/>
      <c r="D4578" s="5"/>
    </row>
    <row r="4579" spans="3:4" customFormat="1" x14ac:dyDescent="0.2">
      <c r="C4579" s="5"/>
      <c r="D4579" s="5"/>
    </row>
    <row r="4580" spans="3:4" customFormat="1" x14ac:dyDescent="0.2">
      <c r="C4580" s="5"/>
      <c r="D4580" s="5"/>
    </row>
    <row r="4581" spans="3:4" customFormat="1" x14ac:dyDescent="0.2">
      <c r="C4581" s="5"/>
      <c r="D4581" s="5"/>
    </row>
    <row r="4582" spans="3:4" customFormat="1" x14ac:dyDescent="0.2">
      <c r="C4582" s="5"/>
      <c r="D4582" s="5"/>
    </row>
    <row r="4583" spans="3:4" customFormat="1" x14ac:dyDescent="0.2">
      <c r="C4583" s="5"/>
      <c r="D4583" s="5"/>
    </row>
    <row r="4584" spans="3:4" customFormat="1" x14ac:dyDescent="0.2">
      <c r="C4584" s="5"/>
      <c r="D4584" s="5"/>
    </row>
    <row r="4585" spans="3:4" customFormat="1" x14ac:dyDescent="0.2">
      <c r="C4585" s="5"/>
      <c r="D4585" s="5"/>
    </row>
    <row r="4586" spans="3:4" customFormat="1" x14ac:dyDescent="0.2">
      <c r="C4586" s="5"/>
      <c r="D4586" s="5"/>
    </row>
    <row r="4587" spans="3:4" customFormat="1" x14ac:dyDescent="0.2">
      <c r="C4587" s="5"/>
      <c r="D4587" s="5"/>
    </row>
    <row r="4588" spans="3:4" customFormat="1" x14ac:dyDescent="0.2">
      <c r="C4588" s="5"/>
      <c r="D4588" s="5"/>
    </row>
    <row r="4589" spans="3:4" customFormat="1" x14ac:dyDescent="0.2">
      <c r="C4589" s="5"/>
      <c r="D4589" s="5"/>
    </row>
    <row r="4590" spans="3:4" customFormat="1" x14ac:dyDescent="0.2">
      <c r="C4590" s="5"/>
      <c r="D4590" s="5"/>
    </row>
    <row r="4591" spans="3:4" customFormat="1" x14ac:dyDescent="0.2">
      <c r="C4591" s="5"/>
      <c r="D4591" s="5"/>
    </row>
    <row r="4592" spans="3:4" customFormat="1" x14ac:dyDescent="0.2">
      <c r="C4592" s="5"/>
      <c r="D4592" s="5"/>
    </row>
    <row r="4593" spans="3:4" customFormat="1" x14ac:dyDescent="0.2">
      <c r="C4593" s="5"/>
      <c r="D4593" s="5"/>
    </row>
    <row r="4594" spans="3:4" customFormat="1" x14ac:dyDescent="0.2">
      <c r="C4594" s="5"/>
      <c r="D4594" s="5"/>
    </row>
    <row r="4595" spans="3:4" customFormat="1" x14ac:dyDescent="0.2">
      <c r="C4595" s="5"/>
      <c r="D4595" s="5"/>
    </row>
    <row r="4596" spans="3:4" customFormat="1" x14ac:dyDescent="0.2">
      <c r="C4596" s="5"/>
      <c r="D4596" s="5"/>
    </row>
    <row r="4597" spans="3:4" customFormat="1" x14ac:dyDescent="0.2">
      <c r="C4597" s="5"/>
      <c r="D4597" s="5"/>
    </row>
    <row r="4598" spans="3:4" customFormat="1" x14ac:dyDescent="0.2">
      <c r="C4598" s="5"/>
      <c r="D4598" s="5"/>
    </row>
    <row r="4599" spans="3:4" customFormat="1" x14ac:dyDescent="0.2">
      <c r="C4599" s="5"/>
      <c r="D4599" s="5"/>
    </row>
    <row r="4600" spans="3:4" customFormat="1" x14ac:dyDescent="0.2">
      <c r="C4600" s="5"/>
      <c r="D4600" s="5"/>
    </row>
    <row r="4601" spans="3:4" customFormat="1" x14ac:dyDescent="0.2">
      <c r="C4601" s="5"/>
      <c r="D4601" s="5"/>
    </row>
    <row r="4602" spans="3:4" customFormat="1" x14ac:dyDescent="0.2">
      <c r="C4602" s="5"/>
      <c r="D4602" s="5"/>
    </row>
    <row r="4603" spans="3:4" customFormat="1" x14ac:dyDescent="0.2">
      <c r="C4603" s="5"/>
      <c r="D4603" s="5"/>
    </row>
    <row r="4604" spans="3:4" customFormat="1" x14ac:dyDescent="0.2">
      <c r="C4604" s="5"/>
      <c r="D4604" s="5"/>
    </row>
    <row r="4605" spans="3:4" customFormat="1" x14ac:dyDescent="0.2">
      <c r="C4605" s="5"/>
      <c r="D4605" s="5"/>
    </row>
    <row r="4606" spans="3:4" customFormat="1" x14ac:dyDescent="0.2">
      <c r="C4606" s="5"/>
      <c r="D4606" s="5"/>
    </row>
    <row r="4607" spans="3:4" customFormat="1" x14ac:dyDescent="0.2">
      <c r="C4607" s="5"/>
      <c r="D4607" s="5"/>
    </row>
    <row r="4608" spans="3:4" customFormat="1" x14ac:dyDescent="0.2">
      <c r="C4608" s="5"/>
      <c r="D4608" s="5"/>
    </row>
    <row r="4609" spans="3:4" customFormat="1" x14ac:dyDescent="0.2">
      <c r="C4609" s="5"/>
      <c r="D4609" s="5"/>
    </row>
    <row r="4610" spans="3:4" customFormat="1" x14ac:dyDescent="0.2">
      <c r="C4610" s="5"/>
      <c r="D4610" s="5"/>
    </row>
    <row r="4611" spans="3:4" customFormat="1" x14ac:dyDescent="0.2">
      <c r="C4611" s="5"/>
      <c r="D4611" s="5"/>
    </row>
    <row r="4612" spans="3:4" customFormat="1" x14ac:dyDescent="0.2">
      <c r="C4612" s="5"/>
      <c r="D4612" s="5"/>
    </row>
    <row r="4613" spans="3:4" customFormat="1" x14ac:dyDescent="0.2">
      <c r="C4613" s="5"/>
      <c r="D4613" s="5"/>
    </row>
    <row r="4614" spans="3:4" customFormat="1" x14ac:dyDescent="0.2">
      <c r="C4614" s="5"/>
      <c r="D4614" s="5"/>
    </row>
    <row r="4615" spans="3:4" customFormat="1" x14ac:dyDescent="0.2">
      <c r="C4615" s="5"/>
      <c r="D4615" s="5"/>
    </row>
    <row r="4616" spans="3:4" customFormat="1" x14ac:dyDescent="0.2">
      <c r="C4616" s="5"/>
      <c r="D4616" s="5"/>
    </row>
    <row r="4617" spans="3:4" customFormat="1" x14ac:dyDescent="0.2">
      <c r="C4617" s="5"/>
      <c r="D4617" s="5"/>
    </row>
    <row r="4618" spans="3:4" customFormat="1" x14ac:dyDescent="0.2">
      <c r="C4618" s="5"/>
      <c r="D4618" s="5"/>
    </row>
    <row r="4619" spans="3:4" customFormat="1" x14ac:dyDescent="0.2">
      <c r="C4619" s="5"/>
      <c r="D4619" s="5"/>
    </row>
    <row r="4620" spans="3:4" customFormat="1" x14ac:dyDescent="0.2">
      <c r="C4620" s="5"/>
      <c r="D4620" s="5"/>
    </row>
    <row r="4621" spans="3:4" customFormat="1" x14ac:dyDescent="0.2">
      <c r="C4621" s="5"/>
      <c r="D4621" s="5"/>
    </row>
    <row r="4622" spans="3:4" customFormat="1" x14ac:dyDescent="0.2">
      <c r="C4622" s="5"/>
      <c r="D4622" s="5"/>
    </row>
    <row r="4623" spans="3:4" customFormat="1" x14ac:dyDescent="0.2">
      <c r="C4623" s="5"/>
      <c r="D4623" s="5"/>
    </row>
    <row r="4624" spans="3:4" customFormat="1" x14ac:dyDescent="0.2">
      <c r="C4624" s="5"/>
      <c r="D4624" s="5"/>
    </row>
    <row r="4625" spans="3:4" customFormat="1" x14ac:dyDescent="0.2">
      <c r="C4625" s="5"/>
      <c r="D4625" s="5"/>
    </row>
    <row r="4626" spans="3:4" customFormat="1" x14ac:dyDescent="0.2">
      <c r="C4626" s="5"/>
      <c r="D4626" s="5"/>
    </row>
    <row r="4627" spans="3:4" customFormat="1" x14ac:dyDescent="0.2">
      <c r="C4627" s="5"/>
      <c r="D4627" s="5"/>
    </row>
    <row r="4628" spans="3:4" customFormat="1" x14ac:dyDescent="0.2">
      <c r="C4628" s="5"/>
      <c r="D4628" s="5"/>
    </row>
    <row r="4629" spans="3:4" customFormat="1" x14ac:dyDescent="0.2">
      <c r="C4629" s="5"/>
      <c r="D4629" s="5"/>
    </row>
    <row r="4630" spans="3:4" customFormat="1" x14ac:dyDescent="0.2">
      <c r="C4630" s="5"/>
      <c r="D4630" s="5"/>
    </row>
    <row r="4631" spans="3:4" customFormat="1" x14ac:dyDescent="0.2">
      <c r="C4631" s="5"/>
      <c r="D4631" s="5"/>
    </row>
    <row r="4632" spans="3:4" customFormat="1" x14ac:dyDescent="0.2">
      <c r="C4632" s="5"/>
      <c r="D4632" s="5"/>
    </row>
    <row r="4633" spans="3:4" customFormat="1" x14ac:dyDescent="0.2">
      <c r="C4633" s="5"/>
      <c r="D4633" s="5"/>
    </row>
    <row r="4634" spans="3:4" customFormat="1" x14ac:dyDescent="0.2">
      <c r="C4634" s="5"/>
      <c r="D4634" s="5"/>
    </row>
    <row r="4635" spans="3:4" customFormat="1" x14ac:dyDescent="0.2">
      <c r="C4635" s="5"/>
      <c r="D4635" s="5"/>
    </row>
    <row r="4636" spans="3:4" customFormat="1" x14ac:dyDescent="0.2">
      <c r="C4636" s="5"/>
      <c r="D4636" s="5"/>
    </row>
    <row r="4637" spans="3:4" customFormat="1" x14ac:dyDescent="0.2">
      <c r="C4637" s="5"/>
      <c r="D4637" s="5"/>
    </row>
    <row r="4638" spans="3:4" customFormat="1" x14ac:dyDescent="0.2">
      <c r="C4638" s="5"/>
      <c r="D4638" s="5"/>
    </row>
    <row r="4639" spans="3:4" customFormat="1" x14ac:dyDescent="0.2">
      <c r="C4639" s="5"/>
      <c r="D4639" s="5"/>
    </row>
    <row r="4640" spans="3:4" customFormat="1" x14ac:dyDescent="0.2">
      <c r="C4640" s="5"/>
      <c r="D4640" s="5"/>
    </row>
    <row r="4641" spans="3:4" customFormat="1" x14ac:dyDescent="0.2">
      <c r="C4641" s="5"/>
      <c r="D4641" s="5"/>
    </row>
    <row r="4642" spans="3:4" customFormat="1" x14ac:dyDescent="0.2">
      <c r="C4642" s="5"/>
      <c r="D4642" s="5"/>
    </row>
    <row r="4643" spans="3:4" customFormat="1" x14ac:dyDescent="0.2">
      <c r="C4643" s="5"/>
      <c r="D4643" s="5"/>
    </row>
    <row r="4644" spans="3:4" customFormat="1" x14ac:dyDescent="0.2">
      <c r="C4644" s="5"/>
      <c r="D4644" s="5"/>
    </row>
    <row r="4645" spans="3:4" customFormat="1" x14ac:dyDescent="0.2">
      <c r="C4645" s="5"/>
      <c r="D4645" s="5"/>
    </row>
    <row r="4646" spans="3:4" customFormat="1" x14ac:dyDescent="0.2">
      <c r="C4646" s="5"/>
      <c r="D4646" s="5"/>
    </row>
    <row r="4647" spans="3:4" customFormat="1" x14ac:dyDescent="0.2">
      <c r="C4647" s="5"/>
      <c r="D4647" s="5"/>
    </row>
    <row r="4648" spans="3:4" customFormat="1" x14ac:dyDescent="0.2">
      <c r="C4648" s="5"/>
      <c r="D4648" s="5"/>
    </row>
    <row r="4649" spans="3:4" customFormat="1" x14ac:dyDescent="0.2">
      <c r="C4649" s="5"/>
      <c r="D4649" s="5"/>
    </row>
    <row r="4650" spans="3:4" customFormat="1" x14ac:dyDescent="0.2">
      <c r="C4650" s="5"/>
      <c r="D4650" s="5"/>
    </row>
    <row r="4651" spans="3:4" customFormat="1" x14ac:dyDescent="0.2">
      <c r="C4651" s="5"/>
      <c r="D4651" s="5"/>
    </row>
    <row r="4652" spans="3:4" customFormat="1" x14ac:dyDescent="0.2">
      <c r="C4652" s="5"/>
      <c r="D4652" s="5"/>
    </row>
    <row r="4653" spans="3:4" customFormat="1" x14ac:dyDescent="0.2">
      <c r="C4653" s="5"/>
      <c r="D4653" s="5"/>
    </row>
    <row r="4654" spans="3:4" customFormat="1" x14ac:dyDescent="0.2">
      <c r="C4654" s="5"/>
      <c r="D4654" s="5"/>
    </row>
    <row r="4655" spans="3:4" customFormat="1" x14ac:dyDescent="0.2">
      <c r="C4655" s="5"/>
      <c r="D4655" s="5"/>
    </row>
    <row r="4656" spans="3:4" customFormat="1" x14ac:dyDescent="0.2">
      <c r="C4656" s="5"/>
      <c r="D4656" s="5"/>
    </row>
    <row r="4657" spans="3:4" customFormat="1" x14ac:dyDescent="0.2">
      <c r="C4657" s="5"/>
      <c r="D4657" s="5"/>
    </row>
    <row r="4658" spans="3:4" customFormat="1" x14ac:dyDescent="0.2">
      <c r="C4658" s="5"/>
      <c r="D4658" s="5"/>
    </row>
    <row r="4659" spans="3:4" customFormat="1" x14ac:dyDescent="0.2">
      <c r="C4659" s="5"/>
      <c r="D4659" s="5"/>
    </row>
    <row r="4660" spans="3:4" customFormat="1" x14ac:dyDescent="0.2">
      <c r="C4660" s="5"/>
      <c r="D4660" s="5"/>
    </row>
    <row r="4661" spans="3:4" customFormat="1" x14ac:dyDescent="0.2">
      <c r="C4661" s="5"/>
      <c r="D4661" s="5"/>
    </row>
    <row r="4662" spans="3:4" customFormat="1" x14ac:dyDescent="0.2">
      <c r="C4662" s="5"/>
      <c r="D4662" s="5"/>
    </row>
    <row r="4663" spans="3:4" customFormat="1" x14ac:dyDescent="0.2">
      <c r="C4663" s="5"/>
      <c r="D4663" s="5"/>
    </row>
    <row r="4664" spans="3:4" customFormat="1" x14ac:dyDescent="0.2">
      <c r="C4664" s="5"/>
      <c r="D4664" s="5"/>
    </row>
    <row r="4665" spans="3:4" customFormat="1" x14ac:dyDescent="0.2">
      <c r="C4665" s="5"/>
      <c r="D4665" s="5"/>
    </row>
    <row r="4666" spans="3:4" customFormat="1" x14ac:dyDescent="0.2">
      <c r="C4666" s="5"/>
      <c r="D4666" s="5"/>
    </row>
    <row r="4667" spans="3:4" customFormat="1" x14ac:dyDescent="0.2">
      <c r="C4667" s="5"/>
      <c r="D4667" s="5"/>
    </row>
    <row r="4668" spans="3:4" customFormat="1" x14ac:dyDescent="0.2">
      <c r="C4668" s="5"/>
      <c r="D4668" s="5"/>
    </row>
    <row r="4669" spans="3:4" customFormat="1" x14ac:dyDescent="0.2">
      <c r="C4669" s="5"/>
      <c r="D4669" s="5"/>
    </row>
    <row r="4670" spans="3:4" customFormat="1" x14ac:dyDescent="0.2">
      <c r="C4670" s="5"/>
      <c r="D4670" s="5"/>
    </row>
    <row r="4671" spans="3:4" customFormat="1" x14ac:dyDescent="0.2">
      <c r="C4671" s="5"/>
      <c r="D4671" s="5"/>
    </row>
    <row r="4672" spans="3:4" customFormat="1" x14ac:dyDescent="0.2">
      <c r="C4672" s="5"/>
      <c r="D4672" s="5"/>
    </row>
    <row r="4673" spans="3:4" customFormat="1" x14ac:dyDescent="0.2">
      <c r="C4673" s="5"/>
      <c r="D4673" s="5"/>
    </row>
    <row r="4674" spans="3:4" customFormat="1" x14ac:dyDescent="0.2">
      <c r="C4674" s="5"/>
      <c r="D4674" s="5"/>
    </row>
    <row r="4675" spans="3:4" customFormat="1" x14ac:dyDescent="0.2">
      <c r="C4675" s="5"/>
      <c r="D4675" s="5"/>
    </row>
    <row r="4676" spans="3:4" customFormat="1" x14ac:dyDescent="0.2">
      <c r="C4676" s="5"/>
      <c r="D4676" s="5"/>
    </row>
    <row r="4677" spans="3:4" customFormat="1" x14ac:dyDescent="0.2">
      <c r="C4677" s="5"/>
      <c r="D4677" s="5"/>
    </row>
    <row r="4678" spans="3:4" customFormat="1" x14ac:dyDescent="0.2">
      <c r="C4678" s="5"/>
      <c r="D4678" s="5"/>
    </row>
    <row r="4679" spans="3:4" customFormat="1" x14ac:dyDescent="0.2">
      <c r="C4679" s="5"/>
      <c r="D4679" s="5"/>
    </row>
    <row r="4680" spans="3:4" customFormat="1" x14ac:dyDescent="0.2">
      <c r="C4680" s="5"/>
      <c r="D4680" s="5"/>
    </row>
    <row r="4681" spans="3:4" customFormat="1" x14ac:dyDescent="0.2">
      <c r="C4681" s="5"/>
      <c r="D4681" s="5"/>
    </row>
    <row r="4682" spans="3:4" customFormat="1" x14ac:dyDescent="0.2">
      <c r="C4682" s="5"/>
      <c r="D4682" s="5"/>
    </row>
    <row r="4683" spans="3:4" customFormat="1" x14ac:dyDescent="0.2">
      <c r="C4683" s="5"/>
      <c r="D4683" s="5"/>
    </row>
    <row r="4684" spans="3:4" customFormat="1" x14ac:dyDescent="0.2">
      <c r="C4684" s="5"/>
      <c r="D4684" s="5"/>
    </row>
    <row r="4685" spans="3:4" customFormat="1" x14ac:dyDescent="0.2">
      <c r="C4685" s="5"/>
      <c r="D4685" s="5"/>
    </row>
    <row r="4686" spans="3:4" customFormat="1" x14ac:dyDescent="0.2">
      <c r="C4686" s="5"/>
      <c r="D4686" s="5"/>
    </row>
    <row r="4687" spans="3:4" customFormat="1" x14ac:dyDescent="0.2">
      <c r="C4687" s="5"/>
      <c r="D4687" s="5"/>
    </row>
    <row r="4688" spans="3:4" customFormat="1" x14ac:dyDescent="0.2">
      <c r="C4688" s="5"/>
      <c r="D4688" s="5"/>
    </row>
    <row r="4689" spans="3:4" customFormat="1" x14ac:dyDescent="0.2">
      <c r="C4689" s="5"/>
      <c r="D4689" s="5"/>
    </row>
    <row r="4690" spans="3:4" customFormat="1" x14ac:dyDescent="0.2">
      <c r="C4690" s="5"/>
      <c r="D4690" s="5"/>
    </row>
    <row r="4691" spans="3:4" customFormat="1" x14ac:dyDescent="0.2">
      <c r="C4691" s="5"/>
      <c r="D4691" s="5"/>
    </row>
    <row r="4692" spans="3:4" customFormat="1" x14ac:dyDescent="0.2">
      <c r="C4692" s="5"/>
      <c r="D4692" s="5"/>
    </row>
    <row r="4693" spans="3:4" customFormat="1" x14ac:dyDescent="0.2">
      <c r="C4693" s="5"/>
      <c r="D4693" s="5"/>
    </row>
    <row r="4694" spans="3:4" customFormat="1" x14ac:dyDescent="0.2">
      <c r="C4694" s="5"/>
      <c r="D4694" s="5"/>
    </row>
    <row r="4695" spans="3:4" customFormat="1" x14ac:dyDescent="0.2">
      <c r="C4695" s="5"/>
      <c r="D4695" s="5"/>
    </row>
    <row r="4696" spans="3:4" customFormat="1" x14ac:dyDescent="0.2">
      <c r="C4696" s="5"/>
      <c r="D4696" s="5"/>
    </row>
    <row r="4697" spans="3:4" customFormat="1" x14ac:dyDescent="0.2">
      <c r="C4697" s="5"/>
      <c r="D4697" s="5"/>
    </row>
    <row r="4698" spans="3:4" customFormat="1" x14ac:dyDescent="0.2">
      <c r="C4698" s="5"/>
      <c r="D4698" s="5"/>
    </row>
    <row r="4699" spans="3:4" customFormat="1" x14ac:dyDescent="0.2">
      <c r="C4699" s="5"/>
      <c r="D4699" s="5"/>
    </row>
    <row r="4700" spans="3:4" customFormat="1" x14ac:dyDescent="0.2">
      <c r="C4700" s="5"/>
      <c r="D4700" s="5"/>
    </row>
    <row r="4701" spans="3:4" customFormat="1" x14ac:dyDescent="0.2">
      <c r="C4701" s="5"/>
      <c r="D4701" s="5"/>
    </row>
    <row r="4702" spans="3:4" customFormat="1" x14ac:dyDescent="0.2">
      <c r="C4702" s="5"/>
      <c r="D4702" s="5"/>
    </row>
    <row r="4703" spans="3:4" customFormat="1" x14ac:dyDescent="0.2">
      <c r="C4703" s="5"/>
      <c r="D4703" s="5"/>
    </row>
    <row r="4704" spans="3:4" customFormat="1" x14ac:dyDescent="0.2">
      <c r="C4704" s="5"/>
      <c r="D4704" s="5"/>
    </row>
    <row r="4705" spans="3:4" customFormat="1" x14ac:dyDescent="0.2">
      <c r="C4705" s="5"/>
      <c r="D4705" s="5"/>
    </row>
    <row r="4706" spans="3:4" customFormat="1" x14ac:dyDescent="0.2">
      <c r="C4706" s="5"/>
      <c r="D4706" s="5"/>
    </row>
    <row r="4707" spans="3:4" customFormat="1" x14ac:dyDescent="0.2">
      <c r="C4707" s="5"/>
      <c r="D4707" s="5"/>
    </row>
    <row r="4708" spans="3:4" customFormat="1" x14ac:dyDescent="0.2">
      <c r="C4708" s="5"/>
      <c r="D4708" s="5"/>
    </row>
    <row r="4709" spans="3:4" customFormat="1" x14ac:dyDescent="0.2">
      <c r="C4709" s="5"/>
      <c r="D4709" s="5"/>
    </row>
    <row r="4710" spans="3:4" customFormat="1" x14ac:dyDescent="0.2">
      <c r="C4710" s="5"/>
      <c r="D4710" s="5"/>
    </row>
    <row r="4711" spans="3:4" customFormat="1" x14ac:dyDescent="0.2">
      <c r="C4711" s="5"/>
      <c r="D4711" s="5"/>
    </row>
    <row r="4712" spans="3:4" customFormat="1" x14ac:dyDescent="0.2">
      <c r="C4712" s="5"/>
      <c r="D4712" s="5"/>
    </row>
    <row r="4713" spans="3:4" customFormat="1" x14ac:dyDescent="0.2">
      <c r="C4713" s="5"/>
      <c r="D4713" s="5"/>
    </row>
    <row r="4714" spans="3:4" customFormat="1" x14ac:dyDescent="0.2">
      <c r="C4714" s="5"/>
      <c r="D4714" s="5"/>
    </row>
    <row r="4715" spans="3:4" customFormat="1" x14ac:dyDescent="0.2">
      <c r="C4715" s="5"/>
      <c r="D4715" s="5"/>
    </row>
    <row r="4716" spans="3:4" customFormat="1" x14ac:dyDescent="0.2">
      <c r="C4716" s="5"/>
      <c r="D4716" s="5"/>
    </row>
    <row r="4717" spans="3:4" customFormat="1" x14ac:dyDescent="0.2">
      <c r="C4717" s="5"/>
      <c r="D4717" s="5"/>
    </row>
    <row r="4718" spans="3:4" customFormat="1" x14ac:dyDescent="0.2">
      <c r="C4718" s="5"/>
      <c r="D4718" s="5"/>
    </row>
    <row r="4719" spans="3:4" customFormat="1" x14ac:dyDescent="0.2">
      <c r="C4719" s="5"/>
      <c r="D4719" s="5"/>
    </row>
    <row r="4720" spans="3:4" customFormat="1" x14ac:dyDescent="0.2">
      <c r="C4720" s="5"/>
      <c r="D4720" s="5"/>
    </row>
    <row r="4721" spans="3:4" customFormat="1" x14ac:dyDescent="0.2">
      <c r="C4721" s="5"/>
      <c r="D4721" s="5"/>
    </row>
    <row r="4722" spans="3:4" customFormat="1" x14ac:dyDescent="0.2">
      <c r="C4722" s="5"/>
      <c r="D4722" s="5"/>
    </row>
    <row r="4723" spans="3:4" customFormat="1" x14ac:dyDescent="0.2">
      <c r="C4723" s="5"/>
      <c r="D4723" s="5"/>
    </row>
    <row r="4724" spans="3:4" customFormat="1" x14ac:dyDescent="0.2">
      <c r="C4724" s="5"/>
      <c r="D4724" s="5"/>
    </row>
    <row r="4725" spans="3:4" customFormat="1" x14ac:dyDescent="0.2">
      <c r="C4725" s="5"/>
      <c r="D4725" s="5"/>
    </row>
    <row r="4726" spans="3:4" customFormat="1" x14ac:dyDescent="0.2">
      <c r="C4726" s="5"/>
      <c r="D4726" s="5"/>
    </row>
    <row r="4727" spans="3:4" customFormat="1" x14ac:dyDescent="0.2">
      <c r="C4727" s="5"/>
      <c r="D4727" s="5"/>
    </row>
    <row r="4728" spans="3:4" customFormat="1" x14ac:dyDescent="0.2">
      <c r="C4728" s="5"/>
      <c r="D4728" s="5"/>
    </row>
    <row r="4729" spans="3:4" customFormat="1" x14ac:dyDescent="0.2">
      <c r="C4729" s="5"/>
      <c r="D4729" s="5"/>
    </row>
    <row r="4730" spans="3:4" customFormat="1" x14ac:dyDescent="0.2">
      <c r="C4730" s="5"/>
      <c r="D4730" s="5"/>
    </row>
    <row r="4731" spans="3:4" customFormat="1" x14ac:dyDescent="0.2">
      <c r="C4731" s="5"/>
      <c r="D4731" s="5"/>
    </row>
    <row r="4732" spans="3:4" customFormat="1" x14ac:dyDescent="0.2">
      <c r="C4732" s="5"/>
      <c r="D4732" s="5"/>
    </row>
    <row r="4733" spans="3:4" customFormat="1" x14ac:dyDescent="0.2">
      <c r="C4733" s="5"/>
      <c r="D4733" s="5"/>
    </row>
    <row r="4734" spans="3:4" customFormat="1" x14ac:dyDescent="0.2">
      <c r="C4734" s="5"/>
      <c r="D4734" s="5"/>
    </row>
    <row r="4735" spans="3:4" customFormat="1" x14ac:dyDescent="0.2">
      <c r="C4735" s="5"/>
      <c r="D4735" s="5"/>
    </row>
    <row r="4736" spans="3:4" customFormat="1" x14ac:dyDescent="0.2">
      <c r="C4736" s="5"/>
      <c r="D4736" s="5"/>
    </row>
    <row r="4737" spans="3:4" customFormat="1" x14ac:dyDescent="0.2">
      <c r="C4737" s="5"/>
      <c r="D4737" s="5"/>
    </row>
    <row r="4738" spans="3:4" customFormat="1" x14ac:dyDescent="0.2">
      <c r="C4738" s="5"/>
      <c r="D4738" s="5"/>
    </row>
    <row r="4739" spans="3:4" customFormat="1" x14ac:dyDescent="0.2">
      <c r="C4739" s="5"/>
      <c r="D4739" s="5"/>
    </row>
    <row r="4740" spans="3:4" customFormat="1" x14ac:dyDescent="0.2">
      <c r="C4740" s="5"/>
      <c r="D4740" s="5"/>
    </row>
    <row r="4741" spans="3:4" customFormat="1" x14ac:dyDescent="0.2">
      <c r="C4741" s="5"/>
      <c r="D4741" s="5"/>
    </row>
    <row r="4742" spans="3:4" customFormat="1" x14ac:dyDescent="0.2">
      <c r="C4742" s="5"/>
      <c r="D4742" s="5"/>
    </row>
    <row r="4743" spans="3:4" customFormat="1" x14ac:dyDescent="0.2">
      <c r="C4743" s="5"/>
      <c r="D4743" s="5"/>
    </row>
    <row r="4744" spans="3:4" customFormat="1" x14ac:dyDescent="0.2">
      <c r="C4744" s="5"/>
      <c r="D4744" s="5"/>
    </row>
    <row r="4745" spans="3:4" customFormat="1" x14ac:dyDescent="0.2">
      <c r="C4745" s="5"/>
      <c r="D4745" s="5"/>
    </row>
    <row r="4746" spans="3:4" customFormat="1" x14ac:dyDescent="0.2">
      <c r="C4746" s="5"/>
      <c r="D4746" s="5"/>
    </row>
    <row r="4747" spans="3:4" customFormat="1" x14ac:dyDescent="0.2">
      <c r="C4747" s="5"/>
      <c r="D4747" s="5"/>
    </row>
    <row r="4748" spans="3:4" customFormat="1" x14ac:dyDescent="0.2">
      <c r="C4748" s="5"/>
      <c r="D4748" s="5"/>
    </row>
    <row r="4749" spans="3:4" customFormat="1" x14ac:dyDescent="0.2">
      <c r="C4749" s="5"/>
      <c r="D4749" s="5"/>
    </row>
    <row r="4750" spans="3:4" customFormat="1" x14ac:dyDescent="0.2">
      <c r="C4750" s="5"/>
      <c r="D4750" s="5"/>
    </row>
    <row r="4751" spans="3:4" customFormat="1" x14ac:dyDescent="0.2">
      <c r="C4751" s="5"/>
      <c r="D4751" s="5"/>
    </row>
    <row r="4752" spans="3:4" customFormat="1" x14ac:dyDescent="0.2">
      <c r="C4752" s="5"/>
      <c r="D4752" s="5"/>
    </row>
    <row r="4753" spans="3:4" customFormat="1" x14ac:dyDescent="0.2">
      <c r="C4753" s="5"/>
      <c r="D4753" s="5"/>
    </row>
    <row r="4754" spans="3:4" customFormat="1" x14ac:dyDescent="0.2">
      <c r="C4754" s="5"/>
      <c r="D4754" s="5"/>
    </row>
    <row r="4755" spans="3:4" customFormat="1" x14ac:dyDescent="0.2">
      <c r="C4755" s="5"/>
      <c r="D4755" s="5"/>
    </row>
    <row r="4756" spans="3:4" customFormat="1" x14ac:dyDescent="0.2">
      <c r="C4756" s="5"/>
      <c r="D4756" s="5"/>
    </row>
    <row r="4757" spans="3:4" customFormat="1" x14ac:dyDescent="0.2">
      <c r="C4757" s="5"/>
      <c r="D4757" s="5"/>
    </row>
    <row r="4758" spans="3:4" customFormat="1" x14ac:dyDescent="0.2">
      <c r="C4758" s="5"/>
      <c r="D4758" s="5"/>
    </row>
    <row r="4759" spans="3:4" customFormat="1" x14ac:dyDescent="0.2">
      <c r="C4759" s="5"/>
      <c r="D4759" s="5"/>
    </row>
    <row r="4760" spans="3:4" customFormat="1" x14ac:dyDescent="0.2">
      <c r="C4760" s="5"/>
      <c r="D4760" s="5"/>
    </row>
    <row r="4761" spans="3:4" customFormat="1" x14ac:dyDescent="0.2">
      <c r="C4761" s="5"/>
      <c r="D4761" s="5"/>
    </row>
    <row r="4762" spans="3:4" customFormat="1" x14ac:dyDescent="0.2">
      <c r="C4762" s="5"/>
      <c r="D4762" s="5"/>
    </row>
    <row r="4763" spans="3:4" customFormat="1" x14ac:dyDescent="0.2">
      <c r="C4763" s="5"/>
      <c r="D4763" s="5"/>
    </row>
    <row r="4764" spans="3:4" customFormat="1" x14ac:dyDescent="0.2">
      <c r="C4764" s="5"/>
      <c r="D4764" s="5"/>
    </row>
    <row r="4765" spans="3:4" customFormat="1" x14ac:dyDescent="0.2">
      <c r="C4765" s="5"/>
      <c r="D4765" s="5"/>
    </row>
    <row r="4766" spans="3:4" customFormat="1" x14ac:dyDescent="0.2">
      <c r="C4766" s="5"/>
      <c r="D4766" s="5"/>
    </row>
    <row r="4767" spans="3:4" customFormat="1" x14ac:dyDescent="0.2">
      <c r="C4767" s="5"/>
      <c r="D4767" s="5"/>
    </row>
    <row r="4768" spans="3:4" customFormat="1" x14ac:dyDescent="0.2">
      <c r="C4768" s="5"/>
      <c r="D4768" s="5"/>
    </row>
    <row r="4769" spans="3:4" customFormat="1" x14ac:dyDescent="0.2">
      <c r="C4769" s="5"/>
      <c r="D4769" s="5"/>
    </row>
    <row r="4770" spans="3:4" customFormat="1" x14ac:dyDescent="0.2">
      <c r="C4770" s="5"/>
      <c r="D4770" s="5"/>
    </row>
    <row r="4771" spans="3:4" customFormat="1" x14ac:dyDescent="0.2">
      <c r="C4771" s="5"/>
      <c r="D4771" s="5"/>
    </row>
    <row r="4772" spans="3:4" customFormat="1" x14ac:dyDescent="0.2">
      <c r="C4772" s="5"/>
      <c r="D4772" s="5"/>
    </row>
    <row r="4773" spans="3:4" customFormat="1" x14ac:dyDescent="0.2">
      <c r="C4773" s="5"/>
      <c r="D4773" s="5"/>
    </row>
    <row r="4774" spans="3:4" customFormat="1" x14ac:dyDescent="0.2">
      <c r="C4774" s="5"/>
      <c r="D4774" s="5"/>
    </row>
    <row r="4775" spans="3:4" customFormat="1" x14ac:dyDescent="0.2">
      <c r="C4775" s="5"/>
      <c r="D4775" s="5"/>
    </row>
    <row r="4776" spans="3:4" customFormat="1" x14ac:dyDescent="0.2">
      <c r="C4776" s="5"/>
      <c r="D4776" s="5"/>
    </row>
    <row r="4777" spans="3:4" customFormat="1" x14ac:dyDescent="0.2">
      <c r="C4777" s="5"/>
      <c r="D4777" s="5"/>
    </row>
    <row r="4778" spans="3:4" customFormat="1" x14ac:dyDescent="0.2">
      <c r="C4778" s="5"/>
      <c r="D4778" s="5"/>
    </row>
    <row r="4779" spans="3:4" customFormat="1" x14ac:dyDescent="0.2">
      <c r="C4779" s="5"/>
      <c r="D4779" s="5"/>
    </row>
    <row r="4780" spans="3:4" customFormat="1" x14ac:dyDescent="0.2">
      <c r="C4780" s="5"/>
      <c r="D4780" s="5"/>
    </row>
    <row r="4781" spans="3:4" customFormat="1" x14ac:dyDescent="0.2">
      <c r="C4781" s="5"/>
      <c r="D4781" s="5"/>
    </row>
    <row r="4782" spans="3:4" customFormat="1" x14ac:dyDescent="0.2">
      <c r="C4782" s="5"/>
      <c r="D4782" s="5"/>
    </row>
    <row r="4783" spans="3:4" customFormat="1" x14ac:dyDescent="0.2">
      <c r="C4783" s="5"/>
      <c r="D4783" s="5"/>
    </row>
    <row r="4784" spans="3:4" customFormat="1" x14ac:dyDescent="0.2">
      <c r="C4784" s="5"/>
      <c r="D4784" s="5"/>
    </row>
    <row r="4785" spans="3:4" customFormat="1" x14ac:dyDescent="0.2">
      <c r="C4785" s="5"/>
      <c r="D4785" s="5"/>
    </row>
    <row r="4786" spans="3:4" customFormat="1" x14ac:dyDescent="0.2">
      <c r="C4786" s="5"/>
      <c r="D4786" s="5"/>
    </row>
    <row r="4787" spans="3:4" customFormat="1" x14ac:dyDescent="0.2">
      <c r="C4787" s="5"/>
      <c r="D4787" s="5"/>
    </row>
    <row r="4788" spans="3:4" customFormat="1" x14ac:dyDescent="0.2">
      <c r="C4788" s="5"/>
      <c r="D4788" s="5"/>
    </row>
    <row r="4789" spans="3:4" customFormat="1" x14ac:dyDescent="0.2">
      <c r="C4789" s="5"/>
      <c r="D4789" s="5"/>
    </row>
    <row r="4790" spans="3:4" customFormat="1" x14ac:dyDescent="0.2">
      <c r="C4790" s="5"/>
      <c r="D4790" s="5"/>
    </row>
    <row r="4791" spans="3:4" customFormat="1" x14ac:dyDescent="0.2">
      <c r="C4791" s="5"/>
      <c r="D4791" s="5"/>
    </row>
    <row r="4792" spans="3:4" customFormat="1" x14ac:dyDescent="0.2">
      <c r="C4792" s="5"/>
      <c r="D4792" s="5"/>
    </row>
    <row r="4793" spans="3:4" customFormat="1" x14ac:dyDescent="0.2">
      <c r="C4793" s="5"/>
      <c r="D4793" s="5"/>
    </row>
    <row r="4794" spans="3:4" customFormat="1" x14ac:dyDescent="0.2">
      <c r="C4794" s="5"/>
      <c r="D4794" s="5"/>
    </row>
    <row r="4795" spans="3:4" customFormat="1" x14ac:dyDescent="0.2">
      <c r="C4795" s="5"/>
      <c r="D4795" s="5"/>
    </row>
    <row r="4796" spans="3:4" customFormat="1" x14ac:dyDescent="0.2">
      <c r="C4796" s="5"/>
      <c r="D4796" s="5"/>
    </row>
    <row r="4797" spans="3:4" customFormat="1" x14ac:dyDescent="0.2">
      <c r="C4797" s="5"/>
      <c r="D4797" s="5"/>
    </row>
    <row r="4798" spans="3:4" customFormat="1" x14ac:dyDescent="0.2">
      <c r="C4798" s="5"/>
      <c r="D4798" s="5"/>
    </row>
    <row r="4799" spans="3:4" customFormat="1" x14ac:dyDescent="0.2">
      <c r="C4799" s="5"/>
      <c r="D4799" s="5"/>
    </row>
    <row r="4800" spans="3:4" customFormat="1" x14ac:dyDescent="0.2">
      <c r="C4800" s="5"/>
      <c r="D4800" s="5"/>
    </row>
    <row r="4801" spans="3:4" customFormat="1" x14ac:dyDescent="0.2">
      <c r="C4801" s="5"/>
      <c r="D4801" s="5"/>
    </row>
    <row r="4802" spans="3:4" customFormat="1" x14ac:dyDescent="0.2">
      <c r="C4802" s="5"/>
      <c r="D4802" s="5"/>
    </row>
    <row r="4803" spans="3:4" customFormat="1" x14ac:dyDescent="0.2">
      <c r="C4803" s="5"/>
      <c r="D4803" s="5"/>
    </row>
    <row r="4804" spans="3:4" customFormat="1" x14ac:dyDescent="0.2">
      <c r="C4804" s="5"/>
      <c r="D4804" s="5"/>
    </row>
    <row r="4805" spans="3:4" customFormat="1" x14ac:dyDescent="0.2">
      <c r="C4805" s="5"/>
      <c r="D4805" s="5"/>
    </row>
    <row r="4806" spans="3:4" customFormat="1" x14ac:dyDescent="0.2">
      <c r="C4806" s="5"/>
      <c r="D4806" s="5"/>
    </row>
    <row r="4807" spans="3:4" customFormat="1" x14ac:dyDescent="0.2">
      <c r="C4807" s="5"/>
      <c r="D4807" s="5"/>
    </row>
    <row r="4808" spans="3:4" customFormat="1" x14ac:dyDescent="0.2">
      <c r="C4808" s="5"/>
      <c r="D4808" s="5"/>
    </row>
    <row r="4809" spans="3:4" customFormat="1" x14ac:dyDescent="0.2">
      <c r="C4809" s="5"/>
      <c r="D4809" s="5"/>
    </row>
    <row r="4810" spans="3:4" customFormat="1" x14ac:dyDescent="0.2">
      <c r="C4810" s="5"/>
      <c r="D4810" s="5"/>
    </row>
    <row r="4811" spans="3:4" customFormat="1" x14ac:dyDescent="0.2">
      <c r="C4811" s="5"/>
      <c r="D4811" s="5"/>
    </row>
    <row r="4812" spans="3:4" customFormat="1" x14ac:dyDescent="0.2">
      <c r="C4812" s="5"/>
      <c r="D4812" s="5"/>
    </row>
    <row r="4813" spans="3:4" customFormat="1" x14ac:dyDescent="0.2">
      <c r="C4813" s="5"/>
      <c r="D4813" s="5"/>
    </row>
    <row r="4814" spans="3:4" customFormat="1" x14ac:dyDescent="0.2">
      <c r="C4814" s="5"/>
      <c r="D4814" s="5"/>
    </row>
    <row r="4815" spans="3:4" customFormat="1" x14ac:dyDescent="0.2">
      <c r="C4815" s="5"/>
      <c r="D4815" s="5"/>
    </row>
    <row r="4816" spans="3:4" customFormat="1" x14ac:dyDescent="0.2">
      <c r="C4816" s="5"/>
      <c r="D4816" s="5"/>
    </row>
    <row r="4817" spans="3:4" customFormat="1" x14ac:dyDescent="0.2">
      <c r="C4817" s="5"/>
      <c r="D4817" s="5"/>
    </row>
    <row r="4818" spans="3:4" customFormat="1" x14ac:dyDescent="0.2">
      <c r="C4818" s="5"/>
      <c r="D4818" s="5"/>
    </row>
    <row r="4819" spans="3:4" customFormat="1" x14ac:dyDescent="0.2">
      <c r="C4819" s="5"/>
      <c r="D4819" s="5"/>
    </row>
    <row r="4820" spans="3:4" customFormat="1" x14ac:dyDescent="0.2">
      <c r="C4820" s="5"/>
      <c r="D4820" s="5"/>
    </row>
    <row r="4821" spans="3:4" customFormat="1" x14ac:dyDescent="0.2">
      <c r="C4821" s="5"/>
      <c r="D4821" s="5"/>
    </row>
    <row r="4822" spans="3:4" customFormat="1" x14ac:dyDescent="0.2">
      <c r="C4822" s="5"/>
      <c r="D4822" s="5"/>
    </row>
    <row r="4823" spans="3:4" customFormat="1" x14ac:dyDescent="0.2">
      <c r="C4823" s="5"/>
      <c r="D4823" s="5"/>
    </row>
    <row r="4824" spans="3:4" customFormat="1" x14ac:dyDescent="0.2">
      <c r="C4824" s="5"/>
      <c r="D4824" s="5"/>
    </row>
    <row r="4825" spans="3:4" customFormat="1" x14ac:dyDescent="0.2">
      <c r="C4825" s="5"/>
      <c r="D4825" s="5"/>
    </row>
    <row r="4826" spans="3:4" customFormat="1" x14ac:dyDescent="0.2">
      <c r="C4826" s="5"/>
      <c r="D4826" s="5"/>
    </row>
    <row r="4827" spans="3:4" customFormat="1" x14ac:dyDescent="0.2">
      <c r="C4827" s="5"/>
      <c r="D4827" s="5"/>
    </row>
    <row r="4828" spans="3:4" customFormat="1" x14ac:dyDescent="0.2">
      <c r="C4828" s="5"/>
      <c r="D4828" s="5"/>
    </row>
    <row r="4829" spans="3:4" customFormat="1" x14ac:dyDescent="0.2">
      <c r="C4829" s="5"/>
      <c r="D4829" s="5"/>
    </row>
    <row r="4830" spans="3:4" customFormat="1" x14ac:dyDescent="0.2">
      <c r="C4830" s="5"/>
      <c r="D4830" s="5"/>
    </row>
    <row r="4831" spans="3:4" customFormat="1" x14ac:dyDescent="0.2">
      <c r="C4831" s="5"/>
      <c r="D4831" s="5"/>
    </row>
    <row r="4832" spans="3:4" customFormat="1" x14ac:dyDescent="0.2">
      <c r="C4832" s="5"/>
      <c r="D4832" s="5"/>
    </row>
    <row r="4833" spans="3:4" customFormat="1" x14ac:dyDescent="0.2">
      <c r="C4833" s="5"/>
      <c r="D4833" s="5"/>
    </row>
    <row r="4834" spans="3:4" customFormat="1" x14ac:dyDescent="0.2">
      <c r="C4834" s="5"/>
      <c r="D4834" s="5"/>
    </row>
    <row r="4835" spans="3:4" customFormat="1" x14ac:dyDescent="0.2">
      <c r="C4835" s="5"/>
      <c r="D4835" s="5"/>
    </row>
    <row r="4836" spans="3:4" customFormat="1" x14ac:dyDescent="0.2">
      <c r="C4836" s="5"/>
      <c r="D4836" s="5"/>
    </row>
    <row r="4837" spans="3:4" customFormat="1" x14ac:dyDescent="0.2">
      <c r="C4837" s="5"/>
      <c r="D4837" s="5"/>
    </row>
    <row r="4838" spans="3:4" customFormat="1" x14ac:dyDescent="0.2">
      <c r="C4838" s="5"/>
      <c r="D4838" s="5"/>
    </row>
    <row r="4839" spans="3:4" customFormat="1" x14ac:dyDescent="0.2">
      <c r="C4839" s="5"/>
      <c r="D4839" s="5"/>
    </row>
    <row r="4840" spans="3:4" customFormat="1" x14ac:dyDescent="0.2">
      <c r="C4840" s="5"/>
      <c r="D4840" s="5"/>
    </row>
    <row r="4841" spans="3:4" customFormat="1" x14ac:dyDescent="0.2">
      <c r="C4841" s="5"/>
      <c r="D4841" s="5"/>
    </row>
    <row r="4842" spans="3:4" customFormat="1" x14ac:dyDescent="0.2">
      <c r="C4842" s="5"/>
      <c r="D4842" s="5"/>
    </row>
    <row r="4843" spans="3:4" customFormat="1" x14ac:dyDescent="0.2">
      <c r="C4843" s="5"/>
      <c r="D4843" s="5"/>
    </row>
    <row r="4844" spans="3:4" customFormat="1" x14ac:dyDescent="0.2">
      <c r="C4844" s="5"/>
      <c r="D4844" s="5"/>
    </row>
    <row r="4845" spans="3:4" customFormat="1" x14ac:dyDescent="0.2">
      <c r="C4845" s="5"/>
      <c r="D4845" s="5"/>
    </row>
    <row r="4846" spans="3:4" customFormat="1" x14ac:dyDescent="0.2">
      <c r="C4846" s="5"/>
      <c r="D4846" s="5"/>
    </row>
    <row r="4847" spans="3:4" customFormat="1" x14ac:dyDescent="0.2">
      <c r="C4847" s="5"/>
      <c r="D4847" s="5"/>
    </row>
    <row r="4848" spans="3:4" customFormat="1" x14ac:dyDescent="0.2">
      <c r="C4848" s="5"/>
      <c r="D4848" s="5"/>
    </row>
    <row r="4849" spans="3:4" customFormat="1" x14ac:dyDescent="0.2">
      <c r="C4849" s="5"/>
      <c r="D4849" s="5"/>
    </row>
    <row r="4850" spans="3:4" customFormat="1" x14ac:dyDescent="0.2">
      <c r="C4850" s="5"/>
      <c r="D4850" s="5"/>
    </row>
    <row r="4851" spans="3:4" customFormat="1" x14ac:dyDescent="0.2">
      <c r="C4851" s="5"/>
      <c r="D4851" s="5"/>
    </row>
    <row r="4852" spans="3:4" customFormat="1" x14ac:dyDescent="0.2">
      <c r="C4852" s="5"/>
      <c r="D4852" s="5"/>
    </row>
    <row r="4853" spans="3:4" customFormat="1" x14ac:dyDescent="0.2">
      <c r="C4853" s="5"/>
      <c r="D4853" s="5"/>
    </row>
    <row r="4854" spans="3:4" customFormat="1" x14ac:dyDescent="0.2">
      <c r="C4854" s="5"/>
      <c r="D4854" s="5"/>
    </row>
    <row r="4855" spans="3:4" customFormat="1" x14ac:dyDescent="0.2">
      <c r="C4855" s="5"/>
      <c r="D4855" s="5"/>
    </row>
    <row r="4856" spans="3:4" customFormat="1" x14ac:dyDescent="0.2">
      <c r="C4856" s="5"/>
      <c r="D4856" s="5"/>
    </row>
    <row r="4857" spans="3:4" customFormat="1" x14ac:dyDescent="0.2">
      <c r="C4857" s="5"/>
      <c r="D4857" s="5"/>
    </row>
    <row r="4858" spans="3:4" customFormat="1" x14ac:dyDescent="0.2">
      <c r="C4858" s="5"/>
      <c r="D4858" s="5"/>
    </row>
    <row r="4859" spans="3:4" customFormat="1" x14ac:dyDescent="0.2">
      <c r="C4859" s="5"/>
      <c r="D4859" s="5"/>
    </row>
    <row r="4860" spans="3:4" customFormat="1" x14ac:dyDescent="0.2">
      <c r="C4860" s="5"/>
      <c r="D4860" s="5"/>
    </row>
    <row r="4861" spans="3:4" customFormat="1" x14ac:dyDescent="0.2">
      <c r="C4861" s="5"/>
      <c r="D4861" s="5"/>
    </row>
    <row r="4862" spans="3:4" customFormat="1" x14ac:dyDescent="0.2">
      <c r="C4862" s="5"/>
      <c r="D4862" s="5"/>
    </row>
    <row r="4863" spans="3:4" customFormat="1" x14ac:dyDescent="0.2">
      <c r="C4863" s="5"/>
      <c r="D4863" s="5"/>
    </row>
    <row r="4864" spans="3:4" customFormat="1" x14ac:dyDescent="0.2">
      <c r="C4864" s="5"/>
      <c r="D4864" s="5"/>
    </row>
    <row r="4865" spans="3:4" customFormat="1" x14ac:dyDescent="0.2">
      <c r="C4865" s="5"/>
      <c r="D4865" s="5"/>
    </row>
    <row r="4866" spans="3:4" customFormat="1" x14ac:dyDescent="0.2">
      <c r="C4866" s="5"/>
      <c r="D4866" s="5"/>
    </row>
    <row r="4867" spans="3:4" customFormat="1" x14ac:dyDescent="0.2">
      <c r="C4867" s="5"/>
      <c r="D4867" s="5"/>
    </row>
    <row r="4868" spans="3:4" customFormat="1" x14ac:dyDescent="0.2">
      <c r="C4868" s="5"/>
      <c r="D4868" s="5"/>
    </row>
    <row r="4869" spans="3:4" customFormat="1" x14ac:dyDescent="0.2">
      <c r="C4869" s="5"/>
      <c r="D4869" s="5"/>
    </row>
    <row r="4870" spans="3:4" customFormat="1" x14ac:dyDescent="0.2">
      <c r="C4870" s="5"/>
      <c r="D4870" s="5"/>
    </row>
    <row r="4871" spans="3:4" customFormat="1" x14ac:dyDescent="0.2">
      <c r="C4871" s="5"/>
      <c r="D4871" s="5"/>
    </row>
    <row r="4872" spans="3:4" customFormat="1" x14ac:dyDescent="0.2">
      <c r="C4872" s="5"/>
      <c r="D4872" s="5"/>
    </row>
    <row r="4873" spans="3:4" customFormat="1" x14ac:dyDescent="0.2">
      <c r="C4873" s="5"/>
      <c r="D4873" s="5"/>
    </row>
    <row r="4874" spans="3:4" customFormat="1" x14ac:dyDescent="0.2">
      <c r="C4874" s="5"/>
      <c r="D4874" s="5"/>
    </row>
    <row r="4875" spans="3:4" customFormat="1" x14ac:dyDescent="0.2">
      <c r="C4875" s="5"/>
      <c r="D4875" s="5"/>
    </row>
    <row r="4876" spans="3:4" customFormat="1" x14ac:dyDescent="0.2">
      <c r="C4876" s="5"/>
      <c r="D4876" s="5"/>
    </row>
    <row r="4877" spans="3:4" customFormat="1" x14ac:dyDescent="0.2">
      <c r="C4877" s="5"/>
      <c r="D4877" s="5"/>
    </row>
    <row r="4878" spans="3:4" customFormat="1" x14ac:dyDescent="0.2">
      <c r="C4878" s="5"/>
      <c r="D4878" s="5"/>
    </row>
    <row r="4879" spans="3:4" customFormat="1" x14ac:dyDescent="0.2">
      <c r="C4879" s="5"/>
      <c r="D4879" s="5"/>
    </row>
    <row r="4880" spans="3:4" customFormat="1" x14ac:dyDescent="0.2">
      <c r="C4880" s="5"/>
      <c r="D4880" s="5"/>
    </row>
    <row r="4881" spans="3:4" customFormat="1" x14ac:dyDescent="0.2">
      <c r="C4881" s="5"/>
      <c r="D4881" s="5"/>
    </row>
    <row r="4882" spans="3:4" customFormat="1" x14ac:dyDescent="0.2">
      <c r="C4882" s="5"/>
      <c r="D4882" s="5"/>
    </row>
    <row r="4883" spans="3:4" customFormat="1" x14ac:dyDescent="0.2">
      <c r="C4883" s="5"/>
      <c r="D4883" s="5"/>
    </row>
    <row r="4884" spans="3:4" customFormat="1" x14ac:dyDescent="0.2">
      <c r="C4884" s="5"/>
      <c r="D4884" s="5"/>
    </row>
    <row r="4885" spans="3:4" customFormat="1" x14ac:dyDescent="0.2">
      <c r="C4885" s="5"/>
      <c r="D4885" s="5"/>
    </row>
    <row r="4886" spans="3:4" customFormat="1" x14ac:dyDescent="0.2">
      <c r="C4886" s="5"/>
      <c r="D4886" s="5"/>
    </row>
    <row r="4887" spans="3:4" customFormat="1" x14ac:dyDescent="0.2">
      <c r="C4887" s="5"/>
      <c r="D4887" s="5"/>
    </row>
    <row r="4888" spans="3:4" customFormat="1" x14ac:dyDescent="0.2">
      <c r="C4888" s="5"/>
      <c r="D4888" s="5"/>
    </row>
    <row r="4889" spans="3:4" customFormat="1" x14ac:dyDescent="0.2">
      <c r="C4889" s="5"/>
      <c r="D4889" s="5"/>
    </row>
    <row r="4890" spans="3:4" customFormat="1" x14ac:dyDescent="0.2">
      <c r="C4890" s="5"/>
      <c r="D4890" s="5"/>
    </row>
    <row r="4891" spans="3:4" customFormat="1" x14ac:dyDescent="0.2">
      <c r="C4891" s="5"/>
      <c r="D4891" s="5"/>
    </row>
    <row r="4892" spans="3:4" customFormat="1" x14ac:dyDescent="0.2">
      <c r="C4892" s="5"/>
      <c r="D4892" s="5"/>
    </row>
    <row r="4893" spans="3:4" customFormat="1" x14ac:dyDescent="0.2">
      <c r="C4893" s="5"/>
      <c r="D4893" s="5"/>
    </row>
    <row r="4894" spans="3:4" customFormat="1" x14ac:dyDescent="0.2">
      <c r="C4894" s="5"/>
      <c r="D4894" s="5"/>
    </row>
    <row r="4895" spans="3:4" customFormat="1" x14ac:dyDescent="0.2">
      <c r="C4895" s="5"/>
      <c r="D4895" s="5"/>
    </row>
    <row r="4896" spans="3:4" customFormat="1" x14ac:dyDescent="0.2">
      <c r="C4896" s="5"/>
      <c r="D4896" s="5"/>
    </row>
    <row r="4897" spans="3:4" customFormat="1" x14ac:dyDescent="0.2">
      <c r="C4897" s="5"/>
      <c r="D4897" s="5"/>
    </row>
    <row r="4898" spans="3:4" customFormat="1" x14ac:dyDescent="0.2">
      <c r="C4898" s="5"/>
      <c r="D4898" s="5"/>
    </row>
    <row r="4899" spans="3:4" customFormat="1" x14ac:dyDescent="0.2">
      <c r="C4899" s="5"/>
      <c r="D4899" s="5"/>
    </row>
    <row r="4900" spans="3:4" customFormat="1" x14ac:dyDescent="0.2">
      <c r="C4900" s="5"/>
      <c r="D4900" s="5"/>
    </row>
    <row r="4901" spans="3:4" customFormat="1" x14ac:dyDescent="0.2">
      <c r="C4901" s="5"/>
      <c r="D4901" s="5"/>
    </row>
    <row r="4902" spans="3:4" customFormat="1" x14ac:dyDescent="0.2">
      <c r="C4902" s="5"/>
      <c r="D4902" s="5"/>
    </row>
    <row r="4903" spans="3:4" customFormat="1" x14ac:dyDescent="0.2">
      <c r="C4903" s="5"/>
      <c r="D4903" s="5"/>
    </row>
    <row r="4904" spans="3:4" customFormat="1" x14ac:dyDescent="0.2">
      <c r="C4904" s="5"/>
      <c r="D4904" s="5"/>
    </row>
    <row r="4905" spans="3:4" customFormat="1" x14ac:dyDescent="0.2">
      <c r="C4905" s="5"/>
      <c r="D4905" s="5"/>
    </row>
    <row r="4906" spans="3:4" customFormat="1" x14ac:dyDescent="0.2">
      <c r="C4906" s="5"/>
      <c r="D4906" s="5"/>
    </row>
    <row r="4907" spans="3:4" customFormat="1" x14ac:dyDescent="0.2">
      <c r="C4907" s="5"/>
      <c r="D4907" s="5"/>
    </row>
    <row r="4908" spans="3:4" customFormat="1" x14ac:dyDescent="0.2">
      <c r="C4908" s="5"/>
      <c r="D4908" s="5"/>
    </row>
    <row r="4909" spans="3:4" customFormat="1" x14ac:dyDescent="0.2">
      <c r="C4909" s="5"/>
      <c r="D4909" s="5"/>
    </row>
    <row r="4910" spans="3:4" customFormat="1" x14ac:dyDescent="0.2">
      <c r="C4910" s="5"/>
      <c r="D4910" s="5"/>
    </row>
    <row r="4911" spans="3:4" customFormat="1" x14ac:dyDescent="0.2">
      <c r="C4911" s="5"/>
      <c r="D4911" s="5"/>
    </row>
    <row r="4912" spans="3:4" customFormat="1" x14ac:dyDescent="0.2">
      <c r="C4912" s="5"/>
      <c r="D4912" s="5"/>
    </row>
    <row r="4913" spans="3:4" customFormat="1" x14ac:dyDescent="0.2">
      <c r="C4913" s="5"/>
      <c r="D4913" s="5"/>
    </row>
    <row r="4914" spans="3:4" customFormat="1" x14ac:dyDescent="0.2">
      <c r="C4914" s="5"/>
      <c r="D4914" s="5"/>
    </row>
    <row r="4915" spans="3:4" customFormat="1" x14ac:dyDescent="0.2">
      <c r="C4915" s="5"/>
      <c r="D4915" s="5"/>
    </row>
    <row r="4916" spans="3:4" customFormat="1" x14ac:dyDescent="0.2">
      <c r="C4916" s="5"/>
      <c r="D4916" s="5"/>
    </row>
    <row r="4917" spans="3:4" customFormat="1" x14ac:dyDescent="0.2">
      <c r="C4917" s="5"/>
      <c r="D4917" s="5"/>
    </row>
    <row r="4918" spans="3:4" customFormat="1" x14ac:dyDescent="0.2">
      <c r="C4918" s="5"/>
      <c r="D4918" s="5"/>
    </row>
    <row r="4919" spans="3:4" customFormat="1" x14ac:dyDescent="0.2">
      <c r="C4919" s="5"/>
      <c r="D4919" s="5"/>
    </row>
    <row r="4920" spans="3:4" customFormat="1" x14ac:dyDescent="0.2">
      <c r="C4920" s="5"/>
      <c r="D4920" s="5"/>
    </row>
    <row r="4921" spans="3:4" customFormat="1" x14ac:dyDescent="0.2">
      <c r="C4921" s="5"/>
      <c r="D4921" s="5"/>
    </row>
    <row r="4922" spans="3:4" customFormat="1" x14ac:dyDescent="0.2">
      <c r="C4922" s="5"/>
      <c r="D4922" s="5"/>
    </row>
    <row r="4923" spans="3:4" customFormat="1" x14ac:dyDescent="0.2">
      <c r="C4923" s="5"/>
      <c r="D4923" s="5"/>
    </row>
    <row r="4924" spans="3:4" customFormat="1" x14ac:dyDescent="0.2">
      <c r="C4924" s="5"/>
      <c r="D4924" s="5"/>
    </row>
    <row r="4925" spans="3:4" customFormat="1" x14ac:dyDescent="0.2">
      <c r="C4925" s="5"/>
      <c r="D4925" s="5"/>
    </row>
    <row r="4926" spans="3:4" customFormat="1" x14ac:dyDescent="0.2">
      <c r="C4926" s="5"/>
      <c r="D4926" s="5"/>
    </row>
    <row r="4927" spans="3:4" customFormat="1" x14ac:dyDescent="0.2">
      <c r="C4927" s="5"/>
      <c r="D4927" s="5"/>
    </row>
    <row r="4928" spans="3:4" customFormat="1" x14ac:dyDescent="0.2">
      <c r="C4928" s="5"/>
      <c r="D4928" s="5"/>
    </row>
    <row r="4929" spans="3:4" customFormat="1" x14ac:dyDescent="0.2">
      <c r="C4929" s="5"/>
      <c r="D4929" s="5"/>
    </row>
    <row r="4930" spans="3:4" customFormat="1" x14ac:dyDescent="0.2">
      <c r="C4930" s="5"/>
      <c r="D4930" s="5"/>
    </row>
    <row r="4931" spans="3:4" customFormat="1" x14ac:dyDescent="0.2">
      <c r="C4931" s="5"/>
      <c r="D4931" s="5"/>
    </row>
    <row r="4932" spans="3:4" customFormat="1" x14ac:dyDescent="0.2">
      <c r="C4932" s="5"/>
      <c r="D4932" s="5"/>
    </row>
    <row r="4933" spans="3:4" customFormat="1" x14ac:dyDescent="0.2">
      <c r="C4933" s="5"/>
      <c r="D4933" s="5"/>
    </row>
    <row r="4934" spans="3:4" customFormat="1" x14ac:dyDescent="0.2">
      <c r="C4934" s="5"/>
      <c r="D4934" s="5"/>
    </row>
    <row r="4935" spans="3:4" customFormat="1" x14ac:dyDescent="0.2">
      <c r="C4935" s="5"/>
      <c r="D4935" s="5"/>
    </row>
    <row r="4936" spans="3:4" customFormat="1" x14ac:dyDescent="0.2">
      <c r="C4936" s="5"/>
      <c r="D4936" s="5"/>
    </row>
    <row r="4937" spans="3:4" customFormat="1" x14ac:dyDescent="0.2">
      <c r="C4937" s="5"/>
      <c r="D4937" s="5"/>
    </row>
    <row r="4938" spans="3:4" customFormat="1" x14ac:dyDescent="0.2">
      <c r="C4938" s="5"/>
      <c r="D4938" s="5"/>
    </row>
    <row r="4939" spans="3:4" customFormat="1" x14ac:dyDescent="0.2">
      <c r="C4939" s="5"/>
      <c r="D4939" s="5"/>
    </row>
    <row r="4940" spans="3:4" customFormat="1" x14ac:dyDescent="0.2">
      <c r="C4940" s="5"/>
      <c r="D4940" s="5"/>
    </row>
    <row r="4941" spans="3:4" customFormat="1" x14ac:dyDescent="0.2">
      <c r="C4941" s="5"/>
      <c r="D4941" s="5"/>
    </row>
    <row r="4942" spans="3:4" customFormat="1" x14ac:dyDescent="0.2">
      <c r="C4942" s="5"/>
      <c r="D4942" s="5"/>
    </row>
    <row r="4943" spans="3:4" customFormat="1" x14ac:dyDescent="0.2">
      <c r="C4943" s="5"/>
      <c r="D4943" s="5"/>
    </row>
    <row r="4944" spans="3:4" customFormat="1" x14ac:dyDescent="0.2">
      <c r="C4944" s="5"/>
      <c r="D4944" s="5"/>
    </row>
    <row r="4945" spans="3:4" customFormat="1" x14ac:dyDescent="0.2">
      <c r="C4945" s="5"/>
      <c r="D4945" s="5"/>
    </row>
    <row r="4946" spans="3:4" customFormat="1" x14ac:dyDescent="0.2">
      <c r="C4946" s="5"/>
      <c r="D4946" s="5"/>
    </row>
    <row r="4947" spans="3:4" customFormat="1" x14ac:dyDescent="0.2">
      <c r="C4947" s="5"/>
      <c r="D4947" s="5"/>
    </row>
    <row r="4948" spans="3:4" customFormat="1" x14ac:dyDescent="0.2">
      <c r="C4948" s="5"/>
      <c r="D4948" s="5"/>
    </row>
    <row r="4949" spans="3:4" customFormat="1" x14ac:dyDescent="0.2">
      <c r="C4949" s="5"/>
      <c r="D4949" s="5"/>
    </row>
    <row r="4950" spans="3:4" customFormat="1" x14ac:dyDescent="0.2">
      <c r="C4950" s="5"/>
      <c r="D4950" s="5"/>
    </row>
    <row r="4951" spans="3:4" customFormat="1" x14ac:dyDescent="0.2">
      <c r="C4951" s="5"/>
      <c r="D4951" s="5"/>
    </row>
    <row r="4952" spans="3:4" customFormat="1" x14ac:dyDescent="0.2">
      <c r="C4952" s="5"/>
      <c r="D4952" s="5"/>
    </row>
    <row r="4953" spans="3:4" customFormat="1" x14ac:dyDescent="0.2">
      <c r="C4953" s="5"/>
      <c r="D4953" s="5"/>
    </row>
    <row r="4954" spans="3:4" customFormat="1" x14ac:dyDescent="0.2">
      <c r="C4954" s="5"/>
      <c r="D4954" s="5"/>
    </row>
    <row r="4955" spans="3:4" customFormat="1" x14ac:dyDescent="0.2">
      <c r="C4955" s="5"/>
      <c r="D4955" s="5"/>
    </row>
    <row r="4956" spans="3:4" customFormat="1" x14ac:dyDescent="0.2">
      <c r="C4956" s="5"/>
      <c r="D4956" s="5"/>
    </row>
    <row r="4957" spans="3:4" customFormat="1" x14ac:dyDescent="0.2">
      <c r="C4957" s="5"/>
      <c r="D4957" s="5"/>
    </row>
    <row r="4958" spans="3:4" customFormat="1" x14ac:dyDescent="0.2">
      <c r="C4958" s="5"/>
      <c r="D4958" s="5"/>
    </row>
    <row r="4959" spans="3:4" customFormat="1" x14ac:dyDescent="0.2">
      <c r="C4959" s="5"/>
      <c r="D4959" s="5"/>
    </row>
    <row r="4960" spans="3:4" customFormat="1" x14ac:dyDescent="0.2">
      <c r="C4960" s="5"/>
      <c r="D4960" s="5"/>
    </row>
    <row r="4961" spans="3:4" customFormat="1" x14ac:dyDescent="0.2">
      <c r="C4961" s="5"/>
      <c r="D4961" s="5"/>
    </row>
    <row r="4962" spans="3:4" customFormat="1" x14ac:dyDescent="0.2">
      <c r="C4962" s="5"/>
      <c r="D4962" s="5"/>
    </row>
    <row r="4963" spans="3:4" customFormat="1" x14ac:dyDescent="0.2">
      <c r="C4963" s="5"/>
      <c r="D4963" s="5"/>
    </row>
    <row r="4964" spans="3:4" customFormat="1" x14ac:dyDescent="0.2">
      <c r="C4964" s="5"/>
      <c r="D4964" s="5"/>
    </row>
    <row r="4965" spans="3:4" customFormat="1" x14ac:dyDescent="0.2">
      <c r="C4965" s="5"/>
      <c r="D4965" s="5"/>
    </row>
    <row r="4966" spans="3:4" customFormat="1" x14ac:dyDescent="0.2">
      <c r="C4966" s="5"/>
      <c r="D4966" s="5"/>
    </row>
    <row r="4967" spans="3:4" customFormat="1" x14ac:dyDescent="0.2">
      <c r="C4967" s="5"/>
      <c r="D4967" s="5"/>
    </row>
    <row r="4968" spans="3:4" customFormat="1" x14ac:dyDescent="0.2">
      <c r="C4968" s="5"/>
      <c r="D4968" s="5"/>
    </row>
    <row r="4969" spans="3:4" customFormat="1" x14ac:dyDescent="0.2">
      <c r="C4969" s="5"/>
      <c r="D4969" s="5"/>
    </row>
    <row r="4970" spans="3:4" customFormat="1" x14ac:dyDescent="0.2">
      <c r="C4970" s="5"/>
      <c r="D4970" s="5"/>
    </row>
    <row r="4971" spans="3:4" customFormat="1" x14ac:dyDescent="0.2">
      <c r="C4971" s="5"/>
      <c r="D4971" s="5"/>
    </row>
    <row r="4972" spans="3:4" customFormat="1" x14ac:dyDescent="0.2">
      <c r="C4972" s="5"/>
      <c r="D4972" s="5"/>
    </row>
    <row r="4973" spans="3:4" customFormat="1" x14ac:dyDescent="0.2">
      <c r="C4973" s="5"/>
      <c r="D4973" s="5"/>
    </row>
    <row r="4974" spans="3:4" customFormat="1" x14ac:dyDescent="0.2">
      <c r="C4974" s="5"/>
      <c r="D4974" s="5"/>
    </row>
    <row r="4975" spans="3:4" customFormat="1" x14ac:dyDescent="0.2">
      <c r="C4975" s="5"/>
      <c r="D4975" s="5"/>
    </row>
    <row r="4976" spans="3:4" customFormat="1" x14ac:dyDescent="0.2">
      <c r="C4976" s="5"/>
      <c r="D4976" s="5"/>
    </row>
    <row r="4977" spans="3:4" customFormat="1" x14ac:dyDescent="0.2">
      <c r="C4977" s="5"/>
      <c r="D4977" s="5"/>
    </row>
    <row r="4978" spans="3:4" customFormat="1" x14ac:dyDescent="0.2">
      <c r="C4978" s="5"/>
      <c r="D4978" s="5"/>
    </row>
    <row r="4979" spans="3:4" customFormat="1" x14ac:dyDescent="0.2">
      <c r="C4979" s="5"/>
      <c r="D4979" s="5"/>
    </row>
    <row r="4980" spans="3:4" customFormat="1" x14ac:dyDescent="0.2">
      <c r="C4980" s="5"/>
      <c r="D4980" s="5"/>
    </row>
    <row r="4981" spans="3:4" customFormat="1" x14ac:dyDescent="0.2">
      <c r="C4981" s="5"/>
      <c r="D4981" s="5"/>
    </row>
    <row r="4982" spans="3:4" customFormat="1" x14ac:dyDescent="0.2">
      <c r="C4982" s="5"/>
      <c r="D4982" s="5"/>
    </row>
    <row r="4983" spans="3:4" customFormat="1" x14ac:dyDescent="0.2">
      <c r="C4983" s="5"/>
      <c r="D4983" s="5"/>
    </row>
    <row r="4984" spans="3:4" customFormat="1" x14ac:dyDescent="0.2">
      <c r="C4984" s="5"/>
      <c r="D4984" s="5"/>
    </row>
    <row r="4985" spans="3:4" customFormat="1" x14ac:dyDescent="0.2">
      <c r="C4985" s="5"/>
      <c r="D4985" s="5"/>
    </row>
    <row r="4986" spans="3:4" customFormat="1" x14ac:dyDescent="0.2">
      <c r="C4986" s="5"/>
      <c r="D4986" s="5"/>
    </row>
    <row r="4987" spans="3:4" customFormat="1" x14ac:dyDescent="0.2">
      <c r="C4987" s="5"/>
      <c r="D4987" s="5"/>
    </row>
    <row r="4988" spans="3:4" customFormat="1" x14ac:dyDescent="0.2">
      <c r="C4988" s="5"/>
      <c r="D4988" s="5"/>
    </row>
    <row r="4989" spans="3:4" customFormat="1" x14ac:dyDescent="0.2">
      <c r="C4989" s="5"/>
      <c r="D4989" s="5"/>
    </row>
    <row r="4990" spans="3:4" customFormat="1" x14ac:dyDescent="0.2">
      <c r="C4990" s="5"/>
      <c r="D4990" s="5"/>
    </row>
    <row r="4991" spans="3:4" customFormat="1" x14ac:dyDescent="0.2">
      <c r="C4991" s="5"/>
      <c r="D4991" s="5"/>
    </row>
    <row r="4992" spans="3:4" customFormat="1" x14ac:dyDescent="0.2">
      <c r="C4992" s="5"/>
      <c r="D4992" s="5"/>
    </row>
    <row r="4993" spans="2:13" x14ac:dyDescent="0.2">
      <c r="B4993"/>
      <c r="J4993"/>
      <c r="K4993"/>
      <c r="L4993"/>
      <c r="M4993"/>
    </row>
    <row r="4994" spans="2:13" x14ac:dyDescent="0.2">
      <c r="B4994"/>
      <c r="J4994"/>
      <c r="K4994"/>
      <c r="L4994"/>
      <c r="M4994"/>
    </row>
    <row r="4995" spans="2:13" x14ac:dyDescent="0.2">
      <c r="B4995"/>
      <c r="J4995"/>
      <c r="K4995"/>
      <c r="L4995"/>
      <c r="M4995"/>
    </row>
    <row r="4996" spans="2:13" x14ac:dyDescent="0.2">
      <c r="B4996"/>
      <c r="J4996"/>
      <c r="K4996"/>
      <c r="L4996"/>
      <c r="M4996"/>
    </row>
    <row r="4997" spans="2:13" x14ac:dyDescent="0.2">
      <c r="B4997"/>
      <c r="J4997"/>
      <c r="K4997"/>
      <c r="L4997"/>
      <c r="M4997"/>
    </row>
    <row r="4998" spans="2:13" x14ac:dyDescent="0.2">
      <c r="B4998"/>
      <c r="J4998"/>
      <c r="K4998"/>
      <c r="L4998"/>
      <c r="M4998"/>
    </row>
    <row r="4999" spans="2:13" x14ac:dyDescent="0.2">
      <c r="B4999"/>
      <c r="J4999"/>
      <c r="K4999"/>
      <c r="L4999"/>
      <c r="M4999"/>
    </row>
    <row r="5000" spans="2:13" x14ac:dyDescent="0.2">
      <c r="B5000"/>
      <c r="J5000"/>
      <c r="K5000"/>
      <c r="L5000"/>
      <c r="M5000"/>
    </row>
    <row r="5001" spans="2:13" x14ac:dyDescent="0.2">
      <c r="B5001"/>
    </row>
    <row r="5002" spans="2:13" x14ac:dyDescent="0.2">
      <c r="B5002"/>
    </row>
    <row r="5003" spans="2:13" x14ac:dyDescent="0.2">
      <c r="B5003"/>
    </row>
  </sheetData>
  <conditionalFormatting sqref="A5004:A1048576">
    <cfRule type="duplicateValues" dxfId="73" priority="2"/>
    <cfRule type="duplicateValues" dxfId="72" priority="4"/>
  </conditionalFormatting>
  <conditionalFormatting sqref="A5004:A1048576">
    <cfRule type="duplicateValues" dxfId="71" priority="3"/>
  </conditionalFormatting>
  <conditionalFormatting sqref="B5004:B1048576">
    <cfRule type="duplicateValues" dxfId="70" priority="1"/>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EA566-06F6-4E9E-8C2A-9EEF2F1A2796}">
  <sheetPr codeName="Hoja1">
    <tabColor rgb="FFFF0000"/>
  </sheetPr>
  <dimension ref="B3:G23"/>
  <sheetViews>
    <sheetView workbookViewId="0">
      <selection activeCell="G29" sqref="G29"/>
    </sheetView>
  </sheetViews>
  <sheetFormatPr baseColWidth="10" defaultColWidth="9.1640625" defaultRowHeight="15" x14ac:dyDescent="0.2"/>
  <cols>
    <col min="2" max="2" width="18.5" bestFit="1" customWidth="1"/>
    <col min="3" max="3" width="11" bestFit="1" customWidth="1"/>
    <col min="4" max="4" width="12.5" customWidth="1"/>
    <col min="5" max="5" width="15.6640625" bestFit="1" customWidth="1"/>
    <col min="6" max="6" width="15.83203125" customWidth="1"/>
    <col min="8" max="8" width="14.5" customWidth="1"/>
  </cols>
  <sheetData>
    <row r="3" spans="2:7" x14ac:dyDescent="0.2">
      <c r="B3" t="s">
        <v>492</v>
      </c>
      <c r="C3" t="s">
        <v>305</v>
      </c>
      <c r="D3" t="s">
        <v>493</v>
      </c>
    </row>
    <row r="4" spans="2:7" x14ac:dyDescent="0.2">
      <c r="B4" t="s">
        <v>494</v>
      </c>
      <c r="C4">
        <v>555</v>
      </c>
      <c r="D4">
        <v>123</v>
      </c>
      <c r="E4" s="12">
        <v>11000</v>
      </c>
    </row>
    <row r="5" spans="2:7" x14ac:dyDescent="0.2">
      <c r="D5">
        <v>321</v>
      </c>
      <c r="E5" s="12">
        <v>1000</v>
      </c>
    </row>
    <row r="6" spans="2:7" x14ac:dyDescent="0.2">
      <c r="D6">
        <v>345</v>
      </c>
      <c r="E6" s="12">
        <v>20000</v>
      </c>
    </row>
    <row r="7" spans="2:7" x14ac:dyDescent="0.2">
      <c r="D7">
        <v>543</v>
      </c>
      <c r="E7" s="12">
        <v>30000</v>
      </c>
    </row>
    <row r="8" spans="2:7" x14ac:dyDescent="0.2">
      <c r="G8" s="14"/>
    </row>
    <row r="9" spans="2:7" x14ac:dyDescent="0.2">
      <c r="B9" t="s">
        <v>305</v>
      </c>
      <c r="C9" t="s">
        <v>495</v>
      </c>
      <c r="D9" t="s">
        <v>493</v>
      </c>
      <c r="E9" s="12">
        <v>20000000</v>
      </c>
    </row>
    <row r="10" spans="2:7" x14ac:dyDescent="0.2">
      <c r="B10">
        <v>555</v>
      </c>
      <c r="C10" s="13">
        <v>30000000</v>
      </c>
      <c r="D10">
        <v>123</v>
      </c>
      <c r="E10" s="12">
        <v>3000000</v>
      </c>
      <c r="F10" s="15">
        <f>E10/E9</f>
        <v>0.15</v>
      </c>
    </row>
    <row r="11" spans="2:7" x14ac:dyDescent="0.2">
      <c r="D11">
        <v>321</v>
      </c>
      <c r="E11" s="12">
        <v>2500000</v>
      </c>
      <c r="F11" s="14">
        <f>E11/$E$9</f>
        <v>0.125</v>
      </c>
    </row>
    <row r="12" spans="2:7" x14ac:dyDescent="0.2">
      <c r="D12">
        <v>345</v>
      </c>
      <c r="E12" s="12">
        <v>5837200</v>
      </c>
      <c r="F12" s="14">
        <f>E12/$E$9</f>
        <v>0.29186000000000001</v>
      </c>
    </row>
    <row r="13" spans="2:7" x14ac:dyDescent="0.2">
      <c r="D13">
        <v>543</v>
      </c>
      <c r="E13" s="12">
        <v>3000000</v>
      </c>
      <c r="F13" s="14">
        <f>E13/$E$9</f>
        <v>0.15</v>
      </c>
    </row>
    <row r="14" spans="2:7" x14ac:dyDescent="0.2">
      <c r="D14" t="s">
        <v>496</v>
      </c>
      <c r="E14" s="12">
        <f>E9-SUM(E10:E13)</f>
        <v>5662800</v>
      </c>
      <c r="F14" s="14">
        <f>E14/$E$9</f>
        <v>0.28314</v>
      </c>
    </row>
    <row r="15" spans="2:7" x14ac:dyDescent="0.2">
      <c r="D15" t="s">
        <v>497</v>
      </c>
      <c r="E15" s="12">
        <f>SUM(E10:E13)</f>
        <v>14337200</v>
      </c>
      <c r="F15" s="14">
        <f>E15/$E$9</f>
        <v>0.71686000000000005</v>
      </c>
    </row>
    <row r="16" spans="2:7" x14ac:dyDescent="0.2">
      <c r="E16" s="12"/>
    </row>
    <row r="22" spans="5:7" x14ac:dyDescent="0.2">
      <c r="E22" t="s">
        <v>496</v>
      </c>
      <c r="F22" s="12">
        <v>5662800</v>
      </c>
      <c r="G22" s="16">
        <v>0.28314</v>
      </c>
    </row>
    <row r="23" spans="5:7" x14ac:dyDescent="0.2">
      <c r="E23" t="s">
        <v>498</v>
      </c>
      <c r="F23" s="12">
        <v>14337200</v>
      </c>
      <c r="G23" s="16">
        <v>0.71686000000000005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DA15-BBCB-4C80-ADA1-4D0DE9E791F6}">
  <sheetPr codeName="Hoja13">
    <tabColor theme="6" tint="0.39997558519241921"/>
  </sheetPr>
  <dimension ref="A1:AH551"/>
  <sheetViews>
    <sheetView zoomScale="125" zoomScaleNormal="70" workbookViewId="0">
      <selection activeCell="Z537" sqref="Z537"/>
    </sheetView>
  </sheetViews>
  <sheetFormatPr baseColWidth="10" defaultColWidth="11.5" defaultRowHeight="15" customHeight="1" x14ac:dyDescent="0.2"/>
  <cols>
    <col min="1" max="1" width="22.5" bestFit="1" customWidth="1"/>
    <col min="2" max="2" width="22.5" customWidth="1"/>
    <col min="3" max="3" width="25.5" style="2" customWidth="1"/>
    <col min="4" max="4" width="24.1640625" style="5" customWidth="1"/>
    <col min="5" max="5" width="24.83203125" style="5" customWidth="1"/>
    <col min="7" max="7" width="18.5" style="2" customWidth="1"/>
    <col min="9" max="9" width="17" customWidth="1"/>
    <col min="11" max="11" width="16.6640625" style="4" customWidth="1"/>
    <col min="12" max="12" width="24.5" customWidth="1"/>
    <col min="13" max="13" width="17.33203125" style="4" customWidth="1"/>
    <col min="14" max="14" width="22.6640625" style="4" customWidth="1"/>
    <col min="15" max="15" width="24.5" customWidth="1"/>
    <col min="16" max="16" width="19" customWidth="1"/>
    <col min="17" max="17" width="27.5" customWidth="1"/>
    <col min="18" max="18" width="20.1640625" customWidth="1"/>
    <col min="19" max="19" width="17.1640625" customWidth="1"/>
    <col min="20" max="20" width="20.83203125" style="2" customWidth="1"/>
    <col min="21" max="21" width="20" customWidth="1"/>
    <col min="22" max="22" width="15.6640625" customWidth="1"/>
    <col min="23" max="23" width="26.1640625" customWidth="1"/>
    <col min="24" max="24" width="19" style="2" customWidth="1"/>
    <col min="25" max="25" width="11.5" style="2"/>
    <col min="26" max="26" width="18.5" style="2" customWidth="1"/>
    <col min="27" max="27" width="24.5" customWidth="1"/>
    <col min="28" max="28" width="18.5" customWidth="1"/>
    <col min="29" max="29" width="23" customWidth="1"/>
    <col min="30" max="30" width="15.6640625" customWidth="1"/>
    <col min="31" max="31" width="33.6640625" style="5" customWidth="1"/>
    <col min="32" max="32" width="31.5" customWidth="1"/>
    <col min="33" max="33" width="35.1640625" customWidth="1"/>
    <col min="34" max="34" width="20.5" customWidth="1"/>
  </cols>
  <sheetData>
    <row r="1" spans="1:34" x14ac:dyDescent="0.2">
      <c r="A1" s="11" t="s">
        <v>499</v>
      </c>
      <c r="B1" s="11" t="s">
        <v>468</v>
      </c>
      <c r="C1" s="18" t="s">
        <v>0</v>
      </c>
      <c r="D1" s="11" t="s">
        <v>1</v>
      </c>
      <c r="E1" s="11" t="s">
        <v>2</v>
      </c>
      <c r="F1" s="7" t="s">
        <v>4</v>
      </c>
      <c r="G1" s="18" t="s">
        <v>5</v>
      </c>
      <c r="H1" s="7" t="s">
        <v>7</v>
      </c>
      <c r="I1" s="7" t="s">
        <v>8</v>
      </c>
      <c r="J1" s="19" t="s">
        <v>9</v>
      </c>
      <c r="K1" s="8" t="s">
        <v>12</v>
      </c>
      <c r="L1" s="7" t="s">
        <v>13</v>
      </c>
      <c r="M1" s="8" t="s">
        <v>14</v>
      </c>
      <c r="N1" s="8" t="s">
        <v>295</v>
      </c>
      <c r="O1" s="7" t="s">
        <v>296</v>
      </c>
      <c r="P1" s="7" t="s">
        <v>297</v>
      </c>
      <c r="Q1" s="7" t="s">
        <v>298</v>
      </c>
      <c r="R1" s="7" t="s">
        <v>299</v>
      </c>
      <c r="S1" s="7" t="s">
        <v>300</v>
      </c>
      <c r="T1" s="10" t="s">
        <v>301</v>
      </c>
      <c r="U1" s="7" t="s">
        <v>302</v>
      </c>
      <c r="V1" s="7" t="s">
        <v>303</v>
      </c>
      <c r="W1" s="7" t="s">
        <v>304</v>
      </c>
      <c r="X1" s="10" t="s">
        <v>17</v>
      </c>
      <c r="Y1" s="10" t="s">
        <v>305</v>
      </c>
      <c r="Z1" s="10" t="s">
        <v>18</v>
      </c>
      <c r="AA1" s="7" t="s">
        <v>19</v>
      </c>
      <c r="AB1" s="7" t="s">
        <v>20</v>
      </c>
      <c r="AC1" s="7" t="s">
        <v>21</v>
      </c>
      <c r="AD1" s="7" t="s">
        <v>22</v>
      </c>
      <c r="AE1" s="11" t="s">
        <v>306</v>
      </c>
      <c r="AF1" s="7" t="s">
        <v>307</v>
      </c>
      <c r="AG1" s="7" t="s">
        <v>308</v>
      </c>
      <c r="AH1" s="9" t="s">
        <v>309</v>
      </c>
    </row>
    <row r="2" spans="1:34" x14ac:dyDescent="0.2">
      <c r="A2" t="s">
        <v>500</v>
      </c>
      <c r="B2" t="s">
        <v>476</v>
      </c>
      <c r="C2" s="2">
        <v>125</v>
      </c>
      <c r="D2" s="5">
        <v>45671</v>
      </c>
      <c r="E2" s="5">
        <v>45671.824999999997</v>
      </c>
      <c r="F2" t="s">
        <v>312</v>
      </c>
      <c r="G2">
        <v>923210</v>
      </c>
      <c r="H2" t="s">
        <v>29</v>
      </c>
      <c r="I2" t="s">
        <v>30</v>
      </c>
      <c r="J2" t="s">
        <v>47</v>
      </c>
      <c r="K2" s="50">
        <v>695250</v>
      </c>
      <c r="L2" s="50">
        <v>0</v>
      </c>
      <c r="M2" s="50">
        <v>695250</v>
      </c>
      <c r="N2" s="50">
        <v>0</v>
      </c>
      <c r="O2" t="s">
        <v>314</v>
      </c>
      <c r="P2">
        <v>860063875</v>
      </c>
      <c r="Q2" t="s">
        <v>315</v>
      </c>
      <c r="R2" t="s">
        <v>316</v>
      </c>
      <c r="S2" t="s">
        <v>317</v>
      </c>
      <c r="T2" s="2">
        <v>90060000410</v>
      </c>
      <c r="U2" t="s">
        <v>319</v>
      </c>
      <c r="V2">
        <v>860050750</v>
      </c>
      <c r="W2" t="s">
        <v>321</v>
      </c>
      <c r="X2" s="2">
        <v>1225</v>
      </c>
      <c r="Y2" s="2">
        <v>1225</v>
      </c>
      <c r="Z2" s="2">
        <v>125</v>
      </c>
      <c r="AA2">
        <v>125</v>
      </c>
      <c r="AB2">
        <v>125</v>
      </c>
      <c r="AC2">
        <v>10192925</v>
      </c>
      <c r="AD2">
        <v>0</v>
      </c>
      <c r="AE2" s="5">
        <v>45671</v>
      </c>
      <c r="AF2" t="s">
        <v>323</v>
      </c>
      <c r="AG2" t="s">
        <v>324</v>
      </c>
      <c r="AH2" t="s">
        <v>325</v>
      </c>
    </row>
    <row r="3" spans="1:34" x14ac:dyDescent="0.2">
      <c r="A3" t="s">
        <v>501</v>
      </c>
      <c r="B3" t="s">
        <v>476</v>
      </c>
      <c r="C3" s="2">
        <v>225</v>
      </c>
      <c r="D3" s="5">
        <v>45671</v>
      </c>
      <c r="E3" s="5">
        <v>45671.837500000001</v>
      </c>
      <c r="F3" t="s">
        <v>312</v>
      </c>
      <c r="G3" s="2">
        <v>923210</v>
      </c>
      <c r="H3" t="s">
        <v>29</v>
      </c>
      <c r="I3" t="s">
        <v>30</v>
      </c>
      <c r="J3" t="s">
        <v>47</v>
      </c>
      <c r="K3" s="50">
        <v>173592.35</v>
      </c>
      <c r="L3" s="50">
        <v>0</v>
      </c>
      <c r="M3" s="50">
        <v>173592.35</v>
      </c>
      <c r="N3" s="50">
        <v>0</v>
      </c>
      <c r="O3" t="s">
        <v>314</v>
      </c>
      <c r="P3">
        <v>899999115</v>
      </c>
      <c r="Q3" t="s">
        <v>327</v>
      </c>
      <c r="R3" t="s">
        <v>316</v>
      </c>
      <c r="S3" t="s">
        <v>328</v>
      </c>
      <c r="T3" s="2">
        <v>20936509</v>
      </c>
      <c r="U3" t="s">
        <v>319</v>
      </c>
      <c r="V3">
        <v>860051135</v>
      </c>
      <c r="W3" t="s">
        <v>331</v>
      </c>
      <c r="X3" s="2">
        <v>1225</v>
      </c>
      <c r="Y3" s="2">
        <v>1225</v>
      </c>
      <c r="Z3" s="2">
        <v>225</v>
      </c>
      <c r="AA3" t="s">
        <v>594</v>
      </c>
      <c r="AB3" t="s">
        <v>595</v>
      </c>
      <c r="AC3" t="s">
        <v>596</v>
      </c>
      <c r="AD3">
        <v>0</v>
      </c>
      <c r="AE3" s="5">
        <v>45671</v>
      </c>
      <c r="AF3" t="s">
        <v>323</v>
      </c>
      <c r="AG3" t="s">
        <v>332</v>
      </c>
      <c r="AH3" t="s">
        <v>333</v>
      </c>
    </row>
    <row r="4" spans="1:34" x14ac:dyDescent="0.2">
      <c r="A4" t="s">
        <v>502</v>
      </c>
      <c r="B4" t="s">
        <v>476</v>
      </c>
      <c r="C4" s="2">
        <v>325</v>
      </c>
      <c r="D4" s="5">
        <v>45671</v>
      </c>
      <c r="E4" s="5">
        <v>45671.844444444447</v>
      </c>
      <c r="F4" t="s">
        <v>312</v>
      </c>
      <c r="G4" s="2">
        <v>923210</v>
      </c>
      <c r="H4" t="s">
        <v>29</v>
      </c>
      <c r="I4" t="s">
        <v>30</v>
      </c>
      <c r="J4" t="s">
        <v>47</v>
      </c>
      <c r="K4" s="50">
        <v>2722450</v>
      </c>
      <c r="L4" s="50">
        <v>0</v>
      </c>
      <c r="M4" s="50">
        <v>2722450</v>
      </c>
      <c r="N4" s="50">
        <v>0</v>
      </c>
      <c r="O4" t="s">
        <v>314</v>
      </c>
      <c r="P4">
        <v>899999115</v>
      </c>
      <c r="Q4" t="s">
        <v>327</v>
      </c>
      <c r="R4" t="s">
        <v>316</v>
      </c>
      <c r="S4" t="s">
        <v>328</v>
      </c>
      <c r="T4" s="2">
        <v>20936509</v>
      </c>
      <c r="U4" t="s">
        <v>319</v>
      </c>
      <c r="V4">
        <v>860051135</v>
      </c>
      <c r="W4" t="s">
        <v>331</v>
      </c>
      <c r="X4" s="2">
        <v>1225</v>
      </c>
      <c r="Y4" s="2">
        <v>1225</v>
      </c>
      <c r="Z4" s="2">
        <v>325</v>
      </c>
      <c r="AA4" t="s">
        <v>597</v>
      </c>
      <c r="AB4" t="s">
        <v>598</v>
      </c>
      <c r="AC4" t="s">
        <v>599</v>
      </c>
      <c r="AD4">
        <v>0</v>
      </c>
      <c r="AE4" s="5">
        <v>45671</v>
      </c>
      <c r="AF4" t="s">
        <v>323</v>
      </c>
      <c r="AG4" t="s">
        <v>335</v>
      </c>
      <c r="AH4" t="s">
        <v>336</v>
      </c>
    </row>
    <row r="5" spans="1:34" x14ac:dyDescent="0.2">
      <c r="A5" t="s">
        <v>503</v>
      </c>
      <c r="B5" t="s">
        <v>476</v>
      </c>
      <c r="C5" s="2">
        <v>425</v>
      </c>
      <c r="D5" s="5">
        <v>45671</v>
      </c>
      <c r="E5" s="5">
        <v>45671.85</v>
      </c>
      <c r="F5" t="s">
        <v>312</v>
      </c>
      <c r="G5" s="2">
        <v>923210</v>
      </c>
      <c r="H5" t="s">
        <v>29</v>
      </c>
      <c r="I5" t="s">
        <v>30</v>
      </c>
      <c r="J5" t="s">
        <v>47</v>
      </c>
      <c r="K5" s="50">
        <v>4390</v>
      </c>
      <c r="L5" s="50">
        <v>0</v>
      </c>
      <c r="M5" s="50">
        <v>4390</v>
      </c>
      <c r="N5" s="50">
        <v>0</v>
      </c>
      <c r="O5" t="s">
        <v>314</v>
      </c>
      <c r="P5">
        <v>800007813</v>
      </c>
      <c r="Q5" t="s">
        <v>339</v>
      </c>
      <c r="R5" t="s">
        <v>316</v>
      </c>
      <c r="S5" t="s">
        <v>317</v>
      </c>
      <c r="T5" s="2">
        <v>17800000434</v>
      </c>
      <c r="U5" t="s">
        <v>319</v>
      </c>
      <c r="V5">
        <v>890903938</v>
      </c>
      <c r="W5" t="s">
        <v>342</v>
      </c>
      <c r="X5" s="2">
        <v>1225</v>
      </c>
      <c r="Y5" s="2">
        <v>1225</v>
      </c>
      <c r="Z5" s="2">
        <v>425</v>
      </c>
      <c r="AA5">
        <v>325</v>
      </c>
      <c r="AB5">
        <v>325</v>
      </c>
      <c r="AC5">
        <v>19247825</v>
      </c>
      <c r="AD5">
        <v>0</v>
      </c>
      <c r="AE5" s="5">
        <v>45671</v>
      </c>
      <c r="AF5" t="s">
        <v>323</v>
      </c>
      <c r="AG5" t="s">
        <v>343</v>
      </c>
      <c r="AH5" t="s">
        <v>344</v>
      </c>
    </row>
    <row r="6" spans="1:34" x14ac:dyDescent="0.2">
      <c r="A6" t="s">
        <v>504</v>
      </c>
      <c r="B6" t="s">
        <v>476</v>
      </c>
      <c r="C6" s="2">
        <v>525</v>
      </c>
      <c r="D6" s="5">
        <v>45671</v>
      </c>
      <c r="E6" s="5">
        <v>45671.85833333333</v>
      </c>
      <c r="F6" t="s">
        <v>312</v>
      </c>
      <c r="G6" s="2">
        <v>923210</v>
      </c>
      <c r="H6" t="s">
        <v>29</v>
      </c>
      <c r="I6" t="s">
        <v>30</v>
      </c>
      <c r="J6" t="s">
        <v>47</v>
      </c>
      <c r="K6" s="50">
        <v>2262280</v>
      </c>
      <c r="L6" s="50">
        <v>0</v>
      </c>
      <c r="M6" s="50">
        <v>2262280</v>
      </c>
      <c r="N6" s="50">
        <v>0</v>
      </c>
      <c r="O6" t="s">
        <v>314</v>
      </c>
      <c r="P6">
        <v>860063875</v>
      </c>
      <c r="Q6" t="s">
        <v>315</v>
      </c>
      <c r="R6" t="s">
        <v>316</v>
      </c>
      <c r="S6" t="s">
        <v>317</v>
      </c>
      <c r="T6" s="2">
        <v>90060000410</v>
      </c>
      <c r="U6" t="s">
        <v>319</v>
      </c>
      <c r="V6">
        <v>860050750</v>
      </c>
      <c r="W6" t="s">
        <v>321</v>
      </c>
      <c r="X6" s="2">
        <v>1225</v>
      </c>
      <c r="Y6" s="2">
        <v>1225</v>
      </c>
      <c r="Z6" s="2">
        <v>525</v>
      </c>
      <c r="AA6">
        <v>225</v>
      </c>
      <c r="AB6">
        <v>225</v>
      </c>
      <c r="AC6" t="s">
        <v>601</v>
      </c>
      <c r="AD6">
        <v>0</v>
      </c>
      <c r="AE6" s="5">
        <v>45671</v>
      </c>
      <c r="AF6" t="s">
        <v>323</v>
      </c>
      <c r="AG6" t="s">
        <v>347</v>
      </c>
      <c r="AH6" t="s">
        <v>348</v>
      </c>
    </row>
    <row r="7" spans="1:34" x14ac:dyDescent="0.2">
      <c r="A7" t="s">
        <v>505</v>
      </c>
      <c r="B7" t="s">
        <v>478</v>
      </c>
      <c r="C7" s="2">
        <v>625</v>
      </c>
      <c r="D7" s="5">
        <v>45673</v>
      </c>
      <c r="E7" s="5">
        <v>45673.734027777777</v>
      </c>
      <c r="F7" t="s">
        <v>312</v>
      </c>
      <c r="G7" s="2">
        <v>923210</v>
      </c>
      <c r="H7" t="s">
        <v>29</v>
      </c>
      <c r="I7" t="s">
        <v>30</v>
      </c>
      <c r="J7" t="s">
        <v>31</v>
      </c>
      <c r="K7" s="50">
        <v>71070000</v>
      </c>
      <c r="L7" s="50">
        <v>0</v>
      </c>
      <c r="M7" s="50">
        <v>71070000</v>
      </c>
      <c r="N7" s="50">
        <v>61800000</v>
      </c>
      <c r="O7" t="s">
        <v>351</v>
      </c>
      <c r="P7">
        <v>1072428066</v>
      </c>
      <c r="Q7" t="s">
        <v>352</v>
      </c>
      <c r="R7" t="s">
        <v>316</v>
      </c>
      <c r="S7" t="s">
        <v>317</v>
      </c>
      <c r="T7" s="2">
        <v>266000310711</v>
      </c>
      <c r="U7" t="s">
        <v>319</v>
      </c>
      <c r="V7">
        <v>860034313</v>
      </c>
      <c r="W7" t="s">
        <v>355</v>
      </c>
      <c r="X7" s="2">
        <v>1925</v>
      </c>
      <c r="Y7" s="2">
        <v>1925</v>
      </c>
      <c r="Z7" s="2">
        <v>625</v>
      </c>
      <c r="AA7">
        <v>0</v>
      </c>
      <c r="AB7" t="s">
        <v>3921</v>
      </c>
      <c r="AC7" t="s">
        <v>3922</v>
      </c>
      <c r="AD7">
        <v>0</v>
      </c>
      <c r="AE7" s="5">
        <v>45673</v>
      </c>
      <c r="AF7" t="s">
        <v>356</v>
      </c>
      <c r="AG7" t="s">
        <v>357</v>
      </c>
      <c r="AH7" t="s">
        <v>358</v>
      </c>
    </row>
    <row r="8" spans="1:34" x14ac:dyDescent="0.2">
      <c r="A8" t="s">
        <v>506</v>
      </c>
      <c r="B8" t="s">
        <v>478</v>
      </c>
      <c r="C8" s="2">
        <v>725</v>
      </c>
      <c r="D8" s="5">
        <v>45673</v>
      </c>
      <c r="E8" s="5">
        <v>45673.770833333336</v>
      </c>
      <c r="F8" t="s">
        <v>312</v>
      </c>
      <c r="G8" s="2">
        <v>923210</v>
      </c>
      <c r="H8" t="s">
        <v>29</v>
      </c>
      <c r="I8" t="s">
        <v>30</v>
      </c>
      <c r="J8" t="s">
        <v>31</v>
      </c>
      <c r="K8" s="50">
        <v>27243500</v>
      </c>
      <c r="L8" s="50">
        <v>0</v>
      </c>
      <c r="M8" s="50">
        <v>27243500</v>
      </c>
      <c r="N8" s="50">
        <v>23690000</v>
      </c>
      <c r="O8" t="s">
        <v>351</v>
      </c>
      <c r="P8">
        <v>1023367986</v>
      </c>
      <c r="Q8" t="s">
        <v>360</v>
      </c>
      <c r="R8" t="s">
        <v>316</v>
      </c>
      <c r="S8" t="s">
        <v>317</v>
      </c>
      <c r="T8" s="2">
        <v>466670012908</v>
      </c>
      <c r="U8" t="s">
        <v>319</v>
      </c>
      <c r="V8">
        <v>860034313</v>
      </c>
      <c r="W8" t="s">
        <v>355</v>
      </c>
      <c r="X8" s="2">
        <v>1925</v>
      </c>
      <c r="Y8" s="2">
        <v>1925</v>
      </c>
      <c r="Z8" s="2">
        <v>725</v>
      </c>
      <c r="AA8">
        <v>0</v>
      </c>
      <c r="AB8" t="s">
        <v>3923</v>
      </c>
      <c r="AC8" t="s">
        <v>3924</v>
      </c>
      <c r="AD8">
        <v>0</v>
      </c>
      <c r="AE8" s="5">
        <v>45673</v>
      </c>
      <c r="AF8" t="s">
        <v>362</v>
      </c>
      <c r="AG8" t="s">
        <v>363</v>
      </c>
      <c r="AH8" t="s">
        <v>364</v>
      </c>
    </row>
    <row r="9" spans="1:34" x14ac:dyDescent="0.2">
      <c r="A9" t="s">
        <v>507</v>
      </c>
      <c r="B9" t="s">
        <v>491</v>
      </c>
      <c r="C9" s="2">
        <v>825</v>
      </c>
      <c r="D9" s="5">
        <v>45673</v>
      </c>
      <c r="E9" s="5">
        <v>45673.789583333331</v>
      </c>
      <c r="F9" t="s">
        <v>312</v>
      </c>
      <c r="G9" s="2">
        <v>923224</v>
      </c>
      <c r="H9" t="s">
        <v>240</v>
      </c>
      <c r="I9" t="s">
        <v>241</v>
      </c>
      <c r="J9" t="s">
        <v>47</v>
      </c>
      <c r="K9" s="50">
        <v>57886400</v>
      </c>
      <c r="L9" s="50">
        <v>0</v>
      </c>
      <c r="M9" s="50">
        <v>57886400</v>
      </c>
      <c r="N9" s="50">
        <v>50336000</v>
      </c>
      <c r="O9" t="s">
        <v>351</v>
      </c>
      <c r="P9">
        <v>1070592669</v>
      </c>
      <c r="Q9" t="s">
        <v>366</v>
      </c>
      <c r="R9" t="s">
        <v>316</v>
      </c>
      <c r="S9" t="s">
        <v>317</v>
      </c>
      <c r="T9" s="2">
        <v>65902598981</v>
      </c>
      <c r="U9" t="s">
        <v>319</v>
      </c>
      <c r="V9">
        <v>890903938</v>
      </c>
      <c r="W9" t="s">
        <v>342</v>
      </c>
      <c r="X9" s="2">
        <v>5425</v>
      </c>
      <c r="Y9" s="2">
        <v>5425</v>
      </c>
      <c r="Z9" s="2">
        <v>825</v>
      </c>
      <c r="AA9">
        <v>0</v>
      </c>
      <c r="AB9" t="s">
        <v>3925</v>
      </c>
      <c r="AC9" t="s">
        <v>3926</v>
      </c>
      <c r="AD9">
        <v>0</v>
      </c>
      <c r="AE9" s="5">
        <v>45673</v>
      </c>
      <c r="AF9" t="s">
        <v>356</v>
      </c>
      <c r="AG9" t="s">
        <v>368</v>
      </c>
      <c r="AH9" t="s">
        <v>369</v>
      </c>
    </row>
    <row r="10" spans="1:34" x14ac:dyDescent="0.2">
      <c r="A10" t="s">
        <v>508</v>
      </c>
      <c r="B10" t="s">
        <v>478</v>
      </c>
      <c r="C10" s="2">
        <v>925</v>
      </c>
      <c r="D10" s="5">
        <v>45673</v>
      </c>
      <c r="E10" s="5">
        <v>45673.794444444444</v>
      </c>
      <c r="F10" t="s">
        <v>312</v>
      </c>
      <c r="G10" s="2">
        <v>923210</v>
      </c>
      <c r="H10" t="s">
        <v>29</v>
      </c>
      <c r="I10" t="s">
        <v>30</v>
      </c>
      <c r="J10" t="s">
        <v>31</v>
      </c>
      <c r="K10" s="50">
        <v>53302500</v>
      </c>
      <c r="L10" s="50">
        <v>0</v>
      </c>
      <c r="M10" s="50">
        <v>53302500</v>
      </c>
      <c r="N10" s="50">
        <v>46350000</v>
      </c>
      <c r="O10" t="s">
        <v>351</v>
      </c>
      <c r="P10">
        <v>1010244141</v>
      </c>
      <c r="Q10" t="s">
        <v>371</v>
      </c>
      <c r="R10" t="s">
        <v>316</v>
      </c>
      <c r="S10" t="s">
        <v>317</v>
      </c>
      <c r="T10" s="2">
        <v>1562044056</v>
      </c>
      <c r="U10" t="s">
        <v>319</v>
      </c>
      <c r="V10">
        <v>860034594</v>
      </c>
      <c r="W10" t="s">
        <v>374</v>
      </c>
      <c r="X10" s="2">
        <v>1925</v>
      </c>
      <c r="Y10" s="2">
        <v>1925</v>
      </c>
      <c r="Z10" s="2">
        <v>925</v>
      </c>
      <c r="AA10">
        <v>0</v>
      </c>
      <c r="AB10" t="s">
        <v>3927</v>
      </c>
      <c r="AC10" t="s">
        <v>3928</v>
      </c>
      <c r="AD10">
        <v>0</v>
      </c>
      <c r="AE10" s="5">
        <v>45673</v>
      </c>
      <c r="AF10" t="s">
        <v>356</v>
      </c>
      <c r="AG10" t="s">
        <v>375</v>
      </c>
      <c r="AH10" t="s">
        <v>376</v>
      </c>
    </row>
    <row r="11" spans="1:34" x14ac:dyDescent="0.2">
      <c r="A11" t="s">
        <v>509</v>
      </c>
      <c r="B11" t="s">
        <v>478</v>
      </c>
      <c r="C11" s="2">
        <v>1025</v>
      </c>
      <c r="D11" s="5">
        <v>45673</v>
      </c>
      <c r="E11" s="5">
        <v>45673.804861111108</v>
      </c>
      <c r="F11" t="s">
        <v>312</v>
      </c>
      <c r="G11" s="2">
        <v>923210</v>
      </c>
      <c r="H11" t="s">
        <v>29</v>
      </c>
      <c r="I11" t="s">
        <v>30</v>
      </c>
      <c r="J11" t="s">
        <v>31</v>
      </c>
      <c r="K11" s="50">
        <v>52298263</v>
      </c>
      <c r="L11" s="50">
        <v>0</v>
      </c>
      <c r="M11" s="50">
        <v>52298263</v>
      </c>
      <c r="N11" s="50">
        <v>45476750</v>
      </c>
      <c r="O11" t="s">
        <v>351</v>
      </c>
      <c r="P11">
        <v>1121825496</v>
      </c>
      <c r="Q11" t="s">
        <v>378</v>
      </c>
      <c r="R11" t="s">
        <v>316</v>
      </c>
      <c r="S11" t="s">
        <v>317</v>
      </c>
      <c r="T11" s="2">
        <v>24130898971</v>
      </c>
      <c r="U11" t="s">
        <v>319</v>
      </c>
      <c r="V11">
        <v>860007335</v>
      </c>
      <c r="W11" t="s">
        <v>381</v>
      </c>
      <c r="X11" s="2">
        <v>1925</v>
      </c>
      <c r="Y11" s="2">
        <v>1925</v>
      </c>
      <c r="Z11" s="2">
        <v>1025</v>
      </c>
      <c r="AA11">
        <v>0</v>
      </c>
      <c r="AB11" t="s">
        <v>3929</v>
      </c>
      <c r="AC11" t="s">
        <v>3930</v>
      </c>
      <c r="AD11">
        <v>0</v>
      </c>
      <c r="AE11" s="5">
        <v>45673</v>
      </c>
      <c r="AF11" t="s">
        <v>356</v>
      </c>
      <c r="AG11" t="s">
        <v>382</v>
      </c>
      <c r="AH11" t="s">
        <v>383</v>
      </c>
    </row>
    <row r="12" spans="1:34" x14ac:dyDescent="0.2">
      <c r="A12" t="s">
        <v>510</v>
      </c>
      <c r="B12" t="s">
        <v>491</v>
      </c>
      <c r="C12" s="2">
        <v>1125</v>
      </c>
      <c r="D12" s="5">
        <v>45673</v>
      </c>
      <c r="E12" s="5">
        <v>45673.81527777778</v>
      </c>
      <c r="F12" t="s">
        <v>312</v>
      </c>
      <c r="G12" s="2">
        <v>923224</v>
      </c>
      <c r="H12" t="s">
        <v>240</v>
      </c>
      <c r="I12" t="s">
        <v>241</v>
      </c>
      <c r="J12" t="s">
        <v>47</v>
      </c>
      <c r="K12" s="50">
        <v>34777277</v>
      </c>
      <c r="L12" s="50">
        <v>0</v>
      </c>
      <c r="M12" s="50">
        <v>34777277</v>
      </c>
      <c r="N12" s="50">
        <v>30241110</v>
      </c>
      <c r="O12" t="s">
        <v>351</v>
      </c>
      <c r="P12">
        <v>1019101173</v>
      </c>
      <c r="Q12" t="s">
        <v>385</v>
      </c>
      <c r="R12" t="s">
        <v>316</v>
      </c>
      <c r="S12" t="s">
        <v>317</v>
      </c>
      <c r="T12" s="2">
        <v>5000237445</v>
      </c>
      <c r="U12" t="s">
        <v>319</v>
      </c>
      <c r="V12">
        <v>860034313</v>
      </c>
      <c r="W12" t="s">
        <v>355</v>
      </c>
      <c r="X12" s="2">
        <v>5425</v>
      </c>
      <c r="Y12" s="2">
        <v>5425</v>
      </c>
      <c r="Z12" s="2">
        <v>1125</v>
      </c>
      <c r="AA12">
        <v>0</v>
      </c>
      <c r="AB12" t="s">
        <v>3931</v>
      </c>
      <c r="AC12" t="s">
        <v>3932</v>
      </c>
      <c r="AD12">
        <v>0</v>
      </c>
      <c r="AE12" s="5">
        <v>45673</v>
      </c>
      <c r="AF12" t="s">
        <v>356</v>
      </c>
      <c r="AG12" t="s">
        <v>387</v>
      </c>
      <c r="AH12" t="s">
        <v>388</v>
      </c>
    </row>
    <row r="13" spans="1:34" x14ac:dyDescent="0.2">
      <c r="A13" t="s">
        <v>511</v>
      </c>
      <c r="B13" t="s">
        <v>490</v>
      </c>
      <c r="C13" s="2">
        <v>1225</v>
      </c>
      <c r="D13" s="5">
        <v>45673</v>
      </c>
      <c r="E13" s="5">
        <v>45673.892361111109</v>
      </c>
      <c r="F13" t="s">
        <v>312</v>
      </c>
      <c r="G13" s="2">
        <v>923290</v>
      </c>
      <c r="H13" t="s">
        <v>29</v>
      </c>
      <c r="I13" t="s">
        <v>30</v>
      </c>
      <c r="J13" t="s">
        <v>31</v>
      </c>
      <c r="K13" s="50">
        <v>60950000</v>
      </c>
      <c r="L13" s="50">
        <v>0</v>
      </c>
      <c r="M13" s="50">
        <v>60950000</v>
      </c>
      <c r="N13" s="50">
        <v>53000000</v>
      </c>
      <c r="O13" t="s">
        <v>351</v>
      </c>
      <c r="P13">
        <v>1012449137</v>
      </c>
      <c r="Q13" t="s">
        <v>390</v>
      </c>
      <c r="R13" t="s">
        <v>316</v>
      </c>
      <c r="S13" t="s">
        <v>317</v>
      </c>
      <c r="T13" s="2">
        <v>883150385</v>
      </c>
      <c r="U13" t="s">
        <v>319</v>
      </c>
      <c r="V13">
        <v>860003020</v>
      </c>
      <c r="W13" t="s">
        <v>393</v>
      </c>
      <c r="X13" s="2">
        <v>5025</v>
      </c>
      <c r="Y13" s="2">
        <v>5025</v>
      </c>
      <c r="Z13" s="2">
        <v>1225</v>
      </c>
      <c r="AA13">
        <v>0</v>
      </c>
      <c r="AB13" t="s">
        <v>3933</v>
      </c>
      <c r="AC13" t="s">
        <v>3934</v>
      </c>
      <c r="AD13">
        <v>0</v>
      </c>
      <c r="AE13" s="5">
        <v>45673</v>
      </c>
      <c r="AF13" t="s">
        <v>356</v>
      </c>
      <c r="AG13" t="s">
        <v>394</v>
      </c>
      <c r="AH13" t="s">
        <v>395</v>
      </c>
    </row>
    <row r="14" spans="1:34" x14ac:dyDescent="0.2">
      <c r="A14" t="s">
        <v>512</v>
      </c>
      <c r="B14" t="s">
        <v>480</v>
      </c>
      <c r="C14" s="2">
        <v>1325</v>
      </c>
      <c r="D14" s="5">
        <v>45673</v>
      </c>
      <c r="E14" s="5">
        <v>45673.915277777778</v>
      </c>
      <c r="F14" t="s">
        <v>312</v>
      </c>
      <c r="G14" s="2">
        <v>923227</v>
      </c>
      <c r="H14" t="s">
        <v>142</v>
      </c>
      <c r="I14" t="s">
        <v>143</v>
      </c>
      <c r="J14" t="s">
        <v>31</v>
      </c>
      <c r="K14" s="50">
        <v>59225000</v>
      </c>
      <c r="L14" s="50">
        <v>0</v>
      </c>
      <c r="M14" s="50">
        <v>59225000</v>
      </c>
      <c r="N14" s="50">
        <v>51500000</v>
      </c>
      <c r="O14" t="s">
        <v>351</v>
      </c>
      <c r="P14">
        <v>40325709</v>
      </c>
      <c r="Q14" t="s">
        <v>397</v>
      </c>
      <c r="R14" t="s">
        <v>316</v>
      </c>
      <c r="S14" t="s">
        <v>317</v>
      </c>
      <c r="T14" s="2">
        <v>111160363399</v>
      </c>
      <c r="U14" t="s">
        <v>319</v>
      </c>
      <c r="V14">
        <v>900047981</v>
      </c>
      <c r="W14" t="s">
        <v>399</v>
      </c>
      <c r="X14" s="2">
        <v>3225</v>
      </c>
      <c r="Y14" s="2">
        <v>3225</v>
      </c>
      <c r="Z14" s="2">
        <v>1325</v>
      </c>
      <c r="AA14">
        <v>0</v>
      </c>
      <c r="AB14" t="s">
        <v>3935</v>
      </c>
      <c r="AC14" t="s">
        <v>3936</v>
      </c>
      <c r="AD14">
        <v>0</v>
      </c>
      <c r="AE14" s="5">
        <v>45673</v>
      </c>
      <c r="AF14" t="s">
        <v>356</v>
      </c>
      <c r="AG14" t="s">
        <v>602</v>
      </c>
      <c r="AH14" t="s">
        <v>401</v>
      </c>
    </row>
    <row r="15" spans="1:34" x14ac:dyDescent="0.2">
      <c r="A15" t="s">
        <v>513</v>
      </c>
      <c r="B15" t="s">
        <v>491</v>
      </c>
      <c r="C15" s="2">
        <v>1425</v>
      </c>
      <c r="D15" s="5">
        <v>45673</v>
      </c>
      <c r="E15" s="5">
        <v>45673.921527777777</v>
      </c>
      <c r="F15" t="s">
        <v>312</v>
      </c>
      <c r="G15" s="2">
        <v>923224</v>
      </c>
      <c r="H15" t="s">
        <v>240</v>
      </c>
      <c r="I15" t="s">
        <v>241</v>
      </c>
      <c r="J15" t="s">
        <v>47</v>
      </c>
      <c r="K15" s="50">
        <v>57886400</v>
      </c>
      <c r="L15" s="50">
        <v>0</v>
      </c>
      <c r="M15" s="50">
        <v>57886400</v>
      </c>
      <c r="N15" s="50">
        <v>50336000</v>
      </c>
      <c r="O15" t="s">
        <v>351</v>
      </c>
      <c r="P15">
        <v>53093999</v>
      </c>
      <c r="Q15" t="s">
        <v>403</v>
      </c>
      <c r="R15" t="s">
        <v>316</v>
      </c>
      <c r="S15" t="s">
        <v>317</v>
      </c>
      <c r="T15" s="2">
        <v>63440868349</v>
      </c>
      <c r="U15" t="s">
        <v>319</v>
      </c>
      <c r="V15">
        <v>890903938</v>
      </c>
      <c r="W15" t="s">
        <v>342</v>
      </c>
      <c r="X15" s="2">
        <v>5425</v>
      </c>
      <c r="Y15" s="2">
        <v>5425</v>
      </c>
      <c r="Z15" s="2">
        <v>1425</v>
      </c>
      <c r="AA15">
        <v>0</v>
      </c>
      <c r="AB15" t="s">
        <v>3937</v>
      </c>
      <c r="AC15" t="s">
        <v>3938</v>
      </c>
      <c r="AD15">
        <v>0</v>
      </c>
      <c r="AE15" s="5">
        <v>45673</v>
      </c>
      <c r="AF15" t="s">
        <v>356</v>
      </c>
      <c r="AG15" t="s">
        <v>400</v>
      </c>
      <c r="AH15" t="s">
        <v>405</v>
      </c>
    </row>
    <row r="16" spans="1:34" ht="15" customHeight="1" x14ac:dyDescent="0.2">
      <c r="A16" t="s">
        <v>514</v>
      </c>
      <c r="B16" t="s">
        <v>480</v>
      </c>
      <c r="C16" s="2">
        <v>1525</v>
      </c>
      <c r="D16" s="5">
        <v>45673</v>
      </c>
      <c r="E16" s="5">
        <v>45673.925000000003</v>
      </c>
      <c r="F16" t="s">
        <v>312</v>
      </c>
      <c r="G16" s="2">
        <v>923227</v>
      </c>
      <c r="H16" t="s">
        <v>142</v>
      </c>
      <c r="I16" t="s">
        <v>143</v>
      </c>
      <c r="J16" t="s">
        <v>31</v>
      </c>
      <c r="K16" s="50">
        <v>35001975</v>
      </c>
      <c r="L16" s="50">
        <v>0</v>
      </c>
      <c r="M16" s="50">
        <v>35001975</v>
      </c>
      <c r="N16" s="50">
        <v>30436500</v>
      </c>
      <c r="O16" t="s">
        <v>351</v>
      </c>
      <c r="P16">
        <v>1012379960</v>
      </c>
      <c r="Q16" t="s">
        <v>407</v>
      </c>
      <c r="R16" t="s">
        <v>316</v>
      </c>
      <c r="S16" t="s">
        <v>317</v>
      </c>
      <c r="T16" s="2">
        <v>24082422615</v>
      </c>
      <c r="U16" t="s">
        <v>319</v>
      </c>
      <c r="V16">
        <v>860007335</v>
      </c>
      <c r="W16" t="s">
        <v>381</v>
      </c>
      <c r="X16" s="2">
        <v>3225</v>
      </c>
      <c r="Y16" s="2">
        <v>3225</v>
      </c>
      <c r="Z16" s="2">
        <v>1525</v>
      </c>
      <c r="AA16">
        <v>0</v>
      </c>
      <c r="AB16" t="s">
        <v>3939</v>
      </c>
      <c r="AC16" t="s">
        <v>3940</v>
      </c>
      <c r="AD16">
        <v>0</v>
      </c>
      <c r="AE16" s="5">
        <v>45673</v>
      </c>
      <c r="AF16" t="s">
        <v>362</v>
      </c>
      <c r="AG16" t="s">
        <v>409</v>
      </c>
      <c r="AH16" t="s">
        <v>410</v>
      </c>
    </row>
    <row r="17" spans="1:34" ht="15" customHeight="1" x14ac:dyDescent="0.2">
      <c r="A17" t="s">
        <v>515</v>
      </c>
      <c r="B17" t="s">
        <v>480</v>
      </c>
      <c r="C17" s="2">
        <v>1625</v>
      </c>
      <c r="D17" s="5">
        <v>45673</v>
      </c>
      <c r="E17" s="5">
        <v>45673.930555555555</v>
      </c>
      <c r="F17" t="s">
        <v>312</v>
      </c>
      <c r="G17" s="2">
        <v>923227</v>
      </c>
      <c r="H17" t="s">
        <v>142</v>
      </c>
      <c r="I17" t="s">
        <v>143</v>
      </c>
      <c r="J17" t="s">
        <v>31</v>
      </c>
      <c r="K17" s="50">
        <v>35001975</v>
      </c>
      <c r="L17" s="50">
        <v>0</v>
      </c>
      <c r="M17" s="50">
        <v>35001975</v>
      </c>
      <c r="N17" s="50">
        <v>30436500</v>
      </c>
      <c r="O17" t="s">
        <v>351</v>
      </c>
      <c r="P17">
        <v>1073697700</v>
      </c>
      <c r="Q17" t="s">
        <v>412</v>
      </c>
      <c r="R17" t="s">
        <v>316</v>
      </c>
      <c r="S17" t="s">
        <v>317</v>
      </c>
      <c r="T17" s="2">
        <v>488423979498</v>
      </c>
      <c r="U17" t="s">
        <v>319</v>
      </c>
      <c r="V17">
        <v>860034313</v>
      </c>
      <c r="W17" t="s">
        <v>355</v>
      </c>
      <c r="X17" s="2">
        <v>3225</v>
      </c>
      <c r="Y17" s="2">
        <v>3225</v>
      </c>
      <c r="Z17" s="2">
        <v>1625</v>
      </c>
      <c r="AA17">
        <v>0</v>
      </c>
      <c r="AB17" t="s">
        <v>3941</v>
      </c>
      <c r="AC17" t="s">
        <v>3942</v>
      </c>
      <c r="AD17">
        <v>0</v>
      </c>
      <c r="AE17" s="5">
        <v>45673</v>
      </c>
      <c r="AF17" t="s">
        <v>362</v>
      </c>
      <c r="AG17" t="s">
        <v>414</v>
      </c>
      <c r="AH17" t="s">
        <v>410</v>
      </c>
    </row>
    <row r="18" spans="1:34" ht="15" customHeight="1" x14ac:dyDescent="0.2">
      <c r="A18" t="s">
        <v>516</v>
      </c>
      <c r="B18" t="s">
        <v>480</v>
      </c>
      <c r="C18" s="2">
        <v>1725</v>
      </c>
      <c r="D18" s="5">
        <v>45673</v>
      </c>
      <c r="E18" s="5">
        <v>45673.936111111114</v>
      </c>
      <c r="F18" t="s">
        <v>312</v>
      </c>
      <c r="G18" s="2">
        <v>923227</v>
      </c>
      <c r="H18" t="s">
        <v>142</v>
      </c>
      <c r="I18" t="s">
        <v>143</v>
      </c>
      <c r="J18" t="s">
        <v>31</v>
      </c>
      <c r="K18" s="50">
        <v>35001975</v>
      </c>
      <c r="L18" s="50">
        <v>0</v>
      </c>
      <c r="M18" s="50">
        <v>35001975</v>
      </c>
      <c r="N18" s="50">
        <v>30436500</v>
      </c>
      <c r="O18" t="s">
        <v>351</v>
      </c>
      <c r="P18">
        <v>80030739</v>
      </c>
      <c r="Q18" t="s">
        <v>416</v>
      </c>
      <c r="R18" t="s">
        <v>316</v>
      </c>
      <c r="S18" t="s">
        <v>317</v>
      </c>
      <c r="T18" s="2">
        <v>9548892</v>
      </c>
      <c r="U18" t="s">
        <v>319</v>
      </c>
      <c r="V18">
        <v>860002964</v>
      </c>
      <c r="W18" t="s">
        <v>419</v>
      </c>
      <c r="X18" s="2">
        <v>3225</v>
      </c>
      <c r="Y18" s="2">
        <v>3225</v>
      </c>
      <c r="Z18" s="2">
        <v>1725</v>
      </c>
      <c r="AA18">
        <v>0</v>
      </c>
      <c r="AB18" t="s">
        <v>3943</v>
      </c>
      <c r="AC18" t="s">
        <v>3944</v>
      </c>
      <c r="AD18">
        <v>0</v>
      </c>
      <c r="AE18" s="5">
        <v>45673</v>
      </c>
      <c r="AF18" t="s">
        <v>362</v>
      </c>
      <c r="AG18" t="s">
        <v>420</v>
      </c>
      <c r="AH18" t="s">
        <v>410</v>
      </c>
    </row>
    <row r="19" spans="1:34" ht="15" customHeight="1" x14ac:dyDescent="0.2">
      <c r="A19" t="s">
        <v>517</v>
      </c>
      <c r="B19" t="s">
        <v>478</v>
      </c>
      <c r="C19" s="2">
        <v>1825</v>
      </c>
      <c r="D19" s="5">
        <v>45679</v>
      </c>
      <c r="E19" s="5">
        <v>45679.560416666667</v>
      </c>
      <c r="F19" t="s">
        <v>312</v>
      </c>
      <c r="G19" s="2">
        <v>923210</v>
      </c>
      <c r="H19" t="s">
        <v>29</v>
      </c>
      <c r="I19" t="s">
        <v>30</v>
      </c>
      <c r="J19" t="s">
        <v>31</v>
      </c>
      <c r="K19" s="50">
        <v>36043264</v>
      </c>
      <c r="L19" s="50">
        <v>0</v>
      </c>
      <c r="M19" s="50">
        <v>36043264</v>
      </c>
      <c r="N19" s="50">
        <v>31802880</v>
      </c>
      <c r="O19" t="s">
        <v>351</v>
      </c>
      <c r="P19">
        <v>1024533099</v>
      </c>
      <c r="Q19" t="s">
        <v>423</v>
      </c>
      <c r="R19" t="s">
        <v>316</v>
      </c>
      <c r="S19" t="s">
        <v>317</v>
      </c>
      <c r="T19" s="2">
        <v>272245820</v>
      </c>
      <c r="U19" t="s">
        <v>319</v>
      </c>
      <c r="V19">
        <v>860002964</v>
      </c>
      <c r="W19" t="s">
        <v>419</v>
      </c>
      <c r="X19" s="2">
        <v>1925</v>
      </c>
      <c r="Y19" s="2">
        <v>1925</v>
      </c>
      <c r="Z19" s="2">
        <v>1825</v>
      </c>
      <c r="AA19">
        <v>0</v>
      </c>
      <c r="AB19" t="s">
        <v>3945</v>
      </c>
      <c r="AC19" t="s">
        <v>3946</v>
      </c>
      <c r="AD19">
        <v>0</v>
      </c>
      <c r="AE19" s="5">
        <v>45679</v>
      </c>
      <c r="AF19" t="s">
        <v>362</v>
      </c>
      <c r="AG19" t="s">
        <v>425</v>
      </c>
      <c r="AH19" t="s">
        <v>426</v>
      </c>
    </row>
    <row r="20" spans="1:34" ht="15" customHeight="1" x14ac:dyDescent="0.2">
      <c r="A20" t="s">
        <v>518</v>
      </c>
      <c r="B20" t="s">
        <v>476</v>
      </c>
      <c r="C20" s="2">
        <v>1925</v>
      </c>
      <c r="D20" s="5">
        <v>45681</v>
      </c>
      <c r="E20" s="5">
        <v>45681.663888888892</v>
      </c>
      <c r="F20" t="s">
        <v>312</v>
      </c>
      <c r="G20" s="2">
        <v>923210</v>
      </c>
      <c r="H20" t="s">
        <v>29</v>
      </c>
      <c r="I20" t="s">
        <v>30</v>
      </c>
      <c r="J20" t="s">
        <v>47</v>
      </c>
      <c r="K20" s="50">
        <v>4390</v>
      </c>
      <c r="L20" s="50">
        <v>0</v>
      </c>
      <c r="M20" s="50">
        <v>4390</v>
      </c>
      <c r="N20" s="50">
        <v>0</v>
      </c>
      <c r="O20" t="s">
        <v>314</v>
      </c>
      <c r="P20">
        <v>800007813</v>
      </c>
      <c r="Q20" t="s">
        <v>339</v>
      </c>
      <c r="R20" t="s">
        <v>316</v>
      </c>
      <c r="S20" t="s">
        <v>317</v>
      </c>
      <c r="T20" s="2">
        <v>17800000434</v>
      </c>
      <c r="U20" t="s">
        <v>319</v>
      </c>
      <c r="V20">
        <v>890903938</v>
      </c>
      <c r="W20" t="s">
        <v>342</v>
      </c>
      <c r="X20" s="2">
        <v>1225</v>
      </c>
      <c r="Y20" s="2">
        <v>1225</v>
      </c>
      <c r="Z20" s="2">
        <v>1925</v>
      </c>
      <c r="AA20">
        <v>925</v>
      </c>
      <c r="AB20">
        <v>825</v>
      </c>
      <c r="AC20">
        <v>19256425</v>
      </c>
      <c r="AD20">
        <v>0</v>
      </c>
      <c r="AE20" s="5">
        <v>45681</v>
      </c>
      <c r="AF20" t="s">
        <v>323</v>
      </c>
      <c r="AG20" t="s">
        <v>428</v>
      </c>
      <c r="AH20" t="s">
        <v>429</v>
      </c>
    </row>
    <row r="21" spans="1:34" ht="15" customHeight="1" x14ac:dyDescent="0.2">
      <c r="A21" t="s">
        <v>519</v>
      </c>
      <c r="B21" t="s">
        <v>476</v>
      </c>
      <c r="C21" s="2">
        <v>2025</v>
      </c>
      <c r="D21" s="5">
        <v>45681</v>
      </c>
      <c r="E21" s="5">
        <v>45681.676388888889</v>
      </c>
      <c r="F21" t="s">
        <v>312</v>
      </c>
      <c r="G21" s="2">
        <v>923210</v>
      </c>
      <c r="H21" t="s">
        <v>29</v>
      </c>
      <c r="I21" t="s">
        <v>30</v>
      </c>
      <c r="J21" t="s">
        <v>47</v>
      </c>
      <c r="K21" s="50">
        <v>26070</v>
      </c>
      <c r="L21" s="50">
        <v>0</v>
      </c>
      <c r="M21" s="50">
        <v>26070</v>
      </c>
      <c r="N21" s="50">
        <v>0</v>
      </c>
      <c r="O21" t="s">
        <v>314</v>
      </c>
      <c r="P21">
        <v>899999094</v>
      </c>
      <c r="Q21" t="s">
        <v>432</v>
      </c>
      <c r="R21" t="s">
        <v>316</v>
      </c>
      <c r="S21" t="s">
        <v>317</v>
      </c>
      <c r="T21" s="2">
        <v>7900287975</v>
      </c>
      <c r="U21" t="s">
        <v>319</v>
      </c>
      <c r="V21">
        <v>860034313</v>
      </c>
      <c r="W21" t="s">
        <v>355</v>
      </c>
      <c r="X21" s="2">
        <v>1225</v>
      </c>
      <c r="Y21" s="2">
        <v>1225</v>
      </c>
      <c r="Z21" s="2">
        <v>2025</v>
      </c>
      <c r="AA21">
        <v>825</v>
      </c>
      <c r="AB21">
        <v>725</v>
      </c>
      <c r="AC21">
        <v>19268525</v>
      </c>
      <c r="AD21">
        <v>0</v>
      </c>
      <c r="AE21" s="5">
        <v>45681</v>
      </c>
      <c r="AF21" t="s">
        <v>323</v>
      </c>
      <c r="AG21">
        <v>11329825</v>
      </c>
      <c r="AH21" t="s">
        <v>435</v>
      </c>
    </row>
    <row r="22" spans="1:34" ht="15" customHeight="1" x14ac:dyDescent="0.2">
      <c r="A22" t="s">
        <v>520</v>
      </c>
      <c r="B22" t="s">
        <v>476</v>
      </c>
      <c r="C22" s="2">
        <v>2125</v>
      </c>
      <c r="D22" s="5">
        <v>45681</v>
      </c>
      <c r="E22" s="5">
        <v>45681.680555555555</v>
      </c>
      <c r="F22" t="s">
        <v>312</v>
      </c>
      <c r="G22" s="2">
        <v>923210</v>
      </c>
      <c r="H22" t="s">
        <v>29</v>
      </c>
      <c r="I22" t="s">
        <v>30</v>
      </c>
      <c r="J22" t="s">
        <v>47</v>
      </c>
      <c r="K22" s="50">
        <v>1327160</v>
      </c>
      <c r="L22" s="50">
        <v>0</v>
      </c>
      <c r="M22" s="50">
        <v>1327160</v>
      </c>
      <c r="N22" s="50">
        <v>0</v>
      </c>
      <c r="O22" t="s">
        <v>314</v>
      </c>
      <c r="P22">
        <v>899999094</v>
      </c>
      <c r="Q22" t="s">
        <v>432</v>
      </c>
      <c r="R22" t="s">
        <v>316</v>
      </c>
      <c r="S22" t="s">
        <v>317</v>
      </c>
      <c r="T22" s="2">
        <v>7900287975</v>
      </c>
      <c r="U22" t="s">
        <v>319</v>
      </c>
      <c r="V22">
        <v>860034313</v>
      </c>
      <c r="W22" t="s">
        <v>355</v>
      </c>
      <c r="X22" s="2">
        <v>1225</v>
      </c>
      <c r="Y22" s="2">
        <v>1225</v>
      </c>
      <c r="Z22" s="2">
        <v>2125</v>
      </c>
      <c r="AA22">
        <v>725</v>
      </c>
      <c r="AB22">
        <v>625</v>
      </c>
      <c r="AC22">
        <v>19274025</v>
      </c>
      <c r="AD22">
        <v>0</v>
      </c>
      <c r="AE22" s="5">
        <v>45681</v>
      </c>
      <c r="AF22" t="s">
        <v>323</v>
      </c>
      <c r="AG22">
        <v>40687493318</v>
      </c>
      <c r="AH22" t="s">
        <v>439</v>
      </c>
    </row>
    <row r="23" spans="1:34" ht="15" customHeight="1" x14ac:dyDescent="0.2">
      <c r="A23" t="s">
        <v>2234</v>
      </c>
      <c r="B23" t="s">
        <v>478</v>
      </c>
      <c r="C23" s="2">
        <v>2225</v>
      </c>
      <c r="D23" s="5">
        <v>45686</v>
      </c>
      <c r="E23" s="5">
        <v>45686.615277777775</v>
      </c>
      <c r="F23" t="s">
        <v>312</v>
      </c>
      <c r="G23" s="2">
        <v>923210</v>
      </c>
      <c r="H23" t="s">
        <v>29</v>
      </c>
      <c r="I23" t="s">
        <v>30</v>
      </c>
      <c r="J23" t="s">
        <v>31</v>
      </c>
      <c r="K23" s="50">
        <v>29612495</v>
      </c>
      <c r="L23" s="50">
        <v>0</v>
      </c>
      <c r="M23" s="50">
        <v>29612495</v>
      </c>
      <c r="N23" s="50">
        <v>26920450</v>
      </c>
      <c r="O23" t="s">
        <v>351</v>
      </c>
      <c r="P23">
        <v>1007695451</v>
      </c>
      <c r="Q23" t="s">
        <v>608</v>
      </c>
      <c r="R23" t="s">
        <v>316</v>
      </c>
      <c r="S23" t="s">
        <v>317</v>
      </c>
      <c r="T23" s="2">
        <v>488417369508</v>
      </c>
      <c r="U23" t="s">
        <v>319</v>
      </c>
      <c r="V23">
        <v>860034313</v>
      </c>
      <c r="W23" t="s">
        <v>355</v>
      </c>
      <c r="X23" s="2">
        <v>1925</v>
      </c>
      <c r="Y23" s="2">
        <v>1925</v>
      </c>
      <c r="Z23" s="2">
        <v>2225</v>
      </c>
      <c r="AA23">
        <v>0</v>
      </c>
      <c r="AB23">
        <v>14225</v>
      </c>
      <c r="AC23">
        <v>64541225</v>
      </c>
      <c r="AD23">
        <v>0</v>
      </c>
      <c r="AE23" s="5">
        <v>45686</v>
      </c>
      <c r="AF23" t="s">
        <v>362</v>
      </c>
      <c r="AG23" t="s">
        <v>610</v>
      </c>
      <c r="AH23" t="s">
        <v>611</v>
      </c>
    </row>
    <row r="24" spans="1:34" ht="15" customHeight="1" x14ac:dyDescent="0.2">
      <c r="A24" t="s">
        <v>2235</v>
      </c>
      <c r="B24" t="s">
        <v>478</v>
      </c>
      <c r="C24" s="2">
        <v>2325</v>
      </c>
      <c r="D24" s="5">
        <v>45686</v>
      </c>
      <c r="E24" s="5">
        <v>45686.620138888888</v>
      </c>
      <c r="F24" t="s">
        <v>312</v>
      </c>
      <c r="G24" s="2">
        <v>923210</v>
      </c>
      <c r="H24" t="s">
        <v>29</v>
      </c>
      <c r="I24" t="s">
        <v>30</v>
      </c>
      <c r="J24" t="s">
        <v>31</v>
      </c>
      <c r="K24" s="50">
        <v>25300000</v>
      </c>
      <c r="L24" s="50">
        <v>0</v>
      </c>
      <c r="M24" s="50">
        <v>25300000</v>
      </c>
      <c r="N24" s="50">
        <v>23000000</v>
      </c>
      <c r="O24" t="s">
        <v>351</v>
      </c>
      <c r="P24">
        <v>1073672380</v>
      </c>
      <c r="Q24" t="s">
        <v>613</v>
      </c>
      <c r="R24" t="s">
        <v>316</v>
      </c>
      <c r="S24" t="s">
        <v>317</v>
      </c>
      <c r="T24" s="2">
        <v>24124665253</v>
      </c>
      <c r="U24" t="s">
        <v>319</v>
      </c>
      <c r="V24">
        <v>860007335</v>
      </c>
      <c r="W24" t="s">
        <v>381</v>
      </c>
      <c r="X24" s="2">
        <v>1925</v>
      </c>
      <c r="Y24" s="2">
        <v>1925</v>
      </c>
      <c r="Z24" s="2">
        <v>2325</v>
      </c>
      <c r="AA24">
        <v>0</v>
      </c>
      <c r="AB24">
        <v>14325</v>
      </c>
      <c r="AC24">
        <v>64541325</v>
      </c>
      <c r="AD24">
        <v>0</v>
      </c>
      <c r="AE24" s="5">
        <v>45686</v>
      </c>
      <c r="AF24" t="s">
        <v>362</v>
      </c>
      <c r="AG24" t="s">
        <v>615</v>
      </c>
      <c r="AH24" t="s">
        <v>616</v>
      </c>
    </row>
    <row r="25" spans="1:34" ht="15" customHeight="1" x14ac:dyDescent="0.2">
      <c r="A25" t="s">
        <v>2236</v>
      </c>
      <c r="B25" t="s">
        <v>478</v>
      </c>
      <c r="C25" s="2">
        <v>2425</v>
      </c>
      <c r="D25" s="5">
        <v>45686</v>
      </c>
      <c r="E25" s="5">
        <v>45686.625694444447</v>
      </c>
      <c r="F25" t="s">
        <v>312</v>
      </c>
      <c r="G25" s="2">
        <v>923210</v>
      </c>
      <c r="H25" t="s">
        <v>29</v>
      </c>
      <c r="I25" t="s">
        <v>30</v>
      </c>
      <c r="J25" t="s">
        <v>31</v>
      </c>
      <c r="K25" s="50">
        <v>29612495</v>
      </c>
      <c r="L25" s="50">
        <v>0</v>
      </c>
      <c r="M25" s="50">
        <v>29612495</v>
      </c>
      <c r="N25" s="50">
        <v>26920450</v>
      </c>
      <c r="O25" t="s">
        <v>351</v>
      </c>
      <c r="P25">
        <v>1030689405</v>
      </c>
      <c r="Q25" t="s">
        <v>618</v>
      </c>
      <c r="R25" t="s">
        <v>316</v>
      </c>
      <c r="S25" t="s">
        <v>317</v>
      </c>
      <c r="T25" s="2">
        <v>23789958866</v>
      </c>
      <c r="U25" t="s">
        <v>319</v>
      </c>
      <c r="V25">
        <v>890903938</v>
      </c>
      <c r="W25" t="s">
        <v>342</v>
      </c>
      <c r="X25" s="2">
        <v>1925</v>
      </c>
      <c r="Y25" s="2">
        <v>1925</v>
      </c>
      <c r="Z25" s="2">
        <v>2425</v>
      </c>
      <c r="AA25">
        <v>0</v>
      </c>
      <c r="AB25">
        <v>14425</v>
      </c>
      <c r="AC25">
        <v>64541425</v>
      </c>
      <c r="AD25">
        <v>0</v>
      </c>
      <c r="AE25" s="5">
        <v>45686</v>
      </c>
      <c r="AF25" t="s">
        <v>362</v>
      </c>
      <c r="AG25" t="s">
        <v>620</v>
      </c>
      <c r="AH25" t="s">
        <v>621</v>
      </c>
    </row>
    <row r="26" spans="1:34" ht="15" customHeight="1" x14ac:dyDescent="0.2">
      <c r="A26" t="s">
        <v>2237</v>
      </c>
      <c r="B26" t="s">
        <v>478</v>
      </c>
      <c r="C26" s="2">
        <v>2525</v>
      </c>
      <c r="D26" s="5">
        <v>45686</v>
      </c>
      <c r="E26" s="5">
        <v>45686.630555555559</v>
      </c>
      <c r="F26" t="s">
        <v>312</v>
      </c>
      <c r="G26" s="2">
        <v>923210</v>
      </c>
      <c r="H26" t="s">
        <v>29</v>
      </c>
      <c r="I26" t="s">
        <v>30</v>
      </c>
      <c r="J26" t="s">
        <v>31</v>
      </c>
      <c r="K26" s="50">
        <v>29612495</v>
      </c>
      <c r="L26" s="50">
        <v>0</v>
      </c>
      <c r="M26" s="50">
        <v>29612495</v>
      </c>
      <c r="N26" s="50">
        <v>26920450</v>
      </c>
      <c r="O26" t="s">
        <v>351</v>
      </c>
      <c r="P26">
        <v>1024473687</v>
      </c>
      <c r="Q26" t="s">
        <v>623</v>
      </c>
      <c r="R26" t="s">
        <v>316</v>
      </c>
      <c r="S26" t="s">
        <v>317</v>
      </c>
      <c r="T26" s="2">
        <v>17475264495</v>
      </c>
      <c r="U26" t="s">
        <v>319</v>
      </c>
      <c r="V26">
        <v>890903938</v>
      </c>
      <c r="W26" t="s">
        <v>342</v>
      </c>
      <c r="X26" s="2">
        <v>1925</v>
      </c>
      <c r="Y26" s="2">
        <v>1925</v>
      </c>
      <c r="Z26" s="2">
        <v>2525</v>
      </c>
      <c r="AA26">
        <v>0</v>
      </c>
      <c r="AB26">
        <v>14525</v>
      </c>
      <c r="AC26">
        <v>64541525</v>
      </c>
      <c r="AD26">
        <v>0</v>
      </c>
      <c r="AE26" s="5">
        <v>45686</v>
      </c>
      <c r="AF26" t="s">
        <v>362</v>
      </c>
      <c r="AG26" t="s">
        <v>625</v>
      </c>
      <c r="AH26" t="s">
        <v>626</v>
      </c>
    </row>
    <row r="27" spans="1:34" ht="15" customHeight="1" x14ac:dyDescent="0.2">
      <c r="A27" t="s">
        <v>2238</v>
      </c>
      <c r="B27" t="s">
        <v>478</v>
      </c>
      <c r="C27" s="2">
        <v>2625</v>
      </c>
      <c r="D27" s="5">
        <v>45686</v>
      </c>
      <c r="E27" s="5">
        <v>45686.634027777778</v>
      </c>
      <c r="F27" t="s">
        <v>312</v>
      </c>
      <c r="G27" s="2">
        <v>923210</v>
      </c>
      <c r="H27" t="s">
        <v>29</v>
      </c>
      <c r="I27" t="s">
        <v>30</v>
      </c>
      <c r="J27" t="s">
        <v>31</v>
      </c>
      <c r="K27" s="50">
        <v>58665618</v>
      </c>
      <c r="L27" s="50">
        <v>0</v>
      </c>
      <c r="M27" s="50">
        <v>58665618</v>
      </c>
      <c r="N27" s="50">
        <v>53332380</v>
      </c>
      <c r="O27" t="s">
        <v>351</v>
      </c>
      <c r="P27">
        <v>1069745447</v>
      </c>
      <c r="Q27" t="s">
        <v>628</v>
      </c>
      <c r="R27" t="s">
        <v>316</v>
      </c>
      <c r="S27" t="s">
        <v>317</v>
      </c>
      <c r="T27" s="2">
        <v>406070120125</v>
      </c>
      <c r="U27" t="s">
        <v>319</v>
      </c>
      <c r="V27">
        <v>860034313</v>
      </c>
      <c r="W27" t="s">
        <v>355</v>
      </c>
      <c r="X27" s="2">
        <v>1925</v>
      </c>
      <c r="Y27" s="2">
        <v>1925</v>
      </c>
      <c r="Z27" s="2">
        <v>2625</v>
      </c>
      <c r="AA27">
        <v>0</v>
      </c>
      <c r="AB27">
        <v>14625</v>
      </c>
      <c r="AC27">
        <v>64541625</v>
      </c>
      <c r="AD27">
        <v>0</v>
      </c>
      <c r="AE27" s="5">
        <v>45686</v>
      </c>
      <c r="AF27" t="s">
        <v>362</v>
      </c>
      <c r="AG27" t="s">
        <v>630</v>
      </c>
      <c r="AH27" t="s">
        <v>631</v>
      </c>
    </row>
    <row r="28" spans="1:34" ht="15" customHeight="1" x14ac:dyDescent="0.2">
      <c r="A28" t="s">
        <v>2226</v>
      </c>
      <c r="B28" t="s">
        <v>476</v>
      </c>
      <c r="C28" s="2">
        <v>2725</v>
      </c>
      <c r="D28" s="5">
        <v>45686</v>
      </c>
      <c r="E28" s="5">
        <v>45686.643055555556</v>
      </c>
      <c r="F28" t="s">
        <v>312</v>
      </c>
      <c r="G28" s="2">
        <v>923210</v>
      </c>
      <c r="H28" t="s">
        <v>29</v>
      </c>
      <c r="I28" t="s">
        <v>30</v>
      </c>
      <c r="J28" t="s">
        <v>47</v>
      </c>
      <c r="K28" s="50">
        <v>158900</v>
      </c>
      <c r="L28" s="50">
        <v>0</v>
      </c>
      <c r="M28" s="50">
        <v>158900</v>
      </c>
      <c r="N28" s="50">
        <v>0</v>
      </c>
      <c r="O28" t="s">
        <v>314</v>
      </c>
      <c r="P28">
        <v>900171710</v>
      </c>
      <c r="Q28" t="s">
        <v>634</v>
      </c>
      <c r="R28" t="s">
        <v>635</v>
      </c>
      <c r="S28">
        <v>0</v>
      </c>
      <c r="T28" s="2">
        <v>0</v>
      </c>
      <c r="U28">
        <v>0</v>
      </c>
      <c r="V28">
        <v>0</v>
      </c>
      <c r="W28">
        <v>0</v>
      </c>
      <c r="X28" s="2">
        <v>1225</v>
      </c>
      <c r="Y28" s="2">
        <v>1225</v>
      </c>
      <c r="Z28" s="2">
        <v>2725</v>
      </c>
      <c r="AA28">
        <v>2525</v>
      </c>
      <c r="AB28">
        <v>1625</v>
      </c>
      <c r="AC28">
        <v>30154525</v>
      </c>
      <c r="AD28">
        <v>0</v>
      </c>
      <c r="AE28" s="5">
        <v>45686</v>
      </c>
      <c r="AF28" t="s">
        <v>323</v>
      </c>
      <c r="AG28">
        <v>1525329</v>
      </c>
      <c r="AH28" t="s">
        <v>638</v>
      </c>
    </row>
    <row r="29" spans="1:34" ht="15" customHeight="1" x14ac:dyDescent="0.2">
      <c r="A29" t="s">
        <v>2239</v>
      </c>
      <c r="B29" t="s">
        <v>479</v>
      </c>
      <c r="C29" s="2">
        <v>2825</v>
      </c>
      <c r="D29" s="5">
        <v>45688</v>
      </c>
      <c r="E29" s="5">
        <v>45688.570138888892</v>
      </c>
      <c r="F29" t="s">
        <v>312</v>
      </c>
      <c r="G29" s="2">
        <v>923211</v>
      </c>
      <c r="H29" t="s">
        <v>29</v>
      </c>
      <c r="I29" t="s">
        <v>30</v>
      </c>
      <c r="J29" t="s">
        <v>31</v>
      </c>
      <c r="K29" s="50">
        <v>45995110</v>
      </c>
      <c r="L29" s="50">
        <v>0</v>
      </c>
      <c r="M29" s="50">
        <v>45995110</v>
      </c>
      <c r="N29" s="50">
        <v>42775452</v>
      </c>
      <c r="O29" t="s">
        <v>351</v>
      </c>
      <c r="P29">
        <v>10261633</v>
      </c>
      <c r="Q29" t="s">
        <v>641</v>
      </c>
      <c r="R29" t="s">
        <v>316</v>
      </c>
      <c r="S29" t="s">
        <v>317</v>
      </c>
      <c r="T29" s="2">
        <v>24061350744</v>
      </c>
      <c r="U29" t="s">
        <v>319</v>
      </c>
      <c r="V29">
        <v>860007335</v>
      </c>
      <c r="W29" t="s">
        <v>381</v>
      </c>
      <c r="X29" s="2">
        <v>2125</v>
      </c>
      <c r="Y29" s="2">
        <v>2125</v>
      </c>
      <c r="Z29" s="2">
        <v>2825</v>
      </c>
      <c r="AA29">
        <v>0</v>
      </c>
      <c r="AB29">
        <v>14725</v>
      </c>
      <c r="AC29">
        <v>64541725</v>
      </c>
      <c r="AD29">
        <v>0</v>
      </c>
      <c r="AE29" s="5">
        <v>45688</v>
      </c>
      <c r="AF29" t="s">
        <v>356</v>
      </c>
      <c r="AG29" t="s">
        <v>643</v>
      </c>
      <c r="AH29" t="s">
        <v>644</v>
      </c>
    </row>
    <row r="30" spans="1:34" ht="15" customHeight="1" x14ac:dyDescent="0.2">
      <c r="A30" t="s">
        <v>2240</v>
      </c>
      <c r="B30" t="s">
        <v>479</v>
      </c>
      <c r="C30" s="2">
        <v>2925</v>
      </c>
      <c r="D30" s="5">
        <v>45688</v>
      </c>
      <c r="E30" s="5">
        <v>45688.573611111111</v>
      </c>
      <c r="F30" t="s">
        <v>312</v>
      </c>
      <c r="G30" s="2">
        <v>923211</v>
      </c>
      <c r="H30" t="s">
        <v>29</v>
      </c>
      <c r="I30" t="s">
        <v>30</v>
      </c>
      <c r="J30" t="s">
        <v>31</v>
      </c>
      <c r="K30" s="50">
        <v>45995110</v>
      </c>
      <c r="L30" s="50">
        <v>0</v>
      </c>
      <c r="M30" s="50">
        <v>45995110</v>
      </c>
      <c r="N30" s="50">
        <v>42775452</v>
      </c>
      <c r="O30" t="s">
        <v>351</v>
      </c>
      <c r="P30">
        <v>38254826</v>
      </c>
      <c r="Q30" t="s">
        <v>646</v>
      </c>
      <c r="R30" t="s">
        <v>316</v>
      </c>
      <c r="S30" t="s">
        <v>317</v>
      </c>
      <c r="T30" s="2">
        <v>65941737549</v>
      </c>
      <c r="U30" t="s">
        <v>319</v>
      </c>
      <c r="V30">
        <v>890903938</v>
      </c>
      <c r="W30" t="s">
        <v>342</v>
      </c>
      <c r="X30" s="2">
        <v>2125</v>
      </c>
      <c r="Y30" s="2">
        <v>2125</v>
      </c>
      <c r="Z30" s="2">
        <v>2925</v>
      </c>
      <c r="AA30">
        <v>0</v>
      </c>
      <c r="AB30">
        <v>14825</v>
      </c>
      <c r="AC30">
        <v>64541825</v>
      </c>
      <c r="AD30">
        <v>0</v>
      </c>
      <c r="AE30" s="5">
        <v>45688</v>
      </c>
      <c r="AF30" t="s">
        <v>356</v>
      </c>
      <c r="AG30" t="s">
        <v>648</v>
      </c>
      <c r="AH30" t="s">
        <v>644</v>
      </c>
    </row>
    <row r="31" spans="1:34" ht="15" customHeight="1" x14ac:dyDescent="0.2">
      <c r="A31" t="s">
        <v>2241</v>
      </c>
      <c r="B31" t="s">
        <v>479</v>
      </c>
      <c r="C31" s="2">
        <v>3025</v>
      </c>
      <c r="D31" s="5">
        <v>45688</v>
      </c>
      <c r="E31" s="5">
        <v>45688.576388888891</v>
      </c>
      <c r="F31" t="s">
        <v>312</v>
      </c>
      <c r="G31" s="2">
        <v>923211</v>
      </c>
      <c r="H31" t="s">
        <v>29</v>
      </c>
      <c r="I31" t="s">
        <v>30</v>
      </c>
      <c r="J31" t="s">
        <v>31</v>
      </c>
      <c r="K31" s="50">
        <v>45995110</v>
      </c>
      <c r="L31" s="50">
        <v>0</v>
      </c>
      <c r="M31" s="50">
        <v>45995110</v>
      </c>
      <c r="N31" s="50">
        <v>42775452</v>
      </c>
      <c r="O31" t="s">
        <v>351</v>
      </c>
      <c r="P31">
        <v>39545179</v>
      </c>
      <c r="Q31" t="s">
        <v>650</v>
      </c>
      <c r="R31" t="s">
        <v>316</v>
      </c>
      <c r="S31" t="s">
        <v>317</v>
      </c>
      <c r="T31" s="2">
        <v>185845968</v>
      </c>
      <c r="U31" t="s">
        <v>319</v>
      </c>
      <c r="V31">
        <v>860035827</v>
      </c>
      <c r="W31" t="s">
        <v>653</v>
      </c>
      <c r="X31" s="2">
        <v>2125</v>
      </c>
      <c r="Y31" s="2">
        <v>2125</v>
      </c>
      <c r="Z31" s="2">
        <v>3025</v>
      </c>
      <c r="AA31">
        <v>0</v>
      </c>
      <c r="AB31">
        <v>14925</v>
      </c>
      <c r="AC31">
        <v>64541925</v>
      </c>
      <c r="AD31">
        <v>0</v>
      </c>
      <c r="AE31" s="5">
        <v>45688</v>
      </c>
      <c r="AF31" t="s">
        <v>356</v>
      </c>
      <c r="AG31" t="s">
        <v>654</v>
      </c>
      <c r="AH31" t="s">
        <v>655</v>
      </c>
    </row>
    <row r="32" spans="1:34" ht="15" customHeight="1" x14ac:dyDescent="0.2">
      <c r="A32" t="s">
        <v>2242</v>
      </c>
      <c r="B32" t="s">
        <v>479</v>
      </c>
      <c r="C32" s="2">
        <v>3125</v>
      </c>
      <c r="D32" s="5">
        <v>45688</v>
      </c>
      <c r="E32" s="5">
        <v>45688.57916666667</v>
      </c>
      <c r="F32" t="s">
        <v>312</v>
      </c>
      <c r="G32" s="2">
        <v>923211</v>
      </c>
      <c r="H32" t="s">
        <v>29</v>
      </c>
      <c r="I32" t="s">
        <v>30</v>
      </c>
      <c r="J32" t="s">
        <v>31</v>
      </c>
      <c r="K32" s="50">
        <v>45995110</v>
      </c>
      <c r="L32" s="50">
        <v>0</v>
      </c>
      <c r="M32" s="50">
        <v>45995110</v>
      </c>
      <c r="N32" s="50">
        <v>42775452</v>
      </c>
      <c r="O32" t="s">
        <v>351</v>
      </c>
      <c r="P32">
        <v>93127405</v>
      </c>
      <c r="Q32" t="s">
        <v>657</v>
      </c>
      <c r="R32" t="s">
        <v>316</v>
      </c>
      <c r="S32" t="s">
        <v>317</v>
      </c>
      <c r="T32" s="2">
        <v>402300056981</v>
      </c>
      <c r="U32" t="s">
        <v>319</v>
      </c>
      <c r="V32">
        <v>800037800</v>
      </c>
      <c r="W32" t="s">
        <v>660</v>
      </c>
      <c r="X32" s="2">
        <v>2125</v>
      </c>
      <c r="Y32" s="2">
        <v>2125</v>
      </c>
      <c r="Z32" s="2">
        <v>3125</v>
      </c>
      <c r="AA32">
        <v>0</v>
      </c>
      <c r="AB32">
        <v>15025</v>
      </c>
      <c r="AC32">
        <v>64542025</v>
      </c>
      <c r="AD32">
        <v>0</v>
      </c>
      <c r="AE32" s="5">
        <v>45688</v>
      </c>
      <c r="AF32" t="s">
        <v>356</v>
      </c>
      <c r="AG32" t="s">
        <v>661</v>
      </c>
      <c r="AH32" t="s">
        <v>644</v>
      </c>
    </row>
    <row r="33" spans="1:34" ht="15" customHeight="1" x14ac:dyDescent="0.2">
      <c r="A33" t="s">
        <v>2243</v>
      </c>
      <c r="B33" t="s">
        <v>479</v>
      </c>
      <c r="C33" s="2">
        <v>3225</v>
      </c>
      <c r="D33" s="5">
        <v>45688</v>
      </c>
      <c r="E33" s="5">
        <v>45688.581944444442</v>
      </c>
      <c r="F33" t="s">
        <v>312</v>
      </c>
      <c r="G33" s="2">
        <v>923211</v>
      </c>
      <c r="H33" t="s">
        <v>29</v>
      </c>
      <c r="I33" t="s">
        <v>30</v>
      </c>
      <c r="J33" t="s">
        <v>31</v>
      </c>
      <c r="K33" s="50">
        <v>45995110</v>
      </c>
      <c r="L33" s="50">
        <v>0</v>
      </c>
      <c r="M33" s="50">
        <v>45995110</v>
      </c>
      <c r="N33" s="50">
        <v>42775452</v>
      </c>
      <c r="O33" t="s">
        <v>351</v>
      </c>
      <c r="P33">
        <v>18224037</v>
      </c>
      <c r="Q33" t="s">
        <v>663</v>
      </c>
      <c r="R33" t="s">
        <v>316</v>
      </c>
      <c r="S33" t="s">
        <v>317</v>
      </c>
      <c r="T33" s="2">
        <v>82869397829</v>
      </c>
      <c r="U33" t="s">
        <v>319</v>
      </c>
      <c r="V33">
        <v>890903938</v>
      </c>
      <c r="W33" t="s">
        <v>342</v>
      </c>
      <c r="X33" s="2">
        <v>2125</v>
      </c>
      <c r="Y33" s="2">
        <v>2125</v>
      </c>
      <c r="Z33" s="2">
        <v>3225</v>
      </c>
      <c r="AA33">
        <v>0</v>
      </c>
      <c r="AB33">
        <v>15125</v>
      </c>
      <c r="AC33">
        <v>64542125</v>
      </c>
      <c r="AD33">
        <v>0</v>
      </c>
      <c r="AE33" s="5">
        <v>45688</v>
      </c>
      <c r="AF33" t="s">
        <v>356</v>
      </c>
      <c r="AG33" t="s">
        <v>665</v>
      </c>
      <c r="AH33" t="s">
        <v>644</v>
      </c>
    </row>
    <row r="34" spans="1:34" ht="15" customHeight="1" x14ac:dyDescent="0.2">
      <c r="A34" t="s">
        <v>2244</v>
      </c>
      <c r="B34" t="s">
        <v>479</v>
      </c>
      <c r="C34" s="2">
        <v>3325</v>
      </c>
      <c r="D34" s="5">
        <v>45688</v>
      </c>
      <c r="E34" s="5">
        <v>45688.584722222222</v>
      </c>
      <c r="F34" t="s">
        <v>312</v>
      </c>
      <c r="G34" s="2">
        <v>923211</v>
      </c>
      <c r="H34" t="s">
        <v>29</v>
      </c>
      <c r="I34" t="s">
        <v>30</v>
      </c>
      <c r="J34" t="s">
        <v>31</v>
      </c>
      <c r="K34" s="50">
        <v>45995110</v>
      </c>
      <c r="L34" s="50">
        <v>0</v>
      </c>
      <c r="M34" s="50">
        <v>45995110</v>
      </c>
      <c r="N34" s="50">
        <v>42775452</v>
      </c>
      <c r="O34" t="s">
        <v>351</v>
      </c>
      <c r="P34">
        <v>71310631</v>
      </c>
      <c r="Q34" t="s">
        <v>667</v>
      </c>
      <c r="R34" t="s">
        <v>316</v>
      </c>
      <c r="S34" t="s">
        <v>317</v>
      </c>
      <c r="T34" s="2">
        <v>1470048743</v>
      </c>
      <c r="U34" t="s">
        <v>319</v>
      </c>
      <c r="V34">
        <v>860034313</v>
      </c>
      <c r="W34" t="s">
        <v>355</v>
      </c>
      <c r="X34" s="2">
        <v>2125</v>
      </c>
      <c r="Y34" s="2">
        <v>2125</v>
      </c>
      <c r="Z34" s="2">
        <v>3325</v>
      </c>
      <c r="AA34">
        <v>0</v>
      </c>
      <c r="AB34">
        <v>15225</v>
      </c>
      <c r="AC34">
        <v>64542225</v>
      </c>
      <c r="AD34">
        <v>0</v>
      </c>
      <c r="AE34" s="5">
        <v>45688</v>
      </c>
      <c r="AF34" t="s">
        <v>356</v>
      </c>
      <c r="AG34" t="s">
        <v>669</v>
      </c>
      <c r="AH34" t="s">
        <v>644</v>
      </c>
    </row>
    <row r="35" spans="1:34" ht="15" customHeight="1" x14ac:dyDescent="0.2">
      <c r="A35" t="s">
        <v>2245</v>
      </c>
      <c r="B35" t="s">
        <v>475</v>
      </c>
      <c r="C35" s="2">
        <v>3425</v>
      </c>
      <c r="D35" s="5">
        <v>45688</v>
      </c>
      <c r="E35" s="5">
        <v>45688.588194444441</v>
      </c>
      <c r="F35" t="s">
        <v>312</v>
      </c>
      <c r="G35" s="2">
        <v>923211</v>
      </c>
      <c r="H35" t="s">
        <v>29</v>
      </c>
      <c r="I35" t="s">
        <v>30</v>
      </c>
      <c r="J35" t="s">
        <v>31</v>
      </c>
      <c r="K35" s="50">
        <v>46716950</v>
      </c>
      <c r="L35" s="50">
        <v>0</v>
      </c>
      <c r="M35" s="50">
        <v>46716950</v>
      </c>
      <c r="N35" s="50">
        <v>42045255</v>
      </c>
      <c r="O35" t="s">
        <v>351</v>
      </c>
      <c r="P35">
        <v>11223758</v>
      </c>
      <c r="Q35" t="s">
        <v>671</v>
      </c>
      <c r="R35" t="s">
        <v>316</v>
      </c>
      <c r="S35" t="s">
        <v>317</v>
      </c>
      <c r="T35" s="2">
        <v>26470274475</v>
      </c>
      <c r="U35" t="s">
        <v>319</v>
      </c>
      <c r="V35">
        <v>890903938</v>
      </c>
      <c r="W35" t="s">
        <v>342</v>
      </c>
      <c r="X35" s="2">
        <v>1125</v>
      </c>
      <c r="Y35" s="2">
        <v>1025</v>
      </c>
      <c r="Z35" s="2">
        <v>3425</v>
      </c>
      <c r="AA35">
        <v>0</v>
      </c>
      <c r="AB35">
        <v>15325</v>
      </c>
      <c r="AC35">
        <v>64542325</v>
      </c>
      <c r="AD35">
        <v>0</v>
      </c>
      <c r="AE35" s="5">
        <v>45688</v>
      </c>
      <c r="AF35" t="s">
        <v>356</v>
      </c>
      <c r="AG35" t="s">
        <v>673</v>
      </c>
      <c r="AH35" t="s">
        <v>674</v>
      </c>
    </row>
    <row r="36" spans="1:34" ht="15" customHeight="1" x14ac:dyDescent="0.2">
      <c r="A36" t="s">
        <v>2246</v>
      </c>
      <c r="B36" t="s">
        <v>475</v>
      </c>
      <c r="C36" s="2">
        <v>3525</v>
      </c>
      <c r="D36" s="5">
        <v>45688</v>
      </c>
      <c r="E36" s="5">
        <v>45688.590277777781</v>
      </c>
      <c r="F36" t="s">
        <v>312</v>
      </c>
      <c r="G36" s="2">
        <v>923211</v>
      </c>
      <c r="H36" t="s">
        <v>29</v>
      </c>
      <c r="I36" t="s">
        <v>30</v>
      </c>
      <c r="J36" t="s">
        <v>31</v>
      </c>
      <c r="K36" s="50">
        <v>46716950</v>
      </c>
      <c r="L36" s="50">
        <v>0</v>
      </c>
      <c r="M36" s="50">
        <v>46716950</v>
      </c>
      <c r="N36" s="50">
        <v>42045255</v>
      </c>
      <c r="O36" t="s">
        <v>351</v>
      </c>
      <c r="P36">
        <v>11313776</v>
      </c>
      <c r="Q36" t="s">
        <v>676</v>
      </c>
      <c r="R36" t="s">
        <v>316</v>
      </c>
      <c r="S36" t="s">
        <v>317</v>
      </c>
      <c r="T36" s="2">
        <v>52564652261</v>
      </c>
      <c r="U36" t="s">
        <v>319</v>
      </c>
      <c r="V36">
        <v>890903938</v>
      </c>
      <c r="W36" t="s">
        <v>342</v>
      </c>
      <c r="X36" s="2">
        <v>1125</v>
      </c>
      <c r="Y36" s="2">
        <v>1025</v>
      </c>
      <c r="Z36" s="2">
        <v>3525</v>
      </c>
      <c r="AA36">
        <v>0</v>
      </c>
      <c r="AB36">
        <v>15425</v>
      </c>
      <c r="AC36">
        <v>70461525</v>
      </c>
      <c r="AD36">
        <v>0</v>
      </c>
      <c r="AE36" s="5">
        <v>45688</v>
      </c>
      <c r="AF36" t="s">
        <v>356</v>
      </c>
      <c r="AG36" t="s">
        <v>677</v>
      </c>
      <c r="AH36" t="s">
        <v>678</v>
      </c>
    </row>
    <row r="37" spans="1:34" ht="15" customHeight="1" x14ac:dyDescent="0.2">
      <c r="A37" t="s">
        <v>2247</v>
      </c>
      <c r="B37" t="s">
        <v>490</v>
      </c>
      <c r="C37" s="2">
        <v>3625</v>
      </c>
      <c r="D37" s="5">
        <v>45688</v>
      </c>
      <c r="E37" s="5">
        <v>45688.700694444444</v>
      </c>
      <c r="F37" t="s">
        <v>312</v>
      </c>
      <c r="G37" s="2">
        <v>923290</v>
      </c>
      <c r="H37" t="s">
        <v>29</v>
      </c>
      <c r="I37" t="s">
        <v>30</v>
      </c>
      <c r="J37" t="s">
        <v>31</v>
      </c>
      <c r="K37" s="50">
        <v>33440000</v>
      </c>
      <c r="L37" s="50">
        <v>0</v>
      </c>
      <c r="M37" s="50">
        <v>33440000</v>
      </c>
      <c r="N37" s="50">
        <v>30400000</v>
      </c>
      <c r="O37" t="s">
        <v>351</v>
      </c>
      <c r="P37">
        <v>1010030940</v>
      </c>
      <c r="Q37" t="s">
        <v>680</v>
      </c>
      <c r="R37" t="s">
        <v>316</v>
      </c>
      <c r="S37" t="s">
        <v>317</v>
      </c>
      <c r="T37" s="2">
        <v>24103513463</v>
      </c>
      <c r="U37" t="s">
        <v>319</v>
      </c>
      <c r="V37">
        <v>860007335</v>
      </c>
      <c r="W37" t="s">
        <v>381</v>
      </c>
      <c r="X37" s="2">
        <v>5025</v>
      </c>
      <c r="Y37" s="2">
        <v>5025</v>
      </c>
      <c r="Z37" s="2">
        <v>3625</v>
      </c>
      <c r="AA37">
        <v>0</v>
      </c>
      <c r="AB37">
        <v>15525</v>
      </c>
      <c r="AC37">
        <v>64542425</v>
      </c>
      <c r="AD37">
        <v>0</v>
      </c>
      <c r="AE37" s="5">
        <v>45688</v>
      </c>
      <c r="AF37" t="s">
        <v>362</v>
      </c>
      <c r="AG37" t="s">
        <v>682</v>
      </c>
      <c r="AH37" t="s">
        <v>683</v>
      </c>
    </row>
    <row r="38" spans="1:34" ht="15" customHeight="1" x14ac:dyDescent="0.2">
      <c r="A38" t="s">
        <v>2248</v>
      </c>
      <c r="B38" t="s">
        <v>478</v>
      </c>
      <c r="C38" s="2">
        <v>3725</v>
      </c>
      <c r="D38" s="5">
        <v>45688</v>
      </c>
      <c r="E38" s="5">
        <v>45688.70208333333</v>
      </c>
      <c r="F38" t="s">
        <v>312</v>
      </c>
      <c r="G38" s="2">
        <v>923210</v>
      </c>
      <c r="H38" t="s">
        <v>29</v>
      </c>
      <c r="I38" t="s">
        <v>30</v>
      </c>
      <c r="J38" t="s">
        <v>31</v>
      </c>
      <c r="K38" s="50">
        <v>21163989</v>
      </c>
      <c r="L38" s="50">
        <v>0</v>
      </c>
      <c r="M38" s="50">
        <v>21163989</v>
      </c>
      <c r="N38" s="50">
        <v>19239990</v>
      </c>
      <c r="O38" t="s">
        <v>351</v>
      </c>
      <c r="P38">
        <v>1073720676</v>
      </c>
      <c r="Q38" t="s">
        <v>685</v>
      </c>
      <c r="R38" t="s">
        <v>316</v>
      </c>
      <c r="S38" t="s">
        <v>317</v>
      </c>
      <c r="T38" s="2">
        <v>24132750549</v>
      </c>
      <c r="U38" t="s">
        <v>319</v>
      </c>
      <c r="V38">
        <v>860007335</v>
      </c>
      <c r="W38" t="s">
        <v>381</v>
      </c>
      <c r="X38" s="2">
        <v>1925</v>
      </c>
      <c r="Y38" s="2">
        <v>1925</v>
      </c>
      <c r="Z38" s="2">
        <v>3725</v>
      </c>
      <c r="AA38">
        <v>0</v>
      </c>
      <c r="AB38">
        <v>15625</v>
      </c>
      <c r="AC38">
        <v>64542525</v>
      </c>
      <c r="AD38">
        <v>0</v>
      </c>
      <c r="AE38" s="5">
        <v>45688</v>
      </c>
      <c r="AF38" t="s">
        <v>362</v>
      </c>
      <c r="AG38" t="s">
        <v>687</v>
      </c>
      <c r="AH38" t="s">
        <v>688</v>
      </c>
    </row>
    <row r="39" spans="1:34" ht="15" customHeight="1" x14ac:dyDescent="0.2">
      <c r="A39" t="s">
        <v>2249</v>
      </c>
      <c r="B39" t="s">
        <v>478</v>
      </c>
      <c r="C39" s="2">
        <v>3825</v>
      </c>
      <c r="D39" s="5">
        <v>45688</v>
      </c>
      <c r="E39" s="5">
        <v>45688.706250000003</v>
      </c>
      <c r="F39" t="s">
        <v>312</v>
      </c>
      <c r="G39" s="2">
        <v>923210</v>
      </c>
      <c r="H39" t="s">
        <v>29</v>
      </c>
      <c r="I39" t="s">
        <v>30</v>
      </c>
      <c r="J39" t="s">
        <v>31</v>
      </c>
      <c r="K39" s="50">
        <v>22550000</v>
      </c>
      <c r="L39" s="50">
        <v>0</v>
      </c>
      <c r="M39" s="50">
        <v>22550000</v>
      </c>
      <c r="N39" s="50">
        <v>20500000</v>
      </c>
      <c r="O39" t="s">
        <v>351</v>
      </c>
      <c r="P39">
        <v>1073713412</v>
      </c>
      <c r="Q39" t="s">
        <v>690</v>
      </c>
      <c r="R39" t="s">
        <v>316</v>
      </c>
      <c r="S39" t="s">
        <v>317</v>
      </c>
      <c r="T39" s="2">
        <v>52528682073</v>
      </c>
      <c r="U39" t="s">
        <v>319</v>
      </c>
      <c r="V39">
        <v>890903938</v>
      </c>
      <c r="W39" t="s">
        <v>342</v>
      </c>
      <c r="X39" s="2">
        <v>1925</v>
      </c>
      <c r="Y39" s="2">
        <v>1925</v>
      </c>
      <c r="Z39" s="2">
        <v>3825</v>
      </c>
      <c r="AA39">
        <v>0</v>
      </c>
      <c r="AB39">
        <v>15725</v>
      </c>
      <c r="AC39">
        <v>64542625</v>
      </c>
      <c r="AD39">
        <v>0</v>
      </c>
      <c r="AE39" s="5">
        <v>45688</v>
      </c>
      <c r="AF39" t="s">
        <v>362</v>
      </c>
      <c r="AG39" t="s">
        <v>692</v>
      </c>
      <c r="AH39" t="s">
        <v>693</v>
      </c>
    </row>
    <row r="40" spans="1:34" ht="15" customHeight="1" x14ac:dyDescent="0.2">
      <c r="A40" t="s">
        <v>2250</v>
      </c>
      <c r="B40" t="s">
        <v>478</v>
      </c>
      <c r="C40" s="2">
        <v>3925</v>
      </c>
      <c r="D40" s="5">
        <v>45688</v>
      </c>
      <c r="E40" s="5">
        <v>45688.707638888889</v>
      </c>
      <c r="F40" t="s">
        <v>312</v>
      </c>
      <c r="G40" s="2">
        <v>923210</v>
      </c>
      <c r="H40" t="s">
        <v>29</v>
      </c>
      <c r="I40" t="s">
        <v>30</v>
      </c>
      <c r="J40" t="s">
        <v>31</v>
      </c>
      <c r="K40" s="50">
        <v>26059000</v>
      </c>
      <c r="L40" s="50">
        <v>0</v>
      </c>
      <c r="M40" s="50">
        <v>26059000</v>
      </c>
      <c r="N40" s="50">
        <v>23690000</v>
      </c>
      <c r="O40" t="s">
        <v>351</v>
      </c>
      <c r="P40">
        <v>80728407</v>
      </c>
      <c r="Q40" t="s">
        <v>695</v>
      </c>
      <c r="R40" t="s">
        <v>316</v>
      </c>
      <c r="S40" t="s">
        <v>317</v>
      </c>
      <c r="T40" s="2">
        <v>123063455</v>
      </c>
      <c r="U40" t="s">
        <v>319</v>
      </c>
      <c r="V40">
        <v>860002964</v>
      </c>
      <c r="W40" t="s">
        <v>419</v>
      </c>
      <c r="X40" s="2">
        <v>1925</v>
      </c>
      <c r="Y40" s="2">
        <v>1925</v>
      </c>
      <c r="Z40" s="2">
        <v>3925</v>
      </c>
      <c r="AA40">
        <v>0</v>
      </c>
      <c r="AB40">
        <v>15825</v>
      </c>
      <c r="AC40">
        <v>64542725</v>
      </c>
      <c r="AD40">
        <v>0</v>
      </c>
      <c r="AE40" s="5">
        <v>45688</v>
      </c>
      <c r="AF40" t="s">
        <v>362</v>
      </c>
      <c r="AG40" t="s">
        <v>697</v>
      </c>
      <c r="AH40" t="s">
        <v>698</v>
      </c>
    </row>
    <row r="41" spans="1:34" ht="15" customHeight="1" x14ac:dyDescent="0.2">
      <c r="A41" t="s">
        <v>2251</v>
      </c>
      <c r="B41" t="s">
        <v>483</v>
      </c>
      <c r="C41" s="2">
        <v>4025</v>
      </c>
      <c r="D41" s="5">
        <v>45689</v>
      </c>
      <c r="E41" s="5">
        <v>45689.271527777775</v>
      </c>
      <c r="F41" t="s">
        <v>312</v>
      </c>
      <c r="G41" s="2">
        <v>923228</v>
      </c>
      <c r="H41" t="s">
        <v>159</v>
      </c>
      <c r="I41" t="s">
        <v>160</v>
      </c>
      <c r="J41" t="s">
        <v>31</v>
      </c>
      <c r="K41" s="50">
        <v>29480000</v>
      </c>
      <c r="L41" s="50">
        <v>0</v>
      </c>
      <c r="M41" s="50">
        <v>29480000</v>
      </c>
      <c r="N41" s="50">
        <v>26800000</v>
      </c>
      <c r="O41" t="s">
        <v>351</v>
      </c>
      <c r="P41">
        <v>1023364186</v>
      </c>
      <c r="Q41" t="s">
        <v>701</v>
      </c>
      <c r="R41" t="s">
        <v>316</v>
      </c>
      <c r="S41" t="s">
        <v>317</v>
      </c>
      <c r="T41" s="2">
        <v>22147154244</v>
      </c>
      <c r="U41" t="s">
        <v>319</v>
      </c>
      <c r="V41">
        <v>890903938</v>
      </c>
      <c r="W41" t="s">
        <v>342</v>
      </c>
      <c r="X41" s="2">
        <v>3525</v>
      </c>
      <c r="Y41" s="2">
        <v>3525</v>
      </c>
      <c r="Z41" s="2">
        <v>4025</v>
      </c>
      <c r="AA41">
        <v>0</v>
      </c>
      <c r="AB41">
        <v>15925</v>
      </c>
      <c r="AC41">
        <v>64542825</v>
      </c>
      <c r="AD41">
        <v>0</v>
      </c>
      <c r="AE41" s="5">
        <v>45689</v>
      </c>
      <c r="AF41" t="s">
        <v>362</v>
      </c>
      <c r="AG41" t="s">
        <v>703</v>
      </c>
      <c r="AH41" t="s">
        <v>704</v>
      </c>
    </row>
    <row r="42" spans="1:34" ht="15" customHeight="1" x14ac:dyDescent="0.2">
      <c r="A42" t="s">
        <v>2252</v>
      </c>
      <c r="B42" t="s">
        <v>484</v>
      </c>
      <c r="C42" s="2">
        <v>4125</v>
      </c>
      <c r="D42" s="5">
        <v>45689</v>
      </c>
      <c r="E42" s="5">
        <v>45689.274305555555</v>
      </c>
      <c r="F42" t="s">
        <v>312</v>
      </c>
      <c r="G42" s="2">
        <v>923242</v>
      </c>
      <c r="H42" t="s">
        <v>29</v>
      </c>
      <c r="I42" t="s">
        <v>30</v>
      </c>
      <c r="J42" t="s">
        <v>31</v>
      </c>
      <c r="K42" s="50">
        <v>28325000</v>
      </c>
      <c r="L42" s="50">
        <v>0</v>
      </c>
      <c r="M42" s="50">
        <v>28325000</v>
      </c>
      <c r="N42" s="50">
        <v>25750000</v>
      </c>
      <c r="O42" t="s">
        <v>351</v>
      </c>
      <c r="P42">
        <v>79295238</v>
      </c>
      <c r="Q42" t="s">
        <v>706</v>
      </c>
      <c r="R42" t="s">
        <v>316</v>
      </c>
      <c r="S42" t="s">
        <v>317</v>
      </c>
      <c r="T42" s="2">
        <v>111050129696</v>
      </c>
      <c r="U42" t="s">
        <v>319</v>
      </c>
      <c r="V42">
        <v>900047981</v>
      </c>
      <c r="W42" t="s">
        <v>399</v>
      </c>
      <c r="X42" s="2">
        <v>3625</v>
      </c>
      <c r="Y42" s="2">
        <v>3625</v>
      </c>
      <c r="Z42" s="2">
        <v>4125</v>
      </c>
      <c r="AA42">
        <v>0</v>
      </c>
      <c r="AB42">
        <v>16025</v>
      </c>
      <c r="AC42">
        <v>64542925</v>
      </c>
      <c r="AD42">
        <v>0</v>
      </c>
      <c r="AE42" s="5">
        <v>45689</v>
      </c>
      <c r="AF42" t="s">
        <v>362</v>
      </c>
      <c r="AG42" t="s">
        <v>708</v>
      </c>
      <c r="AH42" t="s">
        <v>709</v>
      </c>
    </row>
    <row r="43" spans="1:34" ht="15" customHeight="1" x14ac:dyDescent="0.2">
      <c r="A43" t="s">
        <v>2253</v>
      </c>
      <c r="B43" t="s">
        <v>484</v>
      </c>
      <c r="C43" s="2">
        <v>4225</v>
      </c>
      <c r="D43" s="5">
        <v>45689</v>
      </c>
      <c r="E43" s="5">
        <v>45689.276388888888</v>
      </c>
      <c r="F43" t="s">
        <v>312</v>
      </c>
      <c r="G43" s="2">
        <v>923242</v>
      </c>
      <c r="H43" t="s">
        <v>29</v>
      </c>
      <c r="I43" t="s">
        <v>30</v>
      </c>
      <c r="J43" t="s">
        <v>31</v>
      </c>
      <c r="K43" s="50">
        <v>28325000</v>
      </c>
      <c r="L43" s="50">
        <v>0</v>
      </c>
      <c r="M43" s="50">
        <v>28325000</v>
      </c>
      <c r="N43" s="50">
        <v>25750000</v>
      </c>
      <c r="O43" t="s">
        <v>351</v>
      </c>
      <c r="P43">
        <v>1024548351</v>
      </c>
      <c r="Q43" t="s">
        <v>711</v>
      </c>
      <c r="R43" t="s">
        <v>316</v>
      </c>
      <c r="S43" t="s">
        <v>317</v>
      </c>
      <c r="T43" s="2">
        <v>456870075029</v>
      </c>
      <c r="U43" t="s">
        <v>319</v>
      </c>
      <c r="V43">
        <v>860034313</v>
      </c>
      <c r="W43" t="s">
        <v>355</v>
      </c>
      <c r="X43" s="2">
        <v>3625</v>
      </c>
      <c r="Y43" s="2">
        <v>3625</v>
      </c>
      <c r="Z43" s="2">
        <v>4225</v>
      </c>
      <c r="AA43">
        <v>0</v>
      </c>
      <c r="AB43">
        <v>16125</v>
      </c>
      <c r="AC43">
        <v>64543025</v>
      </c>
      <c r="AD43">
        <v>0</v>
      </c>
      <c r="AE43" s="5">
        <v>45689</v>
      </c>
      <c r="AF43" t="s">
        <v>362</v>
      </c>
      <c r="AG43" t="s">
        <v>713</v>
      </c>
      <c r="AH43" t="s">
        <v>714</v>
      </c>
    </row>
    <row r="44" spans="1:34" ht="15" customHeight="1" x14ac:dyDescent="0.2">
      <c r="A44" t="s">
        <v>2254</v>
      </c>
      <c r="B44" t="s">
        <v>484</v>
      </c>
      <c r="C44" s="2">
        <v>4325</v>
      </c>
      <c r="D44" s="5">
        <v>45689</v>
      </c>
      <c r="E44" s="5">
        <v>45689.27847222222</v>
      </c>
      <c r="F44" t="s">
        <v>312</v>
      </c>
      <c r="G44" s="2">
        <v>923242</v>
      </c>
      <c r="H44" t="s">
        <v>29</v>
      </c>
      <c r="I44" t="s">
        <v>30</v>
      </c>
      <c r="J44" t="s">
        <v>31</v>
      </c>
      <c r="K44" s="50">
        <v>28325000</v>
      </c>
      <c r="L44" s="50">
        <v>0</v>
      </c>
      <c r="M44" s="50">
        <v>28325000</v>
      </c>
      <c r="N44" s="50">
        <v>25750000</v>
      </c>
      <c r="O44" t="s">
        <v>351</v>
      </c>
      <c r="P44">
        <v>20939549</v>
      </c>
      <c r="Q44" t="s">
        <v>716</v>
      </c>
      <c r="R44" t="s">
        <v>316</v>
      </c>
      <c r="S44" t="s">
        <v>317</v>
      </c>
      <c r="T44" s="2">
        <v>24075674209</v>
      </c>
      <c r="U44" t="s">
        <v>319</v>
      </c>
      <c r="V44">
        <v>860007335</v>
      </c>
      <c r="W44" t="s">
        <v>381</v>
      </c>
      <c r="X44" s="2">
        <v>3625</v>
      </c>
      <c r="Y44" s="2">
        <v>3625</v>
      </c>
      <c r="Z44" s="2">
        <v>4325</v>
      </c>
      <c r="AA44">
        <v>0</v>
      </c>
      <c r="AB44">
        <v>16225</v>
      </c>
      <c r="AC44">
        <v>64543125</v>
      </c>
      <c r="AD44">
        <v>0</v>
      </c>
      <c r="AE44" s="5">
        <v>45689</v>
      </c>
      <c r="AF44" t="s">
        <v>362</v>
      </c>
      <c r="AG44" t="s">
        <v>718</v>
      </c>
      <c r="AH44" t="s">
        <v>719</v>
      </c>
    </row>
    <row r="45" spans="1:34" ht="15" customHeight="1" x14ac:dyDescent="0.2">
      <c r="A45" t="s">
        <v>2255</v>
      </c>
      <c r="B45" t="s">
        <v>485</v>
      </c>
      <c r="C45" s="2">
        <v>4425</v>
      </c>
      <c r="D45" s="5">
        <v>45689</v>
      </c>
      <c r="E45" s="5">
        <v>45689.281944444447</v>
      </c>
      <c r="F45" t="s">
        <v>312</v>
      </c>
      <c r="G45" s="2">
        <v>923245</v>
      </c>
      <c r="H45" t="s">
        <v>29</v>
      </c>
      <c r="I45" t="s">
        <v>30</v>
      </c>
      <c r="J45" t="s">
        <v>31</v>
      </c>
      <c r="K45" s="50">
        <v>50287986</v>
      </c>
      <c r="L45" s="50">
        <v>0</v>
      </c>
      <c r="M45" s="50">
        <v>50287986</v>
      </c>
      <c r="N45" s="50">
        <v>45995110</v>
      </c>
      <c r="O45" t="s">
        <v>351</v>
      </c>
      <c r="P45">
        <v>1073669268</v>
      </c>
      <c r="Q45" t="s">
        <v>721</v>
      </c>
      <c r="R45" t="s">
        <v>316</v>
      </c>
      <c r="S45" t="s">
        <v>317</v>
      </c>
      <c r="T45" s="2">
        <v>91202398117</v>
      </c>
      <c r="U45" t="s">
        <v>319</v>
      </c>
      <c r="V45">
        <v>890903938</v>
      </c>
      <c r="W45" t="s">
        <v>342</v>
      </c>
      <c r="X45" s="2">
        <v>3825</v>
      </c>
      <c r="Y45" s="2">
        <v>3825</v>
      </c>
      <c r="Z45" s="2">
        <v>4425</v>
      </c>
      <c r="AA45">
        <v>0</v>
      </c>
      <c r="AB45">
        <v>16325</v>
      </c>
      <c r="AC45">
        <v>64543225</v>
      </c>
      <c r="AD45">
        <v>0</v>
      </c>
      <c r="AE45" s="5">
        <v>45689</v>
      </c>
      <c r="AF45" t="s">
        <v>356</v>
      </c>
      <c r="AG45" t="s">
        <v>723</v>
      </c>
      <c r="AH45" t="s">
        <v>724</v>
      </c>
    </row>
    <row r="46" spans="1:34" ht="15" customHeight="1" x14ac:dyDescent="0.2">
      <c r="A46" t="s">
        <v>2256</v>
      </c>
      <c r="B46" t="s">
        <v>485</v>
      </c>
      <c r="C46" s="2">
        <v>4525</v>
      </c>
      <c r="D46" s="5">
        <v>45689</v>
      </c>
      <c r="E46" s="5">
        <v>45689.28402777778</v>
      </c>
      <c r="F46" t="s">
        <v>312</v>
      </c>
      <c r="G46" s="2">
        <v>923245</v>
      </c>
      <c r="H46" t="s">
        <v>29</v>
      </c>
      <c r="I46" t="s">
        <v>30</v>
      </c>
      <c r="J46" t="s">
        <v>31</v>
      </c>
      <c r="K46" s="50">
        <v>50287986</v>
      </c>
      <c r="L46" s="50">
        <v>0</v>
      </c>
      <c r="M46" s="50">
        <v>50287986</v>
      </c>
      <c r="N46" s="50">
        <v>45995110</v>
      </c>
      <c r="O46" t="s">
        <v>351</v>
      </c>
      <c r="P46">
        <v>1012333352</v>
      </c>
      <c r="Q46" t="s">
        <v>726</v>
      </c>
      <c r="R46" t="s">
        <v>316</v>
      </c>
      <c r="S46" t="s">
        <v>317</v>
      </c>
      <c r="T46" s="2">
        <v>542008883</v>
      </c>
      <c r="U46" t="s">
        <v>319</v>
      </c>
      <c r="V46">
        <v>860002964</v>
      </c>
      <c r="W46" t="s">
        <v>419</v>
      </c>
      <c r="X46" s="2">
        <v>3825</v>
      </c>
      <c r="Y46" s="2">
        <v>3825</v>
      </c>
      <c r="Z46" s="2">
        <v>4525</v>
      </c>
      <c r="AA46">
        <v>0</v>
      </c>
      <c r="AB46">
        <v>7725</v>
      </c>
      <c r="AC46">
        <v>64519025</v>
      </c>
      <c r="AD46">
        <v>0</v>
      </c>
      <c r="AE46" s="5">
        <v>45689</v>
      </c>
      <c r="AF46" t="s">
        <v>356</v>
      </c>
      <c r="AG46" t="s">
        <v>728</v>
      </c>
      <c r="AH46" t="s">
        <v>724</v>
      </c>
    </row>
    <row r="47" spans="1:34" ht="15" customHeight="1" x14ac:dyDescent="0.2">
      <c r="A47" t="s">
        <v>2257</v>
      </c>
      <c r="B47" t="s">
        <v>485</v>
      </c>
      <c r="C47" s="2">
        <v>4625</v>
      </c>
      <c r="D47" s="5">
        <v>45689</v>
      </c>
      <c r="E47" s="5">
        <v>45689.286805555559</v>
      </c>
      <c r="F47" t="s">
        <v>312</v>
      </c>
      <c r="G47" s="2">
        <v>923245</v>
      </c>
      <c r="H47" t="s">
        <v>29</v>
      </c>
      <c r="I47" t="s">
        <v>30</v>
      </c>
      <c r="J47" t="s">
        <v>31</v>
      </c>
      <c r="K47" s="50">
        <v>50287986</v>
      </c>
      <c r="L47" s="50">
        <v>0</v>
      </c>
      <c r="M47" s="50">
        <v>50287986</v>
      </c>
      <c r="N47" s="50">
        <v>45995110</v>
      </c>
      <c r="O47" t="s">
        <v>351</v>
      </c>
      <c r="P47">
        <v>1065630928</v>
      </c>
      <c r="Q47" t="s">
        <v>730</v>
      </c>
      <c r="R47" t="s">
        <v>316</v>
      </c>
      <c r="S47" t="s">
        <v>317</v>
      </c>
      <c r="T47" s="2">
        <v>570257170026070</v>
      </c>
      <c r="U47" t="s">
        <v>319</v>
      </c>
      <c r="V47">
        <v>860034313</v>
      </c>
      <c r="W47" t="s">
        <v>355</v>
      </c>
      <c r="X47" s="2">
        <v>3825</v>
      </c>
      <c r="Y47" s="2">
        <v>3825</v>
      </c>
      <c r="Z47" s="2">
        <v>4625</v>
      </c>
      <c r="AA47">
        <v>0</v>
      </c>
      <c r="AB47">
        <v>7825</v>
      </c>
      <c r="AC47">
        <v>64519225</v>
      </c>
      <c r="AD47">
        <v>0</v>
      </c>
      <c r="AE47" s="5">
        <v>45689</v>
      </c>
      <c r="AF47" t="s">
        <v>356</v>
      </c>
      <c r="AG47" t="s">
        <v>732</v>
      </c>
      <c r="AH47" t="s">
        <v>724</v>
      </c>
    </row>
    <row r="48" spans="1:34" ht="15" customHeight="1" x14ac:dyDescent="0.2">
      <c r="A48" t="s">
        <v>2258</v>
      </c>
      <c r="B48" t="s">
        <v>485</v>
      </c>
      <c r="C48" s="2">
        <v>4725</v>
      </c>
      <c r="D48" s="5">
        <v>45689</v>
      </c>
      <c r="E48" s="5">
        <v>45689.288194444445</v>
      </c>
      <c r="F48" t="s">
        <v>312</v>
      </c>
      <c r="G48" s="2">
        <v>923245</v>
      </c>
      <c r="H48" t="s">
        <v>29</v>
      </c>
      <c r="I48" t="s">
        <v>30</v>
      </c>
      <c r="J48" t="s">
        <v>31</v>
      </c>
      <c r="K48" s="50">
        <v>50287986</v>
      </c>
      <c r="L48" s="50">
        <v>0</v>
      </c>
      <c r="M48" s="50">
        <v>50287986</v>
      </c>
      <c r="N48" s="50">
        <v>45995110</v>
      </c>
      <c r="O48" t="s">
        <v>351</v>
      </c>
      <c r="P48">
        <v>52954942</v>
      </c>
      <c r="Q48" t="s">
        <v>734</v>
      </c>
      <c r="R48" t="s">
        <v>316</v>
      </c>
      <c r="S48" t="s">
        <v>317</v>
      </c>
      <c r="T48" s="2">
        <v>488436761537</v>
      </c>
      <c r="U48" t="s">
        <v>319</v>
      </c>
      <c r="V48">
        <v>860034313</v>
      </c>
      <c r="W48" t="s">
        <v>355</v>
      </c>
      <c r="X48" s="2">
        <v>3825</v>
      </c>
      <c r="Y48" s="2">
        <v>3825</v>
      </c>
      <c r="Z48" s="2">
        <v>4725</v>
      </c>
      <c r="AA48">
        <v>0</v>
      </c>
      <c r="AB48">
        <v>7925</v>
      </c>
      <c r="AC48">
        <v>64519325</v>
      </c>
      <c r="AD48">
        <v>0</v>
      </c>
      <c r="AE48" s="5">
        <v>45689</v>
      </c>
      <c r="AF48" t="s">
        <v>356</v>
      </c>
      <c r="AG48" t="s">
        <v>736</v>
      </c>
      <c r="AH48" t="s">
        <v>724</v>
      </c>
    </row>
    <row r="49" spans="1:34" ht="15" customHeight="1" x14ac:dyDescent="0.2">
      <c r="A49" t="s">
        <v>2259</v>
      </c>
      <c r="B49" t="s">
        <v>486</v>
      </c>
      <c r="C49" s="2">
        <v>4825</v>
      </c>
      <c r="D49" s="5">
        <v>45691</v>
      </c>
      <c r="E49" s="5">
        <v>45691.95</v>
      </c>
      <c r="F49" t="s">
        <v>312</v>
      </c>
      <c r="G49" s="2">
        <v>923285</v>
      </c>
      <c r="H49" t="s">
        <v>29</v>
      </c>
      <c r="I49" t="s">
        <v>30</v>
      </c>
      <c r="J49" t="s">
        <v>31</v>
      </c>
      <c r="K49" s="50">
        <v>49061450</v>
      </c>
      <c r="L49" s="50">
        <v>0</v>
      </c>
      <c r="M49" s="50">
        <v>49061450</v>
      </c>
      <c r="N49" s="50">
        <v>44768573</v>
      </c>
      <c r="O49" t="s">
        <v>351</v>
      </c>
      <c r="P49">
        <v>1018436224</v>
      </c>
      <c r="Q49" t="s">
        <v>739</v>
      </c>
      <c r="R49" t="s">
        <v>316</v>
      </c>
      <c r="S49" t="s">
        <v>317</v>
      </c>
      <c r="T49" s="2">
        <v>22100018156</v>
      </c>
      <c r="U49" t="s">
        <v>319</v>
      </c>
      <c r="V49">
        <v>890903938</v>
      </c>
      <c r="W49" t="s">
        <v>342</v>
      </c>
      <c r="X49" s="2">
        <v>4225</v>
      </c>
      <c r="Y49" s="2">
        <v>4225</v>
      </c>
      <c r="Z49" s="2">
        <v>4825</v>
      </c>
      <c r="AA49">
        <v>0</v>
      </c>
      <c r="AB49">
        <v>8025</v>
      </c>
      <c r="AC49">
        <v>64519425</v>
      </c>
      <c r="AD49">
        <v>0</v>
      </c>
      <c r="AE49" s="5">
        <v>45691</v>
      </c>
      <c r="AF49" t="s">
        <v>356</v>
      </c>
      <c r="AG49" t="s">
        <v>741</v>
      </c>
      <c r="AH49" t="s">
        <v>742</v>
      </c>
    </row>
    <row r="50" spans="1:34" ht="15" customHeight="1" x14ac:dyDescent="0.2">
      <c r="A50" t="s">
        <v>2260</v>
      </c>
      <c r="B50" t="s">
        <v>485</v>
      </c>
      <c r="C50" s="2">
        <v>4925</v>
      </c>
      <c r="D50" s="5">
        <v>45692</v>
      </c>
      <c r="E50" s="5">
        <v>45692.611805555556</v>
      </c>
      <c r="F50" t="s">
        <v>312</v>
      </c>
      <c r="G50" s="2">
        <v>923245</v>
      </c>
      <c r="H50" t="s">
        <v>29</v>
      </c>
      <c r="I50" t="s">
        <v>30</v>
      </c>
      <c r="J50" t="s">
        <v>31</v>
      </c>
      <c r="K50" s="50">
        <v>48294866</v>
      </c>
      <c r="L50" s="50">
        <v>0</v>
      </c>
      <c r="M50" s="50">
        <v>48294866</v>
      </c>
      <c r="N50" s="50">
        <v>44308623</v>
      </c>
      <c r="O50" t="s">
        <v>351</v>
      </c>
      <c r="P50">
        <v>39669143</v>
      </c>
      <c r="Q50" t="s">
        <v>745</v>
      </c>
      <c r="R50" t="s">
        <v>316</v>
      </c>
      <c r="S50" t="s">
        <v>317</v>
      </c>
      <c r="T50" s="2">
        <v>20567071264</v>
      </c>
      <c r="U50" t="s">
        <v>319</v>
      </c>
      <c r="V50">
        <v>890903938</v>
      </c>
      <c r="W50" t="s">
        <v>342</v>
      </c>
      <c r="X50" s="2">
        <v>3825</v>
      </c>
      <c r="Y50" s="2">
        <v>3825</v>
      </c>
      <c r="Z50" s="2">
        <v>4925</v>
      </c>
      <c r="AA50">
        <v>0</v>
      </c>
      <c r="AB50">
        <v>8125</v>
      </c>
      <c r="AC50">
        <v>64519525</v>
      </c>
      <c r="AD50">
        <v>0</v>
      </c>
      <c r="AE50" s="5">
        <v>45692</v>
      </c>
      <c r="AF50" t="s">
        <v>356</v>
      </c>
      <c r="AG50" t="s">
        <v>747</v>
      </c>
      <c r="AH50" t="s">
        <v>748</v>
      </c>
    </row>
    <row r="51" spans="1:34" ht="15" customHeight="1" x14ac:dyDescent="0.2">
      <c r="A51" t="s">
        <v>2261</v>
      </c>
      <c r="B51" t="s">
        <v>485</v>
      </c>
      <c r="C51" s="2">
        <v>5025</v>
      </c>
      <c r="D51" s="5">
        <v>45692</v>
      </c>
      <c r="E51" s="5">
        <v>45692.620138888888</v>
      </c>
      <c r="F51" t="s">
        <v>312</v>
      </c>
      <c r="G51" s="2">
        <v>923245</v>
      </c>
      <c r="H51" t="s">
        <v>29</v>
      </c>
      <c r="I51" t="s">
        <v>30</v>
      </c>
      <c r="J51" t="s">
        <v>31</v>
      </c>
      <c r="K51" s="50">
        <v>48294866</v>
      </c>
      <c r="L51" s="50">
        <v>0</v>
      </c>
      <c r="M51" s="50">
        <v>48294866</v>
      </c>
      <c r="N51" s="50">
        <v>44308623</v>
      </c>
      <c r="O51" t="s">
        <v>351</v>
      </c>
      <c r="P51">
        <v>52506643</v>
      </c>
      <c r="Q51" t="s">
        <v>750</v>
      </c>
      <c r="R51" t="s">
        <v>316</v>
      </c>
      <c r="S51" t="s">
        <v>317</v>
      </c>
      <c r="T51" s="2">
        <v>474900022382</v>
      </c>
      <c r="U51" t="s">
        <v>319</v>
      </c>
      <c r="V51">
        <v>860034313</v>
      </c>
      <c r="W51" t="s">
        <v>355</v>
      </c>
      <c r="X51" s="2">
        <v>3825</v>
      </c>
      <c r="Y51" s="2">
        <v>3825</v>
      </c>
      <c r="Z51" s="2">
        <v>5025</v>
      </c>
      <c r="AA51">
        <v>0</v>
      </c>
      <c r="AB51">
        <v>8225</v>
      </c>
      <c r="AC51">
        <v>64519625</v>
      </c>
      <c r="AD51">
        <v>0</v>
      </c>
      <c r="AE51" s="5">
        <v>45692</v>
      </c>
      <c r="AF51" t="s">
        <v>356</v>
      </c>
      <c r="AG51" t="s">
        <v>752</v>
      </c>
      <c r="AH51" t="s">
        <v>748</v>
      </c>
    </row>
    <row r="52" spans="1:34" ht="15" customHeight="1" x14ac:dyDescent="0.2">
      <c r="A52" t="s">
        <v>2262</v>
      </c>
      <c r="B52" t="s">
        <v>485</v>
      </c>
      <c r="C52" s="2">
        <v>5125</v>
      </c>
      <c r="D52" s="5">
        <v>45692</v>
      </c>
      <c r="E52" s="5">
        <v>45692.624305555553</v>
      </c>
      <c r="F52" t="s">
        <v>312</v>
      </c>
      <c r="G52" s="2">
        <v>923245</v>
      </c>
      <c r="H52" t="s">
        <v>29</v>
      </c>
      <c r="I52" t="s">
        <v>30</v>
      </c>
      <c r="J52" t="s">
        <v>31</v>
      </c>
      <c r="K52" s="50">
        <v>48294866</v>
      </c>
      <c r="L52" s="50">
        <v>0</v>
      </c>
      <c r="M52" s="50">
        <v>48294866</v>
      </c>
      <c r="N52" s="50">
        <v>44308623</v>
      </c>
      <c r="O52" t="s">
        <v>351</v>
      </c>
      <c r="P52">
        <v>52803339</v>
      </c>
      <c r="Q52" t="s">
        <v>754</v>
      </c>
      <c r="R52" t="s">
        <v>316</v>
      </c>
      <c r="S52" t="s">
        <v>317</v>
      </c>
      <c r="T52" s="2">
        <v>4000184103</v>
      </c>
      <c r="U52" t="s">
        <v>319</v>
      </c>
      <c r="V52">
        <v>860034313</v>
      </c>
      <c r="W52" t="s">
        <v>355</v>
      </c>
      <c r="X52" s="2">
        <v>3825</v>
      </c>
      <c r="Y52" s="2">
        <v>3825</v>
      </c>
      <c r="Z52" s="2">
        <v>5125</v>
      </c>
      <c r="AA52">
        <v>0</v>
      </c>
      <c r="AB52">
        <v>8325</v>
      </c>
      <c r="AC52">
        <v>64519725</v>
      </c>
      <c r="AD52">
        <v>0</v>
      </c>
      <c r="AE52" s="5">
        <v>45692</v>
      </c>
      <c r="AF52" t="s">
        <v>356</v>
      </c>
      <c r="AG52" t="s">
        <v>756</v>
      </c>
      <c r="AH52" t="s">
        <v>748</v>
      </c>
    </row>
    <row r="53" spans="1:34" ht="15" customHeight="1" x14ac:dyDescent="0.2">
      <c r="A53" t="s">
        <v>2263</v>
      </c>
      <c r="B53" t="s">
        <v>485</v>
      </c>
      <c r="C53" s="2">
        <v>5225</v>
      </c>
      <c r="D53" s="5">
        <v>45692</v>
      </c>
      <c r="E53" s="5">
        <v>45692.631249999999</v>
      </c>
      <c r="F53" t="s">
        <v>312</v>
      </c>
      <c r="G53" s="2">
        <v>923245</v>
      </c>
      <c r="H53" t="s">
        <v>29</v>
      </c>
      <c r="I53" t="s">
        <v>30</v>
      </c>
      <c r="J53" t="s">
        <v>31</v>
      </c>
      <c r="K53" s="50">
        <v>48294866</v>
      </c>
      <c r="L53" s="50">
        <v>0</v>
      </c>
      <c r="M53" s="50">
        <v>48294866</v>
      </c>
      <c r="N53" s="50">
        <v>44308623</v>
      </c>
      <c r="O53" t="s">
        <v>351</v>
      </c>
      <c r="P53">
        <v>1022364660</v>
      </c>
      <c r="Q53" t="s">
        <v>758</v>
      </c>
      <c r="R53" t="s">
        <v>316</v>
      </c>
      <c r="S53" t="s">
        <v>317</v>
      </c>
      <c r="T53" s="2">
        <v>550005300548293</v>
      </c>
      <c r="U53" t="s">
        <v>319</v>
      </c>
      <c r="V53">
        <v>860034313</v>
      </c>
      <c r="W53" t="s">
        <v>355</v>
      </c>
      <c r="X53" s="2">
        <v>3825</v>
      </c>
      <c r="Y53" s="2">
        <v>3825</v>
      </c>
      <c r="Z53" s="2">
        <v>5225</v>
      </c>
      <c r="AA53">
        <v>0</v>
      </c>
      <c r="AB53">
        <v>8425</v>
      </c>
      <c r="AC53">
        <v>64519825</v>
      </c>
      <c r="AD53">
        <v>0</v>
      </c>
      <c r="AE53" s="5">
        <v>45692</v>
      </c>
      <c r="AF53" t="s">
        <v>356</v>
      </c>
      <c r="AG53" t="s">
        <v>760</v>
      </c>
      <c r="AH53" t="s">
        <v>748</v>
      </c>
    </row>
    <row r="54" spans="1:34" ht="15" customHeight="1" x14ac:dyDescent="0.2">
      <c r="A54" t="s">
        <v>2264</v>
      </c>
      <c r="B54" t="s">
        <v>485</v>
      </c>
      <c r="C54" s="2">
        <v>5325</v>
      </c>
      <c r="D54" s="5">
        <v>45692</v>
      </c>
      <c r="E54" s="5">
        <v>45692.637499999997</v>
      </c>
      <c r="F54" t="s">
        <v>312</v>
      </c>
      <c r="G54" s="2">
        <v>923245</v>
      </c>
      <c r="H54" t="s">
        <v>29</v>
      </c>
      <c r="I54" t="s">
        <v>30</v>
      </c>
      <c r="J54" t="s">
        <v>31</v>
      </c>
      <c r="K54" s="50">
        <v>48294866</v>
      </c>
      <c r="L54" s="50">
        <v>0</v>
      </c>
      <c r="M54" s="50">
        <v>48294866</v>
      </c>
      <c r="N54" s="50">
        <v>44308623</v>
      </c>
      <c r="O54" t="s">
        <v>351</v>
      </c>
      <c r="P54">
        <v>52874856</v>
      </c>
      <c r="Q54" t="s">
        <v>762</v>
      </c>
      <c r="R54" t="s">
        <v>316</v>
      </c>
      <c r="S54" t="s">
        <v>317</v>
      </c>
      <c r="T54" s="2">
        <v>8870426015</v>
      </c>
      <c r="U54" t="s">
        <v>319</v>
      </c>
      <c r="V54">
        <v>860034313</v>
      </c>
      <c r="W54" t="s">
        <v>355</v>
      </c>
      <c r="X54" s="2">
        <v>3825</v>
      </c>
      <c r="Y54" s="2">
        <v>3825</v>
      </c>
      <c r="Z54" s="2">
        <v>5325</v>
      </c>
      <c r="AA54">
        <v>0</v>
      </c>
      <c r="AB54">
        <v>8525</v>
      </c>
      <c r="AC54">
        <v>64519925</v>
      </c>
      <c r="AD54">
        <v>0</v>
      </c>
      <c r="AE54" s="5">
        <v>45692</v>
      </c>
      <c r="AF54" t="s">
        <v>356</v>
      </c>
      <c r="AG54" t="s">
        <v>764</v>
      </c>
      <c r="AH54" t="s">
        <v>748</v>
      </c>
    </row>
    <row r="55" spans="1:34" ht="15" customHeight="1" x14ac:dyDescent="0.2">
      <c r="A55" t="s">
        <v>2265</v>
      </c>
      <c r="B55" t="s">
        <v>485</v>
      </c>
      <c r="C55" s="2">
        <v>5425</v>
      </c>
      <c r="D55" s="5">
        <v>45692</v>
      </c>
      <c r="E55" s="5">
        <v>45692.645138888889</v>
      </c>
      <c r="F55" t="s">
        <v>312</v>
      </c>
      <c r="G55" s="2">
        <v>923245</v>
      </c>
      <c r="H55" t="s">
        <v>29</v>
      </c>
      <c r="I55" t="s">
        <v>30</v>
      </c>
      <c r="J55" t="s">
        <v>31</v>
      </c>
      <c r="K55" s="50">
        <v>48294866</v>
      </c>
      <c r="L55" s="50">
        <v>0</v>
      </c>
      <c r="M55" s="50">
        <v>48294866</v>
      </c>
      <c r="N55" s="50">
        <v>44308623</v>
      </c>
      <c r="O55" t="s">
        <v>351</v>
      </c>
      <c r="P55">
        <v>52306195</v>
      </c>
      <c r="Q55" t="s">
        <v>766</v>
      </c>
      <c r="R55" t="s">
        <v>316</v>
      </c>
      <c r="S55" t="s">
        <v>317</v>
      </c>
      <c r="T55" s="2">
        <v>143083624</v>
      </c>
      <c r="U55" t="s">
        <v>319</v>
      </c>
      <c r="V55">
        <v>860002964</v>
      </c>
      <c r="W55" t="s">
        <v>419</v>
      </c>
      <c r="X55" s="2">
        <v>3825</v>
      </c>
      <c r="Y55" s="2">
        <v>3825</v>
      </c>
      <c r="Z55" s="2">
        <v>5425</v>
      </c>
      <c r="AA55">
        <v>0</v>
      </c>
      <c r="AB55">
        <v>8625</v>
      </c>
      <c r="AC55">
        <v>64520025</v>
      </c>
      <c r="AD55">
        <v>0</v>
      </c>
      <c r="AE55" s="5">
        <v>45692</v>
      </c>
      <c r="AF55" t="s">
        <v>356</v>
      </c>
      <c r="AG55" t="s">
        <v>768</v>
      </c>
      <c r="AH55" t="s">
        <v>748</v>
      </c>
    </row>
    <row r="56" spans="1:34" ht="15" customHeight="1" x14ac:dyDescent="0.2">
      <c r="A56" t="s">
        <v>2266</v>
      </c>
      <c r="B56" t="s">
        <v>485</v>
      </c>
      <c r="C56" s="2">
        <v>5525</v>
      </c>
      <c r="D56" s="5">
        <v>45692</v>
      </c>
      <c r="E56" s="5">
        <v>45692.652777777781</v>
      </c>
      <c r="F56" t="s">
        <v>312</v>
      </c>
      <c r="G56" s="2">
        <v>923245</v>
      </c>
      <c r="H56" t="s">
        <v>29</v>
      </c>
      <c r="I56" t="s">
        <v>30</v>
      </c>
      <c r="J56" t="s">
        <v>31</v>
      </c>
      <c r="K56" s="50">
        <v>48294866</v>
      </c>
      <c r="L56" s="50">
        <v>0</v>
      </c>
      <c r="M56" s="50">
        <v>48294866</v>
      </c>
      <c r="N56" s="50">
        <v>44308623</v>
      </c>
      <c r="O56" t="s">
        <v>351</v>
      </c>
      <c r="P56">
        <v>52229415</v>
      </c>
      <c r="Q56" t="s">
        <v>770</v>
      </c>
      <c r="R56" t="s">
        <v>316</v>
      </c>
      <c r="S56" t="s">
        <v>317</v>
      </c>
      <c r="T56" s="2">
        <v>480870015041</v>
      </c>
      <c r="U56" t="s">
        <v>319</v>
      </c>
      <c r="V56">
        <v>860034313</v>
      </c>
      <c r="W56" t="s">
        <v>355</v>
      </c>
      <c r="X56" s="2">
        <v>3825</v>
      </c>
      <c r="Y56" s="2">
        <v>3825</v>
      </c>
      <c r="Z56" s="2">
        <v>5525</v>
      </c>
      <c r="AA56">
        <v>0</v>
      </c>
      <c r="AB56">
        <v>8725</v>
      </c>
      <c r="AC56">
        <v>64520125</v>
      </c>
      <c r="AD56">
        <v>0</v>
      </c>
      <c r="AE56" s="5">
        <v>45692</v>
      </c>
      <c r="AF56" t="s">
        <v>356</v>
      </c>
      <c r="AG56" t="s">
        <v>772</v>
      </c>
      <c r="AH56" t="s">
        <v>748</v>
      </c>
    </row>
    <row r="57" spans="1:34" ht="15" customHeight="1" x14ac:dyDescent="0.2">
      <c r="A57" t="s">
        <v>2267</v>
      </c>
      <c r="B57" t="s">
        <v>485</v>
      </c>
      <c r="C57" s="2">
        <v>5625</v>
      </c>
      <c r="D57" s="5">
        <v>45692</v>
      </c>
      <c r="E57" s="5">
        <v>45692.659722222219</v>
      </c>
      <c r="F57" t="s">
        <v>312</v>
      </c>
      <c r="G57" s="2">
        <v>923245</v>
      </c>
      <c r="H57" t="s">
        <v>29</v>
      </c>
      <c r="I57" t="s">
        <v>30</v>
      </c>
      <c r="J57" t="s">
        <v>31</v>
      </c>
      <c r="K57" s="50">
        <v>48294866</v>
      </c>
      <c r="L57" s="50">
        <v>0</v>
      </c>
      <c r="M57" s="50">
        <v>48294866</v>
      </c>
      <c r="N57" s="50">
        <v>44308623</v>
      </c>
      <c r="O57" t="s">
        <v>351</v>
      </c>
      <c r="P57">
        <v>1031123608</v>
      </c>
      <c r="Q57" t="s">
        <v>774</v>
      </c>
      <c r="R57" t="s">
        <v>316</v>
      </c>
      <c r="S57" t="s">
        <v>317</v>
      </c>
      <c r="T57" s="2">
        <v>67357087608</v>
      </c>
      <c r="U57" t="s">
        <v>319</v>
      </c>
      <c r="V57">
        <v>890903938</v>
      </c>
      <c r="W57" t="s">
        <v>342</v>
      </c>
      <c r="X57" s="2">
        <v>3825</v>
      </c>
      <c r="Y57" s="2">
        <v>3825</v>
      </c>
      <c r="Z57" s="2">
        <v>5625</v>
      </c>
      <c r="AA57">
        <v>0</v>
      </c>
      <c r="AB57">
        <v>8825</v>
      </c>
      <c r="AC57">
        <v>64520225</v>
      </c>
      <c r="AD57">
        <v>0</v>
      </c>
      <c r="AE57" s="5">
        <v>45692</v>
      </c>
      <c r="AF57" t="s">
        <v>356</v>
      </c>
      <c r="AG57" t="s">
        <v>776</v>
      </c>
      <c r="AH57" t="s">
        <v>748</v>
      </c>
    </row>
    <row r="58" spans="1:34" ht="15" customHeight="1" x14ac:dyDescent="0.2">
      <c r="A58" t="s">
        <v>2268</v>
      </c>
      <c r="B58" t="s">
        <v>485</v>
      </c>
      <c r="C58" s="2">
        <v>5725</v>
      </c>
      <c r="D58" s="5">
        <v>45692</v>
      </c>
      <c r="E58" s="5">
        <v>45692.672222222223</v>
      </c>
      <c r="F58" t="s">
        <v>312</v>
      </c>
      <c r="G58" s="2">
        <v>923245</v>
      </c>
      <c r="H58" t="s">
        <v>29</v>
      </c>
      <c r="I58" t="s">
        <v>30</v>
      </c>
      <c r="J58" t="s">
        <v>31</v>
      </c>
      <c r="K58" s="50">
        <v>48294866</v>
      </c>
      <c r="L58" s="50">
        <v>0</v>
      </c>
      <c r="M58" s="50">
        <v>48294866</v>
      </c>
      <c r="N58" s="50">
        <v>44308623</v>
      </c>
      <c r="O58" t="s">
        <v>351</v>
      </c>
      <c r="P58">
        <v>2994915</v>
      </c>
      <c r="Q58" t="s">
        <v>778</v>
      </c>
      <c r="R58" t="s">
        <v>316</v>
      </c>
      <c r="S58" t="s">
        <v>317</v>
      </c>
      <c r="T58" s="2">
        <v>476100010224</v>
      </c>
      <c r="U58" t="s">
        <v>319</v>
      </c>
      <c r="V58">
        <v>860034313</v>
      </c>
      <c r="W58" t="s">
        <v>355</v>
      </c>
      <c r="X58" s="2">
        <v>3825</v>
      </c>
      <c r="Y58" s="2">
        <v>3825</v>
      </c>
      <c r="Z58" s="2">
        <v>5725</v>
      </c>
      <c r="AA58">
        <v>0</v>
      </c>
      <c r="AB58">
        <v>8925</v>
      </c>
      <c r="AC58">
        <v>64520325</v>
      </c>
      <c r="AD58">
        <v>0</v>
      </c>
      <c r="AE58" s="5">
        <v>45692</v>
      </c>
      <c r="AF58" t="s">
        <v>356</v>
      </c>
      <c r="AG58" t="s">
        <v>780</v>
      </c>
      <c r="AH58" t="s">
        <v>748</v>
      </c>
    </row>
    <row r="59" spans="1:34" ht="15" customHeight="1" x14ac:dyDescent="0.2">
      <c r="A59" t="s">
        <v>2269</v>
      </c>
      <c r="B59" t="s">
        <v>485</v>
      </c>
      <c r="C59" s="2">
        <v>5825</v>
      </c>
      <c r="D59" s="5">
        <v>45692</v>
      </c>
      <c r="E59" s="5">
        <v>45692.684027777781</v>
      </c>
      <c r="F59" t="s">
        <v>312</v>
      </c>
      <c r="G59" s="2">
        <v>923245</v>
      </c>
      <c r="H59" t="s">
        <v>29</v>
      </c>
      <c r="I59" t="s">
        <v>30</v>
      </c>
      <c r="J59" t="s">
        <v>31</v>
      </c>
      <c r="K59" s="50">
        <v>48294866</v>
      </c>
      <c r="L59" s="50">
        <v>0</v>
      </c>
      <c r="M59" s="50">
        <v>48294866</v>
      </c>
      <c r="N59" s="50">
        <v>44308623</v>
      </c>
      <c r="O59" t="s">
        <v>351</v>
      </c>
      <c r="P59">
        <v>93117815</v>
      </c>
      <c r="Q59" t="s">
        <v>782</v>
      </c>
      <c r="R59" t="s">
        <v>316</v>
      </c>
      <c r="S59" t="s">
        <v>317</v>
      </c>
      <c r="T59" s="2">
        <v>70416714</v>
      </c>
      <c r="U59" t="s">
        <v>319</v>
      </c>
      <c r="V59">
        <v>860003020</v>
      </c>
      <c r="W59" t="s">
        <v>393</v>
      </c>
      <c r="X59" s="2">
        <v>3825</v>
      </c>
      <c r="Y59" s="2">
        <v>3825</v>
      </c>
      <c r="Z59" s="2">
        <v>5825</v>
      </c>
      <c r="AA59">
        <v>0</v>
      </c>
      <c r="AB59">
        <v>9025</v>
      </c>
      <c r="AC59">
        <v>64520425</v>
      </c>
      <c r="AD59">
        <v>0</v>
      </c>
      <c r="AE59" s="5">
        <v>45692</v>
      </c>
      <c r="AF59" t="s">
        <v>356</v>
      </c>
      <c r="AG59" t="s">
        <v>785</v>
      </c>
      <c r="AH59" t="s">
        <v>748</v>
      </c>
    </row>
    <row r="60" spans="1:34" ht="15" customHeight="1" x14ac:dyDescent="0.2">
      <c r="A60" t="s">
        <v>2270</v>
      </c>
      <c r="B60" t="s">
        <v>485</v>
      </c>
      <c r="C60" s="2">
        <v>5925</v>
      </c>
      <c r="D60" s="5">
        <v>45693</v>
      </c>
      <c r="E60" s="5">
        <v>45693.466666666667</v>
      </c>
      <c r="F60" t="s">
        <v>312</v>
      </c>
      <c r="G60" s="2">
        <v>923245</v>
      </c>
      <c r="H60" t="s">
        <v>29</v>
      </c>
      <c r="I60" t="s">
        <v>30</v>
      </c>
      <c r="J60" t="s">
        <v>31</v>
      </c>
      <c r="K60" s="50">
        <v>48294866</v>
      </c>
      <c r="L60" s="50">
        <v>0</v>
      </c>
      <c r="M60" s="50">
        <v>48294866</v>
      </c>
      <c r="N60" s="50">
        <v>44308623</v>
      </c>
      <c r="O60" t="s">
        <v>351</v>
      </c>
      <c r="P60">
        <v>79965721</v>
      </c>
      <c r="Q60" t="s">
        <v>788</v>
      </c>
      <c r="R60" t="s">
        <v>316</v>
      </c>
      <c r="S60" t="s">
        <v>317</v>
      </c>
      <c r="T60" s="2">
        <v>24086223771</v>
      </c>
      <c r="U60" t="s">
        <v>319</v>
      </c>
      <c r="V60">
        <v>860007335</v>
      </c>
      <c r="W60" t="s">
        <v>381</v>
      </c>
      <c r="X60" s="2">
        <v>3825</v>
      </c>
      <c r="Y60" s="2">
        <v>3825</v>
      </c>
      <c r="Z60" s="2">
        <v>5925</v>
      </c>
      <c r="AA60">
        <v>0</v>
      </c>
      <c r="AB60">
        <v>9125</v>
      </c>
      <c r="AC60">
        <v>64520525</v>
      </c>
      <c r="AD60">
        <v>0</v>
      </c>
      <c r="AE60" s="5">
        <v>45693</v>
      </c>
      <c r="AF60" t="s">
        <v>356</v>
      </c>
      <c r="AG60" t="s">
        <v>790</v>
      </c>
      <c r="AH60" t="s">
        <v>748</v>
      </c>
    </row>
    <row r="61" spans="1:34" ht="15" customHeight="1" x14ac:dyDescent="0.2">
      <c r="A61" t="s">
        <v>2271</v>
      </c>
      <c r="B61" t="s">
        <v>485</v>
      </c>
      <c r="C61" s="2">
        <v>6025</v>
      </c>
      <c r="D61" s="5">
        <v>45693</v>
      </c>
      <c r="E61" s="5">
        <v>45693.472916666666</v>
      </c>
      <c r="F61" t="s">
        <v>312</v>
      </c>
      <c r="G61" s="2">
        <v>923245</v>
      </c>
      <c r="H61" t="s">
        <v>29</v>
      </c>
      <c r="I61" t="s">
        <v>30</v>
      </c>
      <c r="J61" t="s">
        <v>31</v>
      </c>
      <c r="K61" s="50">
        <v>48294866</v>
      </c>
      <c r="L61" s="50">
        <v>0</v>
      </c>
      <c r="M61" s="50">
        <v>48294866</v>
      </c>
      <c r="N61" s="50">
        <v>44308623</v>
      </c>
      <c r="O61" t="s">
        <v>351</v>
      </c>
      <c r="P61">
        <v>79408514</v>
      </c>
      <c r="Q61" t="s">
        <v>792</v>
      </c>
      <c r="R61" t="s">
        <v>316</v>
      </c>
      <c r="S61" t="s">
        <v>317</v>
      </c>
      <c r="T61" s="2">
        <v>116040148863</v>
      </c>
      <c r="U61" t="s">
        <v>319</v>
      </c>
      <c r="V61">
        <v>900047981</v>
      </c>
      <c r="W61" t="s">
        <v>399</v>
      </c>
      <c r="X61" s="2">
        <v>3825</v>
      </c>
      <c r="Y61" s="2">
        <v>3825</v>
      </c>
      <c r="Z61" s="2">
        <v>6025</v>
      </c>
      <c r="AA61">
        <v>0</v>
      </c>
      <c r="AB61">
        <v>9225</v>
      </c>
      <c r="AC61">
        <v>64520625</v>
      </c>
      <c r="AD61">
        <v>0</v>
      </c>
      <c r="AE61" s="5">
        <v>45693</v>
      </c>
      <c r="AF61" t="s">
        <v>356</v>
      </c>
      <c r="AG61" t="s">
        <v>794</v>
      </c>
      <c r="AH61" t="s">
        <v>748</v>
      </c>
    </row>
    <row r="62" spans="1:34" ht="15" customHeight="1" x14ac:dyDescent="0.2">
      <c r="A62" t="s">
        <v>2272</v>
      </c>
      <c r="B62" t="s">
        <v>485</v>
      </c>
      <c r="C62" s="2">
        <v>6125</v>
      </c>
      <c r="D62" s="5">
        <v>45693</v>
      </c>
      <c r="E62" s="5">
        <v>45693.492361111108</v>
      </c>
      <c r="F62" t="s">
        <v>312</v>
      </c>
      <c r="G62" s="2">
        <v>923245</v>
      </c>
      <c r="H62" t="s">
        <v>29</v>
      </c>
      <c r="I62" t="s">
        <v>30</v>
      </c>
      <c r="J62" t="s">
        <v>31</v>
      </c>
      <c r="K62" s="50">
        <v>48294866</v>
      </c>
      <c r="L62" s="50">
        <v>0</v>
      </c>
      <c r="M62" s="50">
        <v>48294866</v>
      </c>
      <c r="N62" s="50">
        <v>44308623</v>
      </c>
      <c r="O62" t="s">
        <v>351</v>
      </c>
      <c r="P62">
        <v>93130667</v>
      </c>
      <c r="Q62" t="s">
        <v>796</v>
      </c>
      <c r="R62" t="s">
        <v>316</v>
      </c>
      <c r="S62" t="s">
        <v>317</v>
      </c>
      <c r="T62" s="2">
        <v>402745363</v>
      </c>
      <c r="U62" t="s">
        <v>319</v>
      </c>
      <c r="V62">
        <v>860035827</v>
      </c>
      <c r="W62" t="s">
        <v>653</v>
      </c>
      <c r="X62" s="2">
        <v>3825</v>
      </c>
      <c r="Y62" s="2">
        <v>3825</v>
      </c>
      <c r="Z62" s="2">
        <v>6125</v>
      </c>
      <c r="AA62">
        <v>0</v>
      </c>
      <c r="AB62">
        <v>9325</v>
      </c>
      <c r="AC62">
        <v>64520725</v>
      </c>
      <c r="AD62">
        <v>0</v>
      </c>
      <c r="AE62" s="5">
        <v>45693</v>
      </c>
      <c r="AF62" t="s">
        <v>356</v>
      </c>
      <c r="AG62" t="s">
        <v>798</v>
      </c>
      <c r="AH62" t="s">
        <v>748</v>
      </c>
    </row>
    <row r="63" spans="1:34" ht="15" customHeight="1" x14ac:dyDescent="0.2">
      <c r="A63" t="s">
        <v>2224</v>
      </c>
      <c r="B63" t="s">
        <v>476</v>
      </c>
      <c r="C63" s="2">
        <v>6225</v>
      </c>
      <c r="D63" s="5">
        <v>45693</v>
      </c>
      <c r="E63" s="5">
        <v>45693.529861111114</v>
      </c>
      <c r="F63" t="s">
        <v>312</v>
      </c>
      <c r="G63" s="2">
        <v>923210</v>
      </c>
      <c r="H63" t="s">
        <v>29</v>
      </c>
      <c r="I63" t="s">
        <v>30</v>
      </c>
      <c r="J63" t="s">
        <v>47</v>
      </c>
      <c r="K63" s="50">
        <v>3096240</v>
      </c>
      <c r="L63" s="50">
        <v>0</v>
      </c>
      <c r="M63" s="50">
        <v>3096240</v>
      </c>
      <c r="N63" s="50">
        <v>0</v>
      </c>
      <c r="O63" t="s">
        <v>314</v>
      </c>
      <c r="P63">
        <v>860063875</v>
      </c>
      <c r="Q63" t="s">
        <v>315</v>
      </c>
      <c r="R63" t="s">
        <v>316</v>
      </c>
      <c r="S63" t="s">
        <v>317</v>
      </c>
      <c r="T63" s="2">
        <v>90060000410</v>
      </c>
      <c r="U63" t="s">
        <v>319</v>
      </c>
      <c r="V63">
        <v>860050750</v>
      </c>
      <c r="W63" t="s">
        <v>321</v>
      </c>
      <c r="X63" s="2">
        <v>1225</v>
      </c>
      <c r="Y63" s="2">
        <v>1225</v>
      </c>
      <c r="Z63" s="2">
        <v>6225</v>
      </c>
      <c r="AA63">
        <v>1225</v>
      </c>
      <c r="AB63">
        <v>1125</v>
      </c>
      <c r="AC63">
        <v>26953325</v>
      </c>
      <c r="AD63">
        <v>0</v>
      </c>
      <c r="AE63" s="5">
        <v>45693</v>
      </c>
      <c r="AF63" t="s">
        <v>323</v>
      </c>
      <c r="AG63" t="s">
        <v>802</v>
      </c>
      <c r="AH63" t="s">
        <v>803</v>
      </c>
    </row>
    <row r="64" spans="1:34" ht="15" customHeight="1" x14ac:dyDescent="0.2">
      <c r="A64" t="s">
        <v>2273</v>
      </c>
      <c r="B64" t="s">
        <v>485</v>
      </c>
      <c r="C64" s="2">
        <v>6325</v>
      </c>
      <c r="D64" s="5">
        <v>45693</v>
      </c>
      <c r="E64" s="5">
        <v>45693.555555555555</v>
      </c>
      <c r="F64" t="s">
        <v>312</v>
      </c>
      <c r="G64" s="2">
        <v>923245</v>
      </c>
      <c r="H64" t="s">
        <v>29</v>
      </c>
      <c r="I64" t="s">
        <v>30</v>
      </c>
      <c r="J64" t="s">
        <v>31</v>
      </c>
      <c r="K64" s="50">
        <v>48294866</v>
      </c>
      <c r="L64" s="50">
        <v>0</v>
      </c>
      <c r="M64" s="50">
        <v>48294866</v>
      </c>
      <c r="N64" s="50">
        <v>44308623</v>
      </c>
      <c r="O64" t="s">
        <v>351</v>
      </c>
      <c r="P64">
        <v>1032398395</v>
      </c>
      <c r="Q64" t="s">
        <v>805</v>
      </c>
      <c r="R64" t="s">
        <v>316</v>
      </c>
      <c r="S64" t="s">
        <v>317</v>
      </c>
      <c r="T64" s="2">
        <v>669797115</v>
      </c>
      <c r="U64" t="s">
        <v>319</v>
      </c>
      <c r="V64">
        <v>860035827</v>
      </c>
      <c r="W64" t="s">
        <v>653</v>
      </c>
      <c r="X64" s="2">
        <v>3825</v>
      </c>
      <c r="Y64" s="2">
        <v>3825</v>
      </c>
      <c r="Z64" s="2">
        <v>6325</v>
      </c>
      <c r="AA64">
        <v>0</v>
      </c>
      <c r="AB64">
        <v>9425</v>
      </c>
      <c r="AC64">
        <v>64520825</v>
      </c>
      <c r="AD64">
        <v>0</v>
      </c>
      <c r="AE64" s="5">
        <v>45693</v>
      </c>
      <c r="AF64" t="s">
        <v>356</v>
      </c>
      <c r="AG64" t="s">
        <v>807</v>
      </c>
      <c r="AH64" t="s">
        <v>748</v>
      </c>
    </row>
    <row r="65" spans="1:34" ht="15" customHeight="1" x14ac:dyDescent="0.2">
      <c r="A65" t="s">
        <v>2274</v>
      </c>
      <c r="B65" t="s">
        <v>485</v>
      </c>
      <c r="C65" s="2">
        <v>6425</v>
      </c>
      <c r="D65" s="5">
        <v>45693</v>
      </c>
      <c r="E65" s="5">
        <v>45693.579861111109</v>
      </c>
      <c r="F65" t="s">
        <v>312</v>
      </c>
      <c r="G65" s="2">
        <v>923245</v>
      </c>
      <c r="H65" t="s">
        <v>29</v>
      </c>
      <c r="I65" t="s">
        <v>30</v>
      </c>
      <c r="J65" t="s">
        <v>31</v>
      </c>
      <c r="K65" s="50">
        <v>48294866</v>
      </c>
      <c r="L65" s="50">
        <v>0</v>
      </c>
      <c r="M65" s="50">
        <v>48294866</v>
      </c>
      <c r="N65" s="50">
        <v>44308623</v>
      </c>
      <c r="O65" t="s">
        <v>351</v>
      </c>
      <c r="P65">
        <v>1022338160</v>
      </c>
      <c r="Q65" t="s">
        <v>809</v>
      </c>
      <c r="R65" t="s">
        <v>316</v>
      </c>
      <c r="S65" t="s">
        <v>317</v>
      </c>
      <c r="T65" s="2">
        <v>76388992791</v>
      </c>
      <c r="U65" t="s">
        <v>319</v>
      </c>
      <c r="V65">
        <v>890903938</v>
      </c>
      <c r="W65" t="s">
        <v>342</v>
      </c>
      <c r="X65" s="2">
        <v>3825</v>
      </c>
      <c r="Y65" s="2">
        <v>3825</v>
      </c>
      <c r="Z65" s="2">
        <v>6425</v>
      </c>
      <c r="AA65">
        <v>0</v>
      </c>
      <c r="AB65">
        <v>9525</v>
      </c>
      <c r="AC65">
        <v>64520925</v>
      </c>
      <c r="AD65">
        <v>0</v>
      </c>
      <c r="AE65" s="5">
        <v>45693</v>
      </c>
      <c r="AF65" t="s">
        <v>356</v>
      </c>
      <c r="AG65" t="s">
        <v>811</v>
      </c>
      <c r="AH65" t="s">
        <v>748</v>
      </c>
    </row>
    <row r="66" spans="1:34" ht="15" customHeight="1" x14ac:dyDescent="0.2">
      <c r="A66" t="s">
        <v>2275</v>
      </c>
      <c r="B66" t="s">
        <v>485</v>
      </c>
      <c r="C66" s="2">
        <v>6525</v>
      </c>
      <c r="D66" s="5">
        <v>45693</v>
      </c>
      <c r="E66" s="5">
        <v>45693.585416666669</v>
      </c>
      <c r="F66" t="s">
        <v>312</v>
      </c>
      <c r="G66" s="2">
        <v>923245</v>
      </c>
      <c r="H66" t="s">
        <v>29</v>
      </c>
      <c r="I66" t="s">
        <v>30</v>
      </c>
      <c r="J66" t="s">
        <v>31</v>
      </c>
      <c r="K66" s="50">
        <v>48294866</v>
      </c>
      <c r="L66" s="50">
        <v>0</v>
      </c>
      <c r="M66" s="50">
        <v>48294866</v>
      </c>
      <c r="N66" s="50">
        <v>44308623</v>
      </c>
      <c r="O66" t="s">
        <v>351</v>
      </c>
      <c r="P66">
        <v>52505799</v>
      </c>
      <c r="Q66" t="s">
        <v>813</v>
      </c>
      <c r="R66" t="s">
        <v>316</v>
      </c>
      <c r="S66" t="s">
        <v>317</v>
      </c>
      <c r="T66" s="2">
        <v>488446490713</v>
      </c>
      <c r="U66" t="s">
        <v>319</v>
      </c>
      <c r="V66">
        <v>860034313</v>
      </c>
      <c r="W66" t="s">
        <v>355</v>
      </c>
      <c r="X66" s="2">
        <v>3825</v>
      </c>
      <c r="Y66" s="2">
        <v>3825</v>
      </c>
      <c r="Z66" s="2">
        <v>6525</v>
      </c>
      <c r="AA66">
        <v>0</v>
      </c>
      <c r="AB66">
        <v>9625</v>
      </c>
      <c r="AC66">
        <v>64521025</v>
      </c>
      <c r="AD66">
        <v>0</v>
      </c>
      <c r="AE66" s="5">
        <v>45693</v>
      </c>
      <c r="AF66" t="s">
        <v>356</v>
      </c>
      <c r="AG66" t="s">
        <v>815</v>
      </c>
      <c r="AH66" t="s">
        <v>748</v>
      </c>
    </row>
    <row r="67" spans="1:34" ht="15" customHeight="1" x14ac:dyDescent="0.2">
      <c r="A67" t="s">
        <v>2276</v>
      </c>
      <c r="B67" t="s">
        <v>485</v>
      </c>
      <c r="C67" s="2">
        <v>6625</v>
      </c>
      <c r="D67" s="5">
        <v>45693</v>
      </c>
      <c r="E67" s="5">
        <v>45693.588194444441</v>
      </c>
      <c r="F67" t="s">
        <v>312</v>
      </c>
      <c r="G67" s="2">
        <v>923245</v>
      </c>
      <c r="H67" t="s">
        <v>29</v>
      </c>
      <c r="I67" t="s">
        <v>30</v>
      </c>
      <c r="J67" t="s">
        <v>31</v>
      </c>
      <c r="K67" s="50">
        <v>48294866</v>
      </c>
      <c r="L67" s="50">
        <v>0</v>
      </c>
      <c r="M67" s="50">
        <v>48294866</v>
      </c>
      <c r="N67" s="50">
        <v>44308623</v>
      </c>
      <c r="O67" t="s">
        <v>351</v>
      </c>
      <c r="P67">
        <v>39668440</v>
      </c>
      <c r="Q67" t="s">
        <v>817</v>
      </c>
      <c r="R67" t="s">
        <v>316</v>
      </c>
      <c r="S67" t="s">
        <v>317</v>
      </c>
      <c r="T67" s="2">
        <v>550466600045838</v>
      </c>
      <c r="U67" t="s">
        <v>319</v>
      </c>
      <c r="V67">
        <v>860034313</v>
      </c>
      <c r="W67" t="s">
        <v>355</v>
      </c>
      <c r="X67" s="2">
        <v>3825</v>
      </c>
      <c r="Y67" s="2">
        <v>3825</v>
      </c>
      <c r="Z67" s="2">
        <v>6625</v>
      </c>
      <c r="AA67">
        <v>0</v>
      </c>
      <c r="AB67">
        <v>9725</v>
      </c>
      <c r="AC67">
        <v>64521125</v>
      </c>
      <c r="AD67">
        <v>0</v>
      </c>
      <c r="AE67" s="5">
        <v>45693</v>
      </c>
      <c r="AF67" t="s">
        <v>356</v>
      </c>
      <c r="AG67" t="s">
        <v>819</v>
      </c>
      <c r="AH67" t="s">
        <v>748</v>
      </c>
    </row>
    <row r="68" spans="1:34" ht="15" customHeight="1" x14ac:dyDescent="0.2">
      <c r="A68" t="s">
        <v>2277</v>
      </c>
      <c r="B68" t="s">
        <v>485</v>
      </c>
      <c r="C68" s="2">
        <v>6725</v>
      </c>
      <c r="D68" s="5">
        <v>45693</v>
      </c>
      <c r="E68" s="5">
        <v>45693.59375</v>
      </c>
      <c r="F68" t="s">
        <v>312</v>
      </c>
      <c r="G68" s="2">
        <v>923245</v>
      </c>
      <c r="H68" t="s">
        <v>29</v>
      </c>
      <c r="I68" t="s">
        <v>30</v>
      </c>
      <c r="J68" t="s">
        <v>31</v>
      </c>
      <c r="K68" s="50">
        <v>48294866</v>
      </c>
      <c r="L68" s="50">
        <v>0</v>
      </c>
      <c r="M68" s="50">
        <v>48294866</v>
      </c>
      <c r="N68" s="50">
        <v>44308623</v>
      </c>
      <c r="O68" t="s">
        <v>351</v>
      </c>
      <c r="P68">
        <v>52487484</v>
      </c>
      <c r="Q68" t="s">
        <v>821</v>
      </c>
      <c r="R68" t="s">
        <v>316</v>
      </c>
      <c r="S68" t="s">
        <v>317</v>
      </c>
      <c r="T68" s="2">
        <v>28925845</v>
      </c>
      <c r="U68" t="s">
        <v>319</v>
      </c>
      <c r="V68">
        <v>860035827</v>
      </c>
      <c r="W68" t="s">
        <v>653</v>
      </c>
      <c r="X68" s="2">
        <v>3825</v>
      </c>
      <c r="Y68" s="2">
        <v>3825</v>
      </c>
      <c r="Z68" s="2">
        <v>6725</v>
      </c>
      <c r="AA68">
        <v>0</v>
      </c>
      <c r="AB68">
        <v>9825</v>
      </c>
      <c r="AC68">
        <v>64521225</v>
      </c>
      <c r="AD68">
        <v>0</v>
      </c>
      <c r="AE68" s="5">
        <v>45693</v>
      </c>
      <c r="AF68" t="s">
        <v>356</v>
      </c>
      <c r="AG68" t="s">
        <v>823</v>
      </c>
      <c r="AH68" t="s">
        <v>748</v>
      </c>
    </row>
    <row r="69" spans="1:34" ht="15" customHeight="1" x14ac:dyDescent="0.2">
      <c r="A69" t="s">
        <v>2278</v>
      </c>
      <c r="B69" t="s">
        <v>485</v>
      </c>
      <c r="C69" s="2">
        <v>6825</v>
      </c>
      <c r="D69" s="5">
        <v>45693</v>
      </c>
      <c r="E69" s="5">
        <v>45693.598611111112</v>
      </c>
      <c r="F69" t="s">
        <v>312</v>
      </c>
      <c r="G69" s="2">
        <v>923245</v>
      </c>
      <c r="H69" t="s">
        <v>29</v>
      </c>
      <c r="I69" t="s">
        <v>30</v>
      </c>
      <c r="J69" t="s">
        <v>31</v>
      </c>
      <c r="K69" s="50">
        <v>48294866</v>
      </c>
      <c r="L69" s="50">
        <v>0</v>
      </c>
      <c r="M69" s="50">
        <v>48294866</v>
      </c>
      <c r="N69" s="50">
        <v>44308623</v>
      </c>
      <c r="O69" t="s">
        <v>351</v>
      </c>
      <c r="P69">
        <v>1105677068</v>
      </c>
      <c r="Q69" t="s">
        <v>825</v>
      </c>
      <c r="R69" t="s">
        <v>316</v>
      </c>
      <c r="S69" t="s">
        <v>317</v>
      </c>
      <c r="T69" s="2">
        <v>41115531512</v>
      </c>
      <c r="U69" t="s">
        <v>319</v>
      </c>
      <c r="V69">
        <v>890903938</v>
      </c>
      <c r="W69" t="s">
        <v>342</v>
      </c>
      <c r="X69" s="2">
        <v>3825</v>
      </c>
      <c r="Y69" s="2">
        <v>3825</v>
      </c>
      <c r="Z69" s="2">
        <v>6825</v>
      </c>
      <c r="AA69">
        <v>0</v>
      </c>
      <c r="AB69">
        <v>9925</v>
      </c>
      <c r="AC69">
        <v>64521325</v>
      </c>
      <c r="AD69">
        <v>0</v>
      </c>
      <c r="AE69" s="5">
        <v>45693</v>
      </c>
      <c r="AF69" t="s">
        <v>356</v>
      </c>
      <c r="AG69" t="s">
        <v>827</v>
      </c>
      <c r="AH69" t="s">
        <v>748</v>
      </c>
    </row>
    <row r="70" spans="1:34" ht="15" customHeight="1" x14ac:dyDescent="0.2">
      <c r="A70" t="s">
        <v>2279</v>
      </c>
      <c r="B70" t="s">
        <v>485</v>
      </c>
      <c r="C70" s="2">
        <v>6925</v>
      </c>
      <c r="D70" s="5">
        <v>45693</v>
      </c>
      <c r="E70" s="5">
        <v>45693.605555555558</v>
      </c>
      <c r="F70" t="s">
        <v>312</v>
      </c>
      <c r="G70" s="2">
        <v>923245</v>
      </c>
      <c r="H70" t="s">
        <v>29</v>
      </c>
      <c r="I70" t="s">
        <v>30</v>
      </c>
      <c r="J70" t="s">
        <v>31</v>
      </c>
      <c r="K70" s="50">
        <v>48294866</v>
      </c>
      <c r="L70" s="50">
        <v>0</v>
      </c>
      <c r="M70" s="50">
        <v>48294866</v>
      </c>
      <c r="N70" s="50">
        <v>44308623</v>
      </c>
      <c r="O70" t="s">
        <v>351</v>
      </c>
      <c r="P70">
        <v>51959382</v>
      </c>
      <c r="Q70" t="s">
        <v>829</v>
      </c>
      <c r="R70" t="s">
        <v>316</v>
      </c>
      <c r="S70" t="s">
        <v>317</v>
      </c>
      <c r="T70" s="2">
        <v>42841109389</v>
      </c>
      <c r="U70" t="s">
        <v>319</v>
      </c>
      <c r="V70">
        <v>890903938</v>
      </c>
      <c r="W70" t="s">
        <v>342</v>
      </c>
      <c r="X70" s="2">
        <v>3825</v>
      </c>
      <c r="Y70" s="2">
        <v>3825</v>
      </c>
      <c r="Z70" s="2">
        <v>6925</v>
      </c>
      <c r="AA70">
        <v>0</v>
      </c>
      <c r="AB70">
        <v>10025</v>
      </c>
      <c r="AC70">
        <v>64521425</v>
      </c>
      <c r="AD70">
        <v>0</v>
      </c>
      <c r="AE70" s="5">
        <v>45693</v>
      </c>
      <c r="AF70" t="s">
        <v>356</v>
      </c>
      <c r="AG70" t="s">
        <v>831</v>
      </c>
      <c r="AH70" t="s">
        <v>748</v>
      </c>
    </row>
    <row r="71" spans="1:34" ht="15" customHeight="1" x14ac:dyDescent="0.2">
      <c r="A71" t="s">
        <v>2280</v>
      </c>
      <c r="B71" t="s">
        <v>485</v>
      </c>
      <c r="C71" s="2">
        <v>7025</v>
      </c>
      <c r="D71" s="5">
        <v>45693</v>
      </c>
      <c r="E71" s="5">
        <v>45693.609027777777</v>
      </c>
      <c r="F71" t="s">
        <v>312</v>
      </c>
      <c r="G71" s="2">
        <v>923245</v>
      </c>
      <c r="H71" t="s">
        <v>29</v>
      </c>
      <c r="I71" t="s">
        <v>30</v>
      </c>
      <c r="J71" t="s">
        <v>31</v>
      </c>
      <c r="K71" s="50">
        <v>48294866</v>
      </c>
      <c r="L71" s="50">
        <v>0</v>
      </c>
      <c r="M71" s="50">
        <v>48294866</v>
      </c>
      <c r="N71" s="50">
        <v>44308623</v>
      </c>
      <c r="O71" t="s">
        <v>351</v>
      </c>
      <c r="P71">
        <v>20352018</v>
      </c>
      <c r="Q71" t="s">
        <v>833</v>
      </c>
      <c r="R71" t="s">
        <v>316</v>
      </c>
      <c r="S71" t="s">
        <v>317</v>
      </c>
      <c r="T71" s="2">
        <v>24725231071</v>
      </c>
      <c r="U71" t="s">
        <v>319</v>
      </c>
      <c r="V71">
        <v>890903938</v>
      </c>
      <c r="W71" t="s">
        <v>342</v>
      </c>
      <c r="X71" s="2">
        <v>3825</v>
      </c>
      <c r="Y71" s="2">
        <v>3825</v>
      </c>
      <c r="Z71" s="2">
        <v>7025</v>
      </c>
      <c r="AA71">
        <v>0</v>
      </c>
      <c r="AB71">
        <v>10125</v>
      </c>
      <c r="AC71">
        <v>64521525</v>
      </c>
      <c r="AD71">
        <v>0</v>
      </c>
      <c r="AE71" s="5">
        <v>45693</v>
      </c>
      <c r="AF71" t="s">
        <v>356</v>
      </c>
      <c r="AG71" t="s">
        <v>835</v>
      </c>
      <c r="AH71" t="s">
        <v>748</v>
      </c>
    </row>
    <row r="72" spans="1:34" ht="15" customHeight="1" x14ac:dyDescent="0.2">
      <c r="A72" t="s">
        <v>2281</v>
      </c>
      <c r="B72" t="s">
        <v>485</v>
      </c>
      <c r="C72" s="2">
        <v>7125</v>
      </c>
      <c r="D72" s="5">
        <v>45693</v>
      </c>
      <c r="E72" s="5">
        <v>45693.613888888889</v>
      </c>
      <c r="F72" t="s">
        <v>312</v>
      </c>
      <c r="G72" s="2">
        <v>923245</v>
      </c>
      <c r="H72" t="s">
        <v>29</v>
      </c>
      <c r="I72" t="s">
        <v>30</v>
      </c>
      <c r="J72" t="s">
        <v>31</v>
      </c>
      <c r="K72" s="50">
        <v>48294866</v>
      </c>
      <c r="L72" s="50">
        <v>0</v>
      </c>
      <c r="M72" s="50">
        <v>48294866</v>
      </c>
      <c r="N72" s="50">
        <v>44308623</v>
      </c>
      <c r="O72" t="s">
        <v>351</v>
      </c>
      <c r="P72">
        <v>1072195097</v>
      </c>
      <c r="Q72" t="s">
        <v>837</v>
      </c>
      <c r="R72" t="s">
        <v>316</v>
      </c>
      <c r="S72" t="s">
        <v>317</v>
      </c>
      <c r="T72" s="2">
        <v>488401341877</v>
      </c>
      <c r="U72" t="s">
        <v>319</v>
      </c>
      <c r="V72">
        <v>860034313</v>
      </c>
      <c r="W72" t="s">
        <v>355</v>
      </c>
      <c r="X72" s="2">
        <v>3825</v>
      </c>
      <c r="Y72" s="2">
        <v>3825</v>
      </c>
      <c r="Z72" s="2">
        <v>7125</v>
      </c>
      <c r="AA72">
        <v>0</v>
      </c>
      <c r="AB72">
        <v>10225</v>
      </c>
      <c r="AC72">
        <v>64521625</v>
      </c>
      <c r="AD72">
        <v>0</v>
      </c>
      <c r="AE72" s="5">
        <v>45693</v>
      </c>
      <c r="AF72" t="s">
        <v>356</v>
      </c>
      <c r="AG72" t="s">
        <v>839</v>
      </c>
      <c r="AH72" t="s">
        <v>840</v>
      </c>
    </row>
    <row r="73" spans="1:34" ht="15" customHeight="1" x14ac:dyDescent="0.2">
      <c r="A73" t="s">
        <v>2282</v>
      </c>
      <c r="B73" t="s">
        <v>485</v>
      </c>
      <c r="C73" s="2">
        <v>7225</v>
      </c>
      <c r="D73" s="5">
        <v>45693</v>
      </c>
      <c r="E73" s="5">
        <v>45693.620138888888</v>
      </c>
      <c r="F73" t="s">
        <v>312</v>
      </c>
      <c r="G73" s="2">
        <v>923245</v>
      </c>
      <c r="H73" t="s">
        <v>29</v>
      </c>
      <c r="I73" t="s">
        <v>30</v>
      </c>
      <c r="J73" t="s">
        <v>31</v>
      </c>
      <c r="K73" s="50">
        <v>48294866</v>
      </c>
      <c r="L73" s="50">
        <v>0</v>
      </c>
      <c r="M73" s="50">
        <v>48294866</v>
      </c>
      <c r="N73" s="50">
        <v>44308623</v>
      </c>
      <c r="O73" t="s">
        <v>351</v>
      </c>
      <c r="P73">
        <v>35254472</v>
      </c>
      <c r="Q73" t="s">
        <v>842</v>
      </c>
      <c r="R73" t="s">
        <v>316</v>
      </c>
      <c r="S73" t="s">
        <v>317</v>
      </c>
      <c r="T73" s="2">
        <v>24016880485</v>
      </c>
      <c r="U73" t="s">
        <v>319</v>
      </c>
      <c r="V73">
        <v>860007335</v>
      </c>
      <c r="W73" t="s">
        <v>381</v>
      </c>
      <c r="X73" s="2">
        <v>3825</v>
      </c>
      <c r="Y73" s="2">
        <v>3825</v>
      </c>
      <c r="Z73" s="2">
        <v>7225</v>
      </c>
      <c r="AA73">
        <v>0</v>
      </c>
      <c r="AB73">
        <v>10325</v>
      </c>
      <c r="AC73">
        <v>64521725</v>
      </c>
      <c r="AD73">
        <v>0</v>
      </c>
      <c r="AE73" s="5">
        <v>45693</v>
      </c>
      <c r="AF73" t="s">
        <v>356</v>
      </c>
      <c r="AG73" t="s">
        <v>845</v>
      </c>
      <c r="AH73" t="s">
        <v>748</v>
      </c>
    </row>
    <row r="74" spans="1:34" ht="15" customHeight="1" x14ac:dyDescent="0.2">
      <c r="A74" t="s">
        <v>2283</v>
      </c>
      <c r="B74" t="s">
        <v>485</v>
      </c>
      <c r="C74" s="2">
        <v>7325</v>
      </c>
      <c r="D74" s="5">
        <v>45693</v>
      </c>
      <c r="E74" s="5">
        <v>45693.622916666667</v>
      </c>
      <c r="F74" t="s">
        <v>312</v>
      </c>
      <c r="G74" s="2">
        <v>923245</v>
      </c>
      <c r="H74" t="s">
        <v>29</v>
      </c>
      <c r="I74" t="s">
        <v>30</v>
      </c>
      <c r="J74" t="s">
        <v>31</v>
      </c>
      <c r="K74" s="50">
        <v>48294866</v>
      </c>
      <c r="L74" s="50">
        <v>0</v>
      </c>
      <c r="M74" s="50">
        <v>48294866</v>
      </c>
      <c r="N74" s="50">
        <v>44308623</v>
      </c>
      <c r="O74" t="s">
        <v>351</v>
      </c>
      <c r="P74">
        <v>65787530</v>
      </c>
      <c r="Q74" t="s">
        <v>847</v>
      </c>
      <c r="R74" t="s">
        <v>316</v>
      </c>
      <c r="S74" t="s">
        <v>317</v>
      </c>
      <c r="T74" s="2">
        <v>24090763773</v>
      </c>
      <c r="U74" t="s">
        <v>319</v>
      </c>
      <c r="V74">
        <v>860007335</v>
      </c>
      <c r="W74" t="s">
        <v>381</v>
      </c>
      <c r="X74" s="2">
        <v>3825</v>
      </c>
      <c r="Y74" s="2">
        <v>3825</v>
      </c>
      <c r="Z74" s="2">
        <v>7325</v>
      </c>
      <c r="AA74">
        <v>0</v>
      </c>
      <c r="AB74">
        <v>10425</v>
      </c>
      <c r="AC74">
        <v>64521925</v>
      </c>
      <c r="AD74">
        <v>0</v>
      </c>
      <c r="AE74" s="5">
        <v>45693</v>
      </c>
      <c r="AF74" t="s">
        <v>356</v>
      </c>
      <c r="AG74" t="s">
        <v>850</v>
      </c>
      <c r="AH74" t="s">
        <v>748</v>
      </c>
    </row>
    <row r="75" spans="1:34" ht="15" customHeight="1" x14ac:dyDescent="0.2">
      <c r="A75" t="s">
        <v>2284</v>
      </c>
      <c r="B75" t="s">
        <v>485</v>
      </c>
      <c r="C75" s="2">
        <v>7425</v>
      </c>
      <c r="D75" s="5">
        <v>45693</v>
      </c>
      <c r="E75" s="5">
        <v>45693.631249999999</v>
      </c>
      <c r="F75" t="s">
        <v>312</v>
      </c>
      <c r="G75" s="2">
        <v>923245</v>
      </c>
      <c r="H75" t="s">
        <v>29</v>
      </c>
      <c r="I75" t="s">
        <v>30</v>
      </c>
      <c r="J75" t="s">
        <v>31</v>
      </c>
      <c r="K75" s="50">
        <v>40475697</v>
      </c>
      <c r="L75" s="50">
        <v>0</v>
      </c>
      <c r="M75" s="50">
        <v>40475697</v>
      </c>
      <c r="N75" s="50">
        <v>36489454</v>
      </c>
      <c r="O75" t="s">
        <v>351</v>
      </c>
      <c r="P75">
        <v>12644439</v>
      </c>
      <c r="Q75" t="s">
        <v>852</v>
      </c>
      <c r="R75" t="s">
        <v>316</v>
      </c>
      <c r="S75" t="s">
        <v>317</v>
      </c>
      <c r="T75" s="2">
        <v>52384891829</v>
      </c>
      <c r="U75" t="s">
        <v>319</v>
      </c>
      <c r="V75">
        <v>890903938</v>
      </c>
      <c r="W75" t="s">
        <v>342</v>
      </c>
      <c r="X75" s="2">
        <v>3825</v>
      </c>
      <c r="Y75" s="2">
        <v>3825</v>
      </c>
      <c r="Z75" s="2">
        <v>7425</v>
      </c>
      <c r="AA75">
        <v>0</v>
      </c>
      <c r="AB75">
        <v>10525</v>
      </c>
      <c r="AC75">
        <v>64522025</v>
      </c>
      <c r="AD75">
        <v>0</v>
      </c>
      <c r="AE75" s="5">
        <v>45693</v>
      </c>
      <c r="AF75" t="s">
        <v>356</v>
      </c>
      <c r="AG75" t="s">
        <v>855</v>
      </c>
      <c r="AH75" t="s">
        <v>748</v>
      </c>
    </row>
    <row r="76" spans="1:34" ht="15" customHeight="1" x14ac:dyDescent="0.2">
      <c r="A76" t="s">
        <v>2285</v>
      </c>
      <c r="B76" t="s">
        <v>478</v>
      </c>
      <c r="C76" s="2">
        <v>7525</v>
      </c>
      <c r="D76" s="5">
        <v>45693</v>
      </c>
      <c r="E76" s="5">
        <v>45693.643750000003</v>
      </c>
      <c r="F76" t="s">
        <v>312</v>
      </c>
      <c r="G76" s="2">
        <v>923210</v>
      </c>
      <c r="H76" t="s">
        <v>29</v>
      </c>
      <c r="I76" t="s">
        <v>30</v>
      </c>
      <c r="J76" t="s">
        <v>31</v>
      </c>
      <c r="K76" s="50">
        <v>24342633</v>
      </c>
      <c r="L76" s="50">
        <v>0</v>
      </c>
      <c r="M76" s="50">
        <v>24342633</v>
      </c>
      <c r="N76" s="50">
        <v>22333400</v>
      </c>
      <c r="O76" t="s">
        <v>351</v>
      </c>
      <c r="P76">
        <v>39676109</v>
      </c>
      <c r="Q76" t="s">
        <v>857</v>
      </c>
      <c r="R76" t="s">
        <v>316</v>
      </c>
      <c r="S76" t="s">
        <v>317</v>
      </c>
      <c r="T76" s="2">
        <v>3020081456</v>
      </c>
      <c r="U76" t="s">
        <v>319</v>
      </c>
      <c r="V76">
        <v>890903938</v>
      </c>
      <c r="W76" t="s">
        <v>342</v>
      </c>
      <c r="X76" s="2">
        <v>1925</v>
      </c>
      <c r="Y76" s="2">
        <v>1925</v>
      </c>
      <c r="Z76" s="2">
        <v>7525</v>
      </c>
      <c r="AA76">
        <v>0</v>
      </c>
      <c r="AB76">
        <v>10625</v>
      </c>
      <c r="AC76">
        <v>64522125</v>
      </c>
      <c r="AD76">
        <v>0</v>
      </c>
      <c r="AE76" s="5">
        <v>45693</v>
      </c>
      <c r="AF76" t="s">
        <v>356</v>
      </c>
      <c r="AG76" t="s">
        <v>860</v>
      </c>
      <c r="AH76" t="s">
        <v>861</v>
      </c>
    </row>
    <row r="77" spans="1:34" ht="15" customHeight="1" x14ac:dyDescent="0.2">
      <c r="A77" t="s">
        <v>2286</v>
      </c>
      <c r="B77" t="s">
        <v>485</v>
      </c>
      <c r="C77" s="2">
        <v>7625</v>
      </c>
      <c r="D77" s="5">
        <v>45693</v>
      </c>
      <c r="E77" s="5">
        <v>45693.659722222219</v>
      </c>
      <c r="F77" t="s">
        <v>312</v>
      </c>
      <c r="G77" s="2">
        <v>923245</v>
      </c>
      <c r="H77" t="s">
        <v>29</v>
      </c>
      <c r="I77" t="s">
        <v>30</v>
      </c>
      <c r="J77" t="s">
        <v>31</v>
      </c>
      <c r="K77" s="50">
        <v>48294866</v>
      </c>
      <c r="L77" s="50">
        <v>0</v>
      </c>
      <c r="M77" s="50">
        <v>48294866</v>
      </c>
      <c r="N77" s="50">
        <v>44308623</v>
      </c>
      <c r="O77" t="s">
        <v>351</v>
      </c>
      <c r="P77">
        <v>53119149</v>
      </c>
      <c r="Q77" t="s">
        <v>863</v>
      </c>
      <c r="R77" t="s">
        <v>316</v>
      </c>
      <c r="S77" t="s">
        <v>317</v>
      </c>
      <c r="T77" s="2">
        <v>486480</v>
      </c>
      <c r="U77" t="s">
        <v>319</v>
      </c>
      <c r="V77">
        <v>860002964</v>
      </c>
      <c r="W77" t="s">
        <v>419</v>
      </c>
      <c r="X77" s="2">
        <v>3825</v>
      </c>
      <c r="Y77" s="2">
        <v>3825</v>
      </c>
      <c r="Z77" s="2">
        <v>7625</v>
      </c>
      <c r="AA77">
        <v>0</v>
      </c>
      <c r="AB77">
        <v>10725</v>
      </c>
      <c r="AC77">
        <v>64522225</v>
      </c>
      <c r="AD77">
        <v>0</v>
      </c>
      <c r="AE77" s="5">
        <v>45693</v>
      </c>
      <c r="AF77" t="s">
        <v>356</v>
      </c>
      <c r="AG77" t="s">
        <v>866</v>
      </c>
      <c r="AH77" t="s">
        <v>748</v>
      </c>
    </row>
    <row r="78" spans="1:34" ht="15" customHeight="1" x14ac:dyDescent="0.2">
      <c r="A78" t="s">
        <v>2287</v>
      </c>
      <c r="B78" t="s">
        <v>485</v>
      </c>
      <c r="C78" s="2">
        <v>7725</v>
      </c>
      <c r="D78" s="5">
        <v>45693</v>
      </c>
      <c r="E78" s="5">
        <v>45693.665972222225</v>
      </c>
      <c r="F78" t="s">
        <v>312</v>
      </c>
      <c r="G78" s="2">
        <v>923245</v>
      </c>
      <c r="H78" t="s">
        <v>29</v>
      </c>
      <c r="I78" t="s">
        <v>30</v>
      </c>
      <c r="J78" t="s">
        <v>31</v>
      </c>
      <c r="K78" s="50">
        <v>48294866</v>
      </c>
      <c r="L78" s="50">
        <v>0</v>
      </c>
      <c r="M78" s="50">
        <v>48294866</v>
      </c>
      <c r="N78" s="50">
        <v>44308623</v>
      </c>
      <c r="O78" t="s">
        <v>351</v>
      </c>
      <c r="P78">
        <v>80056517</v>
      </c>
      <c r="Q78" t="s">
        <v>868</v>
      </c>
      <c r="R78" t="s">
        <v>316</v>
      </c>
      <c r="S78" t="s">
        <v>317</v>
      </c>
      <c r="T78" s="2">
        <v>9900597467</v>
      </c>
      <c r="U78" t="s">
        <v>319</v>
      </c>
      <c r="V78">
        <v>860051894</v>
      </c>
      <c r="W78" t="s">
        <v>2868</v>
      </c>
      <c r="X78" s="2">
        <v>3825</v>
      </c>
      <c r="Y78" s="2">
        <v>3825</v>
      </c>
      <c r="Z78" s="2">
        <v>7725</v>
      </c>
      <c r="AA78">
        <v>0</v>
      </c>
      <c r="AB78">
        <v>10825</v>
      </c>
      <c r="AC78">
        <v>64522325</v>
      </c>
      <c r="AD78">
        <v>0</v>
      </c>
      <c r="AE78" s="5">
        <v>45693</v>
      </c>
      <c r="AF78" t="s">
        <v>356</v>
      </c>
      <c r="AG78" t="s">
        <v>870</v>
      </c>
      <c r="AH78" t="s">
        <v>748</v>
      </c>
    </row>
    <row r="79" spans="1:34" ht="15" customHeight="1" x14ac:dyDescent="0.2">
      <c r="A79" t="s">
        <v>2288</v>
      </c>
      <c r="B79" t="s">
        <v>485</v>
      </c>
      <c r="C79" s="2">
        <v>7825</v>
      </c>
      <c r="D79" s="5">
        <v>45693</v>
      </c>
      <c r="E79" s="5">
        <v>45693.669444444444</v>
      </c>
      <c r="F79" t="s">
        <v>312</v>
      </c>
      <c r="G79" s="2">
        <v>923245</v>
      </c>
      <c r="H79" t="s">
        <v>29</v>
      </c>
      <c r="I79" t="s">
        <v>30</v>
      </c>
      <c r="J79" t="s">
        <v>31</v>
      </c>
      <c r="K79" s="50">
        <v>48294866</v>
      </c>
      <c r="L79" s="50">
        <v>0</v>
      </c>
      <c r="M79" s="50">
        <v>48294866</v>
      </c>
      <c r="N79" s="50">
        <v>44308623</v>
      </c>
      <c r="O79" t="s">
        <v>351</v>
      </c>
      <c r="P79">
        <v>1022945222</v>
      </c>
      <c r="Q79" t="s">
        <v>872</v>
      </c>
      <c r="R79" t="s">
        <v>316</v>
      </c>
      <c r="S79" t="s">
        <v>317</v>
      </c>
      <c r="T79" s="2">
        <v>111150308222</v>
      </c>
      <c r="U79" t="s">
        <v>319</v>
      </c>
      <c r="V79">
        <v>900047981</v>
      </c>
      <c r="W79" t="s">
        <v>399</v>
      </c>
      <c r="X79" s="2">
        <v>3825</v>
      </c>
      <c r="Y79" s="2">
        <v>3825</v>
      </c>
      <c r="Z79" s="2">
        <v>7825</v>
      </c>
      <c r="AA79">
        <v>0</v>
      </c>
      <c r="AB79">
        <v>10925</v>
      </c>
      <c r="AC79">
        <v>64522425</v>
      </c>
      <c r="AD79">
        <v>0</v>
      </c>
      <c r="AE79" s="5">
        <v>45693</v>
      </c>
      <c r="AF79" t="s">
        <v>356</v>
      </c>
      <c r="AG79" t="s">
        <v>875</v>
      </c>
      <c r="AH79" t="s">
        <v>748</v>
      </c>
    </row>
    <row r="80" spans="1:34" ht="15" customHeight="1" x14ac:dyDescent="0.2">
      <c r="A80" t="s">
        <v>2289</v>
      </c>
      <c r="B80" t="s">
        <v>485</v>
      </c>
      <c r="C80" s="2">
        <v>7925</v>
      </c>
      <c r="D80" s="5">
        <v>45693</v>
      </c>
      <c r="E80" s="5">
        <v>45693.676388888889</v>
      </c>
      <c r="F80" t="s">
        <v>312</v>
      </c>
      <c r="G80" s="2">
        <v>923245</v>
      </c>
      <c r="H80" t="s">
        <v>29</v>
      </c>
      <c r="I80" t="s">
        <v>30</v>
      </c>
      <c r="J80" t="s">
        <v>31</v>
      </c>
      <c r="K80" s="50">
        <v>48294866</v>
      </c>
      <c r="L80" s="50">
        <v>0</v>
      </c>
      <c r="M80" s="50">
        <v>48294866</v>
      </c>
      <c r="N80" s="50">
        <v>44308623</v>
      </c>
      <c r="O80" t="s">
        <v>351</v>
      </c>
      <c r="P80">
        <v>80047546</v>
      </c>
      <c r="Q80" t="s">
        <v>877</v>
      </c>
      <c r="R80" t="s">
        <v>316</v>
      </c>
      <c r="S80" t="s">
        <v>317</v>
      </c>
      <c r="T80" s="2">
        <v>488414407293</v>
      </c>
      <c r="U80" t="s">
        <v>319</v>
      </c>
      <c r="V80">
        <v>860034313</v>
      </c>
      <c r="W80" t="s">
        <v>355</v>
      </c>
      <c r="X80" s="2">
        <v>3825</v>
      </c>
      <c r="Y80" s="2">
        <v>3825</v>
      </c>
      <c r="Z80" s="2">
        <v>7925</v>
      </c>
      <c r="AA80">
        <v>0</v>
      </c>
      <c r="AB80">
        <v>11025</v>
      </c>
      <c r="AC80">
        <v>64522525</v>
      </c>
      <c r="AD80">
        <v>0</v>
      </c>
      <c r="AE80" s="5">
        <v>45693</v>
      </c>
      <c r="AF80" t="s">
        <v>356</v>
      </c>
      <c r="AG80" t="s">
        <v>880</v>
      </c>
      <c r="AH80" t="s">
        <v>748</v>
      </c>
    </row>
    <row r="81" spans="1:34" ht="15" customHeight="1" x14ac:dyDescent="0.2">
      <c r="A81" t="s">
        <v>2290</v>
      </c>
      <c r="B81" t="s">
        <v>485</v>
      </c>
      <c r="C81" s="2">
        <v>8025</v>
      </c>
      <c r="D81" s="5">
        <v>45693</v>
      </c>
      <c r="E81" s="5">
        <v>45693.680555555555</v>
      </c>
      <c r="F81" t="s">
        <v>312</v>
      </c>
      <c r="G81" s="2">
        <v>923245</v>
      </c>
      <c r="H81" t="s">
        <v>29</v>
      </c>
      <c r="I81" t="s">
        <v>30</v>
      </c>
      <c r="J81" t="s">
        <v>31</v>
      </c>
      <c r="K81" s="50">
        <v>48294866</v>
      </c>
      <c r="L81" s="50">
        <v>0</v>
      </c>
      <c r="M81" s="50">
        <v>48294866</v>
      </c>
      <c r="N81" s="50">
        <v>44308623</v>
      </c>
      <c r="O81" t="s">
        <v>351</v>
      </c>
      <c r="P81">
        <v>1023876213</v>
      </c>
      <c r="Q81" t="s">
        <v>882</v>
      </c>
      <c r="R81" t="s">
        <v>316</v>
      </c>
      <c r="S81" t="s">
        <v>317</v>
      </c>
      <c r="T81" s="2">
        <v>64690127545</v>
      </c>
      <c r="U81" t="s">
        <v>319</v>
      </c>
      <c r="V81">
        <v>890903938</v>
      </c>
      <c r="W81" t="s">
        <v>342</v>
      </c>
      <c r="X81" s="2">
        <v>3825</v>
      </c>
      <c r="Y81" s="2">
        <v>3825</v>
      </c>
      <c r="Z81" s="2">
        <v>8025</v>
      </c>
      <c r="AA81">
        <v>0</v>
      </c>
      <c r="AB81">
        <v>11125</v>
      </c>
      <c r="AC81">
        <v>64522625</v>
      </c>
      <c r="AD81">
        <v>0</v>
      </c>
      <c r="AE81" s="5">
        <v>45693</v>
      </c>
      <c r="AF81" t="s">
        <v>356</v>
      </c>
      <c r="AG81" t="s">
        <v>885</v>
      </c>
      <c r="AH81" t="s">
        <v>748</v>
      </c>
    </row>
    <row r="82" spans="1:34" ht="15" customHeight="1" x14ac:dyDescent="0.2">
      <c r="A82" t="s">
        <v>2291</v>
      </c>
      <c r="B82" t="s">
        <v>485</v>
      </c>
      <c r="C82" s="2">
        <v>8125</v>
      </c>
      <c r="D82" s="5">
        <v>45693</v>
      </c>
      <c r="E82" s="5">
        <v>45693.693055555559</v>
      </c>
      <c r="F82" t="s">
        <v>312</v>
      </c>
      <c r="G82" s="2">
        <v>923245</v>
      </c>
      <c r="H82" t="s">
        <v>29</v>
      </c>
      <c r="I82" t="s">
        <v>30</v>
      </c>
      <c r="J82" t="s">
        <v>31</v>
      </c>
      <c r="K82" s="50">
        <v>48294866</v>
      </c>
      <c r="L82" s="50">
        <v>0</v>
      </c>
      <c r="M82" s="50">
        <v>48294866</v>
      </c>
      <c r="N82" s="50">
        <v>44308623</v>
      </c>
      <c r="O82" t="s">
        <v>887</v>
      </c>
      <c r="P82">
        <v>474259</v>
      </c>
      <c r="Q82" t="s">
        <v>888</v>
      </c>
      <c r="R82" t="s">
        <v>316</v>
      </c>
      <c r="S82" t="s">
        <v>317</v>
      </c>
      <c r="T82" s="2">
        <v>472970078730</v>
      </c>
      <c r="U82" t="s">
        <v>319</v>
      </c>
      <c r="V82">
        <v>860034313</v>
      </c>
      <c r="W82" t="s">
        <v>355</v>
      </c>
      <c r="X82" s="2">
        <v>3825</v>
      </c>
      <c r="Y82" s="2">
        <v>3825</v>
      </c>
      <c r="Z82" s="2">
        <v>8125</v>
      </c>
      <c r="AA82">
        <v>0</v>
      </c>
      <c r="AB82">
        <v>11225</v>
      </c>
      <c r="AC82">
        <v>64522725</v>
      </c>
      <c r="AD82">
        <v>0</v>
      </c>
      <c r="AE82" s="5">
        <v>45693</v>
      </c>
      <c r="AF82" t="s">
        <v>356</v>
      </c>
      <c r="AG82" t="s">
        <v>891</v>
      </c>
      <c r="AH82" t="s">
        <v>748</v>
      </c>
    </row>
    <row r="83" spans="1:34" ht="15" customHeight="1" x14ac:dyDescent="0.2">
      <c r="A83" t="s">
        <v>2292</v>
      </c>
      <c r="B83" t="s">
        <v>485</v>
      </c>
      <c r="C83" s="2">
        <v>8225</v>
      </c>
      <c r="D83" s="5">
        <v>45693</v>
      </c>
      <c r="E83" s="5">
        <v>45693.7</v>
      </c>
      <c r="F83" t="s">
        <v>312</v>
      </c>
      <c r="G83" s="2">
        <v>923245</v>
      </c>
      <c r="H83" t="s">
        <v>29</v>
      </c>
      <c r="I83" t="s">
        <v>30</v>
      </c>
      <c r="J83" t="s">
        <v>31</v>
      </c>
      <c r="K83" s="50">
        <v>48294866</v>
      </c>
      <c r="L83" s="50">
        <v>0</v>
      </c>
      <c r="M83" s="50">
        <v>48294866</v>
      </c>
      <c r="N83" s="50">
        <v>44308623</v>
      </c>
      <c r="O83" t="s">
        <v>351</v>
      </c>
      <c r="P83">
        <v>1024470479</v>
      </c>
      <c r="Q83" t="s">
        <v>893</v>
      </c>
      <c r="R83" t="s">
        <v>316</v>
      </c>
      <c r="S83" t="s">
        <v>317</v>
      </c>
      <c r="T83" s="2">
        <v>456800122107</v>
      </c>
      <c r="U83" t="s">
        <v>319</v>
      </c>
      <c r="V83">
        <v>860034313</v>
      </c>
      <c r="W83" t="s">
        <v>355</v>
      </c>
      <c r="X83" s="2">
        <v>3825</v>
      </c>
      <c r="Y83" s="2">
        <v>3825</v>
      </c>
      <c r="Z83" s="2">
        <v>8225</v>
      </c>
      <c r="AA83">
        <v>0</v>
      </c>
      <c r="AB83">
        <v>11325</v>
      </c>
      <c r="AC83">
        <v>64522825</v>
      </c>
      <c r="AD83">
        <v>0</v>
      </c>
      <c r="AE83" s="5">
        <v>45693</v>
      </c>
      <c r="AF83" t="s">
        <v>356</v>
      </c>
      <c r="AG83" t="s">
        <v>896</v>
      </c>
      <c r="AH83" t="s">
        <v>748</v>
      </c>
    </row>
    <row r="84" spans="1:34" ht="15" customHeight="1" x14ac:dyDescent="0.2">
      <c r="A84" t="s">
        <v>2293</v>
      </c>
      <c r="B84" t="s">
        <v>485</v>
      </c>
      <c r="C84" s="2">
        <v>8325</v>
      </c>
      <c r="D84" s="5">
        <v>45693</v>
      </c>
      <c r="E84" s="5">
        <v>45693.710416666669</v>
      </c>
      <c r="F84" t="s">
        <v>312</v>
      </c>
      <c r="G84" s="2">
        <v>923245</v>
      </c>
      <c r="H84" t="s">
        <v>29</v>
      </c>
      <c r="I84" t="s">
        <v>30</v>
      </c>
      <c r="J84" t="s">
        <v>31</v>
      </c>
      <c r="K84" s="50">
        <v>48294866</v>
      </c>
      <c r="L84" s="50">
        <v>0</v>
      </c>
      <c r="M84" s="50">
        <v>48294866</v>
      </c>
      <c r="N84" s="50">
        <v>44308623</v>
      </c>
      <c r="O84" t="s">
        <v>351</v>
      </c>
      <c r="P84">
        <v>1022415410</v>
      </c>
      <c r="Q84" t="s">
        <v>898</v>
      </c>
      <c r="R84" t="s">
        <v>316</v>
      </c>
      <c r="S84" t="s">
        <v>317</v>
      </c>
      <c r="T84" s="2">
        <v>52546562026</v>
      </c>
      <c r="U84" t="s">
        <v>319</v>
      </c>
      <c r="V84">
        <v>890903938</v>
      </c>
      <c r="W84" t="s">
        <v>342</v>
      </c>
      <c r="X84" s="2">
        <v>3825</v>
      </c>
      <c r="Y84" s="2">
        <v>3825</v>
      </c>
      <c r="Z84" s="2">
        <v>8325</v>
      </c>
      <c r="AA84">
        <v>0</v>
      </c>
      <c r="AB84">
        <v>11425</v>
      </c>
      <c r="AC84">
        <v>64522925</v>
      </c>
      <c r="AD84">
        <v>0</v>
      </c>
      <c r="AE84" s="5">
        <v>45693</v>
      </c>
      <c r="AF84" t="s">
        <v>356</v>
      </c>
      <c r="AG84" t="s">
        <v>901</v>
      </c>
      <c r="AH84" t="s">
        <v>748</v>
      </c>
    </row>
    <row r="85" spans="1:34" ht="15" customHeight="1" x14ac:dyDescent="0.2">
      <c r="A85" t="s">
        <v>2294</v>
      </c>
      <c r="B85" t="s">
        <v>485</v>
      </c>
      <c r="C85" s="2">
        <v>8425</v>
      </c>
      <c r="D85" s="5">
        <v>45693</v>
      </c>
      <c r="E85" s="5">
        <v>45693.713194444441</v>
      </c>
      <c r="F85" t="s">
        <v>312</v>
      </c>
      <c r="G85" s="2">
        <v>923245</v>
      </c>
      <c r="H85" t="s">
        <v>29</v>
      </c>
      <c r="I85" t="s">
        <v>30</v>
      </c>
      <c r="J85" t="s">
        <v>31</v>
      </c>
      <c r="K85" s="50">
        <v>48294866</v>
      </c>
      <c r="L85" s="50">
        <v>0</v>
      </c>
      <c r="M85" s="50">
        <v>48294866</v>
      </c>
      <c r="N85" s="50">
        <v>44308623</v>
      </c>
      <c r="O85" t="s">
        <v>351</v>
      </c>
      <c r="P85">
        <v>91238336</v>
      </c>
      <c r="Q85" t="s">
        <v>903</v>
      </c>
      <c r="R85" t="s">
        <v>316</v>
      </c>
      <c r="S85" t="s">
        <v>317</v>
      </c>
      <c r="T85" s="2">
        <v>19247280971</v>
      </c>
      <c r="U85" t="s">
        <v>319</v>
      </c>
      <c r="V85">
        <v>890903938</v>
      </c>
      <c r="W85" t="s">
        <v>342</v>
      </c>
      <c r="X85" s="2">
        <v>3825</v>
      </c>
      <c r="Y85" s="2">
        <v>3825</v>
      </c>
      <c r="Z85" s="2">
        <v>8425</v>
      </c>
      <c r="AA85">
        <v>0</v>
      </c>
      <c r="AB85">
        <v>11525</v>
      </c>
      <c r="AC85">
        <v>64523025</v>
      </c>
      <c r="AD85">
        <v>0</v>
      </c>
      <c r="AE85" s="5">
        <v>45693</v>
      </c>
      <c r="AF85" t="s">
        <v>356</v>
      </c>
      <c r="AG85" t="s">
        <v>906</v>
      </c>
      <c r="AH85" t="s">
        <v>748</v>
      </c>
    </row>
    <row r="86" spans="1:34" ht="15" customHeight="1" x14ac:dyDescent="0.2">
      <c r="A86" t="s">
        <v>2295</v>
      </c>
      <c r="B86" t="s">
        <v>485</v>
      </c>
      <c r="C86" s="2">
        <v>8525</v>
      </c>
      <c r="D86" s="5">
        <v>45693</v>
      </c>
      <c r="E86" s="5">
        <v>45693.71597222222</v>
      </c>
      <c r="F86" t="s">
        <v>312</v>
      </c>
      <c r="G86" s="2">
        <v>923245</v>
      </c>
      <c r="H86" t="s">
        <v>29</v>
      </c>
      <c r="I86" t="s">
        <v>30</v>
      </c>
      <c r="J86" t="s">
        <v>31</v>
      </c>
      <c r="K86" s="50">
        <v>48294866</v>
      </c>
      <c r="L86" s="50">
        <v>0</v>
      </c>
      <c r="M86" s="50">
        <v>48294866</v>
      </c>
      <c r="N86" s="50">
        <v>44308623</v>
      </c>
      <c r="O86" t="s">
        <v>351</v>
      </c>
      <c r="P86">
        <v>91536012</v>
      </c>
      <c r="Q86" t="s">
        <v>908</v>
      </c>
      <c r="R86" t="s">
        <v>316</v>
      </c>
      <c r="S86" t="s">
        <v>317</v>
      </c>
      <c r="T86" s="2">
        <v>20323621200</v>
      </c>
      <c r="U86" t="s">
        <v>319</v>
      </c>
      <c r="V86">
        <v>890903938</v>
      </c>
      <c r="W86" t="s">
        <v>342</v>
      </c>
      <c r="X86" s="2">
        <v>3825</v>
      </c>
      <c r="Y86" s="2">
        <v>3825</v>
      </c>
      <c r="Z86" s="2">
        <v>8525</v>
      </c>
      <c r="AA86">
        <v>0</v>
      </c>
      <c r="AB86">
        <v>11625</v>
      </c>
      <c r="AC86">
        <v>64523125</v>
      </c>
      <c r="AD86">
        <v>0</v>
      </c>
      <c r="AE86" s="5">
        <v>45693</v>
      </c>
      <c r="AF86" t="s">
        <v>356</v>
      </c>
      <c r="AG86" t="s">
        <v>911</v>
      </c>
      <c r="AH86" t="s">
        <v>748</v>
      </c>
    </row>
    <row r="87" spans="1:34" ht="15" customHeight="1" x14ac:dyDescent="0.2">
      <c r="A87" t="s">
        <v>2296</v>
      </c>
      <c r="B87" t="s">
        <v>485</v>
      </c>
      <c r="C87" s="2">
        <v>8625</v>
      </c>
      <c r="D87" s="5">
        <v>45693</v>
      </c>
      <c r="E87" s="5">
        <v>45693.723611111112</v>
      </c>
      <c r="F87" t="s">
        <v>312</v>
      </c>
      <c r="G87" s="2">
        <v>923245</v>
      </c>
      <c r="H87" t="s">
        <v>29</v>
      </c>
      <c r="I87" t="s">
        <v>30</v>
      </c>
      <c r="J87" t="s">
        <v>31</v>
      </c>
      <c r="K87" s="50">
        <v>48294866</v>
      </c>
      <c r="L87" s="50">
        <v>0</v>
      </c>
      <c r="M87" s="50">
        <v>48294866</v>
      </c>
      <c r="N87" s="50">
        <v>44308623</v>
      </c>
      <c r="O87" t="s">
        <v>351</v>
      </c>
      <c r="P87">
        <v>19288738</v>
      </c>
      <c r="Q87" t="s">
        <v>913</v>
      </c>
      <c r="R87" t="s">
        <v>316</v>
      </c>
      <c r="S87" t="s">
        <v>317</v>
      </c>
      <c r="T87" s="2">
        <v>477900060849</v>
      </c>
      <c r="U87" t="s">
        <v>319</v>
      </c>
      <c r="V87">
        <v>860034313</v>
      </c>
      <c r="W87" t="s">
        <v>355</v>
      </c>
      <c r="X87" s="2">
        <v>3825</v>
      </c>
      <c r="Y87" s="2">
        <v>3825</v>
      </c>
      <c r="Z87" s="2">
        <v>8625</v>
      </c>
      <c r="AA87">
        <v>0</v>
      </c>
      <c r="AB87">
        <v>11725</v>
      </c>
      <c r="AC87">
        <v>64523225</v>
      </c>
      <c r="AD87">
        <v>0</v>
      </c>
      <c r="AE87" s="5">
        <v>45693</v>
      </c>
      <c r="AF87" t="s">
        <v>356</v>
      </c>
      <c r="AG87" t="s">
        <v>916</v>
      </c>
      <c r="AH87" t="s">
        <v>748</v>
      </c>
    </row>
    <row r="88" spans="1:34" ht="15" customHeight="1" x14ac:dyDescent="0.2">
      <c r="A88" t="s">
        <v>2297</v>
      </c>
      <c r="B88" t="s">
        <v>485</v>
      </c>
      <c r="C88" s="2">
        <v>8725</v>
      </c>
      <c r="D88" s="5">
        <v>45693</v>
      </c>
      <c r="E88" s="5">
        <v>45693.740972222222</v>
      </c>
      <c r="F88" t="s">
        <v>312</v>
      </c>
      <c r="G88" s="2">
        <v>923245</v>
      </c>
      <c r="H88" t="s">
        <v>29</v>
      </c>
      <c r="I88" t="s">
        <v>30</v>
      </c>
      <c r="J88" t="s">
        <v>31</v>
      </c>
      <c r="K88" s="50">
        <v>48294866</v>
      </c>
      <c r="L88" s="50">
        <v>0</v>
      </c>
      <c r="M88" s="50">
        <v>48294866</v>
      </c>
      <c r="N88" s="50">
        <v>44308623</v>
      </c>
      <c r="O88" t="s">
        <v>351</v>
      </c>
      <c r="P88">
        <v>51902634</v>
      </c>
      <c r="Q88" t="s">
        <v>918</v>
      </c>
      <c r="R88" t="s">
        <v>316</v>
      </c>
      <c r="S88" t="s">
        <v>328</v>
      </c>
      <c r="T88" s="2">
        <v>20334661542</v>
      </c>
      <c r="U88" t="s">
        <v>319</v>
      </c>
      <c r="V88">
        <v>890903938</v>
      </c>
      <c r="W88" t="s">
        <v>342</v>
      </c>
      <c r="X88" s="2">
        <v>3825</v>
      </c>
      <c r="Y88" s="2">
        <v>3825</v>
      </c>
      <c r="Z88" s="2">
        <v>8725</v>
      </c>
      <c r="AA88">
        <v>0</v>
      </c>
      <c r="AB88">
        <v>11825</v>
      </c>
      <c r="AC88">
        <v>64523325</v>
      </c>
      <c r="AD88">
        <v>0</v>
      </c>
      <c r="AE88" s="5">
        <v>45693</v>
      </c>
      <c r="AF88" t="s">
        <v>356</v>
      </c>
      <c r="AG88" t="s">
        <v>921</v>
      </c>
      <c r="AH88" t="s">
        <v>748</v>
      </c>
    </row>
    <row r="89" spans="1:34" ht="15" customHeight="1" x14ac:dyDescent="0.2">
      <c r="A89" t="s">
        <v>2298</v>
      </c>
      <c r="B89" t="s">
        <v>485</v>
      </c>
      <c r="C89" s="2">
        <v>8825</v>
      </c>
      <c r="D89" s="5">
        <v>45693</v>
      </c>
      <c r="E89" s="5">
        <v>45693.826388888891</v>
      </c>
      <c r="F89" t="s">
        <v>312</v>
      </c>
      <c r="G89" s="2">
        <v>923245</v>
      </c>
      <c r="H89" t="s">
        <v>29</v>
      </c>
      <c r="I89" t="s">
        <v>30</v>
      </c>
      <c r="J89" t="s">
        <v>31</v>
      </c>
      <c r="K89" s="50">
        <v>48294866</v>
      </c>
      <c r="L89" s="50">
        <v>0</v>
      </c>
      <c r="M89" s="50">
        <v>48294866</v>
      </c>
      <c r="N89" s="50">
        <v>44308623</v>
      </c>
      <c r="O89" t="s">
        <v>351</v>
      </c>
      <c r="P89">
        <v>79805062</v>
      </c>
      <c r="Q89" t="s">
        <v>923</v>
      </c>
      <c r="R89" t="s">
        <v>316</v>
      </c>
      <c r="S89" t="s">
        <v>317</v>
      </c>
      <c r="T89" s="2">
        <v>83227454</v>
      </c>
      <c r="U89" t="s">
        <v>319</v>
      </c>
      <c r="V89">
        <v>860003020</v>
      </c>
      <c r="W89" t="s">
        <v>393</v>
      </c>
      <c r="X89" s="2">
        <v>3825</v>
      </c>
      <c r="Y89" s="2">
        <v>3825</v>
      </c>
      <c r="Z89" s="2">
        <v>8825</v>
      </c>
      <c r="AA89">
        <v>0</v>
      </c>
      <c r="AB89">
        <v>11925</v>
      </c>
      <c r="AC89">
        <v>64523425</v>
      </c>
      <c r="AD89">
        <v>0</v>
      </c>
      <c r="AE89" s="5">
        <v>45693</v>
      </c>
      <c r="AF89" t="s">
        <v>356</v>
      </c>
      <c r="AG89" t="s">
        <v>926</v>
      </c>
      <c r="AH89" t="s">
        <v>748</v>
      </c>
    </row>
    <row r="90" spans="1:34" ht="15" customHeight="1" x14ac:dyDescent="0.2">
      <c r="A90" t="s">
        <v>2299</v>
      </c>
      <c r="B90" t="s">
        <v>485</v>
      </c>
      <c r="C90" s="2">
        <v>8925</v>
      </c>
      <c r="D90" s="5">
        <v>45693</v>
      </c>
      <c r="E90" s="5">
        <v>45693.831944444442</v>
      </c>
      <c r="F90" t="s">
        <v>312</v>
      </c>
      <c r="G90" s="2">
        <v>923245</v>
      </c>
      <c r="H90" t="s">
        <v>29</v>
      </c>
      <c r="I90" t="s">
        <v>30</v>
      </c>
      <c r="J90" t="s">
        <v>31</v>
      </c>
      <c r="K90" s="50">
        <v>48294866</v>
      </c>
      <c r="L90" s="50">
        <v>0</v>
      </c>
      <c r="M90" s="50">
        <v>48294866</v>
      </c>
      <c r="N90" s="50">
        <v>44308623</v>
      </c>
      <c r="O90" t="s">
        <v>351</v>
      </c>
      <c r="P90">
        <v>79218271</v>
      </c>
      <c r="Q90" t="s">
        <v>928</v>
      </c>
      <c r="R90" t="s">
        <v>316</v>
      </c>
      <c r="S90" t="s">
        <v>317</v>
      </c>
      <c r="T90" s="2">
        <v>22191626668</v>
      </c>
      <c r="U90" t="s">
        <v>319</v>
      </c>
      <c r="V90">
        <v>890903938</v>
      </c>
      <c r="W90" t="s">
        <v>342</v>
      </c>
      <c r="X90" s="2">
        <v>3825</v>
      </c>
      <c r="Y90" s="2">
        <v>3825</v>
      </c>
      <c r="Z90" s="2">
        <v>8925</v>
      </c>
      <c r="AA90">
        <v>0</v>
      </c>
      <c r="AB90">
        <v>12025</v>
      </c>
      <c r="AC90">
        <v>64523525</v>
      </c>
      <c r="AD90">
        <v>0</v>
      </c>
      <c r="AE90" s="5">
        <v>45693</v>
      </c>
      <c r="AF90" t="s">
        <v>356</v>
      </c>
      <c r="AG90" t="s">
        <v>931</v>
      </c>
      <c r="AH90" t="s">
        <v>748</v>
      </c>
    </row>
    <row r="91" spans="1:34" ht="15" customHeight="1" x14ac:dyDescent="0.2">
      <c r="A91" t="s">
        <v>2300</v>
      </c>
      <c r="B91" t="s">
        <v>485</v>
      </c>
      <c r="C91" s="2">
        <v>9025</v>
      </c>
      <c r="D91" s="5">
        <v>45693</v>
      </c>
      <c r="E91" s="5">
        <v>45693.84097222222</v>
      </c>
      <c r="F91" t="s">
        <v>312</v>
      </c>
      <c r="G91" s="2">
        <v>923245</v>
      </c>
      <c r="H91" t="s">
        <v>29</v>
      </c>
      <c r="I91" t="s">
        <v>30</v>
      </c>
      <c r="J91" t="s">
        <v>31</v>
      </c>
      <c r="K91" s="50">
        <v>48294866</v>
      </c>
      <c r="L91" s="50">
        <v>0</v>
      </c>
      <c r="M91" s="50">
        <v>48294866</v>
      </c>
      <c r="N91" s="50">
        <v>44308623</v>
      </c>
      <c r="O91" t="s">
        <v>351</v>
      </c>
      <c r="P91">
        <v>53116478</v>
      </c>
      <c r="Q91" t="s">
        <v>933</v>
      </c>
      <c r="R91" t="s">
        <v>316</v>
      </c>
      <c r="S91" t="s">
        <v>317</v>
      </c>
      <c r="T91" s="2">
        <v>24073326535</v>
      </c>
      <c r="U91" t="s">
        <v>319</v>
      </c>
      <c r="V91">
        <v>860007335</v>
      </c>
      <c r="W91" t="s">
        <v>381</v>
      </c>
      <c r="X91" s="2">
        <v>3825</v>
      </c>
      <c r="Y91" s="2">
        <v>3825</v>
      </c>
      <c r="Z91" s="2">
        <v>9025</v>
      </c>
      <c r="AA91">
        <v>0</v>
      </c>
      <c r="AB91">
        <v>12125</v>
      </c>
      <c r="AC91">
        <v>64523625</v>
      </c>
      <c r="AD91">
        <v>0</v>
      </c>
      <c r="AE91" s="5">
        <v>45693</v>
      </c>
      <c r="AF91" t="s">
        <v>356</v>
      </c>
      <c r="AG91" t="s">
        <v>936</v>
      </c>
      <c r="AH91" t="s">
        <v>748</v>
      </c>
    </row>
    <row r="92" spans="1:34" ht="15" customHeight="1" x14ac:dyDescent="0.2">
      <c r="A92" t="s">
        <v>2301</v>
      </c>
      <c r="B92" t="s">
        <v>485</v>
      </c>
      <c r="C92" s="2">
        <v>9125</v>
      </c>
      <c r="D92" s="5">
        <v>45693</v>
      </c>
      <c r="E92" s="5">
        <v>45693.847222222219</v>
      </c>
      <c r="F92" t="s">
        <v>312</v>
      </c>
      <c r="G92" s="2">
        <v>923245</v>
      </c>
      <c r="H92" t="s">
        <v>29</v>
      </c>
      <c r="I92" t="s">
        <v>30</v>
      </c>
      <c r="J92" t="s">
        <v>31</v>
      </c>
      <c r="K92" s="50">
        <v>48294866</v>
      </c>
      <c r="L92" s="50">
        <v>0</v>
      </c>
      <c r="M92" s="50">
        <v>48294866</v>
      </c>
      <c r="N92" s="50">
        <v>44308623</v>
      </c>
      <c r="O92" t="s">
        <v>351</v>
      </c>
      <c r="P92">
        <v>1075254883</v>
      </c>
      <c r="Q92" t="s">
        <v>938</v>
      </c>
      <c r="R92" t="s">
        <v>316</v>
      </c>
      <c r="S92" t="s">
        <v>317</v>
      </c>
      <c r="T92" s="2">
        <v>76200118156</v>
      </c>
      <c r="U92" t="s">
        <v>319</v>
      </c>
      <c r="V92">
        <v>860034313</v>
      </c>
      <c r="W92" t="s">
        <v>355</v>
      </c>
      <c r="X92" s="2">
        <v>3825</v>
      </c>
      <c r="Y92" s="2">
        <v>3825</v>
      </c>
      <c r="Z92" s="2">
        <v>9125</v>
      </c>
      <c r="AA92">
        <v>0</v>
      </c>
      <c r="AB92">
        <v>12225</v>
      </c>
      <c r="AC92">
        <v>64523725</v>
      </c>
      <c r="AD92">
        <v>0</v>
      </c>
      <c r="AE92" s="5">
        <v>45693</v>
      </c>
      <c r="AF92" t="s">
        <v>356</v>
      </c>
      <c r="AG92" t="s">
        <v>941</v>
      </c>
      <c r="AH92" t="s">
        <v>748</v>
      </c>
    </row>
    <row r="93" spans="1:34" ht="15" customHeight="1" x14ac:dyDescent="0.2">
      <c r="A93" t="s">
        <v>2302</v>
      </c>
      <c r="B93" t="s">
        <v>485</v>
      </c>
      <c r="C93" s="2">
        <v>9225</v>
      </c>
      <c r="D93" s="5">
        <v>45693</v>
      </c>
      <c r="E93" s="5">
        <v>45693.850694444445</v>
      </c>
      <c r="F93" t="s">
        <v>312</v>
      </c>
      <c r="G93" s="2">
        <v>923245</v>
      </c>
      <c r="H93" t="s">
        <v>29</v>
      </c>
      <c r="I93" t="s">
        <v>30</v>
      </c>
      <c r="J93" t="s">
        <v>31</v>
      </c>
      <c r="K93" s="50">
        <v>48294866</v>
      </c>
      <c r="L93" s="50">
        <v>0</v>
      </c>
      <c r="M93" s="50">
        <v>48294866</v>
      </c>
      <c r="N93" s="50">
        <v>44308623</v>
      </c>
      <c r="O93" t="s">
        <v>351</v>
      </c>
      <c r="P93">
        <v>1069715619</v>
      </c>
      <c r="Q93" t="s">
        <v>943</v>
      </c>
      <c r="R93" t="s">
        <v>316</v>
      </c>
      <c r="S93" t="s">
        <v>317</v>
      </c>
      <c r="T93" s="2">
        <v>89292734051</v>
      </c>
      <c r="U93" t="s">
        <v>319</v>
      </c>
      <c r="V93">
        <v>890903938</v>
      </c>
      <c r="W93" t="s">
        <v>342</v>
      </c>
      <c r="X93" s="2">
        <v>3825</v>
      </c>
      <c r="Y93" s="2">
        <v>3825</v>
      </c>
      <c r="Z93" s="2">
        <v>9225</v>
      </c>
      <c r="AA93">
        <v>0</v>
      </c>
      <c r="AB93">
        <v>12325</v>
      </c>
      <c r="AC93">
        <v>64523825</v>
      </c>
      <c r="AD93">
        <v>0</v>
      </c>
      <c r="AE93" s="5">
        <v>45693</v>
      </c>
      <c r="AF93" t="s">
        <v>356</v>
      </c>
      <c r="AG93" t="s">
        <v>946</v>
      </c>
      <c r="AH93" t="s">
        <v>748</v>
      </c>
    </row>
    <row r="94" spans="1:34" ht="15" customHeight="1" x14ac:dyDescent="0.2">
      <c r="A94" t="s">
        <v>2303</v>
      </c>
      <c r="B94" t="s">
        <v>485</v>
      </c>
      <c r="C94" s="2">
        <v>9325</v>
      </c>
      <c r="D94" s="5">
        <v>45693</v>
      </c>
      <c r="E94" s="5">
        <v>45693.85833333333</v>
      </c>
      <c r="F94" t="s">
        <v>312</v>
      </c>
      <c r="G94" s="2">
        <v>923245</v>
      </c>
      <c r="H94" t="s">
        <v>29</v>
      </c>
      <c r="I94" t="s">
        <v>30</v>
      </c>
      <c r="J94" t="s">
        <v>31</v>
      </c>
      <c r="K94" s="50">
        <v>48294866</v>
      </c>
      <c r="L94" s="50">
        <v>0</v>
      </c>
      <c r="M94" s="50">
        <v>48294866</v>
      </c>
      <c r="N94" s="50">
        <v>44308623</v>
      </c>
      <c r="O94" t="s">
        <v>351</v>
      </c>
      <c r="P94">
        <v>13478907</v>
      </c>
      <c r="Q94" t="s">
        <v>948</v>
      </c>
      <c r="R94" t="s">
        <v>316</v>
      </c>
      <c r="S94" t="s">
        <v>317</v>
      </c>
      <c r="T94" s="2">
        <v>31791837408</v>
      </c>
      <c r="U94" t="s">
        <v>319</v>
      </c>
      <c r="V94">
        <v>890903938</v>
      </c>
      <c r="W94" t="s">
        <v>342</v>
      </c>
      <c r="X94" s="2">
        <v>3825</v>
      </c>
      <c r="Y94" s="2">
        <v>3825</v>
      </c>
      <c r="Z94" s="2">
        <v>9325</v>
      </c>
      <c r="AA94">
        <v>0</v>
      </c>
      <c r="AB94">
        <v>12425</v>
      </c>
      <c r="AC94">
        <v>64523925</v>
      </c>
      <c r="AD94">
        <v>0</v>
      </c>
      <c r="AE94" s="5">
        <v>45693</v>
      </c>
      <c r="AF94" t="s">
        <v>356</v>
      </c>
      <c r="AG94" t="s">
        <v>951</v>
      </c>
      <c r="AH94" t="s">
        <v>748</v>
      </c>
    </row>
    <row r="95" spans="1:34" ht="15" customHeight="1" x14ac:dyDescent="0.2">
      <c r="A95" t="s">
        <v>2304</v>
      </c>
      <c r="B95" t="s">
        <v>485</v>
      </c>
      <c r="C95" s="2">
        <v>9425</v>
      </c>
      <c r="D95" s="5">
        <v>45693</v>
      </c>
      <c r="E95" s="5">
        <v>45693.874305555553</v>
      </c>
      <c r="F95" t="s">
        <v>312</v>
      </c>
      <c r="G95" s="2">
        <v>923245</v>
      </c>
      <c r="H95" t="s">
        <v>29</v>
      </c>
      <c r="I95" t="s">
        <v>30</v>
      </c>
      <c r="J95" t="s">
        <v>31</v>
      </c>
      <c r="K95" s="50">
        <v>37336656</v>
      </c>
      <c r="L95" s="50">
        <v>0</v>
      </c>
      <c r="M95" s="50">
        <v>37336656</v>
      </c>
      <c r="N95" s="50">
        <v>34254900</v>
      </c>
      <c r="O95" t="s">
        <v>351</v>
      </c>
      <c r="P95">
        <v>31497288</v>
      </c>
      <c r="Q95" t="s">
        <v>953</v>
      </c>
      <c r="R95" t="s">
        <v>316</v>
      </c>
      <c r="S95" t="s">
        <v>317</v>
      </c>
      <c r="T95" s="2">
        <v>24013476724</v>
      </c>
      <c r="U95" t="s">
        <v>319</v>
      </c>
      <c r="V95">
        <v>860007335</v>
      </c>
      <c r="W95" t="s">
        <v>381</v>
      </c>
      <c r="X95" s="2">
        <v>3825</v>
      </c>
      <c r="Y95" s="2">
        <v>3825</v>
      </c>
      <c r="Z95" s="2">
        <v>9425</v>
      </c>
      <c r="AA95">
        <v>0</v>
      </c>
      <c r="AB95">
        <v>12525</v>
      </c>
      <c r="AC95">
        <v>64524025</v>
      </c>
      <c r="AD95">
        <v>0</v>
      </c>
      <c r="AE95" s="5">
        <v>45693</v>
      </c>
      <c r="AF95" t="s">
        <v>356</v>
      </c>
      <c r="AG95" t="s">
        <v>956</v>
      </c>
      <c r="AH95" t="s">
        <v>748</v>
      </c>
    </row>
    <row r="96" spans="1:34" ht="15" customHeight="1" x14ac:dyDescent="0.2">
      <c r="A96" t="s">
        <v>2305</v>
      </c>
      <c r="B96" t="s">
        <v>485</v>
      </c>
      <c r="C96" s="2">
        <v>9525</v>
      </c>
      <c r="D96" s="5">
        <v>45693</v>
      </c>
      <c r="E96" s="5">
        <v>45693.888194444444</v>
      </c>
      <c r="F96" t="s">
        <v>312</v>
      </c>
      <c r="G96" s="2">
        <v>923245</v>
      </c>
      <c r="H96" t="s">
        <v>29</v>
      </c>
      <c r="I96" t="s">
        <v>30</v>
      </c>
      <c r="J96" t="s">
        <v>31</v>
      </c>
      <c r="K96" s="50">
        <v>48294866</v>
      </c>
      <c r="L96" s="50">
        <v>0</v>
      </c>
      <c r="M96" s="50">
        <v>48294866</v>
      </c>
      <c r="N96" s="50">
        <v>44308623</v>
      </c>
      <c r="O96" t="s">
        <v>351</v>
      </c>
      <c r="P96">
        <v>79806253</v>
      </c>
      <c r="Q96" t="s">
        <v>958</v>
      </c>
      <c r="R96" t="s">
        <v>316</v>
      </c>
      <c r="S96" t="s">
        <v>317</v>
      </c>
      <c r="T96" s="2">
        <v>4722136409</v>
      </c>
      <c r="U96" t="s">
        <v>319</v>
      </c>
      <c r="V96">
        <v>860034594</v>
      </c>
      <c r="W96" t="s">
        <v>374</v>
      </c>
      <c r="X96" s="2">
        <v>3825</v>
      </c>
      <c r="Y96" s="2">
        <v>3825</v>
      </c>
      <c r="Z96" s="2">
        <v>9525</v>
      </c>
      <c r="AA96">
        <v>0</v>
      </c>
      <c r="AB96">
        <v>12625</v>
      </c>
      <c r="AC96">
        <v>64524125</v>
      </c>
      <c r="AD96">
        <v>0</v>
      </c>
      <c r="AE96" s="5">
        <v>45693</v>
      </c>
      <c r="AF96" t="s">
        <v>356</v>
      </c>
      <c r="AG96" t="s">
        <v>961</v>
      </c>
      <c r="AH96" t="s">
        <v>748</v>
      </c>
    </row>
    <row r="97" spans="1:34" ht="15" customHeight="1" x14ac:dyDescent="0.2">
      <c r="A97" t="s">
        <v>2306</v>
      </c>
      <c r="B97" t="s">
        <v>485</v>
      </c>
      <c r="C97" s="2">
        <v>9625</v>
      </c>
      <c r="D97" s="5">
        <v>45693</v>
      </c>
      <c r="E97" s="5">
        <v>45693.895138888889</v>
      </c>
      <c r="F97" t="s">
        <v>312</v>
      </c>
      <c r="G97" s="2">
        <v>923245</v>
      </c>
      <c r="H97" t="s">
        <v>29</v>
      </c>
      <c r="I97" t="s">
        <v>30</v>
      </c>
      <c r="J97" t="s">
        <v>31</v>
      </c>
      <c r="K97" s="50">
        <v>48294866</v>
      </c>
      <c r="L97" s="50">
        <v>0</v>
      </c>
      <c r="M97" s="50">
        <v>48294866</v>
      </c>
      <c r="N97" s="50">
        <v>44308623</v>
      </c>
      <c r="O97" t="s">
        <v>351</v>
      </c>
      <c r="P97">
        <v>39674828</v>
      </c>
      <c r="Q97" t="s">
        <v>963</v>
      </c>
      <c r="R97" t="s">
        <v>316</v>
      </c>
      <c r="S97" t="s">
        <v>317</v>
      </c>
      <c r="T97" s="2">
        <v>43507656</v>
      </c>
      <c r="U97" t="s">
        <v>319</v>
      </c>
      <c r="V97">
        <v>860002964</v>
      </c>
      <c r="W97" t="s">
        <v>419</v>
      </c>
      <c r="X97" s="2">
        <v>3825</v>
      </c>
      <c r="Y97" s="2">
        <v>3825</v>
      </c>
      <c r="Z97" s="2">
        <v>9625</v>
      </c>
      <c r="AA97">
        <v>0</v>
      </c>
      <c r="AB97">
        <v>12725</v>
      </c>
      <c r="AC97">
        <v>64524225</v>
      </c>
      <c r="AD97">
        <v>0</v>
      </c>
      <c r="AE97" s="5">
        <v>45693</v>
      </c>
      <c r="AF97" t="s">
        <v>356</v>
      </c>
      <c r="AG97" t="s">
        <v>966</v>
      </c>
      <c r="AH97" t="s">
        <v>748</v>
      </c>
    </row>
    <row r="98" spans="1:34" ht="15" customHeight="1" x14ac:dyDescent="0.2">
      <c r="A98" t="s">
        <v>2307</v>
      </c>
      <c r="B98" t="s">
        <v>485</v>
      </c>
      <c r="C98" s="2">
        <v>9725</v>
      </c>
      <c r="D98" s="5">
        <v>45693</v>
      </c>
      <c r="E98" s="5">
        <v>45693.904861111114</v>
      </c>
      <c r="F98" t="s">
        <v>312</v>
      </c>
      <c r="G98" s="2">
        <v>923245</v>
      </c>
      <c r="H98" t="s">
        <v>29</v>
      </c>
      <c r="I98" t="s">
        <v>30</v>
      </c>
      <c r="J98" t="s">
        <v>31</v>
      </c>
      <c r="K98" s="50">
        <v>48294866</v>
      </c>
      <c r="L98" s="50">
        <v>0</v>
      </c>
      <c r="M98" s="50">
        <v>48294866</v>
      </c>
      <c r="N98" s="50">
        <v>44308623</v>
      </c>
      <c r="O98" t="s">
        <v>351</v>
      </c>
      <c r="P98">
        <v>81740592</v>
      </c>
      <c r="Q98" t="s">
        <v>968</v>
      </c>
      <c r="R98" t="s">
        <v>316</v>
      </c>
      <c r="S98" t="s">
        <v>317</v>
      </c>
      <c r="T98" s="2">
        <v>378262299</v>
      </c>
      <c r="U98" t="s">
        <v>319</v>
      </c>
      <c r="V98">
        <v>860003020</v>
      </c>
      <c r="W98" t="s">
        <v>393</v>
      </c>
      <c r="X98" s="2">
        <v>3825</v>
      </c>
      <c r="Y98" s="2">
        <v>3825</v>
      </c>
      <c r="Z98" s="2">
        <v>9725</v>
      </c>
      <c r="AA98">
        <v>0</v>
      </c>
      <c r="AB98">
        <v>12825</v>
      </c>
      <c r="AC98">
        <v>64524325</v>
      </c>
      <c r="AD98">
        <v>0</v>
      </c>
      <c r="AE98" s="5">
        <v>45693</v>
      </c>
      <c r="AF98" t="s">
        <v>356</v>
      </c>
      <c r="AG98" t="s">
        <v>971</v>
      </c>
      <c r="AH98" t="s">
        <v>748</v>
      </c>
    </row>
    <row r="99" spans="1:34" ht="15" customHeight="1" x14ac:dyDescent="0.2">
      <c r="A99" t="s">
        <v>2308</v>
      </c>
      <c r="B99" t="s">
        <v>485</v>
      </c>
      <c r="C99" s="2">
        <v>9825</v>
      </c>
      <c r="D99" s="5">
        <v>45693</v>
      </c>
      <c r="E99" s="5">
        <v>45693.912499999999</v>
      </c>
      <c r="F99" t="s">
        <v>312</v>
      </c>
      <c r="G99" s="2">
        <v>923245</v>
      </c>
      <c r="H99" t="s">
        <v>29</v>
      </c>
      <c r="I99" t="s">
        <v>30</v>
      </c>
      <c r="J99" t="s">
        <v>31</v>
      </c>
      <c r="K99" s="50">
        <v>48294866</v>
      </c>
      <c r="L99" s="50">
        <v>-46301745</v>
      </c>
      <c r="M99" s="50">
        <v>1993121</v>
      </c>
      <c r="N99" s="50">
        <v>0</v>
      </c>
      <c r="O99" t="s">
        <v>351</v>
      </c>
      <c r="P99">
        <v>52854030</v>
      </c>
      <c r="Q99" t="s">
        <v>973</v>
      </c>
      <c r="R99" t="s">
        <v>316</v>
      </c>
      <c r="S99" t="s">
        <v>317</v>
      </c>
      <c r="T99" s="2">
        <v>24514006868</v>
      </c>
      <c r="U99" t="s">
        <v>319</v>
      </c>
      <c r="V99">
        <v>860007335</v>
      </c>
      <c r="W99" t="s">
        <v>381</v>
      </c>
      <c r="X99" s="2">
        <v>3825</v>
      </c>
      <c r="Y99" s="2">
        <v>3825</v>
      </c>
      <c r="Z99" s="2">
        <v>9825</v>
      </c>
      <c r="AA99">
        <v>0</v>
      </c>
      <c r="AB99">
        <v>40325</v>
      </c>
      <c r="AC99">
        <v>66430925</v>
      </c>
      <c r="AD99">
        <v>0</v>
      </c>
      <c r="AE99" s="5">
        <v>45693</v>
      </c>
      <c r="AF99" t="s">
        <v>356</v>
      </c>
      <c r="AG99" t="s">
        <v>976</v>
      </c>
      <c r="AH99" t="s">
        <v>748</v>
      </c>
    </row>
    <row r="100" spans="1:34" ht="15" customHeight="1" x14ac:dyDescent="0.2">
      <c r="A100" t="s">
        <v>2309</v>
      </c>
      <c r="B100" t="s">
        <v>485</v>
      </c>
      <c r="C100" s="2">
        <v>9925</v>
      </c>
      <c r="D100" s="5">
        <v>45693</v>
      </c>
      <c r="E100" s="5">
        <v>45693.917361111111</v>
      </c>
      <c r="F100" t="s">
        <v>312</v>
      </c>
      <c r="G100" s="2">
        <v>923245</v>
      </c>
      <c r="H100" t="s">
        <v>29</v>
      </c>
      <c r="I100" t="s">
        <v>30</v>
      </c>
      <c r="J100" t="s">
        <v>31</v>
      </c>
      <c r="K100" s="50">
        <v>48294866</v>
      </c>
      <c r="L100" s="50">
        <v>0</v>
      </c>
      <c r="M100" s="50">
        <v>48294866</v>
      </c>
      <c r="N100" s="50">
        <v>44308623</v>
      </c>
      <c r="O100" t="s">
        <v>351</v>
      </c>
      <c r="P100">
        <v>79645434</v>
      </c>
      <c r="Q100" t="s">
        <v>978</v>
      </c>
      <c r="R100" t="s">
        <v>316</v>
      </c>
      <c r="S100" t="s">
        <v>317</v>
      </c>
      <c r="T100" s="2">
        <v>90120052430</v>
      </c>
      <c r="U100" t="s">
        <v>319</v>
      </c>
      <c r="V100">
        <v>860050750</v>
      </c>
      <c r="W100" t="s">
        <v>321</v>
      </c>
      <c r="X100" s="2">
        <v>3825</v>
      </c>
      <c r="Y100" s="2">
        <v>3825</v>
      </c>
      <c r="Z100" s="2">
        <v>9925</v>
      </c>
      <c r="AA100">
        <v>0</v>
      </c>
      <c r="AB100">
        <v>16425</v>
      </c>
      <c r="AC100">
        <v>64543325</v>
      </c>
      <c r="AD100">
        <v>0</v>
      </c>
      <c r="AE100" s="5">
        <v>45693</v>
      </c>
      <c r="AF100" t="s">
        <v>356</v>
      </c>
      <c r="AG100" t="s">
        <v>981</v>
      </c>
      <c r="AH100" t="s">
        <v>748</v>
      </c>
    </row>
    <row r="101" spans="1:34" ht="15" customHeight="1" x14ac:dyDescent="0.2">
      <c r="A101" t="s">
        <v>2310</v>
      </c>
      <c r="B101" t="s">
        <v>485</v>
      </c>
      <c r="C101" s="2">
        <v>10025</v>
      </c>
      <c r="D101" s="5">
        <v>45693</v>
      </c>
      <c r="E101" s="5">
        <v>45693.92083333333</v>
      </c>
      <c r="F101" t="s">
        <v>312</v>
      </c>
      <c r="G101" s="2">
        <v>923245</v>
      </c>
      <c r="H101" t="s">
        <v>29</v>
      </c>
      <c r="I101" t="s">
        <v>30</v>
      </c>
      <c r="J101" t="s">
        <v>31</v>
      </c>
      <c r="K101" s="50">
        <v>48294866</v>
      </c>
      <c r="L101" s="50">
        <v>0</v>
      </c>
      <c r="M101" s="50">
        <v>48294866</v>
      </c>
      <c r="N101" s="50">
        <v>44308623</v>
      </c>
      <c r="O101" t="s">
        <v>351</v>
      </c>
      <c r="P101">
        <v>79431510</v>
      </c>
      <c r="Q101" t="s">
        <v>983</v>
      </c>
      <c r="R101" t="s">
        <v>316</v>
      </c>
      <c r="S101" t="s">
        <v>317</v>
      </c>
      <c r="T101" s="2">
        <v>272108721</v>
      </c>
      <c r="U101" t="s">
        <v>319</v>
      </c>
      <c r="V101">
        <v>860002964</v>
      </c>
      <c r="W101" t="s">
        <v>419</v>
      </c>
      <c r="X101" s="2">
        <v>3825</v>
      </c>
      <c r="Y101" s="2">
        <v>3825</v>
      </c>
      <c r="Z101" s="2">
        <v>10025</v>
      </c>
      <c r="AA101">
        <v>0</v>
      </c>
      <c r="AB101">
        <v>16525</v>
      </c>
      <c r="AC101">
        <v>64543425</v>
      </c>
      <c r="AD101">
        <v>0</v>
      </c>
      <c r="AE101" s="5">
        <v>45693</v>
      </c>
      <c r="AF101" t="s">
        <v>356</v>
      </c>
      <c r="AG101" t="s">
        <v>986</v>
      </c>
      <c r="AH101" t="s">
        <v>748</v>
      </c>
    </row>
    <row r="102" spans="1:34" ht="15" customHeight="1" x14ac:dyDescent="0.2">
      <c r="A102" t="s">
        <v>2311</v>
      </c>
      <c r="B102" t="s">
        <v>485</v>
      </c>
      <c r="C102" s="2">
        <v>10125</v>
      </c>
      <c r="D102" s="5">
        <v>45693</v>
      </c>
      <c r="E102" s="5">
        <v>45693.926388888889</v>
      </c>
      <c r="F102" t="s">
        <v>312</v>
      </c>
      <c r="G102" s="2">
        <v>923245</v>
      </c>
      <c r="H102" t="s">
        <v>29</v>
      </c>
      <c r="I102" t="s">
        <v>30</v>
      </c>
      <c r="J102" t="s">
        <v>31</v>
      </c>
      <c r="K102" s="50">
        <v>48294866</v>
      </c>
      <c r="L102" s="50">
        <v>0</v>
      </c>
      <c r="M102" s="50">
        <v>48294866</v>
      </c>
      <c r="N102" s="50">
        <v>44308623</v>
      </c>
      <c r="O102" t="s">
        <v>351</v>
      </c>
      <c r="P102">
        <v>53041779</v>
      </c>
      <c r="Q102" t="s">
        <v>988</v>
      </c>
      <c r="R102" t="s">
        <v>316</v>
      </c>
      <c r="S102" t="s">
        <v>317</v>
      </c>
      <c r="T102" s="2">
        <v>4070166642</v>
      </c>
      <c r="U102" t="s">
        <v>319</v>
      </c>
      <c r="V102">
        <v>860034313</v>
      </c>
      <c r="W102" t="s">
        <v>355</v>
      </c>
      <c r="X102" s="2">
        <v>3825</v>
      </c>
      <c r="Y102" s="2">
        <v>3825</v>
      </c>
      <c r="Z102" s="2">
        <v>10125</v>
      </c>
      <c r="AA102">
        <v>0</v>
      </c>
      <c r="AB102">
        <v>16625</v>
      </c>
      <c r="AC102">
        <v>64543525</v>
      </c>
      <c r="AD102">
        <v>0</v>
      </c>
      <c r="AE102" s="5">
        <v>45693</v>
      </c>
      <c r="AF102" t="s">
        <v>356</v>
      </c>
      <c r="AG102" t="s">
        <v>991</v>
      </c>
      <c r="AH102" t="s">
        <v>748</v>
      </c>
    </row>
    <row r="103" spans="1:34" ht="15" customHeight="1" x14ac:dyDescent="0.2">
      <c r="A103" t="s">
        <v>2312</v>
      </c>
      <c r="B103" t="s">
        <v>485</v>
      </c>
      <c r="C103" s="2">
        <v>10225</v>
      </c>
      <c r="D103" s="5">
        <v>45693</v>
      </c>
      <c r="E103" s="5">
        <v>45693.930555555555</v>
      </c>
      <c r="F103" t="s">
        <v>312</v>
      </c>
      <c r="G103" s="2">
        <v>923245</v>
      </c>
      <c r="H103" t="s">
        <v>29</v>
      </c>
      <c r="I103" t="s">
        <v>30</v>
      </c>
      <c r="J103" t="s">
        <v>31</v>
      </c>
      <c r="K103" s="50">
        <v>48294866</v>
      </c>
      <c r="L103" s="50">
        <v>0</v>
      </c>
      <c r="M103" s="50">
        <v>48294866</v>
      </c>
      <c r="N103" s="50">
        <v>44308623</v>
      </c>
      <c r="O103" t="s">
        <v>351</v>
      </c>
      <c r="P103">
        <v>9396182</v>
      </c>
      <c r="Q103" t="s">
        <v>993</v>
      </c>
      <c r="R103" t="s">
        <v>316</v>
      </c>
      <c r="S103" t="s">
        <v>317</v>
      </c>
      <c r="T103" s="2">
        <v>35815143262</v>
      </c>
      <c r="U103" t="s">
        <v>319</v>
      </c>
      <c r="V103">
        <v>890903938</v>
      </c>
      <c r="W103" t="s">
        <v>342</v>
      </c>
      <c r="X103" s="2">
        <v>3825</v>
      </c>
      <c r="Y103" s="2">
        <v>3825</v>
      </c>
      <c r="Z103" s="2">
        <v>10225</v>
      </c>
      <c r="AA103">
        <v>0</v>
      </c>
      <c r="AB103">
        <v>16725</v>
      </c>
      <c r="AC103">
        <v>64543625</v>
      </c>
      <c r="AD103">
        <v>0</v>
      </c>
      <c r="AE103" s="5">
        <v>45693</v>
      </c>
      <c r="AF103" t="s">
        <v>356</v>
      </c>
      <c r="AG103" t="s">
        <v>996</v>
      </c>
      <c r="AH103" t="s">
        <v>748</v>
      </c>
    </row>
    <row r="104" spans="1:34" ht="15" customHeight="1" x14ac:dyDescent="0.2">
      <c r="A104" t="s">
        <v>2313</v>
      </c>
      <c r="B104" t="s">
        <v>485</v>
      </c>
      <c r="C104" s="2">
        <v>10325</v>
      </c>
      <c r="D104" s="5">
        <v>45693</v>
      </c>
      <c r="E104" s="5">
        <v>45693.935416666667</v>
      </c>
      <c r="F104" t="s">
        <v>312</v>
      </c>
      <c r="G104" s="2">
        <v>923245</v>
      </c>
      <c r="H104" t="s">
        <v>29</v>
      </c>
      <c r="I104" t="s">
        <v>30</v>
      </c>
      <c r="J104" t="s">
        <v>31</v>
      </c>
      <c r="K104" s="50">
        <v>48294866</v>
      </c>
      <c r="L104" s="50">
        <v>0</v>
      </c>
      <c r="M104" s="50">
        <v>48294866</v>
      </c>
      <c r="N104" s="50">
        <v>44308623</v>
      </c>
      <c r="O104" t="s">
        <v>351</v>
      </c>
      <c r="P104">
        <v>21135366</v>
      </c>
      <c r="Q104" t="s">
        <v>998</v>
      </c>
      <c r="R104" t="s">
        <v>316</v>
      </c>
      <c r="S104" t="s">
        <v>317</v>
      </c>
      <c r="T104" s="2">
        <v>473870036323</v>
      </c>
      <c r="U104" t="s">
        <v>319</v>
      </c>
      <c r="V104">
        <v>860034313</v>
      </c>
      <c r="W104" t="s">
        <v>355</v>
      </c>
      <c r="X104" s="2">
        <v>3825</v>
      </c>
      <c r="Y104" s="2">
        <v>3825</v>
      </c>
      <c r="Z104" s="2">
        <v>10325</v>
      </c>
      <c r="AA104">
        <v>0</v>
      </c>
      <c r="AB104">
        <v>16825</v>
      </c>
      <c r="AC104">
        <v>64543725</v>
      </c>
      <c r="AD104">
        <v>0</v>
      </c>
      <c r="AE104" s="5">
        <v>45693</v>
      </c>
      <c r="AF104" t="s">
        <v>356</v>
      </c>
      <c r="AG104" t="s">
        <v>1001</v>
      </c>
      <c r="AH104" t="s">
        <v>748</v>
      </c>
    </row>
    <row r="105" spans="1:34" ht="15" customHeight="1" x14ac:dyDescent="0.2">
      <c r="A105" t="s">
        <v>2314</v>
      </c>
      <c r="B105" t="s">
        <v>485</v>
      </c>
      <c r="C105" s="2">
        <v>10425</v>
      </c>
      <c r="D105" s="5">
        <v>45693</v>
      </c>
      <c r="E105" s="5">
        <v>45693.943055555559</v>
      </c>
      <c r="F105" t="s">
        <v>312</v>
      </c>
      <c r="G105" s="2">
        <v>923245</v>
      </c>
      <c r="H105" t="s">
        <v>29</v>
      </c>
      <c r="I105" t="s">
        <v>30</v>
      </c>
      <c r="J105" t="s">
        <v>31</v>
      </c>
      <c r="K105" s="50">
        <v>48294866</v>
      </c>
      <c r="L105" s="50">
        <v>0</v>
      </c>
      <c r="M105" s="50">
        <v>48294866</v>
      </c>
      <c r="N105" s="50">
        <v>44308623</v>
      </c>
      <c r="O105" t="s">
        <v>351</v>
      </c>
      <c r="P105">
        <v>53070532</v>
      </c>
      <c r="Q105" t="s">
        <v>1003</v>
      </c>
      <c r="R105" t="s">
        <v>316</v>
      </c>
      <c r="S105" t="s">
        <v>317</v>
      </c>
      <c r="T105" s="2">
        <v>24046162544</v>
      </c>
      <c r="U105" t="s">
        <v>319</v>
      </c>
      <c r="V105">
        <v>860007335</v>
      </c>
      <c r="W105" t="s">
        <v>381</v>
      </c>
      <c r="X105" s="2">
        <v>3825</v>
      </c>
      <c r="Y105" s="2">
        <v>3825</v>
      </c>
      <c r="Z105" s="2">
        <v>10425</v>
      </c>
      <c r="AA105">
        <v>0</v>
      </c>
      <c r="AB105">
        <v>16925</v>
      </c>
      <c r="AC105">
        <v>64543825</v>
      </c>
      <c r="AD105">
        <v>0</v>
      </c>
      <c r="AE105" s="5">
        <v>45693</v>
      </c>
      <c r="AF105" t="s">
        <v>356</v>
      </c>
      <c r="AG105" t="s">
        <v>1006</v>
      </c>
      <c r="AH105" t="s">
        <v>748</v>
      </c>
    </row>
    <row r="106" spans="1:34" ht="15" customHeight="1" x14ac:dyDescent="0.2">
      <c r="A106" t="s">
        <v>2315</v>
      </c>
      <c r="B106" t="s">
        <v>485</v>
      </c>
      <c r="C106" s="2">
        <v>10525</v>
      </c>
      <c r="D106" s="5">
        <v>45693</v>
      </c>
      <c r="E106" s="5">
        <v>45693.945833333331</v>
      </c>
      <c r="F106" t="s">
        <v>312</v>
      </c>
      <c r="G106" s="2">
        <v>923245</v>
      </c>
      <c r="H106" t="s">
        <v>29</v>
      </c>
      <c r="I106" t="s">
        <v>30</v>
      </c>
      <c r="J106" t="s">
        <v>31</v>
      </c>
      <c r="K106" s="50">
        <v>48294866</v>
      </c>
      <c r="L106" s="50">
        <v>0</v>
      </c>
      <c r="M106" s="50">
        <v>48294866</v>
      </c>
      <c r="N106" s="50">
        <v>44308623</v>
      </c>
      <c r="O106" t="s">
        <v>351</v>
      </c>
      <c r="P106">
        <v>51877430</v>
      </c>
      <c r="Q106" t="s">
        <v>1008</v>
      </c>
      <c r="R106" t="s">
        <v>316</v>
      </c>
      <c r="S106" t="s">
        <v>317</v>
      </c>
      <c r="T106" s="2">
        <v>91200191825</v>
      </c>
      <c r="U106" t="s">
        <v>319</v>
      </c>
      <c r="V106">
        <v>890903938</v>
      </c>
      <c r="W106" t="s">
        <v>342</v>
      </c>
      <c r="X106" s="2">
        <v>3825</v>
      </c>
      <c r="Y106" s="2">
        <v>3825</v>
      </c>
      <c r="Z106" s="2">
        <v>10525</v>
      </c>
      <c r="AA106">
        <v>0</v>
      </c>
      <c r="AB106">
        <v>17025</v>
      </c>
      <c r="AC106">
        <v>64543925</v>
      </c>
      <c r="AD106">
        <v>0</v>
      </c>
      <c r="AE106" s="5">
        <v>45693</v>
      </c>
      <c r="AF106" t="s">
        <v>356</v>
      </c>
      <c r="AG106" t="s">
        <v>1011</v>
      </c>
      <c r="AH106" t="s">
        <v>748</v>
      </c>
    </row>
    <row r="107" spans="1:34" ht="15" customHeight="1" x14ac:dyDescent="0.2">
      <c r="A107" t="s">
        <v>2316</v>
      </c>
      <c r="B107" t="s">
        <v>485</v>
      </c>
      <c r="C107" s="2">
        <v>10625</v>
      </c>
      <c r="D107" s="5">
        <v>45693</v>
      </c>
      <c r="E107" s="5">
        <v>45693.95</v>
      </c>
      <c r="F107" t="s">
        <v>312</v>
      </c>
      <c r="G107" s="2">
        <v>923245</v>
      </c>
      <c r="H107" t="s">
        <v>29</v>
      </c>
      <c r="I107" t="s">
        <v>30</v>
      </c>
      <c r="J107" t="s">
        <v>31</v>
      </c>
      <c r="K107" s="50">
        <v>48294866</v>
      </c>
      <c r="L107" s="50">
        <v>0</v>
      </c>
      <c r="M107" s="50">
        <v>48294866</v>
      </c>
      <c r="N107" s="50">
        <v>44308623</v>
      </c>
      <c r="O107" t="s">
        <v>351</v>
      </c>
      <c r="P107">
        <v>11379483</v>
      </c>
      <c r="Q107" t="s">
        <v>1013</v>
      </c>
      <c r="R107" t="s">
        <v>316</v>
      </c>
      <c r="S107" t="s">
        <v>317</v>
      </c>
      <c r="T107" s="2">
        <v>447081241</v>
      </c>
      <c r="U107" t="s">
        <v>319</v>
      </c>
      <c r="V107">
        <v>860002964</v>
      </c>
      <c r="W107" t="s">
        <v>419</v>
      </c>
      <c r="X107" s="2">
        <v>3825</v>
      </c>
      <c r="Y107" s="2">
        <v>3825</v>
      </c>
      <c r="Z107" s="2">
        <v>10625</v>
      </c>
      <c r="AA107">
        <v>0</v>
      </c>
      <c r="AB107">
        <v>17125</v>
      </c>
      <c r="AC107">
        <v>64544025</v>
      </c>
      <c r="AD107">
        <v>0</v>
      </c>
      <c r="AE107" s="5">
        <v>45693</v>
      </c>
      <c r="AF107" t="s">
        <v>356</v>
      </c>
      <c r="AG107" t="s">
        <v>1016</v>
      </c>
      <c r="AH107" t="s">
        <v>748</v>
      </c>
    </row>
    <row r="108" spans="1:34" ht="15" customHeight="1" x14ac:dyDescent="0.2">
      <c r="A108" t="s">
        <v>2317</v>
      </c>
      <c r="B108" t="s">
        <v>485</v>
      </c>
      <c r="C108" s="2">
        <v>10725</v>
      </c>
      <c r="D108" s="5">
        <v>45693</v>
      </c>
      <c r="E108" s="5">
        <v>45693.953472222223</v>
      </c>
      <c r="F108" t="s">
        <v>312</v>
      </c>
      <c r="G108" s="2">
        <v>923245</v>
      </c>
      <c r="H108" t="s">
        <v>29</v>
      </c>
      <c r="I108" t="s">
        <v>30</v>
      </c>
      <c r="J108" t="s">
        <v>31</v>
      </c>
      <c r="K108" s="50">
        <v>48294866</v>
      </c>
      <c r="L108" s="50">
        <v>0</v>
      </c>
      <c r="M108" s="50">
        <v>48294866</v>
      </c>
      <c r="N108" s="50">
        <v>44308623</v>
      </c>
      <c r="O108" t="s">
        <v>351</v>
      </c>
      <c r="P108">
        <v>1006862905</v>
      </c>
      <c r="Q108" t="s">
        <v>1018</v>
      </c>
      <c r="R108" t="s">
        <v>316</v>
      </c>
      <c r="S108" t="s">
        <v>317</v>
      </c>
      <c r="T108" s="2">
        <v>7823172961</v>
      </c>
      <c r="U108" t="s">
        <v>319</v>
      </c>
      <c r="V108">
        <v>890903938</v>
      </c>
      <c r="W108" t="s">
        <v>342</v>
      </c>
      <c r="X108" s="2">
        <v>3825</v>
      </c>
      <c r="Y108" s="2">
        <v>3825</v>
      </c>
      <c r="Z108" s="2">
        <v>10725</v>
      </c>
      <c r="AA108">
        <v>0</v>
      </c>
      <c r="AB108">
        <v>17225</v>
      </c>
      <c r="AC108">
        <v>64544125</v>
      </c>
      <c r="AD108">
        <v>0</v>
      </c>
      <c r="AE108" s="5">
        <v>45693</v>
      </c>
      <c r="AF108" t="s">
        <v>356</v>
      </c>
      <c r="AG108" t="s">
        <v>1021</v>
      </c>
      <c r="AH108" t="s">
        <v>748</v>
      </c>
    </row>
    <row r="109" spans="1:34" ht="15" customHeight="1" x14ac:dyDescent="0.2">
      <c r="A109" t="s">
        <v>2318</v>
      </c>
      <c r="B109" t="s">
        <v>485</v>
      </c>
      <c r="C109" s="2">
        <v>10825</v>
      </c>
      <c r="D109" s="5">
        <v>45694</v>
      </c>
      <c r="E109" s="5">
        <v>45694.421527777777</v>
      </c>
      <c r="F109" t="s">
        <v>312</v>
      </c>
      <c r="G109" s="2">
        <v>923245</v>
      </c>
      <c r="H109" t="s">
        <v>29</v>
      </c>
      <c r="I109" t="s">
        <v>30</v>
      </c>
      <c r="J109" t="s">
        <v>31</v>
      </c>
      <c r="K109" s="50">
        <v>48294866</v>
      </c>
      <c r="L109" s="50">
        <v>0</v>
      </c>
      <c r="M109" s="50">
        <v>48294866</v>
      </c>
      <c r="N109" s="50">
        <v>44308623</v>
      </c>
      <c r="O109" t="s">
        <v>351</v>
      </c>
      <c r="P109">
        <v>11298110</v>
      </c>
      <c r="Q109" t="s">
        <v>1024</v>
      </c>
      <c r="R109" t="s">
        <v>316</v>
      </c>
      <c r="S109" t="s">
        <v>317</v>
      </c>
      <c r="T109" s="2">
        <v>9200768332</v>
      </c>
      <c r="U109" t="s">
        <v>319</v>
      </c>
      <c r="V109">
        <v>860034313</v>
      </c>
      <c r="W109" t="s">
        <v>355</v>
      </c>
      <c r="X109" s="2">
        <v>3825</v>
      </c>
      <c r="Y109" s="2">
        <v>3825</v>
      </c>
      <c r="Z109" s="2">
        <v>10825</v>
      </c>
      <c r="AA109">
        <v>0</v>
      </c>
      <c r="AB109">
        <v>17325</v>
      </c>
      <c r="AC109">
        <v>64544225</v>
      </c>
      <c r="AD109">
        <v>0</v>
      </c>
      <c r="AE109" s="5">
        <v>45694</v>
      </c>
      <c r="AF109" t="s">
        <v>356</v>
      </c>
      <c r="AG109" t="s">
        <v>1027</v>
      </c>
      <c r="AH109" t="s">
        <v>748</v>
      </c>
    </row>
    <row r="110" spans="1:34" ht="15" customHeight="1" x14ac:dyDescent="0.2">
      <c r="A110" t="s">
        <v>2319</v>
      </c>
      <c r="B110" t="s">
        <v>485</v>
      </c>
      <c r="C110" s="2">
        <v>10925</v>
      </c>
      <c r="D110" s="5">
        <v>45694</v>
      </c>
      <c r="E110" s="5">
        <v>45694.430555555555</v>
      </c>
      <c r="F110" t="s">
        <v>312</v>
      </c>
      <c r="G110" s="2">
        <v>923245</v>
      </c>
      <c r="H110" t="s">
        <v>29</v>
      </c>
      <c r="I110" t="s">
        <v>30</v>
      </c>
      <c r="J110" t="s">
        <v>31</v>
      </c>
      <c r="K110" s="50">
        <v>37336656</v>
      </c>
      <c r="L110" s="50">
        <v>0</v>
      </c>
      <c r="M110" s="50">
        <v>37336656</v>
      </c>
      <c r="N110" s="50">
        <v>34254900</v>
      </c>
      <c r="O110" t="s">
        <v>351</v>
      </c>
      <c r="P110">
        <v>52971648</v>
      </c>
      <c r="Q110" t="s">
        <v>1029</v>
      </c>
      <c r="R110" t="s">
        <v>316</v>
      </c>
      <c r="S110" t="s">
        <v>317</v>
      </c>
      <c r="T110" s="2">
        <v>65255560322</v>
      </c>
      <c r="U110" t="s">
        <v>319</v>
      </c>
      <c r="V110">
        <v>890903938</v>
      </c>
      <c r="W110" t="s">
        <v>342</v>
      </c>
      <c r="X110" s="2">
        <v>3825</v>
      </c>
      <c r="Y110" s="2">
        <v>3825</v>
      </c>
      <c r="Z110" s="2">
        <v>10925</v>
      </c>
      <c r="AA110">
        <v>0</v>
      </c>
      <c r="AB110">
        <v>17425</v>
      </c>
      <c r="AC110">
        <v>64544325</v>
      </c>
      <c r="AD110">
        <v>0</v>
      </c>
      <c r="AE110" s="5">
        <v>45694</v>
      </c>
      <c r="AF110" t="s">
        <v>356</v>
      </c>
      <c r="AG110" t="s">
        <v>1032</v>
      </c>
      <c r="AH110" t="s">
        <v>748</v>
      </c>
    </row>
    <row r="111" spans="1:34" ht="15" customHeight="1" x14ac:dyDescent="0.2">
      <c r="A111" t="s">
        <v>2320</v>
      </c>
      <c r="B111" t="s">
        <v>485</v>
      </c>
      <c r="C111" s="2">
        <v>11025</v>
      </c>
      <c r="D111" s="5">
        <v>45694</v>
      </c>
      <c r="E111" s="5">
        <v>45694.441666666666</v>
      </c>
      <c r="F111" t="s">
        <v>312</v>
      </c>
      <c r="G111" s="2">
        <v>923245</v>
      </c>
      <c r="H111" t="s">
        <v>29</v>
      </c>
      <c r="I111" t="s">
        <v>30</v>
      </c>
      <c r="J111" t="s">
        <v>31</v>
      </c>
      <c r="K111" s="50">
        <v>48294866</v>
      </c>
      <c r="L111" s="50">
        <v>0</v>
      </c>
      <c r="M111" s="50">
        <v>48294866</v>
      </c>
      <c r="N111" s="50">
        <v>44308623</v>
      </c>
      <c r="O111" t="s">
        <v>351</v>
      </c>
      <c r="P111">
        <v>79649154</v>
      </c>
      <c r="Q111" t="s">
        <v>1034</v>
      </c>
      <c r="R111" t="s">
        <v>316</v>
      </c>
      <c r="S111" t="s">
        <v>317</v>
      </c>
      <c r="T111" s="2">
        <v>8800691126</v>
      </c>
      <c r="U111" t="s">
        <v>319</v>
      </c>
      <c r="V111">
        <v>860034313</v>
      </c>
      <c r="W111" t="s">
        <v>355</v>
      </c>
      <c r="X111" s="2">
        <v>3825</v>
      </c>
      <c r="Y111" s="2">
        <v>3825</v>
      </c>
      <c r="Z111" s="2">
        <v>11025</v>
      </c>
      <c r="AA111">
        <v>0</v>
      </c>
      <c r="AB111">
        <v>17525</v>
      </c>
      <c r="AC111">
        <v>64544525</v>
      </c>
      <c r="AD111">
        <v>0</v>
      </c>
      <c r="AE111" s="5">
        <v>45694</v>
      </c>
      <c r="AF111" t="s">
        <v>356</v>
      </c>
      <c r="AG111" t="s">
        <v>1037</v>
      </c>
      <c r="AH111" t="s">
        <v>748</v>
      </c>
    </row>
    <row r="112" spans="1:34" ht="15" customHeight="1" x14ac:dyDescent="0.2">
      <c r="A112" t="s">
        <v>2321</v>
      </c>
      <c r="B112" t="s">
        <v>485</v>
      </c>
      <c r="C112" s="2">
        <v>11125</v>
      </c>
      <c r="D112" s="5">
        <v>45694</v>
      </c>
      <c r="E112" s="5">
        <v>45694.444444444445</v>
      </c>
      <c r="F112" t="s">
        <v>312</v>
      </c>
      <c r="G112" s="2">
        <v>923245</v>
      </c>
      <c r="H112" t="s">
        <v>29</v>
      </c>
      <c r="I112" t="s">
        <v>30</v>
      </c>
      <c r="J112" t="s">
        <v>31</v>
      </c>
      <c r="K112" s="50">
        <v>48294866</v>
      </c>
      <c r="L112" s="50">
        <v>0</v>
      </c>
      <c r="M112" s="50">
        <v>48294866</v>
      </c>
      <c r="N112" s="50">
        <v>44308623</v>
      </c>
      <c r="O112" t="s">
        <v>351</v>
      </c>
      <c r="P112">
        <v>80256718</v>
      </c>
      <c r="Q112" t="s">
        <v>1039</v>
      </c>
      <c r="R112" t="s">
        <v>316</v>
      </c>
      <c r="S112" t="s">
        <v>317</v>
      </c>
      <c r="T112" s="2">
        <v>24029372928</v>
      </c>
      <c r="U112" t="s">
        <v>319</v>
      </c>
      <c r="V112">
        <v>860007335</v>
      </c>
      <c r="W112" t="s">
        <v>381</v>
      </c>
      <c r="X112" s="2">
        <v>3825</v>
      </c>
      <c r="Y112" s="2">
        <v>3825</v>
      </c>
      <c r="Z112" s="2">
        <v>11125</v>
      </c>
      <c r="AA112">
        <v>0</v>
      </c>
      <c r="AB112">
        <v>17625</v>
      </c>
      <c r="AC112">
        <v>64544625</v>
      </c>
      <c r="AD112">
        <v>0</v>
      </c>
      <c r="AE112" s="5">
        <v>45694</v>
      </c>
      <c r="AF112" t="s">
        <v>356</v>
      </c>
      <c r="AG112" t="s">
        <v>1042</v>
      </c>
      <c r="AH112" t="s">
        <v>748</v>
      </c>
    </row>
    <row r="113" spans="1:34" ht="15" customHeight="1" x14ac:dyDescent="0.2">
      <c r="A113" t="s">
        <v>2322</v>
      </c>
      <c r="B113" t="s">
        <v>485</v>
      </c>
      <c r="C113" s="2">
        <v>11225</v>
      </c>
      <c r="D113" s="5">
        <v>45694</v>
      </c>
      <c r="E113" s="5">
        <v>45694.447222222225</v>
      </c>
      <c r="F113" t="s">
        <v>312</v>
      </c>
      <c r="G113" s="2">
        <v>923245</v>
      </c>
      <c r="H113" t="s">
        <v>29</v>
      </c>
      <c r="I113" t="s">
        <v>30</v>
      </c>
      <c r="J113" t="s">
        <v>31</v>
      </c>
      <c r="K113" s="50">
        <v>48294866</v>
      </c>
      <c r="L113" s="50">
        <v>0</v>
      </c>
      <c r="M113" s="50">
        <v>48294866</v>
      </c>
      <c r="N113" s="50">
        <v>44308623</v>
      </c>
      <c r="O113" t="s">
        <v>351</v>
      </c>
      <c r="P113">
        <v>79646599</v>
      </c>
      <c r="Q113" t="s">
        <v>1044</v>
      </c>
      <c r="R113" t="s">
        <v>316</v>
      </c>
      <c r="S113" t="s">
        <v>317</v>
      </c>
      <c r="T113" s="2">
        <v>719019905</v>
      </c>
      <c r="U113" t="s">
        <v>319</v>
      </c>
      <c r="V113">
        <v>890903937</v>
      </c>
      <c r="W113" t="s">
        <v>1046</v>
      </c>
      <c r="X113" s="2">
        <v>3825</v>
      </c>
      <c r="Y113" s="2">
        <v>3825</v>
      </c>
      <c r="Z113" s="2">
        <v>11225</v>
      </c>
      <c r="AA113">
        <v>0</v>
      </c>
      <c r="AB113">
        <v>17725</v>
      </c>
      <c r="AC113">
        <v>64544725</v>
      </c>
      <c r="AD113">
        <v>0</v>
      </c>
      <c r="AE113" s="5">
        <v>45694</v>
      </c>
      <c r="AF113" t="s">
        <v>356</v>
      </c>
      <c r="AG113" t="s">
        <v>1048</v>
      </c>
      <c r="AH113" t="s">
        <v>748</v>
      </c>
    </row>
    <row r="114" spans="1:34" ht="15" customHeight="1" x14ac:dyDescent="0.2">
      <c r="A114" t="s">
        <v>2323</v>
      </c>
      <c r="B114" t="s">
        <v>485</v>
      </c>
      <c r="C114" s="2">
        <v>11325</v>
      </c>
      <c r="D114" s="5">
        <v>45694</v>
      </c>
      <c r="E114" s="5">
        <v>45694.457638888889</v>
      </c>
      <c r="F114" t="s">
        <v>312</v>
      </c>
      <c r="G114" s="2">
        <v>923245</v>
      </c>
      <c r="H114" t="s">
        <v>29</v>
      </c>
      <c r="I114" t="s">
        <v>30</v>
      </c>
      <c r="J114" t="s">
        <v>31</v>
      </c>
      <c r="K114" s="50">
        <v>48294866</v>
      </c>
      <c r="L114" s="50">
        <v>0</v>
      </c>
      <c r="M114" s="50">
        <v>48294866</v>
      </c>
      <c r="N114" s="50">
        <v>44308623</v>
      </c>
      <c r="O114" t="s">
        <v>351</v>
      </c>
      <c r="P114">
        <v>79216079</v>
      </c>
      <c r="Q114" t="s">
        <v>1050</v>
      </c>
      <c r="R114" t="s">
        <v>316</v>
      </c>
      <c r="S114" t="s">
        <v>317</v>
      </c>
      <c r="T114" s="2">
        <v>22138251571</v>
      </c>
      <c r="U114" t="s">
        <v>319</v>
      </c>
      <c r="V114">
        <v>890903938</v>
      </c>
      <c r="W114" t="s">
        <v>342</v>
      </c>
      <c r="X114" s="2">
        <v>3825</v>
      </c>
      <c r="Y114" s="2">
        <v>3825</v>
      </c>
      <c r="Z114" s="2">
        <v>11325</v>
      </c>
      <c r="AA114">
        <v>0</v>
      </c>
      <c r="AB114">
        <v>17825</v>
      </c>
      <c r="AC114">
        <v>64548625</v>
      </c>
      <c r="AD114">
        <v>0</v>
      </c>
      <c r="AE114" s="5">
        <v>45694</v>
      </c>
      <c r="AF114" t="s">
        <v>356</v>
      </c>
      <c r="AG114" t="s">
        <v>1053</v>
      </c>
      <c r="AH114" t="s">
        <v>748</v>
      </c>
    </row>
    <row r="115" spans="1:34" ht="15" customHeight="1" x14ac:dyDescent="0.2">
      <c r="A115" t="s">
        <v>2324</v>
      </c>
      <c r="B115" t="s">
        <v>485</v>
      </c>
      <c r="C115" s="2">
        <v>11425</v>
      </c>
      <c r="D115" s="5">
        <v>45694</v>
      </c>
      <c r="E115" s="5">
        <v>45694.495833333334</v>
      </c>
      <c r="F115" t="s">
        <v>312</v>
      </c>
      <c r="G115" s="2">
        <v>923245</v>
      </c>
      <c r="H115" t="s">
        <v>29</v>
      </c>
      <c r="I115" t="s">
        <v>30</v>
      </c>
      <c r="J115" t="s">
        <v>31</v>
      </c>
      <c r="K115" s="50">
        <v>48294866</v>
      </c>
      <c r="L115" s="50">
        <v>0</v>
      </c>
      <c r="M115" s="50">
        <v>48294866</v>
      </c>
      <c r="N115" s="50">
        <v>44308623</v>
      </c>
      <c r="O115" t="s">
        <v>351</v>
      </c>
      <c r="P115">
        <v>1012439964</v>
      </c>
      <c r="Q115" t="s">
        <v>1055</v>
      </c>
      <c r="R115" t="s">
        <v>316</v>
      </c>
      <c r="S115" t="s">
        <v>317</v>
      </c>
      <c r="T115" s="2">
        <v>1300008356</v>
      </c>
      <c r="U115" t="s">
        <v>319</v>
      </c>
      <c r="V115">
        <v>890903938</v>
      </c>
      <c r="W115" t="s">
        <v>342</v>
      </c>
      <c r="X115" s="2">
        <v>3825</v>
      </c>
      <c r="Y115" s="2">
        <v>3825</v>
      </c>
      <c r="Z115" s="2">
        <v>11425</v>
      </c>
      <c r="AA115">
        <v>0</v>
      </c>
      <c r="AB115">
        <v>17925</v>
      </c>
      <c r="AC115">
        <v>64549825</v>
      </c>
      <c r="AD115">
        <v>0</v>
      </c>
      <c r="AE115" s="5">
        <v>45694</v>
      </c>
      <c r="AF115" t="s">
        <v>356</v>
      </c>
      <c r="AG115" t="s">
        <v>1058</v>
      </c>
      <c r="AH115" t="s">
        <v>748</v>
      </c>
    </row>
    <row r="116" spans="1:34" ht="15" customHeight="1" x14ac:dyDescent="0.2">
      <c r="A116" t="s">
        <v>2325</v>
      </c>
      <c r="B116" t="s">
        <v>485</v>
      </c>
      <c r="C116" s="2">
        <v>11525</v>
      </c>
      <c r="D116" s="5">
        <v>45694</v>
      </c>
      <c r="E116" s="5">
        <v>45694.51666666667</v>
      </c>
      <c r="F116" t="s">
        <v>312</v>
      </c>
      <c r="G116" s="2">
        <v>923245</v>
      </c>
      <c r="H116" t="s">
        <v>29</v>
      </c>
      <c r="I116" t="s">
        <v>30</v>
      </c>
      <c r="J116" t="s">
        <v>31</v>
      </c>
      <c r="K116" s="50">
        <v>48294866</v>
      </c>
      <c r="L116" s="50">
        <v>0</v>
      </c>
      <c r="M116" s="50">
        <v>48294866</v>
      </c>
      <c r="N116" s="50">
        <v>44308623</v>
      </c>
      <c r="O116" t="s">
        <v>351</v>
      </c>
      <c r="P116">
        <v>79221542</v>
      </c>
      <c r="Q116" t="s">
        <v>1060</v>
      </c>
      <c r="R116" t="s">
        <v>316</v>
      </c>
      <c r="S116" t="s">
        <v>317</v>
      </c>
      <c r="T116" s="2">
        <v>24042989684</v>
      </c>
      <c r="U116" t="s">
        <v>319</v>
      </c>
      <c r="V116">
        <v>860007335</v>
      </c>
      <c r="W116" t="s">
        <v>381</v>
      </c>
      <c r="X116" s="2">
        <v>3825</v>
      </c>
      <c r="Y116" s="2">
        <v>3825</v>
      </c>
      <c r="Z116" s="2">
        <v>11525</v>
      </c>
      <c r="AA116">
        <v>0</v>
      </c>
      <c r="AB116">
        <v>18025</v>
      </c>
      <c r="AC116">
        <v>64549925</v>
      </c>
      <c r="AD116">
        <v>0</v>
      </c>
      <c r="AE116" s="5">
        <v>45694</v>
      </c>
      <c r="AF116" t="s">
        <v>356</v>
      </c>
      <c r="AG116" t="s">
        <v>1063</v>
      </c>
      <c r="AH116" t="s">
        <v>748</v>
      </c>
    </row>
    <row r="117" spans="1:34" ht="15" customHeight="1" x14ac:dyDescent="0.2">
      <c r="A117" t="s">
        <v>2326</v>
      </c>
      <c r="B117" t="s">
        <v>485</v>
      </c>
      <c r="C117" s="2">
        <v>11625</v>
      </c>
      <c r="D117" s="5">
        <v>45694</v>
      </c>
      <c r="E117" s="5">
        <v>45694.520833333336</v>
      </c>
      <c r="F117" t="s">
        <v>312</v>
      </c>
      <c r="G117" s="2">
        <v>923245</v>
      </c>
      <c r="H117" t="s">
        <v>29</v>
      </c>
      <c r="I117" t="s">
        <v>30</v>
      </c>
      <c r="J117" t="s">
        <v>31</v>
      </c>
      <c r="K117" s="50">
        <v>48294866</v>
      </c>
      <c r="L117" s="50">
        <v>0</v>
      </c>
      <c r="M117" s="50">
        <v>48294866</v>
      </c>
      <c r="N117" s="50">
        <v>44308623</v>
      </c>
      <c r="O117" t="s">
        <v>351</v>
      </c>
      <c r="P117">
        <v>1032360333</v>
      </c>
      <c r="Q117" t="s">
        <v>1065</v>
      </c>
      <c r="R117" t="s">
        <v>316</v>
      </c>
      <c r="S117" t="s">
        <v>317</v>
      </c>
      <c r="T117" s="2">
        <v>21957392773</v>
      </c>
      <c r="U117" t="s">
        <v>319</v>
      </c>
      <c r="V117">
        <v>890903938</v>
      </c>
      <c r="W117" t="s">
        <v>342</v>
      </c>
      <c r="X117" s="2">
        <v>3825</v>
      </c>
      <c r="Y117" s="2">
        <v>3825</v>
      </c>
      <c r="Z117" s="2">
        <v>11625</v>
      </c>
      <c r="AA117">
        <v>0</v>
      </c>
      <c r="AB117">
        <v>18125</v>
      </c>
      <c r="AC117">
        <v>64550025</v>
      </c>
      <c r="AD117">
        <v>0</v>
      </c>
      <c r="AE117" s="5">
        <v>45694</v>
      </c>
      <c r="AF117" t="s">
        <v>356</v>
      </c>
      <c r="AG117" t="s">
        <v>1068</v>
      </c>
      <c r="AH117" t="s">
        <v>748</v>
      </c>
    </row>
    <row r="118" spans="1:34" ht="15" customHeight="1" x14ac:dyDescent="0.2">
      <c r="A118" t="s">
        <v>2327</v>
      </c>
      <c r="B118" t="s">
        <v>485</v>
      </c>
      <c r="C118" s="2">
        <v>11725</v>
      </c>
      <c r="D118" s="5">
        <v>45694</v>
      </c>
      <c r="E118" s="5">
        <v>45694.524305555555</v>
      </c>
      <c r="F118" t="s">
        <v>312</v>
      </c>
      <c r="G118" s="2">
        <v>923245</v>
      </c>
      <c r="H118" t="s">
        <v>29</v>
      </c>
      <c r="I118" t="s">
        <v>30</v>
      </c>
      <c r="J118" t="s">
        <v>31</v>
      </c>
      <c r="K118" s="50">
        <v>48294866</v>
      </c>
      <c r="L118" s="50">
        <v>0</v>
      </c>
      <c r="M118" s="50">
        <v>48294866</v>
      </c>
      <c r="N118" s="50">
        <v>44308623</v>
      </c>
      <c r="O118" t="s">
        <v>351</v>
      </c>
      <c r="P118">
        <v>79938816</v>
      </c>
      <c r="Q118" t="s">
        <v>1070</v>
      </c>
      <c r="R118" t="s">
        <v>316</v>
      </c>
      <c r="S118" t="s">
        <v>317</v>
      </c>
      <c r="T118" s="2">
        <v>6882035148</v>
      </c>
      <c r="U118" t="s">
        <v>319</v>
      </c>
      <c r="V118">
        <v>860034594</v>
      </c>
      <c r="W118" t="s">
        <v>374</v>
      </c>
      <c r="X118" s="2">
        <v>3825</v>
      </c>
      <c r="Y118" s="2">
        <v>3825</v>
      </c>
      <c r="Z118" s="2">
        <v>11725</v>
      </c>
      <c r="AA118">
        <v>0</v>
      </c>
      <c r="AB118">
        <v>18225</v>
      </c>
      <c r="AC118">
        <v>64550125</v>
      </c>
      <c r="AD118">
        <v>0</v>
      </c>
      <c r="AE118" s="5">
        <v>45694</v>
      </c>
      <c r="AF118" t="s">
        <v>356</v>
      </c>
      <c r="AG118" t="s">
        <v>1073</v>
      </c>
      <c r="AH118" t="s">
        <v>748</v>
      </c>
    </row>
    <row r="119" spans="1:34" ht="15" customHeight="1" x14ac:dyDescent="0.2">
      <c r="A119" t="s">
        <v>2328</v>
      </c>
      <c r="B119" t="s">
        <v>485</v>
      </c>
      <c r="C119" s="2">
        <v>11825</v>
      </c>
      <c r="D119" s="5">
        <v>45694</v>
      </c>
      <c r="E119" s="5">
        <v>45694.529166666667</v>
      </c>
      <c r="F119" t="s">
        <v>312</v>
      </c>
      <c r="G119" s="2">
        <v>923245</v>
      </c>
      <c r="H119" t="s">
        <v>29</v>
      </c>
      <c r="I119" t="s">
        <v>30</v>
      </c>
      <c r="J119" t="s">
        <v>31</v>
      </c>
      <c r="K119" s="50">
        <v>48294866</v>
      </c>
      <c r="L119" s="50">
        <v>0</v>
      </c>
      <c r="M119" s="50">
        <v>48294866</v>
      </c>
      <c r="N119" s="50">
        <v>44308623</v>
      </c>
      <c r="O119" t="s">
        <v>351</v>
      </c>
      <c r="P119">
        <v>52529189</v>
      </c>
      <c r="Q119" t="s">
        <v>1075</v>
      </c>
      <c r="R119" t="s">
        <v>316</v>
      </c>
      <c r="S119" t="s">
        <v>317</v>
      </c>
      <c r="T119" s="2">
        <v>29993986290</v>
      </c>
      <c r="U119" t="s">
        <v>319</v>
      </c>
      <c r="V119">
        <v>890903938</v>
      </c>
      <c r="W119" t="s">
        <v>342</v>
      </c>
      <c r="X119" s="2">
        <v>3825</v>
      </c>
      <c r="Y119" s="2">
        <v>3825</v>
      </c>
      <c r="Z119" s="2">
        <v>11825</v>
      </c>
      <c r="AA119">
        <v>0</v>
      </c>
      <c r="AB119">
        <v>18325</v>
      </c>
      <c r="AC119">
        <v>64550325</v>
      </c>
      <c r="AD119">
        <v>0</v>
      </c>
      <c r="AE119" s="5">
        <v>45694</v>
      </c>
      <c r="AF119" t="s">
        <v>356</v>
      </c>
      <c r="AG119" t="s">
        <v>1078</v>
      </c>
      <c r="AH119" t="s">
        <v>748</v>
      </c>
    </row>
    <row r="120" spans="1:34" ht="15" customHeight="1" x14ac:dyDescent="0.2">
      <c r="A120" t="s">
        <v>2329</v>
      </c>
      <c r="B120" t="s">
        <v>485</v>
      </c>
      <c r="C120" s="2">
        <v>11925</v>
      </c>
      <c r="D120" s="5">
        <v>45694</v>
      </c>
      <c r="E120" s="5">
        <v>45694.7</v>
      </c>
      <c r="F120" t="s">
        <v>312</v>
      </c>
      <c r="G120" s="2">
        <v>923245</v>
      </c>
      <c r="H120" t="s">
        <v>29</v>
      </c>
      <c r="I120" t="s">
        <v>30</v>
      </c>
      <c r="J120" t="s">
        <v>31</v>
      </c>
      <c r="K120" s="50">
        <v>48294866</v>
      </c>
      <c r="L120" s="50">
        <v>0</v>
      </c>
      <c r="M120" s="50">
        <v>48294866</v>
      </c>
      <c r="N120" s="50">
        <v>44308623</v>
      </c>
      <c r="O120" t="s">
        <v>351</v>
      </c>
      <c r="P120">
        <v>52542737</v>
      </c>
      <c r="Q120" t="s">
        <v>1080</v>
      </c>
      <c r="R120" t="s">
        <v>316</v>
      </c>
      <c r="S120" t="s">
        <v>317</v>
      </c>
      <c r="T120" s="2">
        <v>668827129</v>
      </c>
      <c r="U120" t="s">
        <v>319</v>
      </c>
      <c r="V120">
        <v>860035827</v>
      </c>
      <c r="W120" t="s">
        <v>653</v>
      </c>
      <c r="X120" s="2">
        <v>3825</v>
      </c>
      <c r="Y120" s="2">
        <v>3825</v>
      </c>
      <c r="Z120" s="2">
        <v>11925</v>
      </c>
      <c r="AA120">
        <v>0</v>
      </c>
      <c r="AB120">
        <v>18425</v>
      </c>
      <c r="AC120">
        <v>64550425</v>
      </c>
      <c r="AD120">
        <v>0</v>
      </c>
      <c r="AE120" s="5">
        <v>45694</v>
      </c>
      <c r="AF120" t="s">
        <v>356</v>
      </c>
      <c r="AG120" t="s">
        <v>1083</v>
      </c>
      <c r="AH120" t="s">
        <v>748</v>
      </c>
    </row>
    <row r="121" spans="1:34" ht="15" customHeight="1" x14ac:dyDescent="0.2">
      <c r="A121" t="s">
        <v>2330</v>
      </c>
      <c r="B121" t="s">
        <v>485</v>
      </c>
      <c r="C121" s="2">
        <v>12025</v>
      </c>
      <c r="D121" s="5">
        <v>45694</v>
      </c>
      <c r="E121" s="5">
        <v>45694.791666666664</v>
      </c>
      <c r="F121" t="s">
        <v>312</v>
      </c>
      <c r="G121" s="2">
        <v>923245</v>
      </c>
      <c r="H121" t="s">
        <v>29</v>
      </c>
      <c r="I121" t="s">
        <v>30</v>
      </c>
      <c r="J121" t="s">
        <v>31</v>
      </c>
      <c r="K121" s="50">
        <v>48294866</v>
      </c>
      <c r="L121" s="50">
        <v>0</v>
      </c>
      <c r="M121" s="50">
        <v>48294866</v>
      </c>
      <c r="N121" s="50">
        <v>44308623</v>
      </c>
      <c r="O121" t="s">
        <v>351</v>
      </c>
      <c r="P121">
        <v>52545500</v>
      </c>
      <c r="Q121" t="s">
        <v>1085</v>
      </c>
      <c r="R121" t="s">
        <v>316</v>
      </c>
      <c r="S121" t="s">
        <v>317</v>
      </c>
      <c r="T121" s="2">
        <v>24123166474</v>
      </c>
      <c r="U121" t="s">
        <v>319</v>
      </c>
      <c r="V121">
        <v>860007335</v>
      </c>
      <c r="W121" t="s">
        <v>381</v>
      </c>
      <c r="X121" s="2">
        <v>3825</v>
      </c>
      <c r="Y121" s="2">
        <v>3825</v>
      </c>
      <c r="Z121" s="2">
        <v>12025</v>
      </c>
      <c r="AA121">
        <v>0</v>
      </c>
      <c r="AB121">
        <v>18525</v>
      </c>
      <c r="AC121">
        <v>64550525</v>
      </c>
      <c r="AD121">
        <v>0</v>
      </c>
      <c r="AE121" s="5">
        <v>45694</v>
      </c>
      <c r="AF121" t="s">
        <v>356</v>
      </c>
      <c r="AG121" t="s">
        <v>1088</v>
      </c>
      <c r="AH121" t="s">
        <v>748</v>
      </c>
    </row>
    <row r="122" spans="1:34" ht="15" customHeight="1" x14ac:dyDescent="0.2">
      <c r="A122" t="s">
        <v>2331</v>
      </c>
      <c r="B122" t="s">
        <v>485</v>
      </c>
      <c r="C122" s="2">
        <v>12125</v>
      </c>
      <c r="D122" s="5">
        <v>45694</v>
      </c>
      <c r="E122" s="5">
        <v>45694.795138888891</v>
      </c>
      <c r="F122" t="s">
        <v>312</v>
      </c>
      <c r="G122" s="2">
        <v>923245</v>
      </c>
      <c r="H122" t="s">
        <v>29</v>
      </c>
      <c r="I122" t="s">
        <v>30</v>
      </c>
      <c r="J122" t="s">
        <v>31</v>
      </c>
      <c r="K122" s="50">
        <v>48294866</v>
      </c>
      <c r="L122" s="50">
        <v>0</v>
      </c>
      <c r="M122" s="50">
        <v>48294866</v>
      </c>
      <c r="N122" s="50">
        <v>44308623</v>
      </c>
      <c r="O122" t="s">
        <v>351</v>
      </c>
      <c r="P122">
        <v>52823268</v>
      </c>
      <c r="Q122" t="s">
        <v>1090</v>
      </c>
      <c r="R122" t="s">
        <v>316</v>
      </c>
      <c r="S122" t="s">
        <v>317</v>
      </c>
      <c r="T122" s="2">
        <v>24121119814</v>
      </c>
      <c r="U122" t="s">
        <v>319</v>
      </c>
      <c r="V122">
        <v>860007335</v>
      </c>
      <c r="W122" t="s">
        <v>381</v>
      </c>
      <c r="X122" s="2">
        <v>3825</v>
      </c>
      <c r="Y122" s="2">
        <v>3825</v>
      </c>
      <c r="Z122" s="2">
        <v>12125</v>
      </c>
      <c r="AA122">
        <v>0</v>
      </c>
      <c r="AB122">
        <v>18625</v>
      </c>
      <c r="AC122">
        <v>64550625</v>
      </c>
      <c r="AD122">
        <v>0</v>
      </c>
      <c r="AE122" s="5">
        <v>45694</v>
      </c>
      <c r="AF122" t="s">
        <v>356</v>
      </c>
      <c r="AG122" t="s">
        <v>1093</v>
      </c>
      <c r="AH122" t="s">
        <v>748</v>
      </c>
    </row>
    <row r="123" spans="1:34" ht="15" customHeight="1" x14ac:dyDescent="0.2">
      <c r="A123" t="s">
        <v>2332</v>
      </c>
      <c r="B123" t="s">
        <v>485</v>
      </c>
      <c r="C123" s="2">
        <v>12225</v>
      </c>
      <c r="D123" s="5">
        <v>45694</v>
      </c>
      <c r="E123" s="5">
        <v>45694.79791666667</v>
      </c>
      <c r="F123" t="s">
        <v>312</v>
      </c>
      <c r="G123" s="2">
        <v>923245</v>
      </c>
      <c r="H123" t="s">
        <v>29</v>
      </c>
      <c r="I123" t="s">
        <v>30</v>
      </c>
      <c r="J123" t="s">
        <v>31</v>
      </c>
      <c r="K123" s="50">
        <v>48294866</v>
      </c>
      <c r="L123" s="50">
        <v>0</v>
      </c>
      <c r="M123" s="50">
        <v>48294866</v>
      </c>
      <c r="N123" s="50">
        <v>44308623</v>
      </c>
      <c r="O123" t="s">
        <v>351</v>
      </c>
      <c r="P123">
        <v>20996655</v>
      </c>
      <c r="Q123" t="s">
        <v>1095</v>
      </c>
      <c r="R123" t="s">
        <v>316</v>
      </c>
      <c r="S123" t="s">
        <v>317</v>
      </c>
      <c r="T123" s="2">
        <v>26444357818</v>
      </c>
      <c r="U123" t="s">
        <v>319</v>
      </c>
      <c r="V123">
        <v>890903938</v>
      </c>
      <c r="W123" t="s">
        <v>342</v>
      </c>
      <c r="X123" s="2">
        <v>3825</v>
      </c>
      <c r="Y123" s="2">
        <v>3825</v>
      </c>
      <c r="Z123" s="2">
        <v>12225</v>
      </c>
      <c r="AA123">
        <v>0</v>
      </c>
      <c r="AB123">
        <v>18725</v>
      </c>
      <c r="AC123">
        <v>64550725</v>
      </c>
      <c r="AD123">
        <v>0</v>
      </c>
      <c r="AE123" s="5">
        <v>45694</v>
      </c>
      <c r="AF123" t="s">
        <v>356</v>
      </c>
      <c r="AG123" t="s">
        <v>1098</v>
      </c>
      <c r="AH123" t="s">
        <v>748</v>
      </c>
    </row>
    <row r="124" spans="1:34" ht="15" customHeight="1" x14ac:dyDescent="0.2">
      <c r="A124" t="s">
        <v>2333</v>
      </c>
      <c r="B124" t="s">
        <v>485</v>
      </c>
      <c r="C124" s="2">
        <v>12325</v>
      </c>
      <c r="D124" s="5">
        <v>45694</v>
      </c>
      <c r="E124" s="5">
        <v>45694.800694444442</v>
      </c>
      <c r="F124" t="s">
        <v>312</v>
      </c>
      <c r="G124" s="2">
        <v>923245</v>
      </c>
      <c r="H124" t="s">
        <v>29</v>
      </c>
      <c r="I124" t="s">
        <v>30</v>
      </c>
      <c r="J124" t="s">
        <v>31</v>
      </c>
      <c r="K124" s="50">
        <v>48294866</v>
      </c>
      <c r="L124" s="50">
        <v>0</v>
      </c>
      <c r="M124" s="50">
        <v>48294866</v>
      </c>
      <c r="N124" s="50">
        <v>44308623</v>
      </c>
      <c r="O124" t="s">
        <v>351</v>
      </c>
      <c r="P124">
        <v>34990465</v>
      </c>
      <c r="Q124" t="s">
        <v>1100</v>
      </c>
      <c r="R124" t="s">
        <v>316</v>
      </c>
      <c r="S124" t="s">
        <v>317</v>
      </c>
      <c r="T124" s="2">
        <v>4942013216</v>
      </c>
      <c r="U124" t="s">
        <v>319</v>
      </c>
      <c r="V124">
        <v>860034594</v>
      </c>
      <c r="W124" t="s">
        <v>374</v>
      </c>
      <c r="X124" s="2">
        <v>3825</v>
      </c>
      <c r="Y124" s="2">
        <v>3825</v>
      </c>
      <c r="Z124" s="2">
        <v>12325</v>
      </c>
      <c r="AA124">
        <v>0</v>
      </c>
      <c r="AB124">
        <v>18825</v>
      </c>
      <c r="AC124">
        <v>64550825</v>
      </c>
      <c r="AD124">
        <v>0</v>
      </c>
      <c r="AE124" s="5">
        <v>45694</v>
      </c>
      <c r="AF124" t="s">
        <v>356</v>
      </c>
      <c r="AG124" t="s">
        <v>1103</v>
      </c>
      <c r="AH124" t="s">
        <v>748</v>
      </c>
    </row>
    <row r="125" spans="1:34" ht="15" customHeight="1" x14ac:dyDescent="0.2">
      <c r="A125" t="s">
        <v>2334</v>
      </c>
      <c r="B125" t="s">
        <v>485</v>
      </c>
      <c r="C125" s="2">
        <v>12425</v>
      </c>
      <c r="D125" s="5">
        <v>45694</v>
      </c>
      <c r="E125" s="5">
        <v>45694.804166666669</v>
      </c>
      <c r="F125" t="s">
        <v>312</v>
      </c>
      <c r="G125" s="2">
        <v>923245</v>
      </c>
      <c r="H125" t="s">
        <v>29</v>
      </c>
      <c r="I125" t="s">
        <v>30</v>
      </c>
      <c r="J125" t="s">
        <v>31</v>
      </c>
      <c r="K125" s="50">
        <v>48294866</v>
      </c>
      <c r="L125" s="50">
        <v>0</v>
      </c>
      <c r="M125" s="50">
        <v>48294866</v>
      </c>
      <c r="N125" s="50">
        <v>44308623</v>
      </c>
      <c r="O125" t="s">
        <v>351</v>
      </c>
      <c r="P125">
        <v>93370817</v>
      </c>
      <c r="Q125" t="s">
        <v>1105</v>
      </c>
      <c r="R125" t="s">
        <v>316</v>
      </c>
      <c r="S125" t="s">
        <v>317</v>
      </c>
      <c r="T125" s="2">
        <v>18716555</v>
      </c>
      <c r="U125" t="s">
        <v>319</v>
      </c>
      <c r="V125">
        <v>860034313</v>
      </c>
      <c r="W125" t="s">
        <v>355</v>
      </c>
      <c r="X125" s="2">
        <v>3825</v>
      </c>
      <c r="Y125" s="2">
        <v>3825</v>
      </c>
      <c r="Z125" s="2">
        <v>12425</v>
      </c>
      <c r="AA125">
        <v>0</v>
      </c>
      <c r="AB125">
        <v>18925</v>
      </c>
      <c r="AC125">
        <v>64550925</v>
      </c>
      <c r="AD125">
        <v>0</v>
      </c>
      <c r="AE125" s="5">
        <v>45694</v>
      </c>
      <c r="AF125" t="s">
        <v>356</v>
      </c>
      <c r="AG125" t="s">
        <v>1108</v>
      </c>
      <c r="AH125" t="s">
        <v>748</v>
      </c>
    </row>
    <row r="126" spans="1:34" ht="15" customHeight="1" x14ac:dyDescent="0.2">
      <c r="A126" t="s">
        <v>2335</v>
      </c>
      <c r="B126" t="s">
        <v>485</v>
      </c>
      <c r="C126" s="2">
        <v>12525</v>
      </c>
      <c r="D126" s="5">
        <v>45694</v>
      </c>
      <c r="E126" s="5">
        <v>45694.813194444447</v>
      </c>
      <c r="F126" t="s">
        <v>312</v>
      </c>
      <c r="G126" s="2">
        <v>923245</v>
      </c>
      <c r="H126" t="s">
        <v>29</v>
      </c>
      <c r="I126" t="s">
        <v>30</v>
      </c>
      <c r="J126" t="s">
        <v>31</v>
      </c>
      <c r="K126" s="50">
        <v>48294866</v>
      </c>
      <c r="L126" s="50">
        <v>0</v>
      </c>
      <c r="M126" s="50">
        <v>48294866</v>
      </c>
      <c r="N126" s="50">
        <v>44308623</v>
      </c>
      <c r="O126" t="s">
        <v>351</v>
      </c>
      <c r="P126">
        <v>79643322</v>
      </c>
      <c r="Q126" t="s">
        <v>1110</v>
      </c>
      <c r="R126" t="s">
        <v>316</v>
      </c>
      <c r="S126" t="s">
        <v>317</v>
      </c>
      <c r="T126" s="2">
        <v>20067023804</v>
      </c>
      <c r="U126" t="s">
        <v>319</v>
      </c>
      <c r="V126">
        <v>890903938</v>
      </c>
      <c r="W126" t="s">
        <v>342</v>
      </c>
      <c r="X126" s="2">
        <v>3825</v>
      </c>
      <c r="Y126" s="2">
        <v>3825</v>
      </c>
      <c r="Z126" s="2">
        <v>12525</v>
      </c>
      <c r="AA126">
        <v>0</v>
      </c>
      <c r="AB126">
        <v>19025</v>
      </c>
      <c r="AC126">
        <v>64551025</v>
      </c>
      <c r="AD126">
        <v>0</v>
      </c>
      <c r="AE126" s="5">
        <v>45694</v>
      </c>
      <c r="AF126" t="s">
        <v>356</v>
      </c>
      <c r="AG126" t="s">
        <v>1113</v>
      </c>
      <c r="AH126" t="s">
        <v>748</v>
      </c>
    </row>
    <row r="127" spans="1:34" ht="15" customHeight="1" x14ac:dyDescent="0.2">
      <c r="A127" t="s">
        <v>2336</v>
      </c>
      <c r="B127" t="s">
        <v>485</v>
      </c>
      <c r="C127" s="2">
        <v>12625</v>
      </c>
      <c r="D127" s="5">
        <v>45694</v>
      </c>
      <c r="E127" s="5">
        <v>45694.84375</v>
      </c>
      <c r="F127" t="s">
        <v>312</v>
      </c>
      <c r="G127" s="2">
        <v>923245</v>
      </c>
      <c r="H127" t="s">
        <v>29</v>
      </c>
      <c r="I127" t="s">
        <v>30</v>
      </c>
      <c r="J127" t="s">
        <v>31</v>
      </c>
      <c r="K127" s="50">
        <v>48294866</v>
      </c>
      <c r="L127" s="50">
        <v>0</v>
      </c>
      <c r="M127" s="50">
        <v>48294866</v>
      </c>
      <c r="N127" s="50">
        <v>44308623</v>
      </c>
      <c r="O127" t="s">
        <v>351</v>
      </c>
      <c r="P127">
        <v>35250064</v>
      </c>
      <c r="Q127" t="s">
        <v>1115</v>
      </c>
      <c r="R127" t="s">
        <v>316</v>
      </c>
      <c r="S127" t="s">
        <v>317</v>
      </c>
      <c r="T127" s="2">
        <v>18841464237</v>
      </c>
      <c r="U127" t="s">
        <v>319</v>
      </c>
      <c r="V127">
        <v>890903938</v>
      </c>
      <c r="W127" t="s">
        <v>342</v>
      </c>
      <c r="X127" s="2">
        <v>3825</v>
      </c>
      <c r="Y127" s="2">
        <v>3825</v>
      </c>
      <c r="Z127" s="2">
        <v>12625</v>
      </c>
      <c r="AA127">
        <v>0</v>
      </c>
      <c r="AB127">
        <v>19125</v>
      </c>
      <c r="AC127">
        <v>64551125</v>
      </c>
      <c r="AD127">
        <v>0</v>
      </c>
      <c r="AE127" s="5">
        <v>45694</v>
      </c>
      <c r="AF127" t="s">
        <v>356</v>
      </c>
      <c r="AG127" t="s">
        <v>1118</v>
      </c>
      <c r="AH127" t="s">
        <v>748</v>
      </c>
    </row>
    <row r="128" spans="1:34" ht="15" customHeight="1" x14ac:dyDescent="0.2">
      <c r="A128" t="s">
        <v>2337</v>
      </c>
      <c r="B128" t="s">
        <v>485</v>
      </c>
      <c r="C128" s="2">
        <v>12725</v>
      </c>
      <c r="D128" s="5">
        <v>45694</v>
      </c>
      <c r="E128" s="5">
        <v>45694.874305555553</v>
      </c>
      <c r="F128" t="s">
        <v>312</v>
      </c>
      <c r="G128" s="2">
        <v>923245</v>
      </c>
      <c r="H128" t="s">
        <v>29</v>
      </c>
      <c r="I128" t="s">
        <v>30</v>
      </c>
      <c r="J128" t="s">
        <v>31</v>
      </c>
      <c r="K128" s="50">
        <v>48294866</v>
      </c>
      <c r="L128" s="50">
        <v>0</v>
      </c>
      <c r="M128" s="50">
        <v>48294866</v>
      </c>
      <c r="N128" s="50">
        <v>44308623</v>
      </c>
      <c r="O128" t="s">
        <v>351</v>
      </c>
      <c r="P128">
        <v>22519753</v>
      </c>
      <c r="Q128" t="s">
        <v>1120</v>
      </c>
      <c r="R128" t="s">
        <v>316</v>
      </c>
      <c r="S128" t="s">
        <v>317</v>
      </c>
      <c r="T128" s="2">
        <v>570451870051195</v>
      </c>
      <c r="U128" t="s">
        <v>319</v>
      </c>
      <c r="V128">
        <v>860034313</v>
      </c>
      <c r="W128" t="s">
        <v>355</v>
      </c>
      <c r="X128" s="2">
        <v>3825</v>
      </c>
      <c r="Y128" s="2">
        <v>3825</v>
      </c>
      <c r="Z128" s="2">
        <v>12725</v>
      </c>
      <c r="AA128">
        <v>0</v>
      </c>
      <c r="AB128">
        <v>19225</v>
      </c>
      <c r="AC128">
        <v>64551225</v>
      </c>
      <c r="AD128">
        <v>0</v>
      </c>
      <c r="AE128" s="5">
        <v>45694</v>
      </c>
      <c r="AF128" t="s">
        <v>356</v>
      </c>
      <c r="AG128" t="s">
        <v>1123</v>
      </c>
      <c r="AH128" t="s">
        <v>748</v>
      </c>
    </row>
    <row r="129" spans="1:34" ht="15" customHeight="1" x14ac:dyDescent="0.2">
      <c r="A129" t="s">
        <v>2338</v>
      </c>
      <c r="B129" t="s">
        <v>485</v>
      </c>
      <c r="C129" s="2">
        <v>12825</v>
      </c>
      <c r="D129" s="5">
        <v>45694</v>
      </c>
      <c r="E129" s="5">
        <v>45694.874305555553</v>
      </c>
      <c r="F129" t="s">
        <v>312</v>
      </c>
      <c r="G129" s="2">
        <v>923245</v>
      </c>
      <c r="H129" t="s">
        <v>29</v>
      </c>
      <c r="I129" t="s">
        <v>30</v>
      </c>
      <c r="J129" t="s">
        <v>31</v>
      </c>
      <c r="K129" s="50">
        <v>48294866</v>
      </c>
      <c r="L129" s="50">
        <v>0</v>
      </c>
      <c r="M129" s="50">
        <v>48294866</v>
      </c>
      <c r="N129" s="50">
        <v>44308623</v>
      </c>
      <c r="O129" t="s">
        <v>351</v>
      </c>
      <c r="P129">
        <v>51782526</v>
      </c>
      <c r="Q129" t="s">
        <v>1125</v>
      </c>
      <c r="R129" t="s">
        <v>316</v>
      </c>
      <c r="S129" t="s">
        <v>317</v>
      </c>
      <c r="T129" s="2">
        <v>176070189343</v>
      </c>
      <c r="U129" t="s">
        <v>319</v>
      </c>
      <c r="V129">
        <v>860034313</v>
      </c>
      <c r="W129" t="s">
        <v>355</v>
      </c>
      <c r="X129" s="2">
        <v>3825</v>
      </c>
      <c r="Y129" s="2">
        <v>3825</v>
      </c>
      <c r="Z129" s="2">
        <v>12825</v>
      </c>
      <c r="AA129">
        <v>0</v>
      </c>
      <c r="AB129">
        <v>19325</v>
      </c>
      <c r="AC129">
        <v>64551325</v>
      </c>
      <c r="AD129">
        <v>0</v>
      </c>
      <c r="AE129" s="5">
        <v>45694</v>
      </c>
      <c r="AF129" t="s">
        <v>356</v>
      </c>
      <c r="AG129" t="s">
        <v>1128</v>
      </c>
      <c r="AH129" t="s">
        <v>748</v>
      </c>
    </row>
    <row r="130" spans="1:34" ht="15" customHeight="1" x14ac:dyDescent="0.2">
      <c r="A130" t="s">
        <v>2339</v>
      </c>
      <c r="B130" t="s">
        <v>485</v>
      </c>
      <c r="C130" s="2">
        <v>12925</v>
      </c>
      <c r="D130" s="5">
        <v>45694</v>
      </c>
      <c r="E130" s="5">
        <v>45694.874305555553</v>
      </c>
      <c r="F130" t="s">
        <v>312</v>
      </c>
      <c r="G130" s="2">
        <v>923245</v>
      </c>
      <c r="H130" t="s">
        <v>29</v>
      </c>
      <c r="I130" t="s">
        <v>30</v>
      </c>
      <c r="J130" t="s">
        <v>31</v>
      </c>
      <c r="K130" s="50">
        <v>48294866</v>
      </c>
      <c r="L130" s="50">
        <v>0</v>
      </c>
      <c r="M130" s="50">
        <v>48294866</v>
      </c>
      <c r="N130" s="50">
        <v>44308623</v>
      </c>
      <c r="O130" t="s">
        <v>351</v>
      </c>
      <c r="P130">
        <v>79470462</v>
      </c>
      <c r="Q130" t="s">
        <v>1129</v>
      </c>
      <c r="R130" t="s">
        <v>316</v>
      </c>
      <c r="S130" t="s">
        <v>317</v>
      </c>
      <c r="T130" s="2">
        <v>24078861329</v>
      </c>
      <c r="U130" t="s">
        <v>319</v>
      </c>
      <c r="V130">
        <v>860007335</v>
      </c>
      <c r="W130" t="s">
        <v>381</v>
      </c>
      <c r="X130" s="2">
        <v>3825</v>
      </c>
      <c r="Y130" s="2">
        <v>3825</v>
      </c>
      <c r="Z130" s="2">
        <v>12925</v>
      </c>
      <c r="AA130">
        <v>0</v>
      </c>
      <c r="AB130">
        <v>19425</v>
      </c>
      <c r="AC130">
        <v>64551425</v>
      </c>
      <c r="AD130">
        <v>0</v>
      </c>
      <c r="AE130" s="5">
        <v>45694</v>
      </c>
      <c r="AF130" t="s">
        <v>356</v>
      </c>
      <c r="AG130" t="s">
        <v>1131</v>
      </c>
      <c r="AH130" t="s">
        <v>748</v>
      </c>
    </row>
    <row r="131" spans="1:34" ht="15" customHeight="1" x14ac:dyDescent="0.2">
      <c r="A131" t="s">
        <v>2340</v>
      </c>
      <c r="B131" t="s">
        <v>485</v>
      </c>
      <c r="C131" s="2">
        <v>13025</v>
      </c>
      <c r="D131" s="5">
        <v>45694</v>
      </c>
      <c r="E131" s="5">
        <v>45694.874305555553</v>
      </c>
      <c r="F131" t="s">
        <v>312</v>
      </c>
      <c r="G131" s="2">
        <v>923245</v>
      </c>
      <c r="H131" t="s">
        <v>29</v>
      </c>
      <c r="I131" t="s">
        <v>30</v>
      </c>
      <c r="J131" t="s">
        <v>31</v>
      </c>
      <c r="K131" s="50">
        <v>48294866</v>
      </c>
      <c r="L131" s="50">
        <v>0</v>
      </c>
      <c r="M131" s="50">
        <v>48294866</v>
      </c>
      <c r="N131" s="50">
        <v>44308623</v>
      </c>
      <c r="O131" t="s">
        <v>351</v>
      </c>
      <c r="P131">
        <v>19498591</v>
      </c>
      <c r="Q131" t="s">
        <v>1133</v>
      </c>
      <c r="R131" t="s">
        <v>316</v>
      </c>
      <c r="S131" t="s">
        <v>317</v>
      </c>
      <c r="T131" s="2">
        <v>42323477</v>
      </c>
      <c r="U131" t="s">
        <v>319</v>
      </c>
      <c r="V131">
        <v>860003020</v>
      </c>
      <c r="W131" t="s">
        <v>393</v>
      </c>
      <c r="X131" s="2">
        <v>3825</v>
      </c>
      <c r="Y131" s="2">
        <v>3825</v>
      </c>
      <c r="Z131" s="2">
        <v>13025</v>
      </c>
      <c r="AA131">
        <v>0</v>
      </c>
      <c r="AB131">
        <v>19525</v>
      </c>
      <c r="AC131">
        <v>64551525</v>
      </c>
      <c r="AD131">
        <v>0</v>
      </c>
      <c r="AE131" s="5">
        <v>45694</v>
      </c>
      <c r="AF131" t="s">
        <v>356</v>
      </c>
      <c r="AG131" t="s">
        <v>1135</v>
      </c>
      <c r="AH131" t="s">
        <v>748</v>
      </c>
    </row>
    <row r="132" spans="1:34" ht="15" customHeight="1" x14ac:dyDescent="0.2">
      <c r="A132" t="s">
        <v>2341</v>
      </c>
      <c r="B132" t="s">
        <v>485</v>
      </c>
      <c r="C132" s="2">
        <v>13125</v>
      </c>
      <c r="D132" s="5">
        <v>45694</v>
      </c>
      <c r="E132" s="5">
        <v>45694.874305555553</v>
      </c>
      <c r="F132" t="s">
        <v>312</v>
      </c>
      <c r="G132" s="2">
        <v>923245</v>
      </c>
      <c r="H132" t="s">
        <v>29</v>
      </c>
      <c r="I132" t="s">
        <v>30</v>
      </c>
      <c r="J132" t="s">
        <v>31</v>
      </c>
      <c r="K132" s="50">
        <v>48294866</v>
      </c>
      <c r="L132" s="50">
        <v>0</v>
      </c>
      <c r="M132" s="50">
        <v>48294866</v>
      </c>
      <c r="N132" s="50">
        <v>44308623</v>
      </c>
      <c r="O132" t="s">
        <v>351</v>
      </c>
      <c r="P132">
        <v>52365942</v>
      </c>
      <c r="Q132" t="s">
        <v>1137</v>
      </c>
      <c r="R132" t="s">
        <v>316</v>
      </c>
      <c r="S132" t="s">
        <v>317</v>
      </c>
      <c r="T132" s="2">
        <v>3522938253</v>
      </c>
      <c r="U132" t="s">
        <v>319</v>
      </c>
      <c r="V132">
        <v>890903938</v>
      </c>
      <c r="W132" t="s">
        <v>342</v>
      </c>
      <c r="X132" s="2">
        <v>3825</v>
      </c>
      <c r="Y132" s="2">
        <v>3825</v>
      </c>
      <c r="Z132" s="2">
        <v>13125</v>
      </c>
      <c r="AA132">
        <v>0</v>
      </c>
      <c r="AB132">
        <v>19625</v>
      </c>
      <c r="AC132">
        <v>64551625</v>
      </c>
      <c r="AD132">
        <v>0</v>
      </c>
      <c r="AE132" s="5">
        <v>45694</v>
      </c>
      <c r="AF132" t="s">
        <v>356</v>
      </c>
      <c r="AG132" t="s">
        <v>1139</v>
      </c>
      <c r="AH132" t="s">
        <v>748</v>
      </c>
    </row>
    <row r="133" spans="1:34" ht="15" customHeight="1" x14ac:dyDescent="0.2">
      <c r="A133" t="s">
        <v>2342</v>
      </c>
      <c r="B133" t="s">
        <v>485</v>
      </c>
      <c r="C133" s="2">
        <v>13225</v>
      </c>
      <c r="D133" s="5">
        <v>45694</v>
      </c>
      <c r="E133" s="5">
        <v>45694.874305555553</v>
      </c>
      <c r="F133" t="s">
        <v>312</v>
      </c>
      <c r="G133" s="2">
        <v>923245</v>
      </c>
      <c r="H133" t="s">
        <v>29</v>
      </c>
      <c r="I133" t="s">
        <v>30</v>
      </c>
      <c r="J133" t="s">
        <v>31</v>
      </c>
      <c r="K133" s="50">
        <v>48294866</v>
      </c>
      <c r="L133" s="50">
        <v>0</v>
      </c>
      <c r="M133" s="50">
        <v>48294866</v>
      </c>
      <c r="N133" s="50">
        <v>44308623</v>
      </c>
      <c r="O133" t="s">
        <v>351</v>
      </c>
      <c r="P133">
        <v>35252659</v>
      </c>
      <c r="Q133" t="s">
        <v>1141</v>
      </c>
      <c r="R133" t="s">
        <v>316</v>
      </c>
      <c r="S133" t="s">
        <v>317</v>
      </c>
      <c r="T133" s="2">
        <v>26499096606</v>
      </c>
      <c r="U133" t="s">
        <v>319</v>
      </c>
      <c r="V133">
        <v>890903938</v>
      </c>
      <c r="W133" t="s">
        <v>342</v>
      </c>
      <c r="X133" s="2">
        <v>3825</v>
      </c>
      <c r="Y133" s="2">
        <v>3825</v>
      </c>
      <c r="Z133" s="2">
        <v>13225</v>
      </c>
      <c r="AA133">
        <v>0</v>
      </c>
      <c r="AB133">
        <v>19725</v>
      </c>
      <c r="AC133">
        <v>64551725</v>
      </c>
      <c r="AD133">
        <v>0</v>
      </c>
      <c r="AE133" s="5">
        <v>45694</v>
      </c>
      <c r="AF133" t="s">
        <v>356</v>
      </c>
      <c r="AG133" t="s">
        <v>1143</v>
      </c>
      <c r="AH133" t="s">
        <v>748</v>
      </c>
    </row>
    <row r="134" spans="1:34" ht="15" customHeight="1" x14ac:dyDescent="0.2">
      <c r="A134" t="s">
        <v>2227</v>
      </c>
      <c r="B134" t="s">
        <v>476</v>
      </c>
      <c r="C134" s="2">
        <v>13325</v>
      </c>
      <c r="D134" s="5">
        <v>45695</v>
      </c>
      <c r="E134" s="5">
        <v>45695.488888888889</v>
      </c>
      <c r="F134" t="s">
        <v>312</v>
      </c>
      <c r="G134" s="2">
        <v>923210</v>
      </c>
      <c r="H134" t="s">
        <v>29</v>
      </c>
      <c r="I134" t="s">
        <v>30</v>
      </c>
      <c r="J134" t="s">
        <v>47</v>
      </c>
      <c r="K134" s="50">
        <v>4390</v>
      </c>
      <c r="L134" s="50">
        <v>0</v>
      </c>
      <c r="M134" s="50">
        <v>4390</v>
      </c>
      <c r="N134" s="50">
        <v>0</v>
      </c>
      <c r="O134" t="s">
        <v>314</v>
      </c>
      <c r="P134">
        <v>800007813</v>
      </c>
      <c r="Q134" t="s">
        <v>339</v>
      </c>
      <c r="R134" t="s">
        <v>316</v>
      </c>
      <c r="S134" t="s">
        <v>317</v>
      </c>
      <c r="T134" s="2">
        <v>17800000434</v>
      </c>
      <c r="U134" t="s">
        <v>319</v>
      </c>
      <c r="V134">
        <v>890903938</v>
      </c>
      <c r="W134" t="s">
        <v>342</v>
      </c>
      <c r="X134" s="2">
        <v>1225</v>
      </c>
      <c r="Y134" s="2">
        <v>1225</v>
      </c>
      <c r="Z134" s="2">
        <v>13325</v>
      </c>
      <c r="AA134">
        <v>2625</v>
      </c>
      <c r="AB134">
        <v>1725</v>
      </c>
      <c r="AC134">
        <v>30175325</v>
      </c>
      <c r="AD134">
        <v>0</v>
      </c>
      <c r="AE134" s="5">
        <v>45695</v>
      </c>
      <c r="AF134" t="s">
        <v>323</v>
      </c>
      <c r="AG134" t="s">
        <v>1146</v>
      </c>
      <c r="AH134" t="s">
        <v>1147</v>
      </c>
    </row>
    <row r="135" spans="1:34" ht="15" customHeight="1" x14ac:dyDescent="0.2">
      <c r="A135" t="s">
        <v>2228</v>
      </c>
      <c r="B135" t="s">
        <v>476</v>
      </c>
      <c r="C135" s="2">
        <v>13425</v>
      </c>
      <c r="D135" s="5">
        <v>45695</v>
      </c>
      <c r="E135" s="5">
        <v>45695.499305555553</v>
      </c>
      <c r="F135" t="s">
        <v>312</v>
      </c>
      <c r="G135" s="2">
        <v>923210</v>
      </c>
      <c r="H135" t="s">
        <v>29</v>
      </c>
      <c r="I135" t="s">
        <v>30</v>
      </c>
      <c r="J135" t="s">
        <v>47</v>
      </c>
      <c r="K135" s="50">
        <v>491540</v>
      </c>
      <c r="L135" s="50">
        <v>0</v>
      </c>
      <c r="M135" s="50">
        <v>491540</v>
      </c>
      <c r="N135" s="50">
        <v>0</v>
      </c>
      <c r="O135" t="s">
        <v>314</v>
      </c>
      <c r="P135">
        <v>860063875</v>
      </c>
      <c r="Q135" t="s">
        <v>315</v>
      </c>
      <c r="R135" t="s">
        <v>316</v>
      </c>
      <c r="S135" t="s">
        <v>317</v>
      </c>
      <c r="T135" s="2">
        <v>90060000410</v>
      </c>
      <c r="U135" t="s">
        <v>319</v>
      </c>
      <c r="V135">
        <v>860050750</v>
      </c>
      <c r="W135" t="s">
        <v>321</v>
      </c>
      <c r="X135" s="2">
        <v>1225</v>
      </c>
      <c r="Y135" s="2">
        <v>1225</v>
      </c>
      <c r="Z135" s="2">
        <v>13425</v>
      </c>
      <c r="AA135" t="s">
        <v>1150</v>
      </c>
      <c r="AB135">
        <v>1825</v>
      </c>
      <c r="AC135">
        <v>30588325</v>
      </c>
      <c r="AD135">
        <v>0</v>
      </c>
      <c r="AE135" s="5">
        <v>45695</v>
      </c>
      <c r="AF135" t="s">
        <v>323</v>
      </c>
      <c r="AG135" t="s">
        <v>1152</v>
      </c>
      <c r="AH135" t="s">
        <v>1153</v>
      </c>
    </row>
    <row r="136" spans="1:34" ht="15" customHeight="1" x14ac:dyDescent="0.2">
      <c r="A136" t="s">
        <v>2343</v>
      </c>
      <c r="B136" t="s">
        <v>479</v>
      </c>
      <c r="C136" s="2">
        <v>13525</v>
      </c>
      <c r="D136" s="5">
        <v>45695</v>
      </c>
      <c r="E136" s="5">
        <v>45695.678472222222</v>
      </c>
      <c r="F136" t="s">
        <v>312</v>
      </c>
      <c r="G136" s="2">
        <v>923211</v>
      </c>
      <c r="H136" t="s">
        <v>29</v>
      </c>
      <c r="I136" t="s">
        <v>30</v>
      </c>
      <c r="J136" t="s">
        <v>31</v>
      </c>
      <c r="K136" s="50">
        <v>45995110</v>
      </c>
      <c r="L136" s="50">
        <v>0</v>
      </c>
      <c r="M136" s="50">
        <v>45995110</v>
      </c>
      <c r="N136" s="50">
        <v>42775452</v>
      </c>
      <c r="O136" t="s">
        <v>351</v>
      </c>
      <c r="P136">
        <v>52187775</v>
      </c>
      <c r="Q136" t="s">
        <v>1155</v>
      </c>
      <c r="R136" t="s">
        <v>316</v>
      </c>
      <c r="S136" t="s">
        <v>317</v>
      </c>
      <c r="T136" s="2">
        <v>24110608321</v>
      </c>
      <c r="U136" t="s">
        <v>319</v>
      </c>
      <c r="V136">
        <v>860007335</v>
      </c>
      <c r="W136" t="s">
        <v>381</v>
      </c>
      <c r="X136" s="2">
        <v>2125</v>
      </c>
      <c r="Y136" s="2">
        <v>2125</v>
      </c>
      <c r="Z136" s="2">
        <v>13525</v>
      </c>
      <c r="AA136">
        <v>0</v>
      </c>
      <c r="AB136">
        <v>19825</v>
      </c>
      <c r="AC136">
        <v>64551825</v>
      </c>
      <c r="AD136">
        <v>0</v>
      </c>
      <c r="AE136" s="5">
        <v>45695</v>
      </c>
      <c r="AF136" t="s">
        <v>356</v>
      </c>
      <c r="AG136" t="s">
        <v>1157</v>
      </c>
      <c r="AH136" t="s">
        <v>1158</v>
      </c>
    </row>
    <row r="137" spans="1:34" ht="15" customHeight="1" x14ac:dyDescent="0.2">
      <c r="A137" t="s">
        <v>2344</v>
      </c>
      <c r="B137" t="s">
        <v>479</v>
      </c>
      <c r="C137" s="2">
        <v>13625</v>
      </c>
      <c r="D137" s="5">
        <v>45695</v>
      </c>
      <c r="E137" s="5">
        <v>45695.678472222222</v>
      </c>
      <c r="F137" t="s">
        <v>312</v>
      </c>
      <c r="G137" s="2">
        <v>923211</v>
      </c>
      <c r="H137" t="s">
        <v>29</v>
      </c>
      <c r="I137" t="s">
        <v>30</v>
      </c>
      <c r="J137" t="s">
        <v>31</v>
      </c>
      <c r="K137" s="50">
        <v>45995110</v>
      </c>
      <c r="L137" s="50">
        <v>0</v>
      </c>
      <c r="M137" s="50">
        <v>45995110</v>
      </c>
      <c r="N137" s="50">
        <v>42775452</v>
      </c>
      <c r="O137" t="s">
        <v>351</v>
      </c>
      <c r="P137">
        <v>80436995</v>
      </c>
      <c r="Q137" t="s">
        <v>1160</v>
      </c>
      <c r="R137" t="s">
        <v>316</v>
      </c>
      <c r="S137" t="s">
        <v>317</v>
      </c>
      <c r="T137" s="2">
        <v>24070474031</v>
      </c>
      <c r="U137" t="s">
        <v>319</v>
      </c>
      <c r="V137">
        <v>860007335</v>
      </c>
      <c r="W137" t="s">
        <v>381</v>
      </c>
      <c r="X137" s="2">
        <v>2125</v>
      </c>
      <c r="Y137" s="2">
        <v>2125</v>
      </c>
      <c r="Z137" s="2">
        <v>13625</v>
      </c>
      <c r="AA137">
        <v>0</v>
      </c>
      <c r="AB137">
        <v>19925</v>
      </c>
      <c r="AC137">
        <v>64551925</v>
      </c>
      <c r="AD137">
        <v>0</v>
      </c>
      <c r="AE137" s="5">
        <v>45695</v>
      </c>
      <c r="AF137" t="s">
        <v>356</v>
      </c>
      <c r="AG137" t="s">
        <v>1162</v>
      </c>
      <c r="AH137" t="s">
        <v>1158</v>
      </c>
    </row>
    <row r="138" spans="1:34" ht="15" customHeight="1" x14ac:dyDescent="0.2">
      <c r="A138" t="s">
        <v>2345</v>
      </c>
      <c r="B138" t="s">
        <v>479</v>
      </c>
      <c r="C138" s="2">
        <v>13725</v>
      </c>
      <c r="D138" s="5">
        <v>45695</v>
      </c>
      <c r="E138" s="5">
        <v>45695.678472222222</v>
      </c>
      <c r="F138" t="s">
        <v>312</v>
      </c>
      <c r="G138" s="2">
        <v>923211</v>
      </c>
      <c r="H138" t="s">
        <v>29</v>
      </c>
      <c r="I138" t="s">
        <v>30</v>
      </c>
      <c r="J138" t="s">
        <v>31</v>
      </c>
      <c r="K138" s="50">
        <v>45995110</v>
      </c>
      <c r="L138" s="50">
        <v>0</v>
      </c>
      <c r="M138" s="50">
        <v>45995110</v>
      </c>
      <c r="N138" s="50">
        <v>42775452</v>
      </c>
      <c r="O138" t="s">
        <v>351</v>
      </c>
      <c r="P138">
        <v>1032434209</v>
      </c>
      <c r="Q138" t="s">
        <v>1164</v>
      </c>
      <c r="R138" t="s">
        <v>316</v>
      </c>
      <c r="S138" t="s">
        <v>317</v>
      </c>
      <c r="T138" s="2">
        <v>67859351112</v>
      </c>
      <c r="U138" t="s">
        <v>319</v>
      </c>
      <c r="V138">
        <v>890903938</v>
      </c>
      <c r="W138" t="s">
        <v>342</v>
      </c>
      <c r="X138" s="2">
        <v>2125</v>
      </c>
      <c r="Y138" s="2">
        <v>2125</v>
      </c>
      <c r="Z138" s="2">
        <v>13725</v>
      </c>
      <c r="AA138">
        <v>0</v>
      </c>
      <c r="AB138">
        <v>20025</v>
      </c>
      <c r="AC138">
        <v>64552025</v>
      </c>
      <c r="AD138">
        <v>0</v>
      </c>
      <c r="AE138" s="5">
        <v>45695</v>
      </c>
      <c r="AF138" t="s">
        <v>356</v>
      </c>
      <c r="AG138" t="s">
        <v>1166</v>
      </c>
      <c r="AH138" t="s">
        <v>1158</v>
      </c>
    </row>
    <row r="139" spans="1:34" ht="15" customHeight="1" x14ac:dyDescent="0.2">
      <c r="A139" t="s">
        <v>2346</v>
      </c>
      <c r="B139" t="s">
        <v>479</v>
      </c>
      <c r="C139" s="2">
        <v>13825</v>
      </c>
      <c r="D139" s="5">
        <v>45695</v>
      </c>
      <c r="E139" s="5">
        <v>45695.678472222222</v>
      </c>
      <c r="F139" t="s">
        <v>312</v>
      </c>
      <c r="G139" s="2">
        <v>923211</v>
      </c>
      <c r="H139" t="s">
        <v>29</v>
      </c>
      <c r="I139" t="s">
        <v>30</v>
      </c>
      <c r="J139" t="s">
        <v>31</v>
      </c>
      <c r="K139" s="50">
        <v>45995110</v>
      </c>
      <c r="L139" s="50">
        <v>0</v>
      </c>
      <c r="M139" s="50">
        <v>45995110</v>
      </c>
      <c r="N139" s="50">
        <v>42775452</v>
      </c>
      <c r="O139" t="s">
        <v>351</v>
      </c>
      <c r="P139">
        <v>35534775</v>
      </c>
      <c r="Q139" t="s">
        <v>1168</v>
      </c>
      <c r="R139" t="s">
        <v>316</v>
      </c>
      <c r="S139" t="s">
        <v>317</v>
      </c>
      <c r="T139" s="2">
        <v>462270033741</v>
      </c>
      <c r="U139" t="s">
        <v>319</v>
      </c>
      <c r="V139">
        <v>860034313</v>
      </c>
      <c r="W139" t="s">
        <v>355</v>
      </c>
      <c r="X139" s="2">
        <v>2125</v>
      </c>
      <c r="Y139" s="2">
        <v>2125</v>
      </c>
      <c r="Z139" s="2">
        <v>13825</v>
      </c>
      <c r="AA139">
        <v>0</v>
      </c>
      <c r="AB139">
        <v>20125</v>
      </c>
      <c r="AC139">
        <v>64552125</v>
      </c>
      <c r="AD139">
        <v>0</v>
      </c>
      <c r="AE139" s="5">
        <v>45695</v>
      </c>
      <c r="AF139" t="s">
        <v>356</v>
      </c>
      <c r="AG139" t="s">
        <v>1170</v>
      </c>
      <c r="AH139" t="s">
        <v>1158</v>
      </c>
    </row>
    <row r="140" spans="1:34" ht="15" customHeight="1" x14ac:dyDescent="0.2">
      <c r="A140" t="s">
        <v>2347</v>
      </c>
      <c r="B140" t="s">
        <v>479</v>
      </c>
      <c r="C140" s="2">
        <v>13925</v>
      </c>
      <c r="D140" s="5">
        <v>45695</v>
      </c>
      <c r="E140" s="5">
        <v>45695.678472222222</v>
      </c>
      <c r="F140" t="s">
        <v>312</v>
      </c>
      <c r="G140" s="2">
        <v>923211</v>
      </c>
      <c r="H140" t="s">
        <v>29</v>
      </c>
      <c r="I140" t="s">
        <v>30</v>
      </c>
      <c r="J140" t="s">
        <v>31</v>
      </c>
      <c r="K140" s="50">
        <v>45995110</v>
      </c>
      <c r="L140" s="50">
        <v>0</v>
      </c>
      <c r="M140" s="50">
        <v>45995110</v>
      </c>
      <c r="N140" s="50">
        <v>42775452</v>
      </c>
      <c r="O140" t="s">
        <v>351</v>
      </c>
      <c r="P140">
        <v>25560681</v>
      </c>
      <c r="Q140" t="s">
        <v>1172</v>
      </c>
      <c r="R140" t="s">
        <v>316</v>
      </c>
      <c r="S140" t="s">
        <v>317</v>
      </c>
      <c r="T140" s="2">
        <v>24233211113</v>
      </c>
      <c r="U140" t="s">
        <v>319</v>
      </c>
      <c r="V140">
        <v>890903938</v>
      </c>
      <c r="W140" t="s">
        <v>342</v>
      </c>
      <c r="X140" s="2">
        <v>2125</v>
      </c>
      <c r="Y140" s="2">
        <v>2125</v>
      </c>
      <c r="Z140" s="2">
        <v>13925</v>
      </c>
      <c r="AA140">
        <v>0</v>
      </c>
      <c r="AB140">
        <v>20225</v>
      </c>
      <c r="AC140">
        <v>64552225</v>
      </c>
      <c r="AD140">
        <v>0</v>
      </c>
      <c r="AE140" s="5">
        <v>45695</v>
      </c>
      <c r="AF140" t="s">
        <v>356</v>
      </c>
      <c r="AG140" t="s">
        <v>1174</v>
      </c>
      <c r="AH140" t="s">
        <v>1158</v>
      </c>
    </row>
    <row r="141" spans="1:34" ht="15" customHeight="1" x14ac:dyDescent="0.2">
      <c r="A141" t="s">
        <v>2348</v>
      </c>
      <c r="B141" t="s">
        <v>479</v>
      </c>
      <c r="C141" s="2">
        <v>14025</v>
      </c>
      <c r="D141" s="5">
        <v>45695</v>
      </c>
      <c r="E141" s="5">
        <v>45695.678472222222</v>
      </c>
      <c r="F141" t="s">
        <v>312</v>
      </c>
      <c r="G141" s="2">
        <v>923211</v>
      </c>
      <c r="H141" t="s">
        <v>29</v>
      </c>
      <c r="I141" t="s">
        <v>30</v>
      </c>
      <c r="J141" t="s">
        <v>31</v>
      </c>
      <c r="K141" s="50">
        <v>45995110</v>
      </c>
      <c r="L141" s="50">
        <v>0</v>
      </c>
      <c r="M141" s="50">
        <v>45995110</v>
      </c>
      <c r="N141" s="50">
        <v>42775452</v>
      </c>
      <c r="O141" t="s">
        <v>351</v>
      </c>
      <c r="P141">
        <v>33368355</v>
      </c>
      <c r="Q141" t="s">
        <v>1176</v>
      </c>
      <c r="R141" t="s">
        <v>316</v>
      </c>
      <c r="S141" t="s">
        <v>317</v>
      </c>
      <c r="T141" s="2">
        <v>60631247949</v>
      </c>
      <c r="U141" t="s">
        <v>319</v>
      </c>
      <c r="V141">
        <v>890903938</v>
      </c>
      <c r="W141" t="s">
        <v>342</v>
      </c>
      <c r="X141" s="2">
        <v>2125</v>
      </c>
      <c r="Y141" s="2">
        <v>2125</v>
      </c>
      <c r="Z141" s="2">
        <v>14025</v>
      </c>
      <c r="AA141">
        <v>0</v>
      </c>
      <c r="AB141">
        <v>20325</v>
      </c>
      <c r="AC141">
        <v>64552325</v>
      </c>
      <c r="AD141">
        <v>0</v>
      </c>
      <c r="AE141" s="5">
        <v>45695</v>
      </c>
      <c r="AF141" t="s">
        <v>356</v>
      </c>
      <c r="AG141" t="s">
        <v>1178</v>
      </c>
      <c r="AH141" t="s">
        <v>1158</v>
      </c>
    </row>
    <row r="142" spans="1:34" ht="15" customHeight="1" x14ac:dyDescent="0.2">
      <c r="A142" t="s">
        <v>2349</v>
      </c>
      <c r="B142" t="s">
        <v>479</v>
      </c>
      <c r="C142" s="2">
        <v>14125</v>
      </c>
      <c r="D142" s="5">
        <v>45695</v>
      </c>
      <c r="E142" s="5">
        <v>45695.678472222222</v>
      </c>
      <c r="F142" t="s">
        <v>312</v>
      </c>
      <c r="G142" s="2">
        <v>923211</v>
      </c>
      <c r="H142" t="s">
        <v>29</v>
      </c>
      <c r="I142" t="s">
        <v>30</v>
      </c>
      <c r="J142" t="s">
        <v>31</v>
      </c>
      <c r="K142" s="50">
        <v>45995110</v>
      </c>
      <c r="L142" s="50">
        <v>0</v>
      </c>
      <c r="M142" s="50">
        <v>45995110</v>
      </c>
      <c r="N142" s="50">
        <v>42775452</v>
      </c>
      <c r="O142" t="s">
        <v>351</v>
      </c>
      <c r="P142">
        <v>37724921</v>
      </c>
      <c r="Q142" t="s">
        <v>1180</v>
      </c>
      <c r="R142" t="s">
        <v>316</v>
      </c>
      <c r="S142" t="s">
        <v>317</v>
      </c>
      <c r="T142" s="2">
        <v>24079420668</v>
      </c>
      <c r="U142" t="s">
        <v>319</v>
      </c>
      <c r="V142">
        <v>860007335</v>
      </c>
      <c r="W142" t="s">
        <v>381</v>
      </c>
      <c r="X142" s="2">
        <v>2125</v>
      </c>
      <c r="Y142" s="2">
        <v>2125</v>
      </c>
      <c r="Z142" s="2">
        <v>14125</v>
      </c>
      <c r="AA142">
        <v>0</v>
      </c>
      <c r="AB142">
        <v>20425</v>
      </c>
      <c r="AC142">
        <v>64552425</v>
      </c>
      <c r="AD142">
        <v>0</v>
      </c>
      <c r="AE142" s="5">
        <v>45695</v>
      </c>
      <c r="AF142" t="s">
        <v>356</v>
      </c>
      <c r="AG142" t="s">
        <v>1182</v>
      </c>
      <c r="AH142" t="s">
        <v>1158</v>
      </c>
    </row>
    <row r="143" spans="1:34" ht="15" customHeight="1" x14ac:dyDescent="0.2">
      <c r="A143" t="s">
        <v>2350</v>
      </c>
      <c r="B143" t="s">
        <v>479</v>
      </c>
      <c r="C143" s="2">
        <v>14225</v>
      </c>
      <c r="D143" s="5">
        <v>45695</v>
      </c>
      <c r="E143" s="5">
        <v>45695.678472222222</v>
      </c>
      <c r="F143" t="s">
        <v>312</v>
      </c>
      <c r="G143" s="2">
        <v>923211</v>
      </c>
      <c r="H143" t="s">
        <v>29</v>
      </c>
      <c r="I143" t="s">
        <v>30</v>
      </c>
      <c r="J143" t="s">
        <v>31</v>
      </c>
      <c r="K143" s="50">
        <v>45995110</v>
      </c>
      <c r="L143" s="50">
        <v>0</v>
      </c>
      <c r="M143" s="50">
        <v>45995110</v>
      </c>
      <c r="N143" s="50">
        <v>42775452</v>
      </c>
      <c r="O143" t="s">
        <v>351</v>
      </c>
      <c r="P143">
        <v>52023447</v>
      </c>
      <c r="Q143" t="s">
        <v>1184</v>
      </c>
      <c r="R143" t="s">
        <v>316</v>
      </c>
      <c r="S143" t="s">
        <v>317</v>
      </c>
      <c r="T143" s="2">
        <v>7500816892</v>
      </c>
      <c r="U143" t="s">
        <v>319</v>
      </c>
      <c r="V143">
        <v>860034313</v>
      </c>
      <c r="W143" t="s">
        <v>355</v>
      </c>
      <c r="X143" s="2">
        <v>2125</v>
      </c>
      <c r="Y143" s="2">
        <v>2125</v>
      </c>
      <c r="Z143" s="2">
        <v>14225</v>
      </c>
      <c r="AA143">
        <v>0</v>
      </c>
      <c r="AB143">
        <v>20525</v>
      </c>
      <c r="AC143">
        <v>64552525</v>
      </c>
      <c r="AD143">
        <v>0</v>
      </c>
      <c r="AE143" s="5">
        <v>45695</v>
      </c>
      <c r="AF143" t="s">
        <v>356</v>
      </c>
      <c r="AG143" t="s">
        <v>1187</v>
      </c>
      <c r="AH143" t="s">
        <v>1158</v>
      </c>
    </row>
    <row r="144" spans="1:34" ht="15" customHeight="1" x14ac:dyDescent="0.2">
      <c r="A144" t="s">
        <v>2351</v>
      </c>
      <c r="B144" t="s">
        <v>479</v>
      </c>
      <c r="C144" s="2">
        <v>14325</v>
      </c>
      <c r="D144" s="5">
        <v>45695</v>
      </c>
      <c r="E144" s="5">
        <v>45695.678472222222</v>
      </c>
      <c r="F144" t="s">
        <v>312</v>
      </c>
      <c r="G144" s="2">
        <v>923211</v>
      </c>
      <c r="H144" t="s">
        <v>29</v>
      </c>
      <c r="I144" t="s">
        <v>30</v>
      </c>
      <c r="J144" t="s">
        <v>31</v>
      </c>
      <c r="K144" s="50">
        <v>45995110</v>
      </c>
      <c r="L144" s="50">
        <v>0</v>
      </c>
      <c r="M144" s="50">
        <v>45995110</v>
      </c>
      <c r="N144" s="50">
        <v>42775452</v>
      </c>
      <c r="O144" t="s">
        <v>351</v>
      </c>
      <c r="P144">
        <v>52375951</v>
      </c>
      <c r="Q144" t="s">
        <v>1189</v>
      </c>
      <c r="R144" t="s">
        <v>316</v>
      </c>
      <c r="S144" t="s">
        <v>317</v>
      </c>
      <c r="T144" s="2">
        <v>91200171930</v>
      </c>
      <c r="U144" t="s">
        <v>319</v>
      </c>
      <c r="V144">
        <v>890903938</v>
      </c>
      <c r="W144" t="s">
        <v>342</v>
      </c>
      <c r="X144" s="2">
        <v>2125</v>
      </c>
      <c r="Y144" s="2">
        <v>2125</v>
      </c>
      <c r="Z144" s="2">
        <v>14325</v>
      </c>
      <c r="AA144">
        <v>0</v>
      </c>
      <c r="AB144">
        <v>20625</v>
      </c>
      <c r="AC144">
        <v>64552625</v>
      </c>
      <c r="AD144">
        <v>0</v>
      </c>
      <c r="AE144" s="5">
        <v>45695</v>
      </c>
      <c r="AF144" t="s">
        <v>356</v>
      </c>
      <c r="AG144" t="s">
        <v>1192</v>
      </c>
      <c r="AH144" t="s">
        <v>1158</v>
      </c>
    </row>
    <row r="145" spans="1:34" ht="15" customHeight="1" x14ac:dyDescent="0.2">
      <c r="A145" t="s">
        <v>2352</v>
      </c>
      <c r="B145" t="s">
        <v>479</v>
      </c>
      <c r="C145" s="2">
        <v>14425</v>
      </c>
      <c r="D145" s="5">
        <v>45695</v>
      </c>
      <c r="E145" s="5">
        <v>45695.678472222222</v>
      </c>
      <c r="F145" t="s">
        <v>312</v>
      </c>
      <c r="G145" s="2">
        <v>923211</v>
      </c>
      <c r="H145" t="s">
        <v>29</v>
      </c>
      <c r="I145" t="s">
        <v>30</v>
      </c>
      <c r="J145" t="s">
        <v>31</v>
      </c>
      <c r="K145" s="50">
        <v>45995110</v>
      </c>
      <c r="L145" s="50">
        <v>0</v>
      </c>
      <c r="M145" s="50">
        <v>45995110</v>
      </c>
      <c r="N145" s="50">
        <v>42775452</v>
      </c>
      <c r="O145" t="s">
        <v>351</v>
      </c>
      <c r="P145">
        <v>53021282</v>
      </c>
      <c r="Q145" t="s">
        <v>1194</v>
      </c>
      <c r="R145" t="s">
        <v>316</v>
      </c>
      <c r="S145" t="s">
        <v>317</v>
      </c>
      <c r="T145" s="2">
        <v>20779954847</v>
      </c>
      <c r="U145" t="s">
        <v>319</v>
      </c>
      <c r="V145">
        <v>890903938</v>
      </c>
      <c r="W145" t="s">
        <v>342</v>
      </c>
      <c r="X145" s="2">
        <v>2125</v>
      </c>
      <c r="Y145" s="2">
        <v>2125</v>
      </c>
      <c r="Z145" s="2">
        <v>14425</v>
      </c>
      <c r="AA145">
        <v>0</v>
      </c>
      <c r="AB145">
        <v>20725</v>
      </c>
      <c r="AC145">
        <v>64552825</v>
      </c>
      <c r="AD145">
        <v>0</v>
      </c>
      <c r="AE145" s="5">
        <v>45695</v>
      </c>
      <c r="AF145" t="s">
        <v>356</v>
      </c>
      <c r="AG145" t="s">
        <v>1197</v>
      </c>
      <c r="AH145" t="s">
        <v>1158</v>
      </c>
    </row>
    <row r="146" spans="1:34" ht="15" customHeight="1" x14ac:dyDescent="0.2">
      <c r="A146" t="s">
        <v>2353</v>
      </c>
      <c r="B146" t="s">
        <v>479</v>
      </c>
      <c r="C146" s="2">
        <v>14525</v>
      </c>
      <c r="D146" s="5">
        <v>45695</v>
      </c>
      <c r="E146" s="5">
        <v>45695.678472222222</v>
      </c>
      <c r="F146" t="s">
        <v>312</v>
      </c>
      <c r="G146" s="2">
        <v>923211</v>
      </c>
      <c r="H146" t="s">
        <v>29</v>
      </c>
      <c r="I146" t="s">
        <v>30</v>
      </c>
      <c r="J146" t="s">
        <v>31</v>
      </c>
      <c r="K146" s="50">
        <v>45995110</v>
      </c>
      <c r="L146" s="50">
        <v>0</v>
      </c>
      <c r="M146" s="50">
        <v>45995110</v>
      </c>
      <c r="N146" s="50">
        <v>42775452</v>
      </c>
      <c r="O146" t="s">
        <v>351</v>
      </c>
      <c r="P146">
        <v>53089812</v>
      </c>
      <c r="Q146" t="s">
        <v>1199</v>
      </c>
      <c r="R146" t="s">
        <v>316</v>
      </c>
      <c r="S146" t="s">
        <v>317</v>
      </c>
      <c r="T146" s="2">
        <v>7900727830</v>
      </c>
      <c r="U146" t="s">
        <v>319</v>
      </c>
      <c r="V146">
        <v>860034313</v>
      </c>
      <c r="W146" t="s">
        <v>355</v>
      </c>
      <c r="X146" s="2">
        <v>2125</v>
      </c>
      <c r="Y146" s="2">
        <v>2125</v>
      </c>
      <c r="Z146" s="2">
        <v>14525</v>
      </c>
      <c r="AA146">
        <v>0</v>
      </c>
      <c r="AB146">
        <v>20825</v>
      </c>
      <c r="AC146">
        <v>64568525</v>
      </c>
      <c r="AD146">
        <v>0</v>
      </c>
      <c r="AE146" s="5">
        <v>45695</v>
      </c>
      <c r="AF146" t="s">
        <v>356</v>
      </c>
      <c r="AG146" t="s">
        <v>1202</v>
      </c>
      <c r="AH146" t="s">
        <v>1158</v>
      </c>
    </row>
    <row r="147" spans="1:34" ht="15" customHeight="1" x14ac:dyDescent="0.2">
      <c r="A147" t="s">
        <v>2354</v>
      </c>
      <c r="B147" t="s">
        <v>479</v>
      </c>
      <c r="C147" s="2">
        <v>14625</v>
      </c>
      <c r="D147" s="5">
        <v>45695</v>
      </c>
      <c r="E147" s="5">
        <v>45695.678472222222</v>
      </c>
      <c r="F147" t="s">
        <v>312</v>
      </c>
      <c r="G147" s="2">
        <v>923211</v>
      </c>
      <c r="H147" t="s">
        <v>29</v>
      </c>
      <c r="I147" t="s">
        <v>30</v>
      </c>
      <c r="J147" t="s">
        <v>31</v>
      </c>
      <c r="K147" s="50">
        <v>45995110</v>
      </c>
      <c r="L147" s="50">
        <v>0</v>
      </c>
      <c r="M147" s="50">
        <v>45995110</v>
      </c>
      <c r="N147" s="50">
        <v>42775452</v>
      </c>
      <c r="O147" t="s">
        <v>351</v>
      </c>
      <c r="P147">
        <v>53931238</v>
      </c>
      <c r="Q147" t="s">
        <v>1203</v>
      </c>
      <c r="R147" t="s">
        <v>316</v>
      </c>
      <c r="S147" t="s">
        <v>317</v>
      </c>
      <c r="T147" s="2">
        <v>406170019987</v>
      </c>
      <c r="U147" t="s">
        <v>319</v>
      </c>
      <c r="V147">
        <v>860034313</v>
      </c>
      <c r="W147" t="s">
        <v>355</v>
      </c>
      <c r="X147" s="2">
        <v>2125</v>
      </c>
      <c r="Y147" s="2">
        <v>2125</v>
      </c>
      <c r="Z147" s="2">
        <v>14625</v>
      </c>
      <c r="AA147">
        <v>0</v>
      </c>
      <c r="AB147">
        <v>20925</v>
      </c>
      <c r="AC147">
        <v>64568625</v>
      </c>
      <c r="AD147">
        <v>0</v>
      </c>
      <c r="AE147" s="5">
        <v>45695</v>
      </c>
      <c r="AF147" t="s">
        <v>356</v>
      </c>
      <c r="AG147" t="s">
        <v>1206</v>
      </c>
      <c r="AH147" t="s">
        <v>1158</v>
      </c>
    </row>
    <row r="148" spans="1:34" ht="15" customHeight="1" x14ac:dyDescent="0.2">
      <c r="A148" t="s">
        <v>2355</v>
      </c>
      <c r="B148" t="s">
        <v>479</v>
      </c>
      <c r="C148" s="2">
        <v>14725</v>
      </c>
      <c r="D148" s="5">
        <v>45695</v>
      </c>
      <c r="E148" s="5">
        <v>45695.678472222222</v>
      </c>
      <c r="F148" t="s">
        <v>312</v>
      </c>
      <c r="G148" s="2">
        <v>923211</v>
      </c>
      <c r="H148" t="s">
        <v>29</v>
      </c>
      <c r="I148" t="s">
        <v>30</v>
      </c>
      <c r="J148" t="s">
        <v>31</v>
      </c>
      <c r="K148" s="50">
        <v>45995110</v>
      </c>
      <c r="L148" s="50">
        <v>0</v>
      </c>
      <c r="M148" s="50">
        <v>45995110</v>
      </c>
      <c r="N148" s="50">
        <v>42775452</v>
      </c>
      <c r="O148" t="s">
        <v>351</v>
      </c>
      <c r="P148">
        <v>79469155</v>
      </c>
      <c r="Q148" t="s">
        <v>1208</v>
      </c>
      <c r="R148" t="s">
        <v>316</v>
      </c>
      <c r="S148" t="s">
        <v>317</v>
      </c>
      <c r="T148" s="2">
        <v>466670002263</v>
      </c>
      <c r="U148" t="s">
        <v>319</v>
      </c>
      <c r="V148">
        <v>860034313</v>
      </c>
      <c r="W148" t="s">
        <v>355</v>
      </c>
      <c r="X148" s="2">
        <v>2125</v>
      </c>
      <c r="Y148" s="2">
        <v>2125</v>
      </c>
      <c r="Z148" s="2">
        <v>14725</v>
      </c>
      <c r="AA148">
        <v>0</v>
      </c>
      <c r="AB148">
        <v>21025</v>
      </c>
      <c r="AC148">
        <v>64568725</v>
      </c>
      <c r="AD148">
        <v>0</v>
      </c>
      <c r="AE148" s="5">
        <v>45695</v>
      </c>
      <c r="AF148" t="s">
        <v>356</v>
      </c>
      <c r="AG148" t="s">
        <v>1211</v>
      </c>
      <c r="AH148" t="s">
        <v>1158</v>
      </c>
    </row>
    <row r="149" spans="1:34" ht="15" customHeight="1" x14ac:dyDescent="0.2">
      <c r="A149" t="s">
        <v>2356</v>
      </c>
      <c r="B149" t="s">
        <v>479</v>
      </c>
      <c r="C149" s="2">
        <v>14825</v>
      </c>
      <c r="D149" s="5">
        <v>45695</v>
      </c>
      <c r="E149" s="5">
        <v>45695.678472222222</v>
      </c>
      <c r="F149" t="s">
        <v>312</v>
      </c>
      <c r="G149" s="2">
        <v>923211</v>
      </c>
      <c r="H149" t="s">
        <v>29</v>
      </c>
      <c r="I149" t="s">
        <v>30</v>
      </c>
      <c r="J149" t="s">
        <v>31</v>
      </c>
      <c r="K149" s="50">
        <v>45995110</v>
      </c>
      <c r="L149" s="50">
        <v>0</v>
      </c>
      <c r="M149" s="50">
        <v>45995110</v>
      </c>
      <c r="N149" s="50">
        <v>42775452</v>
      </c>
      <c r="O149" t="s">
        <v>351</v>
      </c>
      <c r="P149">
        <v>1032373822</v>
      </c>
      <c r="Q149" t="s">
        <v>1213</v>
      </c>
      <c r="R149" t="s">
        <v>316</v>
      </c>
      <c r="S149" t="s">
        <v>317</v>
      </c>
      <c r="T149" s="2">
        <v>272316944</v>
      </c>
      <c r="U149" t="s">
        <v>319</v>
      </c>
      <c r="V149">
        <v>860002964</v>
      </c>
      <c r="W149" t="s">
        <v>419</v>
      </c>
      <c r="X149" s="2">
        <v>2125</v>
      </c>
      <c r="Y149" s="2">
        <v>2125</v>
      </c>
      <c r="Z149" s="2">
        <v>14825</v>
      </c>
      <c r="AA149">
        <v>0</v>
      </c>
      <c r="AB149">
        <v>21125</v>
      </c>
      <c r="AC149">
        <v>64568825</v>
      </c>
      <c r="AD149">
        <v>0</v>
      </c>
      <c r="AE149" s="5">
        <v>45695</v>
      </c>
      <c r="AF149" t="s">
        <v>356</v>
      </c>
      <c r="AG149" t="s">
        <v>1216</v>
      </c>
      <c r="AH149" t="s">
        <v>1158</v>
      </c>
    </row>
    <row r="150" spans="1:34" ht="15" customHeight="1" x14ac:dyDescent="0.2">
      <c r="A150" t="s">
        <v>2357</v>
      </c>
      <c r="B150" t="s">
        <v>479</v>
      </c>
      <c r="C150" s="2">
        <v>14925</v>
      </c>
      <c r="D150" s="5">
        <v>45695</v>
      </c>
      <c r="E150" s="5">
        <v>45695.884722222225</v>
      </c>
      <c r="F150" t="s">
        <v>312</v>
      </c>
      <c r="G150" s="2">
        <v>923211</v>
      </c>
      <c r="H150" t="s">
        <v>29</v>
      </c>
      <c r="I150" t="s">
        <v>30</v>
      </c>
      <c r="J150" t="s">
        <v>31</v>
      </c>
      <c r="K150" s="50">
        <v>45995110</v>
      </c>
      <c r="L150" s="50">
        <v>0</v>
      </c>
      <c r="M150" s="50">
        <v>45995110</v>
      </c>
      <c r="N150" s="50">
        <v>42775452</v>
      </c>
      <c r="O150" t="s">
        <v>351</v>
      </c>
      <c r="P150">
        <v>1032377506</v>
      </c>
      <c r="Q150" t="s">
        <v>1218</v>
      </c>
      <c r="R150" t="s">
        <v>316</v>
      </c>
      <c r="S150" t="s">
        <v>317</v>
      </c>
      <c r="T150" s="2">
        <v>484900028842</v>
      </c>
      <c r="U150" t="s">
        <v>319</v>
      </c>
      <c r="V150">
        <v>860034313</v>
      </c>
      <c r="W150" t="s">
        <v>355</v>
      </c>
      <c r="X150" s="2">
        <v>2125</v>
      </c>
      <c r="Y150" s="2">
        <v>2125</v>
      </c>
      <c r="Z150" s="2">
        <v>14925</v>
      </c>
      <c r="AA150">
        <v>0</v>
      </c>
      <c r="AB150">
        <v>21225</v>
      </c>
      <c r="AC150">
        <v>64568925</v>
      </c>
      <c r="AD150">
        <v>0</v>
      </c>
      <c r="AE150" s="5">
        <v>45695</v>
      </c>
      <c r="AF150" t="s">
        <v>356</v>
      </c>
      <c r="AG150" t="s">
        <v>1221</v>
      </c>
      <c r="AH150" t="s">
        <v>1158</v>
      </c>
    </row>
    <row r="151" spans="1:34" ht="15" customHeight="1" x14ac:dyDescent="0.2">
      <c r="A151" t="s">
        <v>2358</v>
      </c>
      <c r="B151" t="s">
        <v>479</v>
      </c>
      <c r="C151" s="2">
        <v>15025</v>
      </c>
      <c r="D151" s="5">
        <v>45695</v>
      </c>
      <c r="E151" s="5">
        <v>45695.884722222225</v>
      </c>
      <c r="F151" t="s">
        <v>312</v>
      </c>
      <c r="G151" s="2">
        <v>923211</v>
      </c>
      <c r="H151" t="s">
        <v>29</v>
      </c>
      <c r="I151" t="s">
        <v>30</v>
      </c>
      <c r="J151" t="s">
        <v>31</v>
      </c>
      <c r="K151" s="50">
        <v>45995110</v>
      </c>
      <c r="L151" s="50">
        <v>0</v>
      </c>
      <c r="M151" s="50">
        <v>45995110</v>
      </c>
      <c r="N151" s="50">
        <v>42775452</v>
      </c>
      <c r="O151" t="s">
        <v>351</v>
      </c>
      <c r="P151">
        <v>52714850</v>
      </c>
      <c r="Q151" t="s">
        <v>1223</v>
      </c>
      <c r="R151" t="s">
        <v>316</v>
      </c>
      <c r="S151" t="s">
        <v>317</v>
      </c>
      <c r="T151" s="2">
        <v>688862643</v>
      </c>
      <c r="U151" t="s">
        <v>319</v>
      </c>
      <c r="V151">
        <v>860035827</v>
      </c>
      <c r="W151" t="s">
        <v>653</v>
      </c>
      <c r="X151" s="2">
        <v>2125</v>
      </c>
      <c r="Y151" s="2">
        <v>2125</v>
      </c>
      <c r="Z151" s="2">
        <v>15025</v>
      </c>
      <c r="AA151">
        <v>0</v>
      </c>
      <c r="AB151">
        <v>21325</v>
      </c>
      <c r="AC151">
        <v>64569025</v>
      </c>
      <c r="AD151">
        <v>0</v>
      </c>
      <c r="AE151" s="5">
        <v>45695</v>
      </c>
      <c r="AF151" t="s">
        <v>356</v>
      </c>
      <c r="AG151" t="s">
        <v>1226</v>
      </c>
      <c r="AH151" t="s">
        <v>1158</v>
      </c>
    </row>
    <row r="152" spans="1:34" ht="15" customHeight="1" x14ac:dyDescent="0.2">
      <c r="A152" t="s">
        <v>2359</v>
      </c>
      <c r="B152" t="s">
        <v>479</v>
      </c>
      <c r="C152" s="2">
        <v>15125</v>
      </c>
      <c r="D152" s="5">
        <v>45695</v>
      </c>
      <c r="E152" s="5">
        <v>45695.884722222225</v>
      </c>
      <c r="F152" t="s">
        <v>312</v>
      </c>
      <c r="G152" s="2">
        <v>923211</v>
      </c>
      <c r="H152" t="s">
        <v>29</v>
      </c>
      <c r="I152" t="s">
        <v>30</v>
      </c>
      <c r="J152" t="s">
        <v>31</v>
      </c>
      <c r="K152" s="50">
        <v>45995110</v>
      </c>
      <c r="L152" s="50">
        <v>0</v>
      </c>
      <c r="M152" s="50">
        <v>45995110</v>
      </c>
      <c r="N152" s="50">
        <v>42775452</v>
      </c>
      <c r="O152" t="s">
        <v>351</v>
      </c>
      <c r="P152">
        <v>1010215433</v>
      </c>
      <c r="Q152" t="s">
        <v>1228</v>
      </c>
      <c r="R152" t="s">
        <v>316</v>
      </c>
      <c r="S152" t="s">
        <v>317</v>
      </c>
      <c r="T152" s="2">
        <v>466600048121</v>
      </c>
      <c r="U152" t="s">
        <v>319</v>
      </c>
      <c r="V152">
        <v>860034313</v>
      </c>
      <c r="W152" t="s">
        <v>355</v>
      </c>
      <c r="X152" s="2">
        <v>2125</v>
      </c>
      <c r="Y152" s="2">
        <v>2125</v>
      </c>
      <c r="Z152" s="2">
        <v>15125</v>
      </c>
      <c r="AA152">
        <v>0</v>
      </c>
      <c r="AB152">
        <v>21425</v>
      </c>
      <c r="AC152">
        <v>64569125</v>
      </c>
      <c r="AD152">
        <v>0</v>
      </c>
      <c r="AE152" s="5">
        <v>45695</v>
      </c>
      <c r="AF152" t="s">
        <v>356</v>
      </c>
      <c r="AG152" t="s">
        <v>1231</v>
      </c>
      <c r="AH152" t="s">
        <v>1158</v>
      </c>
    </row>
    <row r="153" spans="1:34" ht="15" customHeight="1" x14ac:dyDescent="0.2">
      <c r="A153" t="s">
        <v>2360</v>
      </c>
      <c r="B153" t="s">
        <v>479</v>
      </c>
      <c r="C153" s="2">
        <v>15225</v>
      </c>
      <c r="D153" s="5">
        <v>45695</v>
      </c>
      <c r="E153" s="5">
        <v>45695.884722222225</v>
      </c>
      <c r="F153" t="s">
        <v>312</v>
      </c>
      <c r="G153" s="2">
        <v>923211</v>
      </c>
      <c r="H153" t="s">
        <v>29</v>
      </c>
      <c r="I153" t="s">
        <v>30</v>
      </c>
      <c r="J153" t="s">
        <v>31</v>
      </c>
      <c r="K153" s="50">
        <v>45995110</v>
      </c>
      <c r="L153" s="50">
        <v>0</v>
      </c>
      <c r="M153" s="50">
        <v>45995110</v>
      </c>
      <c r="N153" s="50">
        <v>42775452</v>
      </c>
      <c r="O153" t="s">
        <v>351</v>
      </c>
      <c r="P153">
        <v>51964904</v>
      </c>
      <c r="Q153" t="s">
        <v>1233</v>
      </c>
      <c r="R153" t="s">
        <v>316</v>
      </c>
      <c r="S153" t="s">
        <v>317</v>
      </c>
      <c r="T153" s="2">
        <v>20215888446</v>
      </c>
      <c r="U153" t="s">
        <v>319</v>
      </c>
      <c r="V153">
        <v>890903938</v>
      </c>
      <c r="W153" t="s">
        <v>342</v>
      </c>
      <c r="X153" s="2">
        <v>2125</v>
      </c>
      <c r="Y153" s="2">
        <v>2125</v>
      </c>
      <c r="Z153" s="2">
        <v>15225</v>
      </c>
      <c r="AA153">
        <v>0</v>
      </c>
      <c r="AB153">
        <v>21525</v>
      </c>
      <c r="AC153">
        <v>64569225</v>
      </c>
      <c r="AD153">
        <v>0</v>
      </c>
      <c r="AE153" s="5">
        <v>45695</v>
      </c>
      <c r="AF153" t="s">
        <v>356</v>
      </c>
      <c r="AG153" t="s">
        <v>1236</v>
      </c>
      <c r="AH153" t="s">
        <v>1237</v>
      </c>
    </row>
    <row r="154" spans="1:34" ht="15" customHeight="1" x14ac:dyDescent="0.2">
      <c r="A154" t="s">
        <v>2361</v>
      </c>
      <c r="B154" t="s">
        <v>479</v>
      </c>
      <c r="C154" s="2">
        <v>15325</v>
      </c>
      <c r="D154" s="5">
        <v>45695</v>
      </c>
      <c r="E154" s="5">
        <v>45695.884722222225</v>
      </c>
      <c r="F154" t="s">
        <v>312</v>
      </c>
      <c r="G154" s="2">
        <v>923211</v>
      </c>
      <c r="H154" t="s">
        <v>29</v>
      </c>
      <c r="I154" t="s">
        <v>30</v>
      </c>
      <c r="J154" t="s">
        <v>31</v>
      </c>
      <c r="K154" s="50">
        <v>45995110</v>
      </c>
      <c r="L154" s="50">
        <v>0</v>
      </c>
      <c r="M154" s="50">
        <v>45995110</v>
      </c>
      <c r="N154" s="50">
        <v>42775452</v>
      </c>
      <c r="O154" t="s">
        <v>351</v>
      </c>
      <c r="P154">
        <v>52323375</v>
      </c>
      <c r="Q154" t="s">
        <v>1239</v>
      </c>
      <c r="R154" t="s">
        <v>316</v>
      </c>
      <c r="S154" t="s">
        <v>317</v>
      </c>
      <c r="T154" s="2">
        <v>5370276072</v>
      </c>
      <c r="U154" t="s">
        <v>319</v>
      </c>
      <c r="V154">
        <v>860034313</v>
      </c>
      <c r="W154" t="s">
        <v>355</v>
      </c>
      <c r="X154" s="2">
        <v>2125</v>
      </c>
      <c r="Y154" s="2">
        <v>2125</v>
      </c>
      <c r="Z154" s="2">
        <v>15325</v>
      </c>
      <c r="AA154">
        <v>0</v>
      </c>
      <c r="AB154">
        <v>21625</v>
      </c>
      <c r="AC154">
        <v>64569325</v>
      </c>
      <c r="AD154">
        <v>0</v>
      </c>
      <c r="AE154" s="5">
        <v>45695</v>
      </c>
      <c r="AF154" t="s">
        <v>356</v>
      </c>
      <c r="AG154" t="s">
        <v>1242</v>
      </c>
      <c r="AH154" t="s">
        <v>1158</v>
      </c>
    </row>
    <row r="155" spans="1:34" ht="15" customHeight="1" x14ac:dyDescent="0.2">
      <c r="A155" t="s">
        <v>2362</v>
      </c>
      <c r="B155" t="s">
        <v>479</v>
      </c>
      <c r="C155" s="2">
        <v>15425</v>
      </c>
      <c r="D155" s="5">
        <v>45695</v>
      </c>
      <c r="E155" s="5">
        <v>45695.884722222225</v>
      </c>
      <c r="F155" t="s">
        <v>312</v>
      </c>
      <c r="G155" s="2">
        <v>923211</v>
      </c>
      <c r="H155" t="s">
        <v>29</v>
      </c>
      <c r="I155" t="s">
        <v>30</v>
      </c>
      <c r="J155" t="s">
        <v>31</v>
      </c>
      <c r="K155" s="50">
        <v>45995110</v>
      </c>
      <c r="L155" s="50">
        <v>0</v>
      </c>
      <c r="M155" s="50">
        <v>45995110</v>
      </c>
      <c r="N155" s="50">
        <v>42775452</v>
      </c>
      <c r="O155" t="s">
        <v>351</v>
      </c>
      <c r="P155">
        <v>52766732</v>
      </c>
      <c r="Q155" t="s">
        <v>1244</v>
      </c>
      <c r="R155" t="s">
        <v>316</v>
      </c>
      <c r="S155" t="s">
        <v>317</v>
      </c>
      <c r="T155" s="2">
        <v>415064039</v>
      </c>
      <c r="U155" t="s">
        <v>319</v>
      </c>
      <c r="V155">
        <v>860003020</v>
      </c>
      <c r="W155" t="s">
        <v>393</v>
      </c>
      <c r="X155" s="2">
        <v>2125</v>
      </c>
      <c r="Y155" s="2">
        <v>2125</v>
      </c>
      <c r="Z155" s="2">
        <v>15425</v>
      </c>
      <c r="AA155">
        <v>0</v>
      </c>
      <c r="AB155">
        <v>21725</v>
      </c>
      <c r="AC155">
        <v>64569425</v>
      </c>
      <c r="AD155">
        <v>0</v>
      </c>
      <c r="AE155" s="5">
        <v>45695</v>
      </c>
      <c r="AF155" t="s">
        <v>356</v>
      </c>
      <c r="AG155" t="s">
        <v>1247</v>
      </c>
      <c r="AH155" t="s">
        <v>1158</v>
      </c>
    </row>
    <row r="156" spans="1:34" ht="15" customHeight="1" x14ac:dyDescent="0.2">
      <c r="A156" t="s">
        <v>2363</v>
      </c>
      <c r="B156" t="s">
        <v>479</v>
      </c>
      <c r="C156" s="2">
        <v>15525</v>
      </c>
      <c r="D156" s="5">
        <v>45695</v>
      </c>
      <c r="E156" s="5">
        <v>45695.884722222225</v>
      </c>
      <c r="F156" t="s">
        <v>312</v>
      </c>
      <c r="G156" s="2">
        <v>923211</v>
      </c>
      <c r="H156" t="s">
        <v>29</v>
      </c>
      <c r="I156" t="s">
        <v>30</v>
      </c>
      <c r="J156" t="s">
        <v>31</v>
      </c>
      <c r="K156" s="50">
        <v>45995110</v>
      </c>
      <c r="L156" s="50">
        <v>0</v>
      </c>
      <c r="M156" s="50">
        <v>45995110</v>
      </c>
      <c r="N156" s="50">
        <v>42775452</v>
      </c>
      <c r="O156" t="s">
        <v>351</v>
      </c>
      <c r="P156">
        <v>52787846</v>
      </c>
      <c r="Q156" t="s">
        <v>1249</v>
      </c>
      <c r="R156" t="s">
        <v>316</v>
      </c>
      <c r="S156" t="s">
        <v>317</v>
      </c>
      <c r="T156" s="2">
        <v>4000153751</v>
      </c>
      <c r="U156" t="s">
        <v>319</v>
      </c>
      <c r="V156">
        <v>860034313</v>
      </c>
      <c r="W156" t="s">
        <v>355</v>
      </c>
      <c r="X156" s="2">
        <v>2125</v>
      </c>
      <c r="Y156" s="2">
        <v>2125</v>
      </c>
      <c r="Z156" s="2">
        <v>15525</v>
      </c>
      <c r="AA156">
        <v>0</v>
      </c>
      <c r="AB156">
        <v>21825</v>
      </c>
      <c r="AC156">
        <v>64569525</v>
      </c>
      <c r="AD156">
        <v>0</v>
      </c>
      <c r="AE156" s="5">
        <v>45695</v>
      </c>
      <c r="AF156" t="s">
        <v>356</v>
      </c>
      <c r="AG156" t="s">
        <v>1252</v>
      </c>
      <c r="AH156" t="s">
        <v>1158</v>
      </c>
    </row>
    <row r="157" spans="1:34" ht="15" customHeight="1" x14ac:dyDescent="0.2">
      <c r="A157" t="s">
        <v>2364</v>
      </c>
      <c r="B157" t="s">
        <v>479</v>
      </c>
      <c r="C157" s="2">
        <v>15625</v>
      </c>
      <c r="D157" s="5">
        <v>45695</v>
      </c>
      <c r="E157" s="5">
        <v>45695.884722222225</v>
      </c>
      <c r="F157" t="s">
        <v>312</v>
      </c>
      <c r="G157" s="2">
        <v>923211</v>
      </c>
      <c r="H157" t="s">
        <v>29</v>
      </c>
      <c r="I157" t="s">
        <v>30</v>
      </c>
      <c r="J157" t="s">
        <v>31</v>
      </c>
      <c r="K157" s="50">
        <v>45995110</v>
      </c>
      <c r="L157" s="50">
        <v>0</v>
      </c>
      <c r="M157" s="50">
        <v>45995110</v>
      </c>
      <c r="N157" s="50">
        <v>42775452</v>
      </c>
      <c r="O157" t="s">
        <v>351</v>
      </c>
      <c r="P157">
        <v>79207422</v>
      </c>
      <c r="Q157" t="s">
        <v>1254</v>
      </c>
      <c r="R157" t="s">
        <v>316</v>
      </c>
      <c r="S157" t="s">
        <v>317</v>
      </c>
      <c r="T157" s="2">
        <v>2300102304</v>
      </c>
      <c r="U157" t="s">
        <v>319</v>
      </c>
      <c r="V157">
        <v>860034313</v>
      </c>
      <c r="W157" t="s">
        <v>355</v>
      </c>
      <c r="X157" s="2">
        <v>2125</v>
      </c>
      <c r="Y157" s="2">
        <v>2125</v>
      </c>
      <c r="Z157" s="2">
        <v>15625</v>
      </c>
      <c r="AA157">
        <v>0</v>
      </c>
      <c r="AB157">
        <v>21925</v>
      </c>
      <c r="AC157">
        <v>64569625</v>
      </c>
      <c r="AD157">
        <v>0</v>
      </c>
      <c r="AE157" s="5">
        <v>45695</v>
      </c>
      <c r="AF157" t="s">
        <v>356</v>
      </c>
      <c r="AG157" t="s">
        <v>1257</v>
      </c>
      <c r="AH157" t="s">
        <v>1158</v>
      </c>
    </row>
    <row r="158" spans="1:34" ht="15" customHeight="1" x14ac:dyDescent="0.2">
      <c r="A158" t="s">
        <v>2365</v>
      </c>
      <c r="B158" t="s">
        <v>479</v>
      </c>
      <c r="C158" s="2">
        <v>15725</v>
      </c>
      <c r="D158" s="5">
        <v>45695</v>
      </c>
      <c r="E158" s="5">
        <v>45695.884722222225</v>
      </c>
      <c r="F158" t="s">
        <v>312</v>
      </c>
      <c r="G158" s="2">
        <v>923211</v>
      </c>
      <c r="H158" t="s">
        <v>29</v>
      </c>
      <c r="I158" t="s">
        <v>30</v>
      </c>
      <c r="J158" t="s">
        <v>31</v>
      </c>
      <c r="K158" s="50">
        <v>45995110</v>
      </c>
      <c r="L158" s="50">
        <v>0</v>
      </c>
      <c r="M158" s="50">
        <v>45995110</v>
      </c>
      <c r="N158" s="50">
        <v>42775452</v>
      </c>
      <c r="O158" t="s">
        <v>351</v>
      </c>
      <c r="P158">
        <v>79507598</v>
      </c>
      <c r="Q158" t="s">
        <v>1259</v>
      </c>
      <c r="R158" t="s">
        <v>316</v>
      </c>
      <c r="S158" t="s">
        <v>317</v>
      </c>
      <c r="T158" s="2">
        <v>587067430</v>
      </c>
      <c r="U158" t="s">
        <v>319</v>
      </c>
      <c r="V158">
        <v>860002964</v>
      </c>
      <c r="W158" t="s">
        <v>419</v>
      </c>
      <c r="X158" s="2">
        <v>2125</v>
      </c>
      <c r="Y158" s="2">
        <v>2125</v>
      </c>
      <c r="Z158" s="2">
        <v>15725</v>
      </c>
      <c r="AA158">
        <v>0</v>
      </c>
      <c r="AB158">
        <v>22025</v>
      </c>
      <c r="AC158">
        <v>64569725</v>
      </c>
      <c r="AD158">
        <v>0</v>
      </c>
      <c r="AE158" s="5">
        <v>45695</v>
      </c>
      <c r="AF158" t="s">
        <v>356</v>
      </c>
      <c r="AG158" t="s">
        <v>1262</v>
      </c>
      <c r="AH158" t="s">
        <v>1158</v>
      </c>
    </row>
    <row r="159" spans="1:34" ht="15" customHeight="1" x14ac:dyDescent="0.2">
      <c r="A159" t="s">
        <v>2366</v>
      </c>
      <c r="B159" t="s">
        <v>479</v>
      </c>
      <c r="C159" s="2">
        <v>15825</v>
      </c>
      <c r="D159" s="5">
        <v>45695</v>
      </c>
      <c r="E159" s="5">
        <v>45695.884722222225</v>
      </c>
      <c r="F159" t="s">
        <v>312</v>
      </c>
      <c r="G159" s="2">
        <v>923211</v>
      </c>
      <c r="H159" t="s">
        <v>29</v>
      </c>
      <c r="I159" t="s">
        <v>30</v>
      </c>
      <c r="J159" t="s">
        <v>31</v>
      </c>
      <c r="K159" s="50">
        <v>45995110</v>
      </c>
      <c r="L159" s="50">
        <v>0</v>
      </c>
      <c r="M159" s="50">
        <v>45995110</v>
      </c>
      <c r="N159" s="50">
        <v>42775452</v>
      </c>
      <c r="O159" t="s">
        <v>351</v>
      </c>
      <c r="P159">
        <v>79750460</v>
      </c>
      <c r="Q159" t="s">
        <v>1264</v>
      </c>
      <c r="R159" t="s">
        <v>316</v>
      </c>
      <c r="S159" t="s">
        <v>317</v>
      </c>
      <c r="T159" s="2">
        <v>3300000972</v>
      </c>
      <c r="U159" t="s">
        <v>319</v>
      </c>
      <c r="V159">
        <v>890903938</v>
      </c>
      <c r="W159" t="s">
        <v>342</v>
      </c>
      <c r="X159" s="2">
        <v>2125</v>
      </c>
      <c r="Y159" s="2">
        <v>2125</v>
      </c>
      <c r="Z159" s="2">
        <v>15825</v>
      </c>
      <c r="AA159">
        <v>0</v>
      </c>
      <c r="AB159">
        <v>22125</v>
      </c>
      <c r="AC159">
        <v>64569825</v>
      </c>
      <c r="AD159">
        <v>0</v>
      </c>
      <c r="AE159" s="5">
        <v>45695</v>
      </c>
      <c r="AF159" t="s">
        <v>356</v>
      </c>
      <c r="AG159" t="s">
        <v>1267</v>
      </c>
      <c r="AH159" t="s">
        <v>1158</v>
      </c>
    </row>
    <row r="160" spans="1:34" ht="15" customHeight="1" x14ac:dyDescent="0.2">
      <c r="A160" t="s">
        <v>2367</v>
      </c>
      <c r="B160" t="s">
        <v>479</v>
      </c>
      <c r="C160" s="2">
        <v>15925</v>
      </c>
      <c r="D160" s="5">
        <v>45695</v>
      </c>
      <c r="E160" s="5">
        <v>45695.884722222225</v>
      </c>
      <c r="F160" t="s">
        <v>312</v>
      </c>
      <c r="G160" s="2">
        <v>923211</v>
      </c>
      <c r="H160" t="s">
        <v>29</v>
      </c>
      <c r="I160" t="s">
        <v>30</v>
      </c>
      <c r="J160" t="s">
        <v>31</v>
      </c>
      <c r="K160" s="50">
        <v>45995110</v>
      </c>
      <c r="L160" s="50">
        <v>0</v>
      </c>
      <c r="M160" s="50">
        <v>45995110</v>
      </c>
      <c r="N160" s="50">
        <v>42775452</v>
      </c>
      <c r="O160" t="s">
        <v>351</v>
      </c>
      <c r="P160">
        <v>1024554710</v>
      </c>
      <c r="Q160" t="s">
        <v>1268</v>
      </c>
      <c r="R160" t="s">
        <v>316</v>
      </c>
      <c r="S160" t="s">
        <v>317</v>
      </c>
      <c r="T160" s="2">
        <v>488413702280</v>
      </c>
      <c r="U160" t="s">
        <v>319</v>
      </c>
      <c r="V160">
        <v>860034313</v>
      </c>
      <c r="W160" t="s">
        <v>355</v>
      </c>
      <c r="X160" s="2">
        <v>2125</v>
      </c>
      <c r="Y160" s="2">
        <v>2125</v>
      </c>
      <c r="Z160" s="2">
        <v>15925</v>
      </c>
      <c r="AA160">
        <v>0</v>
      </c>
      <c r="AB160">
        <v>22225</v>
      </c>
      <c r="AC160">
        <v>64569925</v>
      </c>
      <c r="AD160">
        <v>0</v>
      </c>
      <c r="AE160" s="5">
        <v>45695</v>
      </c>
      <c r="AF160" t="s">
        <v>356</v>
      </c>
      <c r="AG160" t="s">
        <v>1271</v>
      </c>
      <c r="AH160" t="s">
        <v>1158</v>
      </c>
    </row>
    <row r="161" spans="1:34" ht="15" customHeight="1" x14ac:dyDescent="0.2">
      <c r="A161" t="s">
        <v>2368</v>
      </c>
      <c r="B161" t="s">
        <v>479</v>
      </c>
      <c r="C161" s="2">
        <v>16025</v>
      </c>
      <c r="D161" s="5">
        <v>45695</v>
      </c>
      <c r="E161" s="5">
        <v>45695.884722222225</v>
      </c>
      <c r="F161" t="s">
        <v>312</v>
      </c>
      <c r="G161" s="2">
        <v>923211</v>
      </c>
      <c r="H161" t="s">
        <v>29</v>
      </c>
      <c r="I161" t="s">
        <v>30</v>
      </c>
      <c r="J161" t="s">
        <v>31</v>
      </c>
      <c r="K161" s="50">
        <v>45995110</v>
      </c>
      <c r="L161" s="50">
        <v>0</v>
      </c>
      <c r="M161" s="50">
        <v>45995110</v>
      </c>
      <c r="N161" s="50">
        <v>42775452</v>
      </c>
      <c r="O161" t="s">
        <v>351</v>
      </c>
      <c r="P161">
        <v>3836898</v>
      </c>
      <c r="Q161" t="s">
        <v>1273</v>
      </c>
      <c r="R161" t="s">
        <v>316</v>
      </c>
      <c r="S161" t="s">
        <v>317</v>
      </c>
      <c r="T161" s="2">
        <v>52500054026</v>
      </c>
      <c r="U161" t="s">
        <v>319</v>
      </c>
      <c r="V161">
        <v>890903938</v>
      </c>
      <c r="W161" t="s">
        <v>342</v>
      </c>
      <c r="X161" s="2">
        <v>2125</v>
      </c>
      <c r="Y161" s="2">
        <v>2125</v>
      </c>
      <c r="Z161" s="2">
        <v>16025</v>
      </c>
      <c r="AA161">
        <v>0</v>
      </c>
      <c r="AB161">
        <v>22325</v>
      </c>
      <c r="AC161">
        <v>64570025</v>
      </c>
      <c r="AD161">
        <v>0</v>
      </c>
      <c r="AE161" s="5">
        <v>45695</v>
      </c>
      <c r="AF161" t="s">
        <v>356</v>
      </c>
      <c r="AG161" t="s">
        <v>1276</v>
      </c>
      <c r="AH161" t="s">
        <v>1158</v>
      </c>
    </row>
    <row r="162" spans="1:34" ht="15" customHeight="1" x14ac:dyDescent="0.2">
      <c r="A162" t="s">
        <v>2369</v>
      </c>
      <c r="B162" t="s">
        <v>479</v>
      </c>
      <c r="C162" s="2">
        <v>16125</v>
      </c>
      <c r="D162" s="5">
        <v>45695</v>
      </c>
      <c r="E162" s="5">
        <v>45695.884722222225</v>
      </c>
      <c r="F162" t="s">
        <v>312</v>
      </c>
      <c r="G162" s="2">
        <v>923211</v>
      </c>
      <c r="H162" t="s">
        <v>29</v>
      </c>
      <c r="I162" t="s">
        <v>30</v>
      </c>
      <c r="J162" t="s">
        <v>31</v>
      </c>
      <c r="K162" s="50">
        <v>45995110</v>
      </c>
      <c r="L162" s="50">
        <v>0</v>
      </c>
      <c r="M162" s="50">
        <v>45995110</v>
      </c>
      <c r="N162" s="50">
        <v>42775452</v>
      </c>
      <c r="O162" t="s">
        <v>351</v>
      </c>
      <c r="P162">
        <v>7182568</v>
      </c>
      <c r="Q162" t="s">
        <v>1278</v>
      </c>
      <c r="R162" t="s">
        <v>316</v>
      </c>
      <c r="S162" t="s">
        <v>317</v>
      </c>
      <c r="T162" s="2">
        <v>349187633</v>
      </c>
      <c r="U162" t="s">
        <v>319</v>
      </c>
      <c r="V162">
        <v>860003020</v>
      </c>
      <c r="W162" t="s">
        <v>393</v>
      </c>
      <c r="X162" s="2">
        <v>2125</v>
      </c>
      <c r="Y162" s="2">
        <v>2125</v>
      </c>
      <c r="Z162" s="2">
        <v>16125</v>
      </c>
      <c r="AA162">
        <v>0</v>
      </c>
      <c r="AB162">
        <v>22425</v>
      </c>
      <c r="AC162">
        <v>64570125</v>
      </c>
      <c r="AD162">
        <v>0</v>
      </c>
      <c r="AE162" s="5">
        <v>45695</v>
      </c>
      <c r="AF162" t="s">
        <v>356</v>
      </c>
      <c r="AG162" t="s">
        <v>1281</v>
      </c>
      <c r="AH162" t="s">
        <v>1158</v>
      </c>
    </row>
    <row r="163" spans="1:34" ht="15" customHeight="1" x14ac:dyDescent="0.2">
      <c r="A163" t="s">
        <v>2370</v>
      </c>
      <c r="B163" t="s">
        <v>479</v>
      </c>
      <c r="C163" s="2">
        <v>16225</v>
      </c>
      <c r="D163" s="5">
        <v>45695</v>
      </c>
      <c r="E163" s="5">
        <v>45695.884722222225</v>
      </c>
      <c r="F163" t="s">
        <v>312</v>
      </c>
      <c r="G163" s="2">
        <v>923211</v>
      </c>
      <c r="H163" t="s">
        <v>29</v>
      </c>
      <c r="I163" t="s">
        <v>30</v>
      </c>
      <c r="J163" t="s">
        <v>31</v>
      </c>
      <c r="K163" s="50">
        <v>45995110</v>
      </c>
      <c r="L163" s="50">
        <v>0</v>
      </c>
      <c r="M163" s="50">
        <v>45995110</v>
      </c>
      <c r="N163" s="50">
        <v>42775452</v>
      </c>
      <c r="O163" t="s">
        <v>351</v>
      </c>
      <c r="P163">
        <v>79137299</v>
      </c>
      <c r="Q163" t="s">
        <v>1283</v>
      </c>
      <c r="R163" t="s">
        <v>316</v>
      </c>
      <c r="S163" t="s">
        <v>317</v>
      </c>
      <c r="T163" s="2">
        <v>24131820111</v>
      </c>
      <c r="U163" t="s">
        <v>319</v>
      </c>
      <c r="V163">
        <v>860007335</v>
      </c>
      <c r="W163" t="s">
        <v>381</v>
      </c>
      <c r="X163" s="2">
        <v>2125</v>
      </c>
      <c r="Y163" s="2">
        <v>2125</v>
      </c>
      <c r="Z163" s="2">
        <v>16225</v>
      </c>
      <c r="AA163">
        <v>0</v>
      </c>
      <c r="AB163">
        <v>22525</v>
      </c>
      <c r="AC163">
        <v>64570225</v>
      </c>
      <c r="AD163">
        <v>0</v>
      </c>
      <c r="AE163" s="5">
        <v>45695</v>
      </c>
      <c r="AF163" t="s">
        <v>356</v>
      </c>
      <c r="AG163" t="s">
        <v>1285</v>
      </c>
      <c r="AH163" t="s">
        <v>1158</v>
      </c>
    </row>
    <row r="164" spans="1:34" ht="15" customHeight="1" x14ac:dyDescent="0.2">
      <c r="A164" t="s">
        <v>2371</v>
      </c>
      <c r="B164" t="s">
        <v>479</v>
      </c>
      <c r="C164" s="2">
        <v>16325</v>
      </c>
      <c r="D164" s="5">
        <v>45695</v>
      </c>
      <c r="E164" s="5">
        <v>45695.884722222225</v>
      </c>
      <c r="F164" t="s">
        <v>312</v>
      </c>
      <c r="G164" s="2">
        <v>923211</v>
      </c>
      <c r="H164" t="s">
        <v>29</v>
      </c>
      <c r="I164" t="s">
        <v>30</v>
      </c>
      <c r="J164" t="s">
        <v>31</v>
      </c>
      <c r="K164" s="50">
        <v>45995110</v>
      </c>
      <c r="L164" s="50">
        <v>0</v>
      </c>
      <c r="M164" s="50">
        <v>45995110</v>
      </c>
      <c r="N164" s="50">
        <v>42775452</v>
      </c>
      <c r="O164" t="s">
        <v>351</v>
      </c>
      <c r="P164">
        <v>79536962</v>
      </c>
      <c r="Q164" t="s">
        <v>1287</v>
      </c>
      <c r="R164" t="s">
        <v>316</v>
      </c>
      <c r="S164" t="s">
        <v>317</v>
      </c>
      <c r="T164" s="2">
        <v>5570251263</v>
      </c>
      <c r="U164" t="s">
        <v>319</v>
      </c>
      <c r="V164">
        <v>860034313</v>
      </c>
      <c r="W164" t="s">
        <v>355</v>
      </c>
      <c r="X164" s="2">
        <v>2125</v>
      </c>
      <c r="Y164" s="2">
        <v>2125</v>
      </c>
      <c r="Z164" s="2">
        <v>16325</v>
      </c>
      <c r="AA164">
        <v>0</v>
      </c>
      <c r="AB164">
        <v>22625</v>
      </c>
      <c r="AC164">
        <v>64570325</v>
      </c>
      <c r="AD164">
        <v>0</v>
      </c>
      <c r="AE164" s="5">
        <v>45695</v>
      </c>
      <c r="AF164" t="s">
        <v>356</v>
      </c>
      <c r="AG164" t="s">
        <v>1290</v>
      </c>
      <c r="AH164" t="s">
        <v>1158</v>
      </c>
    </row>
    <row r="165" spans="1:34" ht="15" customHeight="1" x14ac:dyDescent="0.2">
      <c r="A165" t="s">
        <v>2372</v>
      </c>
      <c r="B165" t="s">
        <v>479</v>
      </c>
      <c r="C165" s="2">
        <v>16425</v>
      </c>
      <c r="D165" s="5">
        <v>45695</v>
      </c>
      <c r="E165" s="5">
        <v>45695.884722222225</v>
      </c>
      <c r="F165" t="s">
        <v>312</v>
      </c>
      <c r="G165" s="2">
        <v>923211</v>
      </c>
      <c r="H165" t="s">
        <v>29</v>
      </c>
      <c r="I165" t="s">
        <v>30</v>
      </c>
      <c r="J165" t="s">
        <v>31</v>
      </c>
      <c r="K165" s="50">
        <v>45995110</v>
      </c>
      <c r="L165" s="50">
        <v>0</v>
      </c>
      <c r="M165" s="50">
        <v>45995110</v>
      </c>
      <c r="N165" s="50">
        <v>42775452</v>
      </c>
      <c r="O165" t="s">
        <v>351</v>
      </c>
      <c r="P165">
        <v>80830255</v>
      </c>
      <c r="Q165" t="s">
        <v>1292</v>
      </c>
      <c r="R165" t="s">
        <v>316</v>
      </c>
      <c r="S165" t="s">
        <v>317</v>
      </c>
      <c r="T165" s="2">
        <v>24143941023</v>
      </c>
      <c r="U165" t="s">
        <v>319</v>
      </c>
      <c r="V165">
        <v>890903938</v>
      </c>
      <c r="W165" t="s">
        <v>342</v>
      </c>
      <c r="X165" s="2">
        <v>2125</v>
      </c>
      <c r="Y165" s="2">
        <v>2125</v>
      </c>
      <c r="Z165" s="2">
        <v>16425</v>
      </c>
      <c r="AA165">
        <v>0</v>
      </c>
      <c r="AB165">
        <v>22725</v>
      </c>
      <c r="AC165">
        <v>64570425</v>
      </c>
      <c r="AD165">
        <v>0</v>
      </c>
      <c r="AE165" s="5">
        <v>45695</v>
      </c>
      <c r="AF165" t="s">
        <v>356</v>
      </c>
      <c r="AG165" t="s">
        <v>1295</v>
      </c>
      <c r="AH165" t="s">
        <v>1158</v>
      </c>
    </row>
    <row r="166" spans="1:34" ht="15" customHeight="1" x14ac:dyDescent="0.2">
      <c r="A166" t="s">
        <v>2373</v>
      </c>
      <c r="B166" t="s">
        <v>479</v>
      </c>
      <c r="C166" s="2">
        <v>16525</v>
      </c>
      <c r="D166" s="5">
        <v>45695</v>
      </c>
      <c r="E166" s="5">
        <v>45695.884722222225</v>
      </c>
      <c r="F166" t="s">
        <v>312</v>
      </c>
      <c r="G166" s="2">
        <v>923211</v>
      </c>
      <c r="H166" t="s">
        <v>29</v>
      </c>
      <c r="I166" t="s">
        <v>30</v>
      </c>
      <c r="J166" t="s">
        <v>31</v>
      </c>
      <c r="K166" s="50">
        <v>45995110</v>
      </c>
      <c r="L166" s="50">
        <v>0</v>
      </c>
      <c r="M166" s="50">
        <v>45995110</v>
      </c>
      <c r="N166" s="50">
        <v>42775452</v>
      </c>
      <c r="O166" t="s">
        <v>351</v>
      </c>
      <c r="P166">
        <v>93300406</v>
      </c>
      <c r="Q166" t="s">
        <v>1297</v>
      </c>
      <c r="R166" t="s">
        <v>316</v>
      </c>
      <c r="S166" t="s">
        <v>317</v>
      </c>
      <c r="T166" s="2">
        <v>24049543298</v>
      </c>
      <c r="U166" t="s">
        <v>319</v>
      </c>
      <c r="V166">
        <v>860007335</v>
      </c>
      <c r="W166" t="s">
        <v>381</v>
      </c>
      <c r="X166" s="2">
        <v>2125</v>
      </c>
      <c r="Y166" s="2">
        <v>2125</v>
      </c>
      <c r="Z166" s="2">
        <v>16525</v>
      </c>
      <c r="AA166">
        <v>0</v>
      </c>
      <c r="AB166">
        <v>22825</v>
      </c>
      <c r="AC166">
        <v>64570525</v>
      </c>
      <c r="AD166">
        <v>0</v>
      </c>
      <c r="AE166" s="5">
        <v>45695</v>
      </c>
      <c r="AF166" t="s">
        <v>356</v>
      </c>
      <c r="AG166" t="s">
        <v>1300</v>
      </c>
      <c r="AH166" t="s">
        <v>1158</v>
      </c>
    </row>
    <row r="167" spans="1:34" ht="15" customHeight="1" x14ac:dyDescent="0.2">
      <c r="A167" t="s">
        <v>2374</v>
      </c>
      <c r="B167" t="s">
        <v>479</v>
      </c>
      <c r="C167" s="2">
        <v>16625</v>
      </c>
      <c r="D167" s="5">
        <v>45695</v>
      </c>
      <c r="E167" s="5">
        <v>45695.884722222225</v>
      </c>
      <c r="F167" t="s">
        <v>312</v>
      </c>
      <c r="G167" s="2">
        <v>923211</v>
      </c>
      <c r="H167" t="s">
        <v>29</v>
      </c>
      <c r="I167" t="s">
        <v>30</v>
      </c>
      <c r="J167" t="s">
        <v>31</v>
      </c>
      <c r="K167" s="50">
        <v>45995110</v>
      </c>
      <c r="L167" s="50">
        <v>0</v>
      </c>
      <c r="M167" s="50">
        <v>45995110</v>
      </c>
      <c r="N167" s="50">
        <v>42775452</v>
      </c>
      <c r="O167" t="s">
        <v>351</v>
      </c>
      <c r="P167">
        <v>19445585</v>
      </c>
      <c r="Q167" t="s">
        <v>1302</v>
      </c>
      <c r="R167" t="s">
        <v>316</v>
      </c>
      <c r="S167" t="s">
        <v>317</v>
      </c>
      <c r="T167" s="2">
        <v>516594074</v>
      </c>
      <c r="U167" t="s">
        <v>319</v>
      </c>
      <c r="V167">
        <v>860034313</v>
      </c>
      <c r="W167" t="s">
        <v>355</v>
      </c>
      <c r="X167" s="2">
        <v>2125</v>
      </c>
      <c r="Y167" s="2">
        <v>2125</v>
      </c>
      <c r="Z167" s="2">
        <v>16625</v>
      </c>
      <c r="AA167">
        <v>0</v>
      </c>
      <c r="AB167">
        <v>22925</v>
      </c>
      <c r="AC167">
        <v>64570625</v>
      </c>
      <c r="AD167">
        <v>0</v>
      </c>
      <c r="AE167" s="5">
        <v>45695</v>
      </c>
      <c r="AF167" t="s">
        <v>356</v>
      </c>
      <c r="AG167" t="s">
        <v>1305</v>
      </c>
      <c r="AH167" t="s">
        <v>1158</v>
      </c>
    </row>
    <row r="168" spans="1:34" ht="15" customHeight="1" x14ac:dyDescent="0.2">
      <c r="A168" t="s">
        <v>2375</v>
      </c>
      <c r="B168" t="s">
        <v>479</v>
      </c>
      <c r="C168" s="2">
        <v>16725</v>
      </c>
      <c r="D168" s="5">
        <v>45695</v>
      </c>
      <c r="E168" s="5">
        <v>45695.884722222225</v>
      </c>
      <c r="F168" t="s">
        <v>312</v>
      </c>
      <c r="G168" s="2">
        <v>923211</v>
      </c>
      <c r="H168" t="s">
        <v>29</v>
      </c>
      <c r="I168" t="s">
        <v>30</v>
      </c>
      <c r="J168" t="s">
        <v>31</v>
      </c>
      <c r="K168" s="50">
        <v>45995110</v>
      </c>
      <c r="L168" s="50">
        <v>0</v>
      </c>
      <c r="M168" s="50">
        <v>45995110</v>
      </c>
      <c r="N168" s="50">
        <v>42775452</v>
      </c>
      <c r="O168" t="s">
        <v>351</v>
      </c>
      <c r="P168">
        <v>1022333460</v>
      </c>
      <c r="Q168" t="s">
        <v>1307</v>
      </c>
      <c r="R168" t="s">
        <v>316</v>
      </c>
      <c r="S168" t="s">
        <v>317</v>
      </c>
      <c r="T168" s="2">
        <v>3191077511</v>
      </c>
      <c r="U168" t="s">
        <v>319</v>
      </c>
      <c r="V168">
        <v>890903938</v>
      </c>
      <c r="W168" t="s">
        <v>342</v>
      </c>
      <c r="X168" s="2">
        <v>2125</v>
      </c>
      <c r="Y168" s="2">
        <v>2125</v>
      </c>
      <c r="Z168" s="2">
        <v>16725</v>
      </c>
      <c r="AA168">
        <v>0</v>
      </c>
      <c r="AB168">
        <v>23025</v>
      </c>
      <c r="AC168">
        <v>64570825</v>
      </c>
      <c r="AD168">
        <v>0</v>
      </c>
      <c r="AE168" s="5">
        <v>45695</v>
      </c>
      <c r="AF168" t="s">
        <v>356</v>
      </c>
      <c r="AG168" t="s">
        <v>1310</v>
      </c>
      <c r="AH168" t="s">
        <v>1158</v>
      </c>
    </row>
    <row r="169" spans="1:34" ht="15" customHeight="1" x14ac:dyDescent="0.2">
      <c r="A169" t="s">
        <v>2376</v>
      </c>
      <c r="B169" t="s">
        <v>479</v>
      </c>
      <c r="C169" s="2">
        <v>16825</v>
      </c>
      <c r="D169" s="5">
        <v>45695</v>
      </c>
      <c r="E169" s="5">
        <v>45695.884722222225</v>
      </c>
      <c r="F169" t="s">
        <v>312</v>
      </c>
      <c r="G169" s="2">
        <v>923211</v>
      </c>
      <c r="H169" t="s">
        <v>29</v>
      </c>
      <c r="I169" t="s">
        <v>30</v>
      </c>
      <c r="J169" t="s">
        <v>31</v>
      </c>
      <c r="K169" s="50">
        <v>45995110</v>
      </c>
      <c r="L169" s="50">
        <v>0</v>
      </c>
      <c r="M169" s="50">
        <v>45995110</v>
      </c>
      <c r="N169" s="50">
        <v>42775452</v>
      </c>
      <c r="O169" t="s">
        <v>351</v>
      </c>
      <c r="P169">
        <v>1043004376</v>
      </c>
      <c r="Q169" t="s">
        <v>1312</v>
      </c>
      <c r="R169" t="s">
        <v>316</v>
      </c>
      <c r="S169" t="s">
        <v>317</v>
      </c>
      <c r="T169" s="2">
        <v>85364800</v>
      </c>
      <c r="U169" t="s">
        <v>319</v>
      </c>
      <c r="V169">
        <v>860003020</v>
      </c>
      <c r="W169" t="s">
        <v>393</v>
      </c>
      <c r="X169" s="2">
        <v>2125</v>
      </c>
      <c r="Y169" s="2">
        <v>2125</v>
      </c>
      <c r="Z169" s="2">
        <v>16825</v>
      </c>
      <c r="AA169">
        <v>0</v>
      </c>
      <c r="AB169">
        <v>23125</v>
      </c>
      <c r="AC169">
        <v>64570925</v>
      </c>
      <c r="AD169">
        <v>0</v>
      </c>
      <c r="AE169" s="5">
        <v>45695</v>
      </c>
      <c r="AF169" t="s">
        <v>356</v>
      </c>
      <c r="AG169" t="s">
        <v>1315</v>
      </c>
      <c r="AH169" t="s">
        <v>1158</v>
      </c>
    </row>
    <row r="170" spans="1:34" ht="15" customHeight="1" x14ac:dyDescent="0.2">
      <c r="A170" t="s">
        <v>2377</v>
      </c>
      <c r="B170" t="s">
        <v>479</v>
      </c>
      <c r="C170" s="2">
        <v>16925</v>
      </c>
      <c r="D170" s="5">
        <v>45695</v>
      </c>
      <c r="E170" s="5">
        <v>45695.884722222225</v>
      </c>
      <c r="F170" t="s">
        <v>312</v>
      </c>
      <c r="G170" s="2">
        <v>923211</v>
      </c>
      <c r="H170" t="s">
        <v>29</v>
      </c>
      <c r="I170" t="s">
        <v>30</v>
      </c>
      <c r="J170" t="s">
        <v>31</v>
      </c>
      <c r="K170" s="50">
        <v>45995110</v>
      </c>
      <c r="L170" s="50">
        <v>0</v>
      </c>
      <c r="M170" s="50">
        <v>45995110</v>
      </c>
      <c r="N170" s="50">
        <v>42775452</v>
      </c>
      <c r="O170" t="s">
        <v>351</v>
      </c>
      <c r="P170">
        <v>80779140</v>
      </c>
      <c r="Q170" t="s">
        <v>1317</v>
      </c>
      <c r="R170" t="s">
        <v>316</v>
      </c>
      <c r="S170" t="s">
        <v>317</v>
      </c>
      <c r="T170" s="2">
        <v>52591567942</v>
      </c>
      <c r="U170" t="s">
        <v>319</v>
      </c>
      <c r="V170">
        <v>890903938</v>
      </c>
      <c r="W170" t="s">
        <v>342</v>
      </c>
      <c r="X170" s="2">
        <v>2125</v>
      </c>
      <c r="Y170" s="2">
        <v>2125</v>
      </c>
      <c r="Z170" s="2">
        <v>16925</v>
      </c>
      <c r="AA170">
        <v>0</v>
      </c>
      <c r="AB170">
        <v>23225</v>
      </c>
      <c r="AC170">
        <v>64571025</v>
      </c>
      <c r="AD170">
        <v>0</v>
      </c>
      <c r="AE170" s="5">
        <v>45695</v>
      </c>
      <c r="AF170" t="s">
        <v>356</v>
      </c>
      <c r="AG170" t="s">
        <v>1320</v>
      </c>
      <c r="AH170" t="s">
        <v>1158</v>
      </c>
    </row>
    <row r="171" spans="1:34" ht="15" customHeight="1" x14ac:dyDescent="0.2">
      <c r="A171" t="s">
        <v>2378</v>
      </c>
      <c r="B171" t="s">
        <v>479</v>
      </c>
      <c r="C171" s="2">
        <v>17025</v>
      </c>
      <c r="D171" s="5">
        <v>45695</v>
      </c>
      <c r="E171" s="5">
        <v>45695.884722222225</v>
      </c>
      <c r="F171" t="s">
        <v>312</v>
      </c>
      <c r="G171" s="2">
        <v>923211</v>
      </c>
      <c r="H171" t="s">
        <v>29</v>
      </c>
      <c r="I171" t="s">
        <v>30</v>
      </c>
      <c r="J171" t="s">
        <v>31</v>
      </c>
      <c r="K171" s="50">
        <v>45995110</v>
      </c>
      <c r="L171" s="50">
        <v>0</v>
      </c>
      <c r="M171" s="50">
        <v>45995110</v>
      </c>
      <c r="N171" s="50">
        <v>42775452</v>
      </c>
      <c r="O171" t="s">
        <v>351</v>
      </c>
      <c r="P171">
        <v>1072191632</v>
      </c>
      <c r="Q171" t="s">
        <v>1322</v>
      </c>
      <c r="R171" t="s">
        <v>316</v>
      </c>
      <c r="S171" t="s">
        <v>317</v>
      </c>
      <c r="T171" s="2">
        <v>476200055244</v>
      </c>
      <c r="U171" t="s">
        <v>319</v>
      </c>
      <c r="V171">
        <v>860034313</v>
      </c>
      <c r="W171" t="s">
        <v>355</v>
      </c>
      <c r="X171" s="2">
        <v>2125</v>
      </c>
      <c r="Y171" s="2">
        <v>2125</v>
      </c>
      <c r="Z171" s="2">
        <v>17025</v>
      </c>
      <c r="AA171">
        <v>0</v>
      </c>
      <c r="AB171">
        <v>23325</v>
      </c>
      <c r="AC171">
        <v>64571125</v>
      </c>
      <c r="AD171">
        <v>0</v>
      </c>
      <c r="AE171" s="5">
        <v>45695</v>
      </c>
      <c r="AF171" t="s">
        <v>356</v>
      </c>
      <c r="AG171" t="s">
        <v>1325</v>
      </c>
      <c r="AH171" t="s">
        <v>1158</v>
      </c>
    </row>
    <row r="172" spans="1:34" ht="15" customHeight="1" x14ac:dyDescent="0.2">
      <c r="A172" t="s">
        <v>2379</v>
      </c>
      <c r="B172" t="s">
        <v>485</v>
      </c>
      <c r="C172" s="2">
        <v>17125</v>
      </c>
      <c r="D172" s="5">
        <v>45696</v>
      </c>
      <c r="E172" s="5">
        <v>45696.890277777777</v>
      </c>
      <c r="F172" t="s">
        <v>312</v>
      </c>
      <c r="G172" s="2">
        <v>923245</v>
      </c>
      <c r="H172" t="s">
        <v>29</v>
      </c>
      <c r="I172" t="s">
        <v>30</v>
      </c>
      <c r="J172" t="s">
        <v>31</v>
      </c>
      <c r="K172" s="50">
        <v>37099598</v>
      </c>
      <c r="L172" s="50">
        <v>0</v>
      </c>
      <c r="M172" s="50">
        <v>37099598</v>
      </c>
      <c r="N172" s="50">
        <v>34610486</v>
      </c>
      <c r="O172" t="s">
        <v>351</v>
      </c>
      <c r="P172">
        <v>30343319</v>
      </c>
      <c r="Q172" t="s">
        <v>1328</v>
      </c>
      <c r="R172" t="s">
        <v>316</v>
      </c>
      <c r="S172" t="s">
        <v>317</v>
      </c>
      <c r="T172" s="2">
        <v>230520129230</v>
      </c>
      <c r="U172" t="s">
        <v>319</v>
      </c>
      <c r="V172">
        <v>860007738</v>
      </c>
      <c r="W172" t="s">
        <v>784</v>
      </c>
      <c r="X172" s="2">
        <v>3825</v>
      </c>
      <c r="Y172" s="2">
        <v>3825</v>
      </c>
      <c r="Z172" s="2">
        <v>17125</v>
      </c>
      <c r="AA172">
        <v>0</v>
      </c>
      <c r="AB172">
        <v>23425</v>
      </c>
      <c r="AC172">
        <v>64571225</v>
      </c>
      <c r="AD172">
        <v>0</v>
      </c>
      <c r="AE172" s="5">
        <v>45696</v>
      </c>
      <c r="AF172" t="s">
        <v>356</v>
      </c>
      <c r="AG172" t="s">
        <v>1331</v>
      </c>
      <c r="AH172" t="s">
        <v>1332</v>
      </c>
    </row>
    <row r="173" spans="1:34" ht="15" customHeight="1" x14ac:dyDescent="0.2">
      <c r="A173" t="s">
        <v>2380</v>
      </c>
      <c r="B173" t="s">
        <v>485</v>
      </c>
      <c r="C173" s="2">
        <v>17225</v>
      </c>
      <c r="D173" s="5">
        <v>45696</v>
      </c>
      <c r="E173" s="5">
        <v>45696.890277777777</v>
      </c>
      <c r="F173" t="s">
        <v>312</v>
      </c>
      <c r="G173" s="2">
        <v>923245</v>
      </c>
      <c r="H173" t="s">
        <v>29</v>
      </c>
      <c r="I173" t="s">
        <v>30</v>
      </c>
      <c r="J173" t="s">
        <v>31</v>
      </c>
      <c r="K173" s="50">
        <v>47988231</v>
      </c>
      <c r="L173" s="50">
        <v>0</v>
      </c>
      <c r="M173" s="50">
        <v>47988231</v>
      </c>
      <c r="N173" s="50">
        <v>44768573</v>
      </c>
      <c r="O173" t="s">
        <v>351</v>
      </c>
      <c r="P173">
        <v>3170613</v>
      </c>
      <c r="Q173" t="s">
        <v>1334</v>
      </c>
      <c r="R173" t="s">
        <v>316</v>
      </c>
      <c r="S173" t="s">
        <v>317</v>
      </c>
      <c r="T173" s="2">
        <v>51168359</v>
      </c>
      <c r="U173" t="s">
        <v>319</v>
      </c>
      <c r="V173">
        <v>860034313</v>
      </c>
      <c r="W173" t="s">
        <v>355</v>
      </c>
      <c r="X173" s="2">
        <v>3825</v>
      </c>
      <c r="Y173" s="2">
        <v>3825</v>
      </c>
      <c r="Z173" s="2">
        <v>17225</v>
      </c>
      <c r="AA173">
        <v>0</v>
      </c>
      <c r="AB173">
        <v>23525</v>
      </c>
      <c r="AC173">
        <v>64571325</v>
      </c>
      <c r="AD173">
        <v>0</v>
      </c>
      <c r="AE173" s="5">
        <v>45696</v>
      </c>
      <c r="AF173" t="s">
        <v>356</v>
      </c>
      <c r="AG173" t="s">
        <v>1337</v>
      </c>
      <c r="AH173" t="s">
        <v>1332</v>
      </c>
    </row>
    <row r="174" spans="1:34" ht="15" customHeight="1" x14ac:dyDescent="0.2">
      <c r="A174" t="s">
        <v>2381</v>
      </c>
      <c r="B174" t="s">
        <v>485</v>
      </c>
      <c r="C174" s="2">
        <v>17325</v>
      </c>
      <c r="D174" s="5">
        <v>45696</v>
      </c>
      <c r="E174" s="5">
        <v>45696.890277777777</v>
      </c>
      <c r="F174" t="s">
        <v>312</v>
      </c>
      <c r="G174" s="2">
        <v>923245</v>
      </c>
      <c r="H174" t="s">
        <v>29</v>
      </c>
      <c r="I174" t="s">
        <v>30</v>
      </c>
      <c r="J174" t="s">
        <v>31</v>
      </c>
      <c r="K174" s="50">
        <v>47988231</v>
      </c>
      <c r="L174" s="50">
        <v>0</v>
      </c>
      <c r="M174" s="50">
        <v>47988231</v>
      </c>
      <c r="N174" s="50">
        <v>44768573</v>
      </c>
      <c r="O174" t="s">
        <v>351</v>
      </c>
      <c r="P174">
        <v>39788424</v>
      </c>
      <c r="Q174" t="s">
        <v>1339</v>
      </c>
      <c r="R174" t="s">
        <v>316</v>
      </c>
      <c r="S174" t="s">
        <v>317</v>
      </c>
      <c r="T174" s="2">
        <v>14140009912</v>
      </c>
      <c r="U174" t="s">
        <v>319</v>
      </c>
      <c r="V174">
        <v>890903938</v>
      </c>
      <c r="W174" t="s">
        <v>342</v>
      </c>
      <c r="X174" s="2">
        <v>3825</v>
      </c>
      <c r="Y174" s="2">
        <v>3825</v>
      </c>
      <c r="Z174" s="2">
        <v>17325</v>
      </c>
      <c r="AA174">
        <v>0</v>
      </c>
      <c r="AB174">
        <v>23625</v>
      </c>
      <c r="AC174">
        <v>64571425</v>
      </c>
      <c r="AD174">
        <v>0</v>
      </c>
      <c r="AE174" s="5">
        <v>45696</v>
      </c>
      <c r="AF174" t="s">
        <v>356</v>
      </c>
      <c r="AG174" t="s">
        <v>1342</v>
      </c>
      <c r="AH174" t="s">
        <v>1332</v>
      </c>
    </row>
    <row r="175" spans="1:34" ht="15" customHeight="1" x14ac:dyDescent="0.2">
      <c r="A175" t="s">
        <v>2382</v>
      </c>
      <c r="B175" t="s">
        <v>485</v>
      </c>
      <c r="C175" s="2">
        <v>17425</v>
      </c>
      <c r="D175" s="5">
        <v>45696</v>
      </c>
      <c r="E175" s="5">
        <v>45696.890277777777</v>
      </c>
      <c r="F175" t="s">
        <v>312</v>
      </c>
      <c r="G175" s="2">
        <v>923245</v>
      </c>
      <c r="H175" t="s">
        <v>29</v>
      </c>
      <c r="I175" t="s">
        <v>30</v>
      </c>
      <c r="J175" t="s">
        <v>31</v>
      </c>
      <c r="K175" s="50">
        <v>47988231</v>
      </c>
      <c r="L175" s="50">
        <v>0</v>
      </c>
      <c r="M175" s="50">
        <v>47988231</v>
      </c>
      <c r="N175" s="50">
        <v>44768573</v>
      </c>
      <c r="O175" t="s">
        <v>351</v>
      </c>
      <c r="P175">
        <v>52808720</v>
      </c>
      <c r="Q175" t="s">
        <v>1343</v>
      </c>
      <c r="R175" t="s">
        <v>316</v>
      </c>
      <c r="S175" t="s">
        <v>317</v>
      </c>
      <c r="T175" s="2">
        <v>391347812</v>
      </c>
      <c r="U175" t="s">
        <v>319</v>
      </c>
      <c r="V175">
        <v>860003020</v>
      </c>
      <c r="W175" t="s">
        <v>393</v>
      </c>
      <c r="X175" s="2">
        <v>3825</v>
      </c>
      <c r="Y175" s="2">
        <v>3825</v>
      </c>
      <c r="Z175" s="2">
        <v>17425</v>
      </c>
      <c r="AA175">
        <v>0</v>
      </c>
      <c r="AB175">
        <v>23725</v>
      </c>
      <c r="AC175">
        <v>64571525</v>
      </c>
      <c r="AD175">
        <v>0</v>
      </c>
      <c r="AE175" s="5">
        <v>45696</v>
      </c>
      <c r="AF175" t="s">
        <v>356</v>
      </c>
      <c r="AG175" t="s">
        <v>1346</v>
      </c>
      <c r="AH175" t="s">
        <v>1347</v>
      </c>
    </row>
    <row r="176" spans="1:34" ht="15" customHeight="1" x14ac:dyDescent="0.2">
      <c r="A176" t="s">
        <v>2383</v>
      </c>
      <c r="B176" t="s">
        <v>485</v>
      </c>
      <c r="C176" s="2">
        <v>17525</v>
      </c>
      <c r="D176" s="5">
        <v>45696</v>
      </c>
      <c r="E176" s="5">
        <v>45696.890277777777</v>
      </c>
      <c r="F176" t="s">
        <v>312</v>
      </c>
      <c r="G176" s="2">
        <v>923245</v>
      </c>
      <c r="H176" t="s">
        <v>29</v>
      </c>
      <c r="I176" t="s">
        <v>30</v>
      </c>
      <c r="J176" t="s">
        <v>31</v>
      </c>
      <c r="K176" s="50">
        <v>47988231</v>
      </c>
      <c r="L176" s="50">
        <v>0</v>
      </c>
      <c r="M176" s="50">
        <v>47988231</v>
      </c>
      <c r="N176" s="50">
        <v>44768573</v>
      </c>
      <c r="O176" t="s">
        <v>351</v>
      </c>
      <c r="P176">
        <v>12190447</v>
      </c>
      <c r="Q176" t="s">
        <v>1349</v>
      </c>
      <c r="R176" t="s">
        <v>316</v>
      </c>
      <c r="S176" t="s">
        <v>317</v>
      </c>
      <c r="T176" s="2">
        <v>30415514781</v>
      </c>
      <c r="U176" t="s">
        <v>319</v>
      </c>
      <c r="V176">
        <v>890903938</v>
      </c>
      <c r="W176" t="s">
        <v>342</v>
      </c>
      <c r="X176" s="2">
        <v>3825</v>
      </c>
      <c r="Y176" s="2">
        <v>3825</v>
      </c>
      <c r="Z176" s="2">
        <v>17525</v>
      </c>
      <c r="AA176">
        <v>0</v>
      </c>
      <c r="AB176">
        <v>23825</v>
      </c>
      <c r="AC176">
        <v>64571625</v>
      </c>
      <c r="AD176">
        <v>0</v>
      </c>
      <c r="AE176" s="5">
        <v>45696</v>
      </c>
      <c r="AF176" t="s">
        <v>356</v>
      </c>
      <c r="AG176" t="s">
        <v>1352</v>
      </c>
      <c r="AH176" t="s">
        <v>1332</v>
      </c>
    </row>
    <row r="177" spans="1:34" ht="15" customHeight="1" x14ac:dyDescent="0.2">
      <c r="A177" t="s">
        <v>2384</v>
      </c>
      <c r="B177" t="s">
        <v>485</v>
      </c>
      <c r="C177" s="2">
        <v>17625</v>
      </c>
      <c r="D177" s="5">
        <v>45696</v>
      </c>
      <c r="E177" s="5">
        <v>45696.890277777777</v>
      </c>
      <c r="F177" t="s">
        <v>312</v>
      </c>
      <c r="G177" s="2">
        <v>923245</v>
      </c>
      <c r="H177" t="s">
        <v>29</v>
      </c>
      <c r="I177" t="s">
        <v>30</v>
      </c>
      <c r="J177" t="s">
        <v>31</v>
      </c>
      <c r="K177" s="50">
        <v>47988231</v>
      </c>
      <c r="L177" s="50">
        <v>0</v>
      </c>
      <c r="M177" s="50">
        <v>47988231</v>
      </c>
      <c r="N177" s="50">
        <v>44768573</v>
      </c>
      <c r="O177" t="s">
        <v>351</v>
      </c>
      <c r="P177">
        <v>1030570938</v>
      </c>
      <c r="Q177" t="s">
        <v>1354</v>
      </c>
      <c r="R177" t="s">
        <v>316</v>
      </c>
      <c r="S177" t="s">
        <v>317</v>
      </c>
      <c r="T177" s="2">
        <v>24124745616</v>
      </c>
      <c r="U177" t="s">
        <v>319</v>
      </c>
      <c r="V177">
        <v>860007335</v>
      </c>
      <c r="W177" t="s">
        <v>381</v>
      </c>
      <c r="X177" s="2">
        <v>3825</v>
      </c>
      <c r="Y177" s="2">
        <v>3825</v>
      </c>
      <c r="Z177" s="2">
        <v>17625</v>
      </c>
      <c r="AA177">
        <v>0</v>
      </c>
      <c r="AB177">
        <v>23925</v>
      </c>
      <c r="AC177">
        <v>64571725</v>
      </c>
      <c r="AD177">
        <v>0</v>
      </c>
      <c r="AE177" s="5">
        <v>45696</v>
      </c>
      <c r="AF177" t="s">
        <v>356</v>
      </c>
      <c r="AG177" t="s">
        <v>1357</v>
      </c>
      <c r="AH177" t="s">
        <v>1332</v>
      </c>
    </row>
    <row r="178" spans="1:34" ht="15" customHeight="1" x14ac:dyDescent="0.2">
      <c r="A178" t="s">
        <v>2385</v>
      </c>
      <c r="B178" t="s">
        <v>485</v>
      </c>
      <c r="C178" s="2">
        <v>17725</v>
      </c>
      <c r="D178" s="5">
        <v>45696</v>
      </c>
      <c r="E178" s="5">
        <v>45696.890277777777</v>
      </c>
      <c r="F178" t="s">
        <v>312</v>
      </c>
      <c r="G178" s="2">
        <v>923245</v>
      </c>
      <c r="H178" t="s">
        <v>29</v>
      </c>
      <c r="I178" t="s">
        <v>30</v>
      </c>
      <c r="J178" t="s">
        <v>31</v>
      </c>
      <c r="K178" s="50">
        <v>47988231</v>
      </c>
      <c r="L178" s="50">
        <v>0</v>
      </c>
      <c r="M178" s="50">
        <v>47988231</v>
      </c>
      <c r="N178" s="50">
        <v>44768573</v>
      </c>
      <c r="O178" t="s">
        <v>351</v>
      </c>
      <c r="P178">
        <v>38288733</v>
      </c>
      <c r="Q178" t="s">
        <v>1359</v>
      </c>
      <c r="R178" t="s">
        <v>316</v>
      </c>
      <c r="S178" t="s">
        <v>317</v>
      </c>
      <c r="T178" s="2">
        <v>4070239423</v>
      </c>
      <c r="U178" t="s">
        <v>319</v>
      </c>
      <c r="V178">
        <v>860034313</v>
      </c>
      <c r="W178" t="s">
        <v>355</v>
      </c>
      <c r="X178" s="2">
        <v>3825</v>
      </c>
      <c r="Y178" s="2">
        <v>3825</v>
      </c>
      <c r="Z178" s="2">
        <v>17725</v>
      </c>
      <c r="AA178">
        <v>0</v>
      </c>
      <c r="AB178">
        <v>24025</v>
      </c>
      <c r="AC178">
        <v>64571825</v>
      </c>
      <c r="AD178">
        <v>0</v>
      </c>
      <c r="AE178" s="5">
        <v>45696</v>
      </c>
      <c r="AF178" t="s">
        <v>356</v>
      </c>
      <c r="AG178" t="s">
        <v>1362</v>
      </c>
      <c r="AH178" t="s">
        <v>1332</v>
      </c>
    </row>
    <row r="179" spans="1:34" ht="15" customHeight="1" x14ac:dyDescent="0.2">
      <c r="A179" t="s">
        <v>2386</v>
      </c>
      <c r="B179" t="s">
        <v>485</v>
      </c>
      <c r="C179" s="2">
        <v>17825</v>
      </c>
      <c r="D179" s="5">
        <v>45696</v>
      </c>
      <c r="E179" s="5">
        <v>45696.890277777777</v>
      </c>
      <c r="F179" t="s">
        <v>312</v>
      </c>
      <c r="G179" s="2">
        <v>923245</v>
      </c>
      <c r="H179" t="s">
        <v>29</v>
      </c>
      <c r="I179" t="s">
        <v>30</v>
      </c>
      <c r="J179" t="s">
        <v>31</v>
      </c>
      <c r="K179" s="50">
        <v>47988231</v>
      </c>
      <c r="L179" s="50">
        <v>0</v>
      </c>
      <c r="M179" s="50">
        <v>47988231</v>
      </c>
      <c r="N179" s="50">
        <v>44768573</v>
      </c>
      <c r="O179" t="s">
        <v>351</v>
      </c>
      <c r="P179">
        <v>52743620</v>
      </c>
      <c r="Q179" t="s">
        <v>1364</v>
      </c>
      <c r="R179" t="s">
        <v>316</v>
      </c>
      <c r="S179" t="s">
        <v>317</v>
      </c>
      <c r="T179" s="2">
        <v>24106059557</v>
      </c>
      <c r="U179" t="s">
        <v>319</v>
      </c>
      <c r="V179">
        <v>860007335</v>
      </c>
      <c r="W179" t="s">
        <v>381</v>
      </c>
      <c r="X179" s="2">
        <v>3825</v>
      </c>
      <c r="Y179" s="2">
        <v>3825</v>
      </c>
      <c r="Z179" s="2">
        <v>17825</v>
      </c>
      <c r="AA179">
        <v>0</v>
      </c>
      <c r="AB179">
        <v>24125</v>
      </c>
      <c r="AC179">
        <v>64571925</v>
      </c>
      <c r="AD179">
        <v>0</v>
      </c>
      <c r="AE179" s="5">
        <v>45696</v>
      </c>
      <c r="AF179" t="s">
        <v>356</v>
      </c>
      <c r="AG179" t="s">
        <v>1366</v>
      </c>
      <c r="AH179" t="s">
        <v>1332</v>
      </c>
    </row>
    <row r="180" spans="1:34" ht="15" customHeight="1" x14ac:dyDescent="0.2">
      <c r="A180" t="s">
        <v>2387</v>
      </c>
      <c r="B180" t="s">
        <v>485</v>
      </c>
      <c r="C180" s="2">
        <v>17925</v>
      </c>
      <c r="D180" s="5">
        <v>45696</v>
      </c>
      <c r="E180" s="5">
        <v>45696.890277777777</v>
      </c>
      <c r="F180" t="s">
        <v>312</v>
      </c>
      <c r="G180" s="2">
        <v>923245</v>
      </c>
      <c r="H180" t="s">
        <v>29</v>
      </c>
      <c r="I180" t="s">
        <v>30</v>
      </c>
      <c r="J180" t="s">
        <v>31</v>
      </c>
      <c r="K180" s="50">
        <v>47988231</v>
      </c>
      <c r="L180" s="50">
        <v>0</v>
      </c>
      <c r="M180" s="50">
        <v>47988231</v>
      </c>
      <c r="N180" s="50">
        <v>44768573</v>
      </c>
      <c r="O180" t="s">
        <v>351</v>
      </c>
      <c r="P180">
        <v>39725297</v>
      </c>
      <c r="Q180" t="s">
        <v>1368</v>
      </c>
      <c r="R180" t="s">
        <v>316</v>
      </c>
      <c r="S180" t="s">
        <v>317</v>
      </c>
      <c r="T180" s="2">
        <v>94539430232</v>
      </c>
      <c r="U180" t="s">
        <v>319</v>
      </c>
      <c r="V180">
        <v>890903938</v>
      </c>
      <c r="W180" t="s">
        <v>342</v>
      </c>
      <c r="X180" s="2">
        <v>3825</v>
      </c>
      <c r="Y180" s="2">
        <v>3825</v>
      </c>
      <c r="Z180" s="2">
        <v>17925</v>
      </c>
      <c r="AA180">
        <v>0</v>
      </c>
      <c r="AB180">
        <v>24225</v>
      </c>
      <c r="AC180">
        <v>64572025</v>
      </c>
      <c r="AD180">
        <v>0</v>
      </c>
      <c r="AE180" s="5">
        <v>45696</v>
      </c>
      <c r="AF180" t="s">
        <v>356</v>
      </c>
      <c r="AG180" t="s">
        <v>1371</v>
      </c>
      <c r="AH180" t="s">
        <v>1332</v>
      </c>
    </row>
    <row r="181" spans="1:34" ht="15" customHeight="1" x14ac:dyDescent="0.2">
      <c r="A181" t="s">
        <v>2388</v>
      </c>
      <c r="B181" t="s">
        <v>485</v>
      </c>
      <c r="C181" s="2">
        <v>18025</v>
      </c>
      <c r="D181" s="5">
        <v>45696</v>
      </c>
      <c r="E181" s="5">
        <v>45696.890277777777</v>
      </c>
      <c r="F181" t="s">
        <v>312</v>
      </c>
      <c r="G181" s="2">
        <v>923245</v>
      </c>
      <c r="H181" t="s">
        <v>29</v>
      </c>
      <c r="I181" t="s">
        <v>30</v>
      </c>
      <c r="J181" t="s">
        <v>31</v>
      </c>
      <c r="K181" s="50">
        <v>47988231</v>
      </c>
      <c r="L181" s="50">
        <v>0</v>
      </c>
      <c r="M181" s="50">
        <v>47988231</v>
      </c>
      <c r="N181" s="50">
        <v>44768573</v>
      </c>
      <c r="O181" t="s">
        <v>351</v>
      </c>
      <c r="P181">
        <v>51628565</v>
      </c>
      <c r="Q181" t="s">
        <v>1373</v>
      </c>
      <c r="R181" t="s">
        <v>316</v>
      </c>
      <c r="S181" t="s">
        <v>317</v>
      </c>
      <c r="T181" s="2">
        <v>472185420</v>
      </c>
      <c r="U181" t="s">
        <v>319</v>
      </c>
      <c r="V181">
        <v>860003020</v>
      </c>
      <c r="W181" t="s">
        <v>393</v>
      </c>
      <c r="X181" s="2">
        <v>3825</v>
      </c>
      <c r="Y181" s="2">
        <v>3825</v>
      </c>
      <c r="Z181" s="2">
        <v>18025</v>
      </c>
      <c r="AA181">
        <v>0</v>
      </c>
      <c r="AB181">
        <v>24325</v>
      </c>
      <c r="AC181">
        <v>64572125</v>
      </c>
      <c r="AD181">
        <v>0</v>
      </c>
      <c r="AE181" s="5">
        <v>45696</v>
      </c>
      <c r="AF181" t="s">
        <v>356</v>
      </c>
      <c r="AG181" t="s">
        <v>1376</v>
      </c>
      <c r="AH181" t="s">
        <v>1332</v>
      </c>
    </row>
    <row r="182" spans="1:34" ht="15" customHeight="1" x14ac:dyDescent="0.2">
      <c r="A182" t="s">
        <v>2389</v>
      </c>
      <c r="B182" t="s">
        <v>485</v>
      </c>
      <c r="C182" s="2">
        <v>18125</v>
      </c>
      <c r="D182" s="5">
        <v>45696</v>
      </c>
      <c r="E182" s="5">
        <v>45696.890277777777</v>
      </c>
      <c r="F182" t="s">
        <v>312</v>
      </c>
      <c r="G182" s="2">
        <v>923245</v>
      </c>
      <c r="H182" t="s">
        <v>29</v>
      </c>
      <c r="I182" t="s">
        <v>30</v>
      </c>
      <c r="J182" t="s">
        <v>31</v>
      </c>
      <c r="K182" s="50">
        <v>47988231</v>
      </c>
      <c r="L182" s="50">
        <v>0</v>
      </c>
      <c r="M182" s="50">
        <v>47988231</v>
      </c>
      <c r="N182" s="50">
        <v>44768573</v>
      </c>
      <c r="O182" t="s">
        <v>351</v>
      </c>
      <c r="P182">
        <v>52294893</v>
      </c>
      <c r="Q182" t="s">
        <v>1378</v>
      </c>
      <c r="R182" t="s">
        <v>316</v>
      </c>
      <c r="S182" t="s">
        <v>317</v>
      </c>
      <c r="T182" s="2">
        <v>66700001972</v>
      </c>
      <c r="U182" t="s">
        <v>319</v>
      </c>
      <c r="V182">
        <v>890903938</v>
      </c>
      <c r="W182" t="s">
        <v>342</v>
      </c>
      <c r="X182" s="2">
        <v>3825</v>
      </c>
      <c r="Y182" s="2">
        <v>3825</v>
      </c>
      <c r="Z182" s="2">
        <v>18125</v>
      </c>
      <c r="AA182">
        <v>0</v>
      </c>
      <c r="AB182">
        <v>24425</v>
      </c>
      <c r="AC182">
        <v>64572225</v>
      </c>
      <c r="AD182">
        <v>0</v>
      </c>
      <c r="AE182" s="5">
        <v>45696</v>
      </c>
      <c r="AF182" t="s">
        <v>356</v>
      </c>
      <c r="AG182" t="s">
        <v>1381</v>
      </c>
      <c r="AH182" t="s">
        <v>1332</v>
      </c>
    </row>
    <row r="183" spans="1:34" ht="15" customHeight="1" x14ac:dyDescent="0.2">
      <c r="A183" t="s">
        <v>2390</v>
      </c>
      <c r="B183" t="s">
        <v>485</v>
      </c>
      <c r="C183" s="2">
        <v>18225</v>
      </c>
      <c r="D183" s="5">
        <v>45696</v>
      </c>
      <c r="E183" s="5">
        <v>45696.890277777777</v>
      </c>
      <c r="F183" t="s">
        <v>312</v>
      </c>
      <c r="G183" s="2">
        <v>923245</v>
      </c>
      <c r="H183" t="s">
        <v>29</v>
      </c>
      <c r="I183" t="s">
        <v>30</v>
      </c>
      <c r="J183" t="s">
        <v>31</v>
      </c>
      <c r="K183" s="50">
        <v>47988231</v>
      </c>
      <c r="L183" s="50">
        <v>0</v>
      </c>
      <c r="M183" s="50">
        <v>47988231</v>
      </c>
      <c r="N183" s="50">
        <v>44768573</v>
      </c>
      <c r="O183" t="s">
        <v>351</v>
      </c>
      <c r="P183">
        <v>52441656</v>
      </c>
      <c r="Q183" t="s">
        <v>1382</v>
      </c>
      <c r="R183" t="s">
        <v>316</v>
      </c>
      <c r="S183" t="s">
        <v>317</v>
      </c>
      <c r="T183" s="2">
        <v>94559109066</v>
      </c>
      <c r="U183" t="s">
        <v>319</v>
      </c>
      <c r="V183">
        <v>890903938</v>
      </c>
      <c r="W183" t="s">
        <v>342</v>
      </c>
      <c r="X183" s="2">
        <v>3825</v>
      </c>
      <c r="Y183" s="2">
        <v>3825</v>
      </c>
      <c r="Z183" s="2">
        <v>18225</v>
      </c>
      <c r="AA183">
        <v>0</v>
      </c>
      <c r="AB183">
        <v>24525</v>
      </c>
      <c r="AC183">
        <v>64572325</v>
      </c>
      <c r="AD183">
        <v>0</v>
      </c>
      <c r="AE183" s="5">
        <v>45696</v>
      </c>
      <c r="AF183" t="s">
        <v>356</v>
      </c>
      <c r="AG183" t="s">
        <v>1385</v>
      </c>
      <c r="AH183" t="s">
        <v>1332</v>
      </c>
    </row>
    <row r="184" spans="1:34" ht="15" customHeight="1" x14ac:dyDescent="0.2">
      <c r="A184" t="s">
        <v>2391</v>
      </c>
      <c r="B184" t="s">
        <v>485</v>
      </c>
      <c r="C184" s="2">
        <v>18325</v>
      </c>
      <c r="D184" s="5">
        <v>45696</v>
      </c>
      <c r="E184" s="5">
        <v>45696.890277777777</v>
      </c>
      <c r="F184" t="s">
        <v>312</v>
      </c>
      <c r="G184" s="2">
        <v>923245</v>
      </c>
      <c r="H184" t="s">
        <v>29</v>
      </c>
      <c r="I184" t="s">
        <v>30</v>
      </c>
      <c r="J184" t="s">
        <v>31</v>
      </c>
      <c r="K184" s="50">
        <v>47988231</v>
      </c>
      <c r="L184" s="50">
        <v>0</v>
      </c>
      <c r="M184" s="50">
        <v>47988231</v>
      </c>
      <c r="N184" s="50">
        <v>44768573</v>
      </c>
      <c r="O184" t="s">
        <v>351</v>
      </c>
      <c r="P184">
        <v>7710430</v>
      </c>
      <c r="Q184" t="s">
        <v>1387</v>
      </c>
      <c r="R184" t="s">
        <v>316</v>
      </c>
      <c r="S184" t="s">
        <v>317</v>
      </c>
      <c r="T184" s="2">
        <v>111200575512</v>
      </c>
      <c r="U184" t="s">
        <v>319</v>
      </c>
      <c r="V184">
        <v>900047981</v>
      </c>
      <c r="W184" t="s">
        <v>399</v>
      </c>
      <c r="X184" s="2">
        <v>3825</v>
      </c>
      <c r="Y184" s="2">
        <v>3825</v>
      </c>
      <c r="Z184" s="2">
        <v>18325</v>
      </c>
      <c r="AA184">
        <v>0</v>
      </c>
      <c r="AB184">
        <v>24625</v>
      </c>
      <c r="AC184">
        <v>64572425</v>
      </c>
      <c r="AD184">
        <v>0</v>
      </c>
      <c r="AE184" s="5">
        <v>45696</v>
      </c>
      <c r="AF184" t="s">
        <v>356</v>
      </c>
      <c r="AG184" t="s">
        <v>1390</v>
      </c>
      <c r="AH184" t="s">
        <v>1332</v>
      </c>
    </row>
    <row r="185" spans="1:34" ht="15" customHeight="1" x14ac:dyDescent="0.2">
      <c r="A185" t="s">
        <v>2392</v>
      </c>
      <c r="B185" t="s">
        <v>485</v>
      </c>
      <c r="C185" s="2">
        <v>18425</v>
      </c>
      <c r="D185" s="5">
        <v>45696</v>
      </c>
      <c r="E185" s="5">
        <v>45696.890277777777</v>
      </c>
      <c r="F185" t="s">
        <v>312</v>
      </c>
      <c r="G185" s="2">
        <v>923245</v>
      </c>
      <c r="H185" t="s">
        <v>29</v>
      </c>
      <c r="I185" t="s">
        <v>30</v>
      </c>
      <c r="J185" t="s">
        <v>31</v>
      </c>
      <c r="K185" s="50">
        <v>47988231</v>
      </c>
      <c r="L185" s="50">
        <v>0</v>
      </c>
      <c r="M185" s="50">
        <v>47988231</v>
      </c>
      <c r="N185" s="50">
        <v>44768573</v>
      </c>
      <c r="O185" t="s">
        <v>351</v>
      </c>
      <c r="P185">
        <v>93401524</v>
      </c>
      <c r="Q185" t="s">
        <v>1392</v>
      </c>
      <c r="R185" t="s">
        <v>316</v>
      </c>
      <c r="S185" t="s">
        <v>317</v>
      </c>
      <c r="T185" s="2">
        <v>24141811912</v>
      </c>
      <c r="U185" t="s">
        <v>319</v>
      </c>
      <c r="V185">
        <v>860007335</v>
      </c>
      <c r="W185" t="s">
        <v>381</v>
      </c>
      <c r="X185" s="2">
        <v>3825</v>
      </c>
      <c r="Y185" s="2">
        <v>3825</v>
      </c>
      <c r="Z185" s="2">
        <v>18425</v>
      </c>
      <c r="AA185">
        <v>0</v>
      </c>
      <c r="AB185">
        <v>24725</v>
      </c>
      <c r="AC185">
        <v>71243425</v>
      </c>
      <c r="AD185">
        <v>0</v>
      </c>
      <c r="AE185" s="5">
        <v>45696</v>
      </c>
      <c r="AF185" t="s">
        <v>356</v>
      </c>
      <c r="AG185" t="s">
        <v>1394</v>
      </c>
      <c r="AH185" t="s">
        <v>1332</v>
      </c>
    </row>
    <row r="186" spans="1:34" ht="15" customHeight="1" x14ac:dyDescent="0.2">
      <c r="A186" t="s">
        <v>2393</v>
      </c>
      <c r="B186" t="s">
        <v>485</v>
      </c>
      <c r="C186" s="2">
        <v>18525</v>
      </c>
      <c r="D186" s="5">
        <v>45696</v>
      </c>
      <c r="E186" s="5">
        <v>45696.890277777777</v>
      </c>
      <c r="F186" t="s">
        <v>312</v>
      </c>
      <c r="G186" s="2">
        <v>923245</v>
      </c>
      <c r="H186" t="s">
        <v>29</v>
      </c>
      <c r="I186" t="s">
        <v>30</v>
      </c>
      <c r="J186" t="s">
        <v>31</v>
      </c>
      <c r="K186" s="50">
        <v>47988231</v>
      </c>
      <c r="L186" s="50">
        <v>0</v>
      </c>
      <c r="M186" s="50">
        <v>47988231</v>
      </c>
      <c r="N186" s="50">
        <v>44768573</v>
      </c>
      <c r="O186" t="s">
        <v>351</v>
      </c>
      <c r="P186">
        <v>1022984840</v>
      </c>
      <c r="Q186" t="s">
        <v>1396</v>
      </c>
      <c r="R186" t="s">
        <v>316</v>
      </c>
      <c r="S186" t="s">
        <v>317</v>
      </c>
      <c r="T186" s="2">
        <v>1003700964</v>
      </c>
      <c r="U186" t="s">
        <v>319</v>
      </c>
      <c r="V186">
        <v>860034594</v>
      </c>
      <c r="W186" t="s">
        <v>374</v>
      </c>
      <c r="X186" s="2">
        <v>3825</v>
      </c>
      <c r="Y186" s="2">
        <v>3825</v>
      </c>
      <c r="Z186" s="2">
        <v>18525</v>
      </c>
      <c r="AA186">
        <v>0</v>
      </c>
      <c r="AB186">
        <v>24825</v>
      </c>
      <c r="AC186">
        <v>64572525</v>
      </c>
      <c r="AD186">
        <v>0</v>
      </c>
      <c r="AE186" s="5">
        <v>45696</v>
      </c>
      <c r="AF186" t="s">
        <v>356</v>
      </c>
      <c r="AG186" t="s">
        <v>1399</v>
      </c>
      <c r="AH186" t="s">
        <v>1332</v>
      </c>
    </row>
    <row r="187" spans="1:34" ht="15" customHeight="1" x14ac:dyDescent="0.2">
      <c r="A187" t="s">
        <v>2394</v>
      </c>
      <c r="B187" t="s">
        <v>485</v>
      </c>
      <c r="C187" s="2">
        <v>18625</v>
      </c>
      <c r="D187" s="5">
        <v>45696</v>
      </c>
      <c r="E187" s="5">
        <v>45696.890277777777</v>
      </c>
      <c r="F187" t="s">
        <v>312</v>
      </c>
      <c r="G187" s="2">
        <v>923245</v>
      </c>
      <c r="H187" t="s">
        <v>29</v>
      </c>
      <c r="I187" t="s">
        <v>30</v>
      </c>
      <c r="J187" t="s">
        <v>31</v>
      </c>
      <c r="K187" s="50">
        <v>47988231</v>
      </c>
      <c r="L187" s="50">
        <v>0</v>
      </c>
      <c r="M187" s="50">
        <v>47988231</v>
      </c>
      <c r="N187" s="50">
        <v>44768573</v>
      </c>
      <c r="O187" t="s">
        <v>351</v>
      </c>
      <c r="P187">
        <v>46375343</v>
      </c>
      <c r="Q187" t="s">
        <v>1401</v>
      </c>
      <c r="R187" t="s">
        <v>316</v>
      </c>
      <c r="S187" t="s">
        <v>317</v>
      </c>
      <c r="T187" s="2">
        <v>7300720286</v>
      </c>
      <c r="U187" t="s">
        <v>319</v>
      </c>
      <c r="V187">
        <v>860034313</v>
      </c>
      <c r="W187" t="s">
        <v>355</v>
      </c>
      <c r="X187" s="2">
        <v>3825</v>
      </c>
      <c r="Y187" s="2">
        <v>3825</v>
      </c>
      <c r="Z187" s="2">
        <v>18625</v>
      </c>
      <c r="AA187">
        <v>0</v>
      </c>
      <c r="AB187">
        <v>24925</v>
      </c>
      <c r="AC187">
        <v>64572625</v>
      </c>
      <c r="AD187">
        <v>0</v>
      </c>
      <c r="AE187" s="5">
        <v>45696</v>
      </c>
      <c r="AF187" t="s">
        <v>356</v>
      </c>
      <c r="AG187" t="s">
        <v>1404</v>
      </c>
      <c r="AH187" t="s">
        <v>1405</v>
      </c>
    </row>
    <row r="188" spans="1:34" ht="15" customHeight="1" x14ac:dyDescent="0.2">
      <c r="A188" t="s">
        <v>2395</v>
      </c>
      <c r="B188" t="s">
        <v>485</v>
      </c>
      <c r="C188" s="2">
        <v>18725</v>
      </c>
      <c r="D188" s="5">
        <v>45696</v>
      </c>
      <c r="E188" s="5">
        <v>45696.890277777777</v>
      </c>
      <c r="F188" t="s">
        <v>312</v>
      </c>
      <c r="G188" s="2">
        <v>923245</v>
      </c>
      <c r="H188" t="s">
        <v>29</v>
      </c>
      <c r="I188" t="s">
        <v>30</v>
      </c>
      <c r="J188" t="s">
        <v>31</v>
      </c>
      <c r="K188" s="50">
        <v>47988231</v>
      </c>
      <c r="L188" s="50">
        <v>0</v>
      </c>
      <c r="M188" s="50">
        <v>47988231</v>
      </c>
      <c r="N188" s="50">
        <v>44768573</v>
      </c>
      <c r="O188" t="s">
        <v>351</v>
      </c>
      <c r="P188">
        <v>65812579</v>
      </c>
      <c r="Q188" t="s">
        <v>1407</v>
      </c>
      <c r="R188" t="s">
        <v>316</v>
      </c>
      <c r="S188" t="s">
        <v>317</v>
      </c>
      <c r="T188" s="2">
        <v>1770130480</v>
      </c>
      <c r="U188" t="s">
        <v>319</v>
      </c>
      <c r="V188">
        <v>860034313</v>
      </c>
      <c r="W188" t="s">
        <v>355</v>
      </c>
      <c r="X188" s="2">
        <v>3825</v>
      </c>
      <c r="Y188" s="2">
        <v>3825</v>
      </c>
      <c r="Z188" s="2">
        <v>18725</v>
      </c>
      <c r="AA188">
        <v>0</v>
      </c>
      <c r="AB188">
        <v>25025</v>
      </c>
      <c r="AC188">
        <v>64572725</v>
      </c>
      <c r="AD188">
        <v>0</v>
      </c>
      <c r="AE188" s="5">
        <v>45696</v>
      </c>
      <c r="AF188" t="s">
        <v>356</v>
      </c>
      <c r="AG188" t="s">
        <v>1410</v>
      </c>
      <c r="AH188" t="s">
        <v>1332</v>
      </c>
    </row>
    <row r="189" spans="1:34" ht="15" customHeight="1" x14ac:dyDescent="0.2">
      <c r="A189" t="s">
        <v>2396</v>
      </c>
      <c r="B189" t="s">
        <v>485</v>
      </c>
      <c r="C189" s="2">
        <v>18825</v>
      </c>
      <c r="D189" s="5">
        <v>45696</v>
      </c>
      <c r="E189" s="5">
        <v>45696.890277777777</v>
      </c>
      <c r="F189" t="s">
        <v>312</v>
      </c>
      <c r="G189" s="2">
        <v>923245</v>
      </c>
      <c r="H189" t="s">
        <v>29</v>
      </c>
      <c r="I189" t="s">
        <v>30</v>
      </c>
      <c r="J189" t="s">
        <v>31</v>
      </c>
      <c r="K189" s="50">
        <v>47988231</v>
      </c>
      <c r="L189" s="50">
        <v>0</v>
      </c>
      <c r="M189" s="50">
        <v>47988231</v>
      </c>
      <c r="N189" s="50">
        <v>44768573</v>
      </c>
      <c r="O189" t="s">
        <v>351</v>
      </c>
      <c r="P189">
        <v>79746948</v>
      </c>
      <c r="Q189" t="s">
        <v>1412</v>
      </c>
      <c r="R189" t="s">
        <v>316</v>
      </c>
      <c r="S189" t="s">
        <v>317</v>
      </c>
      <c r="T189" s="2">
        <v>157519638</v>
      </c>
      <c r="U189" t="s">
        <v>319</v>
      </c>
      <c r="V189">
        <v>860002964</v>
      </c>
      <c r="W189" t="s">
        <v>419</v>
      </c>
      <c r="X189" s="2">
        <v>3825</v>
      </c>
      <c r="Y189" s="2">
        <v>3825</v>
      </c>
      <c r="Z189" s="2">
        <v>18825</v>
      </c>
      <c r="AA189">
        <v>0</v>
      </c>
      <c r="AB189">
        <v>25125</v>
      </c>
      <c r="AC189">
        <v>64572825</v>
      </c>
      <c r="AD189">
        <v>0</v>
      </c>
      <c r="AE189" s="5">
        <v>45696</v>
      </c>
      <c r="AF189" t="s">
        <v>356</v>
      </c>
      <c r="AG189" t="s">
        <v>1415</v>
      </c>
      <c r="AH189" t="s">
        <v>1332</v>
      </c>
    </row>
    <row r="190" spans="1:34" ht="15" customHeight="1" x14ac:dyDescent="0.2">
      <c r="A190" t="s">
        <v>2397</v>
      </c>
      <c r="B190" t="s">
        <v>485</v>
      </c>
      <c r="C190" s="2">
        <v>18925</v>
      </c>
      <c r="D190" s="5">
        <v>45696</v>
      </c>
      <c r="E190" s="5">
        <v>45696.890277777777</v>
      </c>
      <c r="F190" t="s">
        <v>312</v>
      </c>
      <c r="G190" s="2">
        <v>923245</v>
      </c>
      <c r="H190" t="s">
        <v>29</v>
      </c>
      <c r="I190" t="s">
        <v>30</v>
      </c>
      <c r="J190" t="s">
        <v>31</v>
      </c>
      <c r="K190" s="50">
        <v>47988231</v>
      </c>
      <c r="L190" s="50">
        <v>0</v>
      </c>
      <c r="M190" s="50">
        <v>47988231</v>
      </c>
      <c r="N190" s="50">
        <v>44768573</v>
      </c>
      <c r="O190" t="s">
        <v>351</v>
      </c>
      <c r="P190">
        <v>7917926</v>
      </c>
      <c r="Q190" t="s">
        <v>1416</v>
      </c>
      <c r="R190" t="s">
        <v>316</v>
      </c>
      <c r="S190" t="s">
        <v>317</v>
      </c>
      <c r="T190" s="2">
        <v>4685237569</v>
      </c>
      <c r="U190" t="s">
        <v>319</v>
      </c>
      <c r="V190">
        <v>890903938</v>
      </c>
      <c r="W190" t="s">
        <v>342</v>
      </c>
      <c r="X190" s="2">
        <v>3825</v>
      </c>
      <c r="Y190" s="2">
        <v>3825</v>
      </c>
      <c r="Z190" s="2">
        <v>18925</v>
      </c>
      <c r="AA190">
        <v>0</v>
      </c>
      <c r="AB190">
        <v>25225</v>
      </c>
      <c r="AC190">
        <v>64572925</v>
      </c>
      <c r="AD190">
        <v>0</v>
      </c>
      <c r="AE190" s="5">
        <v>45696</v>
      </c>
      <c r="AF190" t="s">
        <v>356</v>
      </c>
      <c r="AG190" t="s">
        <v>1419</v>
      </c>
      <c r="AH190" t="s">
        <v>1332</v>
      </c>
    </row>
    <row r="191" spans="1:34" ht="15" customHeight="1" x14ac:dyDescent="0.2">
      <c r="A191" t="s">
        <v>2398</v>
      </c>
      <c r="B191" t="s">
        <v>485</v>
      </c>
      <c r="C191" s="2">
        <v>19025</v>
      </c>
      <c r="D191" s="5">
        <v>45696</v>
      </c>
      <c r="E191" s="5">
        <v>45696.890277777777</v>
      </c>
      <c r="F191" t="s">
        <v>312</v>
      </c>
      <c r="G191" s="2">
        <v>923245</v>
      </c>
      <c r="H191" t="s">
        <v>29</v>
      </c>
      <c r="I191" t="s">
        <v>30</v>
      </c>
      <c r="J191" t="s">
        <v>31</v>
      </c>
      <c r="K191" s="50">
        <v>47988231</v>
      </c>
      <c r="L191" s="50">
        <v>0</v>
      </c>
      <c r="M191" s="50">
        <v>47988231</v>
      </c>
      <c r="N191" s="50">
        <v>44768573</v>
      </c>
      <c r="O191" t="s">
        <v>351</v>
      </c>
      <c r="P191">
        <v>80168802</v>
      </c>
      <c r="Q191" t="s">
        <v>1421</v>
      </c>
      <c r="R191" t="s">
        <v>316</v>
      </c>
      <c r="S191" t="s">
        <v>317</v>
      </c>
      <c r="T191" s="2">
        <v>406170033566</v>
      </c>
      <c r="U191" t="s">
        <v>319</v>
      </c>
      <c r="V191">
        <v>860034313</v>
      </c>
      <c r="W191" t="s">
        <v>355</v>
      </c>
      <c r="X191" s="2">
        <v>3825</v>
      </c>
      <c r="Y191" s="2">
        <v>3825</v>
      </c>
      <c r="Z191" s="2">
        <v>19025</v>
      </c>
      <c r="AA191">
        <v>0</v>
      </c>
      <c r="AB191">
        <v>25325</v>
      </c>
      <c r="AC191">
        <v>64573025</v>
      </c>
      <c r="AD191">
        <v>0</v>
      </c>
      <c r="AE191" s="5">
        <v>45696</v>
      </c>
      <c r="AF191" t="s">
        <v>356</v>
      </c>
      <c r="AG191" t="s">
        <v>1424</v>
      </c>
      <c r="AH191" t="s">
        <v>1332</v>
      </c>
    </row>
    <row r="192" spans="1:34" ht="15" customHeight="1" x14ac:dyDescent="0.2">
      <c r="A192" t="s">
        <v>2399</v>
      </c>
      <c r="B192" t="s">
        <v>485</v>
      </c>
      <c r="C192" s="2">
        <v>19125</v>
      </c>
      <c r="D192" s="5">
        <v>45696</v>
      </c>
      <c r="E192" s="5">
        <v>45696.890277777777</v>
      </c>
      <c r="F192" t="s">
        <v>312</v>
      </c>
      <c r="G192" s="2">
        <v>923245</v>
      </c>
      <c r="H192" t="s">
        <v>29</v>
      </c>
      <c r="I192" t="s">
        <v>30</v>
      </c>
      <c r="J192" t="s">
        <v>31</v>
      </c>
      <c r="K192" s="50">
        <v>47988231</v>
      </c>
      <c r="L192" s="50">
        <v>0</v>
      </c>
      <c r="M192" s="50">
        <v>47988231</v>
      </c>
      <c r="N192" s="50">
        <v>44768573</v>
      </c>
      <c r="O192" t="s">
        <v>351</v>
      </c>
      <c r="P192">
        <v>1024499356</v>
      </c>
      <c r="Q192" t="s">
        <v>1426</v>
      </c>
      <c r="R192" t="s">
        <v>316</v>
      </c>
      <c r="S192" t="s">
        <v>317</v>
      </c>
      <c r="T192" s="2">
        <v>7380827118</v>
      </c>
      <c r="U192" t="s">
        <v>319</v>
      </c>
      <c r="V192">
        <v>860034313</v>
      </c>
      <c r="W192" t="s">
        <v>355</v>
      </c>
      <c r="X192" s="2">
        <v>3825</v>
      </c>
      <c r="Y192" s="2">
        <v>3825</v>
      </c>
      <c r="Z192" s="2">
        <v>19125</v>
      </c>
      <c r="AA192">
        <v>0</v>
      </c>
      <c r="AB192">
        <v>25425</v>
      </c>
      <c r="AC192">
        <v>64573125</v>
      </c>
      <c r="AD192">
        <v>0</v>
      </c>
      <c r="AE192" s="5">
        <v>45696</v>
      </c>
      <c r="AF192" t="s">
        <v>356</v>
      </c>
      <c r="AG192" t="s">
        <v>1429</v>
      </c>
      <c r="AH192" t="s">
        <v>1430</v>
      </c>
    </row>
    <row r="193" spans="1:34" ht="15" customHeight="1" x14ac:dyDescent="0.2">
      <c r="A193" t="s">
        <v>2400</v>
      </c>
      <c r="B193" t="s">
        <v>485</v>
      </c>
      <c r="C193" s="2">
        <v>19225</v>
      </c>
      <c r="D193" s="5">
        <v>45696</v>
      </c>
      <c r="E193" s="5">
        <v>45696.890277777777</v>
      </c>
      <c r="F193" t="s">
        <v>312</v>
      </c>
      <c r="G193" s="2">
        <v>923245</v>
      </c>
      <c r="H193" t="s">
        <v>29</v>
      </c>
      <c r="I193" t="s">
        <v>30</v>
      </c>
      <c r="J193" t="s">
        <v>31</v>
      </c>
      <c r="K193" s="50">
        <v>47988231</v>
      </c>
      <c r="L193" s="50">
        <v>0</v>
      </c>
      <c r="M193" s="50">
        <v>47988231</v>
      </c>
      <c r="N193" s="50">
        <v>44768573</v>
      </c>
      <c r="O193" t="s">
        <v>351</v>
      </c>
      <c r="P193">
        <v>1023954487</v>
      </c>
      <c r="Q193" t="s">
        <v>1432</v>
      </c>
      <c r="R193" t="s">
        <v>316</v>
      </c>
      <c r="S193" t="s">
        <v>317</v>
      </c>
      <c r="T193" s="2">
        <v>24065490752</v>
      </c>
      <c r="U193" t="s">
        <v>319</v>
      </c>
      <c r="V193">
        <v>860007335</v>
      </c>
      <c r="W193" t="s">
        <v>381</v>
      </c>
      <c r="X193" s="2">
        <v>3825</v>
      </c>
      <c r="Y193" s="2">
        <v>3825</v>
      </c>
      <c r="Z193" s="2">
        <v>19225</v>
      </c>
      <c r="AA193">
        <v>0</v>
      </c>
      <c r="AB193">
        <v>25525</v>
      </c>
      <c r="AC193">
        <v>64573225</v>
      </c>
      <c r="AD193">
        <v>0</v>
      </c>
      <c r="AE193" s="5">
        <v>45696</v>
      </c>
      <c r="AF193" t="s">
        <v>356</v>
      </c>
      <c r="AG193" t="s">
        <v>1435</v>
      </c>
      <c r="AH193" t="s">
        <v>1436</v>
      </c>
    </row>
    <row r="194" spans="1:34" ht="15" customHeight="1" x14ac:dyDescent="0.2">
      <c r="A194" t="s">
        <v>2401</v>
      </c>
      <c r="B194" t="s">
        <v>485</v>
      </c>
      <c r="C194" s="2">
        <v>19325</v>
      </c>
      <c r="D194" s="5">
        <v>45696</v>
      </c>
      <c r="E194" s="5">
        <v>45696.890277777777</v>
      </c>
      <c r="F194" t="s">
        <v>312</v>
      </c>
      <c r="G194" s="2">
        <v>923245</v>
      </c>
      <c r="H194" t="s">
        <v>29</v>
      </c>
      <c r="I194" t="s">
        <v>30</v>
      </c>
      <c r="J194" t="s">
        <v>31</v>
      </c>
      <c r="K194" s="50">
        <v>47988231</v>
      </c>
      <c r="L194" s="50">
        <v>0</v>
      </c>
      <c r="M194" s="50">
        <v>47988231</v>
      </c>
      <c r="N194" s="50">
        <v>44768573</v>
      </c>
      <c r="O194" t="s">
        <v>351</v>
      </c>
      <c r="P194">
        <v>1069740339</v>
      </c>
      <c r="Q194" t="s">
        <v>1438</v>
      </c>
      <c r="R194" t="s">
        <v>316</v>
      </c>
      <c r="S194" t="s">
        <v>317</v>
      </c>
      <c r="T194" s="2">
        <v>26440507726</v>
      </c>
      <c r="U194" t="s">
        <v>319</v>
      </c>
      <c r="V194">
        <v>890903938</v>
      </c>
      <c r="W194" t="s">
        <v>342</v>
      </c>
      <c r="X194" s="2">
        <v>3825</v>
      </c>
      <c r="Y194" s="2">
        <v>3825</v>
      </c>
      <c r="Z194" s="2">
        <v>19325</v>
      </c>
      <c r="AA194">
        <v>0</v>
      </c>
      <c r="AB194">
        <v>25625</v>
      </c>
      <c r="AC194">
        <v>64573325</v>
      </c>
      <c r="AD194">
        <v>0</v>
      </c>
      <c r="AE194" s="5">
        <v>45696</v>
      </c>
      <c r="AF194" t="s">
        <v>356</v>
      </c>
      <c r="AG194" t="s">
        <v>1441</v>
      </c>
      <c r="AH194" t="s">
        <v>1442</v>
      </c>
    </row>
    <row r="195" spans="1:34" ht="15" customHeight="1" x14ac:dyDescent="0.2">
      <c r="A195" t="s">
        <v>2402</v>
      </c>
      <c r="B195" t="s">
        <v>485</v>
      </c>
      <c r="C195" s="2">
        <v>19425</v>
      </c>
      <c r="D195" s="5">
        <v>45696</v>
      </c>
      <c r="E195" s="5">
        <v>45696.890277777777</v>
      </c>
      <c r="F195" t="s">
        <v>312</v>
      </c>
      <c r="G195" s="2">
        <v>923245</v>
      </c>
      <c r="H195" t="s">
        <v>29</v>
      </c>
      <c r="I195" t="s">
        <v>30</v>
      </c>
      <c r="J195" t="s">
        <v>31</v>
      </c>
      <c r="K195" s="50">
        <v>47988231</v>
      </c>
      <c r="L195" s="50">
        <v>0</v>
      </c>
      <c r="M195" s="50">
        <v>47988231</v>
      </c>
      <c r="N195" s="50">
        <v>44768573</v>
      </c>
      <c r="O195" t="s">
        <v>351</v>
      </c>
      <c r="P195">
        <v>1012428522</v>
      </c>
      <c r="Q195" t="s">
        <v>1444</v>
      </c>
      <c r="R195" t="s">
        <v>316</v>
      </c>
      <c r="S195" t="s">
        <v>317</v>
      </c>
      <c r="T195" s="2">
        <v>488448748274</v>
      </c>
      <c r="U195" t="s">
        <v>319</v>
      </c>
      <c r="V195">
        <v>860034313</v>
      </c>
      <c r="W195" t="s">
        <v>355</v>
      </c>
      <c r="X195" s="2">
        <v>3825</v>
      </c>
      <c r="Y195" s="2">
        <v>3825</v>
      </c>
      <c r="Z195" s="2">
        <v>19425</v>
      </c>
      <c r="AA195">
        <v>0</v>
      </c>
      <c r="AB195">
        <v>25725</v>
      </c>
      <c r="AC195">
        <v>64573425</v>
      </c>
      <c r="AD195">
        <v>0</v>
      </c>
      <c r="AE195" s="5">
        <v>45696</v>
      </c>
      <c r="AF195" t="s">
        <v>356</v>
      </c>
      <c r="AG195" t="s">
        <v>1447</v>
      </c>
      <c r="AH195" t="s">
        <v>1442</v>
      </c>
    </row>
    <row r="196" spans="1:34" ht="15" customHeight="1" x14ac:dyDescent="0.2">
      <c r="A196" t="s">
        <v>2403</v>
      </c>
      <c r="B196" t="s">
        <v>485</v>
      </c>
      <c r="C196" s="2">
        <v>19525</v>
      </c>
      <c r="D196" s="5">
        <v>45696</v>
      </c>
      <c r="E196" s="5">
        <v>45696.890277777777</v>
      </c>
      <c r="F196" t="s">
        <v>312</v>
      </c>
      <c r="G196" s="2">
        <v>923245</v>
      </c>
      <c r="H196" t="s">
        <v>29</v>
      </c>
      <c r="I196" t="s">
        <v>30</v>
      </c>
      <c r="J196" t="s">
        <v>31</v>
      </c>
      <c r="K196" s="50">
        <v>47988231</v>
      </c>
      <c r="L196" s="50">
        <v>0</v>
      </c>
      <c r="M196" s="50">
        <v>47988231</v>
      </c>
      <c r="N196" s="50">
        <v>44768573</v>
      </c>
      <c r="O196" t="s">
        <v>351</v>
      </c>
      <c r="P196">
        <v>79644336</v>
      </c>
      <c r="Q196" t="s">
        <v>1449</v>
      </c>
      <c r="R196" t="s">
        <v>316</v>
      </c>
      <c r="S196" t="s">
        <v>317</v>
      </c>
      <c r="T196" s="2">
        <v>21118751652</v>
      </c>
      <c r="U196" t="s">
        <v>319</v>
      </c>
      <c r="V196">
        <v>890903938</v>
      </c>
      <c r="W196" t="s">
        <v>342</v>
      </c>
      <c r="X196" s="2">
        <v>3825</v>
      </c>
      <c r="Y196" s="2">
        <v>3825</v>
      </c>
      <c r="Z196" s="2">
        <v>19525</v>
      </c>
      <c r="AA196">
        <v>0</v>
      </c>
      <c r="AB196">
        <v>25825</v>
      </c>
      <c r="AC196">
        <v>64573525</v>
      </c>
      <c r="AD196">
        <v>0</v>
      </c>
      <c r="AE196" s="5">
        <v>45696</v>
      </c>
      <c r="AF196" t="s">
        <v>356</v>
      </c>
      <c r="AG196" t="s">
        <v>1452</v>
      </c>
      <c r="AH196" t="s">
        <v>1453</v>
      </c>
    </row>
    <row r="197" spans="1:34" ht="15" customHeight="1" x14ac:dyDescent="0.2">
      <c r="A197" t="s">
        <v>2404</v>
      </c>
      <c r="B197" t="s">
        <v>485</v>
      </c>
      <c r="C197" s="2">
        <v>19625</v>
      </c>
      <c r="D197" s="5">
        <v>45696</v>
      </c>
      <c r="E197" s="5">
        <v>45696.890277777777</v>
      </c>
      <c r="F197" t="s">
        <v>312</v>
      </c>
      <c r="G197" s="2">
        <v>923245</v>
      </c>
      <c r="H197" t="s">
        <v>29</v>
      </c>
      <c r="I197" t="s">
        <v>30</v>
      </c>
      <c r="J197" t="s">
        <v>31</v>
      </c>
      <c r="K197" s="50">
        <v>47988231</v>
      </c>
      <c r="L197" s="50">
        <v>0</v>
      </c>
      <c r="M197" s="50">
        <v>47988231</v>
      </c>
      <c r="N197" s="50">
        <v>44768573</v>
      </c>
      <c r="O197" t="s">
        <v>351</v>
      </c>
      <c r="P197">
        <v>79443231</v>
      </c>
      <c r="Q197" t="s">
        <v>1454</v>
      </c>
      <c r="R197" t="s">
        <v>316</v>
      </c>
      <c r="S197" t="s">
        <v>328</v>
      </c>
      <c r="T197" s="2">
        <v>81425894</v>
      </c>
      <c r="U197" t="s">
        <v>319</v>
      </c>
      <c r="V197">
        <v>860002964</v>
      </c>
      <c r="W197" t="s">
        <v>419</v>
      </c>
      <c r="X197" s="2">
        <v>3825</v>
      </c>
      <c r="Y197" s="2">
        <v>3825</v>
      </c>
      <c r="Z197" s="2">
        <v>19625</v>
      </c>
      <c r="AA197">
        <v>0</v>
      </c>
      <c r="AB197">
        <v>40425</v>
      </c>
      <c r="AC197">
        <v>66431025</v>
      </c>
      <c r="AD197">
        <v>0</v>
      </c>
      <c r="AE197" s="5">
        <v>45696</v>
      </c>
      <c r="AF197" t="s">
        <v>356</v>
      </c>
      <c r="AG197" t="s">
        <v>1457</v>
      </c>
      <c r="AH197" t="s">
        <v>1453</v>
      </c>
    </row>
    <row r="198" spans="1:34" ht="15" customHeight="1" x14ac:dyDescent="0.2">
      <c r="A198" t="s">
        <v>2405</v>
      </c>
      <c r="B198" t="s">
        <v>485</v>
      </c>
      <c r="C198" s="2">
        <v>19725</v>
      </c>
      <c r="D198" s="5">
        <v>45696</v>
      </c>
      <c r="E198" s="5">
        <v>45696.890277777777</v>
      </c>
      <c r="F198" t="s">
        <v>312</v>
      </c>
      <c r="G198" s="2">
        <v>923245</v>
      </c>
      <c r="H198" t="s">
        <v>29</v>
      </c>
      <c r="I198" t="s">
        <v>30</v>
      </c>
      <c r="J198" t="s">
        <v>31</v>
      </c>
      <c r="K198" s="50">
        <v>47988231</v>
      </c>
      <c r="L198" s="50">
        <v>0</v>
      </c>
      <c r="M198" s="50">
        <v>47988231</v>
      </c>
      <c r="N198" s="50">
        <v>44768573</v>
      </c>
      <c r="O198" t="s">
        <v>351</v>
      </c>
      <c r="P198">
        <v>11227260</v>
      </c>
      <c r="Q198" t="s">
        <v>1459</v>
      </c>
      <c r="R198" t="s">
        <v>316</v>
      </c>
      <c r="S198" t="s">
        <v>317</v>
      </c>
      <c r="T198" s="2">
        <v>65954775610</v>
      </c>
      <c r="U198" t="s">
        <v>319</v>
      </c>
      <c r="V198">
        <v>890903938</v>
      </c>
      <c r="W198" t="s">
        <v>342</v>
      </c>
      <c r="X198" s="2">
        <v>3825</v>
      </c>
      <c r="Y198" s="2">
        <v>3825</v>
      </c>
      <c r="Z198" s="2">
        <v>19725</v>
      </c>
      <c r="AA198">
        <v>0</v>
      </c>
      <c r="AB198">
        <v>25925</v>
      </c>
      <c r="AC198">
        <v>64573625</v>
      </c>
      <c r="AD198">
        <v>0</v>
      </c>
      <c r="AE198" s="5">
        <v>45696</v>
      </c>
      <c r="AF198" t="s">
        <v>356</v>
      </c>
      <c r="AG198" t="s">
        <v>1462</v>
      </c>
      <c r="AH198" t="s">
        <v>1453</v>
      </c>
    </row>
    <row r="199" spans="1:34" ht="15" customHeight="1" x14ac:dyDescent="0.2">
      <c r="A199" t="s">
        <v>2406</v>
      </c>
      <c r="B199" t="s">
        <v>485</v>
      </c>
      <c r="C199" s="2">
        <v>19825</v>
      </c>
      <c r="D199" s="5">
        <v>45696</v>
      </c>
      <c r="E199" s="5">
        <v>45696.890277777777</v>
      </c>
      <c r="F199" t="s">
        <v>312</v>
      </c>
      <c r="G199" s="2">
        <v>923245</v>
      </c>
      <c r="H199" t="s">
        <v>29</v>
      </c>
      <c r="I199" t="s">
        <v>30</v>
      </c>
      <c r="J199" t="s">
        <v>31</v>
      </c>
      <c r="K199" s="50">
        <v>47988231</v>
      </c>
      <c r="L199" s="50">
        <v>0</v>
      </c>
      <c r="M199" s="50">
        <v>47988231</v>
      </c>
      <c r="N199" s="50">
        <v>44768573</v>
      </c>
      <c r="O199" t="s">
        <v>351</v>
      </c>
      <c r="P199">
        <v>80732528</v>
      </c>
      <c r="Q199" t="s">
        <v>1464</v>
      </c>
      <c r="R199" t="s">
        <v>316</v>
      </c>
      <c r="S199" t="s">
        <v>317</v>
      </c>
      <c r="T199" s="2">
        <v>1003442264</v>
      </c>
      <c r="U199" t="s">
        <v>319</v>
      </c>
      <c r="V199">
        <v>860034594</v>
      </c>
      <c r="W199" t="s">
        <v>374</v>
      </c>
      <c r="X199" s="2">
        <v>3825</v>
      </c>
      <c r="Y199" s="2">
        <v>3825</v>
      </c>
      <c r="Z199" s="2">
        <v>19825</v>
      </c>
      <c r="AA199">
        <v>0</v>
      </c>
      <c r="AB199">
        <v>26025</v>
      </c>
      <c r="AC199">
        <v>64573725</v>
      </c>
      <c r="AD199">
        <v>0</v>
      </c>
      <c r="AE199" s="5">
        <v>45696</v>
      </c>
      <c r="AF199" t="s">
        <v>356</v>
      </c>
      <c r="AG199" t="s">
        <v>1467</v>
      </c>
      <c r="AH199" t="s">
        <v>1453</v>
      </c>
    </row>
    <row r="200" spans="1:34" ht="15" customHeight="1" x14ac:dyDescent="0.2">
      <c r="A200" t="s">
        <v>2407</v>
      </c>
      <c r="B200" t="s">
        <v>485</v>
      </c>
      <c r="C200" s="2">
        <v>19925</v>
      </c>
      <c r="D200" s="5">
        <v>45696</v>
      </c>
      <c r="E200" s="5">
        <v>45696.890277777777</v>
      </c>
      <c r="F200" t="s">
        <v>312</v>
      </c>
      <c r="G200" s="2">
        <v>923245</v>
      </c>
      <c r="H200" t="s">
        <v>29</v>
      </c>
      <c r="I200" t="s">
        <v>30</v>
      </c>
      <c r="J200" t="s">
        <v>31</v>
      </c>
      <c r="K200" s="50">
        <v>47988231</v>
      </c>
      <c r="L200" s="50">
        <v>0</v>
      </c>
      <c r="M200" s="50">
        <v>47988231</v>
      </c>
      <c r="N200" s="50">
        <v>44768573</v>
      </c>
      <c r="O200" t="s">
        <v>351</v>
      </c>
      <c r="P200">
        <v>1085257212</v>
      </c>
      <c r="Q200" t="s">
        <v>1469</v>
      </c>
      <c r="R200" t="s">
        <v>316</v>
      </c>
      <c r="S200" t="s">
        <v>317</v>
      </c>
      <c r="T200" s="2">
        <v>94316081767</v>
      </c>
      <c r="U200" t="s">
        <v>319</v>
      </c>
      <c r="V200">
        <v>890903938</v>
      </c>
      <c r="W200" t="s">
        <v>342</v>
      </c>
      <c r="X200" s="2">
        <v>3825</v>
      </c>
      <c r="Y200" s="2">
        <v>3825</v>
      </c>
      <c r="Z200" s="2">
        <v>19925</v>
      </c>
      <c r="AA200">
        <v>0</v>
      </c>
      <c r="AB200">
        <v>26125</v>
      </c>
      <c r="AC200">
        <v>64573825</v>
      </c>
      <c r="AD200">
        <v>0</v>
      </c>
      <c r="AE200" s="5">
        <v>45696</v>
      </c>
      <c r="AF200" t="s">
        <v>356</v>
      </c>
      <c r="AG200" t="s">
        <v>1472</v>
      </c>
      <c r="AH200" t="s">
        <v>1453</v>
      </c>
    </row>
    <row r="201" spans="1:34" ht="15" customHeight="1" x14ac:dyDescent="0.2">
      <c r="A201" t="s">
        <v>2408</v>
      </c>
      <c r="B201" t="s">
        <v>485</v>
      </c>
      <c r="C201" s="2">
        <v>20025</v>
      </c>
      <c r="D201" s="5">
        <v>45696</v>
      </c>
      <c r="E201" s="5">
        <v>45696.890277777777</v>
      </c>
      <c r="F201" t="s">
        <v>312</v>
      </c>
      <c r="G201" s="2">
        <v>923245</v>
      </c>
      <c r="H201" t="s">
        <v>29</v>
      </c>
      <c r="I201" t="s">
        <v>30</v>
      </c>
      <c r="J201" t="s">
        <v>31</v>
      </c>
      <c r="K201" s="50">
        <v>47988231</v>
      </c>
      <c r="L201" s="50">
        <v>0</v>
      </c>
      <c r="M201" s="50">
        <v>47988231</v>
      </c>
      <c r="N201" s="50">
        <v>44768573</v>
      </c>
      <c r="O201" t="s">
        <v>351</v>
      </c>
      <c r="P201">
        <v>39725669</v>
      </c>
      <c r="Q201" t="s">
        <v>1474</v>
      </c>
      <c r="R201" t="s">
        <v>316</v>
      </c>
      <c r="S201" t="s">
        <v>317</v>
      </c>
      <c r="T201" s="2">
        <v>20778547711</v>
      </c>
      <c r="U201" t="s">
        <v>319</v>
      </c>
      <c r="V201">
        <v>890903938</v>
      </c>
      <c r="W201" t="s">
        <v>342</v>
      </c>
      <c r="X201" s="2">
        <v>3825</v>
      </c>
      <c r="Y201" s="2">
        <v>3825</v>
      </c>
      <c r="Z201" s="2">
        <v>20025</v>
      </c>
      <c r="AA201">
        <v>0</v>
      </c>
      <c r="AB201">
        <v>26225</v>
      </c>
      <c r="AC201">
        <v>64573925</v>
      </c>
      <c r="AD201">
        <v>0</v>
      </c>
      <c r="AE201" s="5">
        <v>45696</v>
      </c>
      <c r="AF201" t="s">
        <v>356</v>
      </c>
      <c r="AG201" t="s">
        <v>1477</v>
      </c>
      <c r="AH201" t="s">
        <v>1453</v>
      </c>
    </row>
    <row r="202" spans="1:34" ht="15" customHeight="1" x14ac:dyDescent="0.2">
      <c r="A202" t="s">
        <v>2409</v>
      </c>
      <c r="B202" t="s">
        <v>485</v>
      </c>
      <c r="C202" s="2">
        <v>20125</v>
      </c>
      <c r="D202" s="5">
        <v>45696</v>
      </c>
      <c r="E202" s="5">
        <v>45696.916666666664</v>
      </c>
      <c r="F202" t="s">
        <v>312</v>
      </c>
      <c r="G202" s="2">
        <v>923245</v>
      </c>
      <c r="H202" t="s">
        <v>29</v>
      </c>
      <c r="I202" t="s">
        <v>30</v>
      </c>
      <c r="J202" t="s">
        <v>31</v>
      </c>
      <c r="K202" s="50">
        <v>47988231</v>
      </c>
      <c r="L202" s="50">
        <v>0</v>
      </c>
      <c r="M202" s="50">
        <v>47988231</v>
      </c>
      <c r="N202" s="50">
        <v>44768573</v>
      </c>
      <c r="O202" t="s">
        <v>351</v>
      </c>
      <c r="P202">
        <v>52123001</v>
      </c>
      <c r="Q202" t="s">
        <v>1479</v>
      </c>
      <c r="R202" t="s">
        <v>316</v>
      </c>
      <c r="S202" t="s">
        <v>317</v>
      </c>
      <c r="T202" s="2">
        <v>53576625</v>
      </c>
      <c r="U202" t="s">
        <v>319</v>
      </c>
      <c r="V202">
        <v>860034313</v>
      </c>
      <c r="W202" t="s">
        <v>355</v>
      </c>
      <c r="X202" s="2">
        <v>3825</v>
      </c>
      <c r="Y202" s="2">
        <v>3825</v>
      </c>
      <c r="Z202" s="2">
        <v>20125</v>
      </c>
      <c r="AA202">
        <v>0</v>
      </c>
      <c r="AB202">
        <v>26325</v>
      </c>
      <c r="AC202">
        <v>64574025</v>
      </c>
      <c r="AD202">
        <v>0</v>
      </c>
      <c r="AE202" s="5">
        <v>45696</v>
      </c>
      <c r="AF202" t="s">
        <v>356</v>
      </c>
      <c r="AG202" t="s">
        <v>1482</v>
      </c>
      <c r="AH202" t="s">
        <v>1453</v>
      </c>
    </row>
    <row r="203" spans="1:34" ht="15" customHeight="1" x14ac:dyDescent="0.2">
      <c r="A203" t="s">
        <v>2410</v>
      </c>
      <c r="B203" t="s">
        <v>485</v>
      </c>
      <c r="C203" s="2">
        <v>20225</v>
      </c>
      <c r="D203" s="5">
        <v>45696</v>
      </c>
      <c r="E203" s="5">
        <v>45696.916666666664</v>
      </c>
      <c r="F203" t="s">
        <v>312</v>
      </c>
      <c r="G203" s="2">
        <v>923245</v>
      </c>
      <c r="H203" t="s">
        <v>29</v>
      </c>
      <c r="I203" t="s">
        <v>30</v>
      </c>
      <c r="J203" t="s">
        <v>31</v>
      </c>
      <c r="K203" s="50">
        <v>47988231</v>
      </c>
      <c r="L203" s="50">
        <v>0</v>
      </c>
      <c r="M203" s="50">
        <v>47988231</v>
      </c>
      <c r="N203" s="50">
        <v>44768573</v>
      </c>
      <c r="O203" t="s">
        <v>351</v>
      </c>
      <c r="P203">
        <v>93372441</v>
      </c>
      <c r="Q203" t="s">
        <v>1483</v>
      </c>
      <c r="R203" t="s">
        <v>316</v>
      </c>
      <c r="S203" t="s">
        <v>317</v>
      </c>
      <c r="T203" s="2">
        <v>82906037471</v>
      </c>
      <c r="U203" t="s">
        <v>319</v>
      </c>
      <c r="V203">
        <v>890903938</v>
      </c>
      <c r="W203" t="s">
        <v>342</v>
      </c>
      <c r="X203" s="2">
        <v>3825</v>
      </c>
      <c r="Y203" s="2">
        <v>3825</v>
      </c>
      <c r="Z203" s="2">
        <v>20225</v>
      </c>
      <c r="AA203">
        <v>0</v>
      </c>
      <c r="AB203">
        <v>26425</v>
      </c>
      <c r="AC203">
        <v>64574125</v>
      </c>
      <c r="AD203">
        <v>0</v>
      </c>
      <c r="AE203" s="5">
        <v>45696</v>
      </c>
      <c r="AF203" t="s">
        <v>356</v>
      </c>
      <c r="AG203" t="s">
        <v>1486</v>
      </c>
      <c r="AH203" t="s">
        <v>1453</v>
      </c>
    </row>
    <row r="204" spans="1:34" ht="15" customHeight="1" x14ac:dyDescent="0.2">
      <c r="A204" t="s">
        <v>2411</v>
      </c>
      <c r="B204" t="s">
        <v>485</v>
      </c>
      <c r="C204" s="2">
        <v>20325</v>
      </c>
      <c r="D204" s="5">
        <v>45696</v>
      </c>
      <c r="E204" s="5">
        <v>45696.916666666664</v>
      </c>
      <c r="F204" t="s">
        <v>312</v>
      </c>
      <c r="G204" s="2">
        <v>923245</v>
      </c>
      <c r="H204" t="s">
        <v>29</v>
      </c>
      <c r="I204" t="s">
        <v>30</v>
      </c>
      <c r="J204" t="s">
        <v>31</v>
      </c>
      <c r="K204" s="50">
        <v>47988231</v>
      </c>
      <c r="L204" s="50">
        <v>0</v>
      </c>
      <c r="M204" s="50">
        <v>47988231</v>
      </c>
      <c r="N204" s="50">
        <v>44768573</v>
      </c>
      <c r="O204" t="s">
        <v>351</v>
      </c>
      <c r="P204">
        <v>79002678</v>
      </c>
      <c r="Q204" t="s">
        <v>1488</v>
      </c>
      <c r="R204" t="s">
        <v>316</v>
      </c>
      <c r="S204" t="s">
        <v>317</v>
      </c>
      <c r="T204" s="2">
        <v>451870040743</v>
      </c>
      <c r="U204" t="s">
        <v>319</v>
      </c>
      <c r="V204">
        <v>860034313</v>
      </c>
      <c r="W204" t="s">
        <v>355</v>
      </c>
      <c r="X204" s="2">
        <v>3825</v>
      </c>
      <c r="Y204" s="2">
        <v>3825</v>
      </c>
      <c r="Z204" s="2">
        <v>20325</v>
      </c>
      <c r="AA204">
        <v>0</v>
      </c>
      <c r="AB204">
        <v>26525</v>
      </c>
      <c r="AC204">
        <v>64574225</v>
      </c>
      <c r="AD204">
        <v>0</v>
      </c>
      <c r="AE204" s="5">
        <v>45696</v>
      </c>
      <c r="AF204" t="s">
        <v>356</v>
      </c>
      <c r="AG204" t="s">
        <v>1491</v>
      </c>
      <c r="AH204" t="s">
        <v>1453</v>
      </c>
    </row>
    <row r="205" spans="1:34" ht="15" customHeight="1" x14ac:dyDescent="0.2">
      <c r="A205" t="s">
        <v>2412</v>
      </c>
      <c r="B205" t="s">
        <v>485</v>
      </c>
      <c r="C205" s="2">
        <v>20425</v>
      </c>
      <c r="D205" s="5">
        <v>45696</v>
      </c>
      <c r="E205" s="5">
        <v>45696.917361111111</v>
      </c>
      <c r="F205" t="s">
        <v>312</v>
      </c>
      <c r="G205" s="2">
        <v>923245</v>
      </c>
      <c r="H205" t="s">
        <v>29</v>
      </c>
      <c r="I205" t="s">
        <v>30</v>
      </c>
      <c r="J205" t="s">
        <v>31</v>
      </c>
      <c r="K205" s="50">
        <v>47988231</v>
      </c>
      <c r="L205" s="50">
        <v>0</v>
      </c>
      <c r="M205" s="50">
        <v>47988231</v>
      </c>
      <c r="N205" s="50">
        <v>44768573</v>
      </c>
      <c r="O205" t="s">
        <v>351</v>
      </c>
      <c r="P205">
        <v>65630940</v>
      </c>
      <c r="Q205" t="s">
        <v>1493</v>
      </c>
      <c r="R205" t="s">
        <v>316</v>
      </c>
      <c r="S205" t="s">
        <v>317</v>
      </c>
      <c r="T205" s="2">
        <v>24066599861</v>
      </c>
      <c r="U205" t="s">
        <v>319</v>
      </c>
      <c r="V205">
        <v>860007335</v>
      </c>
      <c r="W205" t="s">
        <v>381</v>
      </c>
      <c r="X205" s="2">
        <v>3825</v>
      </c>
      <c r="Y205" s="2">
        <v>3825</v>
      </c>
      <c r="Z205" s="2">
        <v>20425</v>
      </c>
      <c r="AA205">
        <v>0</v>
      </c>
      <c r="AB205">
        <v>26625</v>
      </c>
      <c r="AC205">
        <v>64574325</v>
      </c>
      <c r="AD205">
        <v>0</v>
      </c>
      <c r="AE205" s="5">
        <v>45696</v>
      </c>
      <c r="AF205" t="s">
        <v>356</v>
      </c>
      <c r="AG205" t="s">
        <v>1496</v>
      </c>
      <c r="AH205" t="s">
        <v>1453</v>
      </c>
    </row>
    <row r="206" spans="1:34" ht="15" customHeight="1" x14ac:dyDescent="0.2">
      <c r="A206" t="s">
        <v>2413</v>
      </c>
      <c r="B206" t="s">
        <v>485</v>
      </c>
      <c r="C206" s="2">
        <v>20525</v>
      </c>
      <c r="D206" s="5">
        <v>45696</v>
      </c>
      <c r="E206" s="5">
        <v>45696.917361111111</v>
      </c>
      <c r="F206" t="s">
        <v>312</v>
      </c>
      <c r="G206" s="2">
        <v>923245</v>
      </c>
      <c r="H206" t="s">
        <v>29</v>
      </c>
      <c r="I206" t="s">
        <v>30</v>
      </c>
      <c r="J206" t="s">
        <v>31</v>
      </c>
      <c r="K206" s="50">
        <v>47988231</v>
      </c>
      <c r="L206" s="50">
        <v>0</v>
      </c>
      <c r="M206" s="50">
        <v>47988231</v>
      </c>
      <c r="N206" s="50">
        <v>44768573</v>
      </c>
      <c r="O206" t="s">
        <v>351</v>
      </c>
      <c r="P206">
        <v>1024562193</v>
      </c>
      <c r="Q206" t="s">
        <v>1498</v>
      </c>
      <c r="R206" t="s">
        <v>316</v>
      </c>
      <c r="S206" t="s">
        <v>317</v>
      </c>
      <c r="T206" s="2">
        <v>29903264568</v>
      </c>
      <c r="U206" t="s">
        <v>319</v>
      </c>
      <c r="V206">
        <v>890903938</v>
      </c>
      <c r="W206" t="s">
        <v>342</v>
      </c>
      <c r="X206" s="2">
        <v>3825</v>
      </c>
      <c r="Y206" s="2">
        <v>3825</v>
      </c>
      <c r="Z206" s="2">
        <v>20525</v>
      </c>
      <c r="AA206">
        <v>0</v>
      </c>
      <c r="AB206">
        <v>26725</v>
      </c>
      <c r="AC206">
        <v>64574425</v>
      </c>
      <c r="AD206">
        <v>0</v>
      </c>
      <c r="AE206" s="5">
        <v>45696</v>
      </c>
      <c r="AF206" t="s">
        <v>356</v>
      </c>
      <c r="AG206" t="s">
        <v>1501</v>
      </c>
      <c r="AH206" t="s">
        <v>1453</v>
      </c>
    </row>
    <row r="207" spans="1:34" ht="15" customHeight="1" x14ac:dyDescent="0.2">
      <c r="A207" t="s">
        <v>2414</v>
      </c>
      <c r="B207" t="s">
        <v>485</v>
      </c>
      <c r="C207" s="2">
        <v>20625</v>
      </c>
      <c r="D207" s="5">
        <v>45696</v>
      </c>
      <c r="E207" s="5">
        <v>45696.917361111111</v>
      </c>
      <c r="F207" t="s">
        <v>312</v>
      </c>
      <c r="G207" s="2">
        <v>923245</v>
      </c>
      <c r="H207" t="s">
        <v>29</v>
      </c>
      <c r="I207" t="s">
        <v>30</v>
      </c>
      <c r="J207" t="s">
        <v>31</v>
      </c>
      <c r="K207" s="50">
        <v>47988231</v>
      </c>
      <c r="L207" s="50">
        <v>0</v>
      </c>
      <c r="M207" s="50">
        <v>47988231</v>
      </c>
      <c r="N207" s="50">
        <v>44768573</v>
      </c>
      <c r="O207" t="s">
        <v>351</v>
      </c>
      <c r="P207">
        <v>1030569761</v>
      </c>
      <c r="Q207" t="s">
        <v>1503</v>
      </c>
      <c r="R207" t="s">
        <v>316</v>
      </c>
      <c r="S207" t="s">
        <v>317</v>
      </c>
      <c r="T207" s="2">
        <v>2870560923</v>
      </c>
      <c r="U207" t="s">
        <v>319</v>
      </c>
      <c r="V207">
        <v>860034313</v>
      </c>
      <c r="W207" t="s">
        <v>355</v>
      </c>
      <c r="X207" s="2">
        <v>3825</v>
      </c>
      <c r="Y207" s="2">
        <v>3825</v>
      </c>
      <c r="Z207" s="2">
        <v>20625</v>
      </c>
      <c r="AA207">
        <v>0</v>
      </c>
      <c r="AB207">
        <v>26825</v>
      </c>
      <c r="AC207">
        <v>64574525</v>
      </c>
      <c r="AD207">
        <v>0</v>
      </c>
      <c r="AE207" s="5">
        <v>45696</v>
      </c>
      <c r="AF207" t="s">
        <v>356</v>
      </c>
      <c r="AG207" t="s">
        <v>1506</v>
      </c>
      <c r="AH207" t="s">
        <v>1453</v>
      </c>
    </row>
    <row r="208" spans="1:34" ht="15" customHeight="1" x14ac:dyDescent="0.2">
      <c r="A208" t="s">
        <v>2415</v>
      </c>
      <c r="B208" t="s">
        <v>485</v>
      </c>
      <c r="C208" s="2">
        <v>20725</v>
      </c>
      <c r="D208" s="5">
        <v>45696</v>
      </c>
      <c r="E208" s="5">
        <v>45696.917361111111</v>
      </c>
      <c r="F208" t="s">
        <v>312</v>
      </c>
      <c r="G208" s="2">
        <v>923245</v>
      </c>
      <c r="H208" t="s">
        <v>29</v>
      </c>
      <c r="I208" t="s">
        <v>30</v>
      </c>
      <c r="J208" t="s">
        <v>31</v>
      </c>
      <c r="K208" s="50">
        <v>47988231</v>
      </c>
      <c r="L208" s="50">
        <v>0</v>
      </c>
      <c r="M208" s="50">
        <v>47988231</v>
      </c>
      <c r="N208" s="50">
        <v>44768573</v>
      </c>
      <c r="O208" t="s">
        <v>351</v>
      </c>
      <c r="P208">
        <v>79354889</v>
      </c>
      <c r="Q208" t="s">
        <v>1508</v>
      </c>
      <c r="R208" t="s">
        <v>316</v>
      </c>
      <c r="S208" t="s">
        <v>317</v>
      </c>
      <c r="T208" s="2">
        <v>4841834</v>
      </c>
      <c r="U208" t="s">
        <v>319</v>
      </c>
      <c r="V208">
        <v>860035827</v>
      </c>
      <c r="W208" t="s">
        <v>653</v>
      </c>
      <c r="X208" s="2">
        <v>3825</v>
      </c>
      <c r="Y208" s="2">
        <v>3825</v>
      </c>
      <c r="Z208" s="2">
        <v>20725</v>
      </c>
      <c r="AA208">
        <v>0</v>
      </c>
      <c r="AB208">
        <v>26925</v>
      </c>
      <c r="AC208">
        <v>64574625</v>
      </c>
      <c r="AD208">
        <v>0</v>
      </c>
      <c r="AE208" s="5">
        <v>45696</v>
      </c>
      <c r="AF208" t="s">
        <v>356</v>
      </c>
      <c r="AG208" t="s">
        <v>1511</v>
      </c>
      <c r="AH208" t="s">
        <v>1332</v>
      </c>
    </row>
    <row r="209" spans="1:34" ht="15" customHeight="1" x14ac:dyDescent="0.2">
      <c r="A209" t="s">
        <v>2416</v>
      </c>
      <c r="B209" t="s">
        <v>485</v>
      </c>
      <c r="C209" s="2">
        <v>20825</v>
      </c>
      <c r="D209" s="5">
        <v>45696</v>
      </c>
      <c r="E209" s="5">
        <v>45696.917361111111</v>
      </c>
      <c r="F209" t="s">
        <v>312</v>
      </c>
      <c r="G209" s="2">
        <v>923245</v>
      </c>
      <c r="H209" t="s">
        <v>29</v>
      </c>
      <c r="I209" t="s">
        <v>30</v>
      </c>
      <c r="J209" t="s">
        <v>31</v>
      </c>
      <c r="K209" s="50">
        <v>47988231</v>
      </c>
      <c r="L209" s="50">
        <v>0</v>
      </c>
      <c r="M209" s="50">
        <v>47988231</v>
      </c>
      <c r="N209" s="50">
        <v>44768573</v>
      </c>
      <c r="O209" t="s">
        <v>351</v>
      </c>
      <c r="P209">
        <v>79054553</v>
      </c>
      <c r="Q209" t="s">
        <v>1513</v>
      </c>
      <c r="R209" t="s">
        <v>316</v>
      </c>
      <c r="S209" t="s">
        <v>317</v>
      </c>
      <c r="T209" s="2">
        <v>550002300183437</v>
      </c>
      <c r="U209" t="s">
        <v>319</v>
      </c>
      <c r="V209">
        <v>860034313</v>
      </c>
      <c r="W209" t="s">
        <v>355</v>
      </c>
      <c r="X209" s="2">
        <v>3825</v>
      </c>
      <c r="Y209" s="2">
        <v>3825</v>
      </c>
      <c r="Z209" s="2">
        <v>20825</v>
      </c>
      <c r="AA209">
        <v>0</v>
      </c>
      <c r="AB209">
        <v>40525</v>
      </c>
      <c r="AC209">
        <v>66431225</v>
      </c>
      <c r="AD209">
        <v>0</v>
      </c>
      <c r="AE209" s="5">
        <v>45696</v>
      </c>
      <c r="AF209" t="s">
        <v>356</v>
      </c>
      <c r="AG209" t="s">
        <v>1516</v>
      </c>
      <c r="AH209" t="s">
        <v>1332</v>
      </c>
    </row>
    <row r="210" spans="1:34" ht="15" customHeight="1" x14ac:dyDescent="0.2">
      <c r="A210" t="s">
        <v>2417</v>
      </c>
      <c r="B210" t="s">
        <v>485</v>
      </c>
      <c r="C210" s="2">
        <v>20925</v>
      </c>
      <c r="D210" s="5">
        <v>45696</v>
      </c>
      <c r="E210" s="5">
        <v>45696.917361111111</v>
      </c>
      <c r="F210" t="s">
        <v>312</v>
      </c>
      <c r="G210" s="2">
        <v>923245</v>
      </c>
      <c r="H210" t="s">
        <v>29</v>
      </c>
      <c r="I210" t="s">
        <v>30</v>
      </c>
      <c r="J210" t="s">
        <v>31</v>
      </c>
      <c r="K210" s="50">
        <v>37099598</v>
      </c>
      <c r="L210" s="50">
        <v>0</v>
      </c>
      <c r="M210" s="50">
        <v>37099598</v>
      </c>
      <c r="N210" s="50">
        <v>34610486</v>
      </c>
      <c r="O210" t="s">
        <v>351</v>
      </c>
      <c r="P210">
        <v>39631710</v>
      </c>
      <c r="Q210" t="s">
        <v>1518</v>
      </c>
      <c r="R210" t="s">
        <v>316</v>
      </c>
      <c r="S210" t="s">
        <v>317</v>
      </c>
      <c r="T210" s="2">
        <v>24059331269</v>
      </c>
      <c r="U210" t="s">
        <v>319</v>
      </c>
      <c r="V210">
        <v>860007335</v>
      </c>
      <c r="W210" t="s">
        <v>381</v>
      </c>
      <c r="X210" s="2">
        <v>3825</v>
      </c>
      <c r="Y210" s="2">
        <v>3825</v>
      </c>
      <c r="Z210" s="2">
        <v>20925</v>
      </c>
      <c r="AA210">
        <v>0</v>
      </c>
      <c r="AB210">
        <v>27025</v>
      </c>
      <c r="AC210">
        <v>64574725</v>
      </c>
      <c r="AD210">
        <v>0</v>
      </c>
      <c r="AE210" s="5">
        <v>45696</v>
      </c>
      <c r="AF210" t="s">
        <v>356</v>
      </c>
      <c r="AG210" t="s">
        <v>1521</v>
      </c>
      <c r="AH210" t="s">
        <v>1332</v>
      </c>
    </row>
    <row r="211" spans="1:34" ht="15" customHeight="1" x14ac:dyDescent="0.2">
      <c r="A211" t="s">
        <v>2418</v>
      </c>
      <c r="B211" t="s">
        <v>485</v>
      </c>
      <c r="C211" s="2">
        <v>21025</v>
      </c>
      <c r="D211" s="5">
        <v>45696</v>
      </c>
      <c r="E211" s="5">
        <v>45696.917361111111</v>
      </c>
      <c r="F211" t="s">
        <v>312</v>
      </c>
      <c r="G211" s="2">
        <v>923245</v>
      </c>
      <c r="H211" t="s">
        <v>29</v>
      </c>
      <c r="I211" t="s">
        <v>30</v>
      </c>
      <c r="J211" t="s">
        <v>31</v>
      </c>
      <c r="K211" s="50">
        <v>37099598</v>
      </c>
      <c r="L211" s="50">
        <v>0</v>
      </c>
      <c r="M211" s="50">
        <v>37099598</v>
      </c>
      <c r="N211" s="50">
        <v>34610486</v>
      </c>
      <c r="O211" t="s">
        <v>351</v>
      </c>
      <c r="P211">
        <v>33367155</v>
      </c>
      <c r="Q211" t="s">
        <v>1522</v>
      </c>
      <c r="R211" t="s">
        <v>316</v>
      </c>
      <c r="S211" t="s">
        <v>317</v>
      </c>
      <c r="T211" s="2">
        <v>176500047095</v>
      </c>
      <c r="U211" t="s">
        <v>319</v>
      </c>
      <c r="V211">
        <v>860034313</v>
      </c>
      <c r="W211" t="s">
        <v>355</v>
      </c>
      <c r="X211" s="2">
        <v>3825</v>
      </c>
      <c r="Y211" s="2">
        <v>3825</v>
      </c>
      <c r="Z211" s="2">
        <v>21025</v>
      </c>
      <c r="AA211">
        <v>0</v>
      </c>
      <c r="AB211">
        <v>27125</v>
      </c>
      <c r="AC211">
        <v>64574825</v>
      </c>
      <c r="AD211">
        <v>0</v>
      </c>
      <c r="AE211" s="5">
        <v>45696</v>
      </c>
      <c r="AF211" t="s">
        <v>356</v>
      </c>
      <c r="AG211" t="s">
        <v>1525</v>
      </c>
      <c r="AH211" t="s">
        <v>1332</v>
      </c>
    </row>
    <row r="212" spans="1:34" ht="15" customHeight="1" x14ac:dyDescent="0.2">
      <c r="A212" t="s">
        <v>2419</v>
      </c>
      <c r="B212" t="s">
        <v>479</v>
      </c>
      <c r="C212" s="2">
        <v>21125</v>
      </c>
      <c r="D212" s="5">
        <v>45697</v>
      </c>
      <c r="E212" s="5">
        <v>45697.662499999999</v>
      </c>
      <c r="F212" t="s">
        <v>312</v>
      </c>
      <c r="G212" s="2">
        <v>923211</v>
      </c>
      <c r="H212" t="s">
        <v>29</v>
      </c>
      <c r="I212" t="s">
        <v>30</v>
      </c>
      <c r="J212" t="s">
        <v>31</v>
      </c>
      <c r="K212" s="50">
        <v>45995110</v>
      </c>
      <c r="L212" s="50">
        <v>0</v>
      </c>
      <c r="M212" s="50">
        <v>45995110</v>
      </c>
      <c r="N212" s="50">
        <v>42775452</v>
      </c>
      <c r="O212" t="s">
        <v>351</v>
      </c>
      <c r="P212">
        <v>35535223</v>
      </c>
      <c r="Q212" t="s">
        <v>1528</v>
      </c>
      <c r="R212" t="s">
        <v>316</v>
      </c>
      <c r="S212" t="s">
        <v>317</v>
      </c>
      <c r="T212" s="2">
        <v>37245096209</v>
      </c>
      <c r="U212" t="s">
        <v>319</v>
      </c>
      <c r="V212">
        <v>890903938</v>
      </c>
      <c r="W212" t="s">
        <v>342</v>
      </c>
      <c r="X212" s="2">
        <v>2125</v>
      </c>
      <c r="Y212" s="2">
        <v>2125</v>
      </c>
      <c r="Z212" s="2">
        <v>21125</v>
      </c>
      <c r="AA212">
        <v>0</v>
      </c>
      <c r="AB212">
        <v>27225</v>
      </c>
      <c r="AC212">
        <v>64574925</v>
      </c>
      <c r="AD212">
        <v>0</v>
      </c>
      <c r="AE212" s="5">
        <v>45697</v>
      </c>
      <c r="AF212" t="s">
        <v>356</v>
      </c>
      <c r="AG212" t="s">
        <v>1531</v>
      </c>
      <c r="AH212" t="s">
        <v>1532</v>
      </c>
    </row>
    <row r="213" spans="1:34" ht="15" customHeight="1" x14ac:dyDescent="0.2">
      <c r="A213" t="s">
        <v>2420</v>
      </c>
      <c r="B213" t="s">
        <v>479</v>
      </c>
      <c r="C213" s="2">
        <v>21225</v>
      </c>
      <c r="D213" s="5">
        <v>45697</v>
      </c>
      <c r="E213" s="5">
        <v>45697.662499999999</v>
      </c>
      <c r="F213" t="s">
        <v>312</v>
      </c>
      <c r="G213" s="2">
        <v>923211</v>
      </c>
      <c r="H213" t="s">
        <v>29</v>
      </c>
      <c r="I213" t="s">
        <v>30</v>
      </c>
      <c r="J213" t="s">
        <v>31</v>
      </c>
      <c r="K213" s="50">
        <v>45995110</v>
      </c>
      <c r="L213" s="50">
        <v>0</v>
      </c>
      <c r="M213" s="50">
        <v>45995110</v>
      </c>
      <c r="N213" s="50">
        <v>42775452</v>
      </c>
      <c r="O213" t="s">
        <v>351</v>
      </c>
      <c r="P213">
        <v>1024467029</v>
      </c>
      <c r="Q213" t="s">
        <v>1534</v>
      </c>
      <c r="R213" t="s">
        <v>316</v>
      </c>
      <c r="S213" t="s">
        <v>317</v>
      </c>
      <c r="T213" s="2">
        <v>24094321520</v>
      </c>
      <c r="U213" t="s">
        <v>319</v>
      </c>
      <c r="V213">
        <v>860007335</v>
      </c>
      <c r="W213" t="s">
        <v>381</v>
      </c>
      <c r="X213" s="2">
        <v>2125</v>
      </c>
      <c r="Y213" s="2">
        <v>2125</v>
      </c>
      <c r="Z213" s="2">
        <v>21225</v>
      </c>
      <c r="AA213">
        <v>0</v>
      </c>
      <c r="AB213">
        <v>27325</v>
      </c>
      <c r="AC213">
        <v>64575025</v>
      </c>
      <c r="AD213">
        <v>0</v>
      </c>
      <c r="AE213" s="5">
        <v>45697</v>
      </c>
      <c r="AF213" t="s">
        <v>356</v>
      </c>
      <c r="AG213" t="s">
        <v>1537</v>
      </c>
      <c r="AH213" t="s">
        <v>1532</v>
      </c>
    </row>
    <row r="214" spans="1:34" ht="15" customHeight="1" x14ac:dyDescent="0.2">
      <c r="A214" t="s">
        <v>2421</v>
      </c>
      <c r="B214" t="s">
        <v>479</v>
      </c>
      <c r="C214" s="2">
        <v>21325</v>
      </c>
      <c r="D214" s="5">
        <v>45697</v>
      </c>
      <c r="E214" s="5">
        <v>45697.662499999999</v>
      </c>
      <c r="F214" t="s">
        <v>312</v>
      </c>
      <c r="G214" s="2">
        <v>923211</v>
      </c>
      <c r="H214" t="s">
        <v>29</v>
      </c>
      <c r="I214" t="s">
        <v>30</v>
      </c>
      <c r="J214" t="s">
        <v>31</v>
      </c>
      <c r="K214" s="50">
        <v>45995110</v>
      </c>
      <c r="L214" s="50">
        <v>0</v>
      </c>
      <c r="M214" s="50">
        <v>45995110</v>
      </c>
      <c r="N214" s="50">
        <v>42775452</v>
      </c>
      <c r="O214" t="s">
        <v>351</v>
      </c>
      <c r="P214">
        <v>15645611</v>
      </c>
      <c r="Q214" t="s">
        <v>1539</v>
      </c>
      <c r="R214" t="s">
        <v>316</v>
      </c>
      <c r="S214" t="s">
        <v>317</v>
      </c>
      <c r="T214" s="2">
        <v>68164362446</v>
      </c>
      <c r="U214" t="s">
        <v>319</v>
      </c>
      <c r="V214">
        <v>890903938</v>
      </c>
      <c r="W214" t="s">
        <v>342</v>
      </c>
      <c r="X214" s="2">
        <v>2125</v>
      </c>
      <c r="Y214" s="2">
        <v>2125</v>
      </c>
      <c r="Z214" s="2">
        <v>21325</v>
      </c>
      <c r="AA214">
        <v>0</v>
      </c>
      <c r="AB214">
        <v>27425</v>
      </c>
      <c r="AC214">
        <v>64582325</v>
      </c>
      <c r="AD214">
        <v>0</v>
      </c>
      <c r="AE214" s="5">
        <v>45697</v>
      </c>
      <c r="AF214" t="s">
        <v>356</v>
      </c>
      <c r="AG214" t="s">
        <v>1542</v>
      </c>
      <c r="AH214" t="s">
        <v>1532</v>
      </c>
    </row>
    <row r="215" spans="1:34" ht="15" customHeight="1" x14ac:dyDescent="0.2">
      <c r="A215" t="s">
        <v>2422</v>
      </c>
      <c r="B215" t="s">
        <v>479</v>
      </c>
      <c r="C215" s="2">
        <v>21425</v>
      </c>
      <c r="D215" s="5">
        <v>45697</v>
      </c>
      <c r="E215" s="5">
        <v>45697.662499999999</v>
      </c>
      <c r="F215" t="s">
        <v>312</v>
      </c>
      <c r="G215" s="2">
        <v>923211</v>
      </c>
      <c r="H215" t="s">
        <v>29</v>
      </c>
      <c r="I215" t="s">
        <v>30</v>
      </c>
      <c r="J215" t="s">
        <v>31</v>
      </c>
      <c r="K215" s="50">
        <v>45995110</v>
      </c>
      <c r="L215" s="50">
        <v>0</v>
      </c>
      <c r="M215" s="50">
        <v>45995110</v>
      </c>
      <c r="N215" s="50">
        <v>42775452</v>
      </c>
      <c r="O215" t="s">
        <v>351</v>
      </c>
      <c r="P215">
        <v>1010182673</v>
      </c>
      <c r="Q215" t="s">
        <v>1544</v>
      </c>
      <c r="R215" t="s">
        <v>316</v>
      </c>
      <c r="S215" t="s">
        <v>317</v>
      </c>
      <c r="T215" s="2">
        <v>456870046459</v>
      </c>
      <c r="U215" t="s">
        <v>319</v>
      </c>
      <c r="V215">
        <v>860034313</v>
      </c>
      <c r="W215" t="s">
        <v>355</v>
      </c>
      <c r="X215" s="2">
        <v>2125</v>
      </c>
      <c r="Y215" s="2">
        <v>2125</v>
      </c>
      <c r="Z215" s="2">
        <v>21425</v>
      </c>
      <c r="AA215">
        <v>0</v>
      </c>
      <c r="AB215">
        <v>27525</v>
      </c>
      <c r="AC215">
        <v>64582425</v>
      </c>
      <c r="AD215">
        <v>0</v>
      </c>
      <c r="AE215" s="5">
        <v>45697</v>
      </c>
      <c r="AF215" t="s">
        <v>356</v>
      </c>
      <c r="AG215" t="s">
        <v>1547</v>
      </c>
      <c r="AH215" t="s">
        <v>1548</v>
      </c>
    </row>
    <row r="216" spans="1:34" ht="15" customHeight="1" x14ac:dyDescent="0.2">
      <c r="A216" t="s">
        <v>2423</v>
      </c>
      <c r="B216" t="s">
        <v>479</v>
      </c>
      <c r="C216" s="2">
        <v>21525</v>
      </c>
      <c r="D216" s="5">
        <v>45697</v>
      </c>
      <c r="E216" s="5">
        <v>45697.662499999999</v>
      </c>
      <c r="F216" t="s">
        <v>312</v>
      </c>
      <c r="G216" s="2">
        <v>923211</v>
      </c>
      <c r="H216" t="s">
        <v>29</v>
      </c>
      <c r="I216" t="s">
        <v>30</v>
      </c>
      <c r="J216" t="s">
        <v>31</v>
      </c>
      <c r="K216" s="50">
        <v>45995110</v>
      </c>
      <c r="L216" s="50">
        <v>0</v>
      </c>
      <c r="M216" s="50">
        <v>45995110</v>
      </c>
      <c r="N216" s="50">
        <v>42775452</v>
      </c>
      <c r="O216" t="s">
        <v>351</v>
      </c>
      <c r="P216">
        <v>1010183074</v>
      </c>
      <c r="Q216" t="s">
        <v>1550</v>
      </c>
      <c r="R216" t="s">
        <v>316</v>
      </c>
      <c r="S216" t="s">
        <v>317</v>
      </c>
      <c r="T216" s="2">
        <v>587098120</v>
      </c>
      <c r="U216" t="s">
        <v>319</v>
      </c>
      <c r="V216">
        <v>860002964</v>
      </c>
      <c r="W216" t="s">
        <v>419</v>
      </c>
      <c r="X216" s="2">
        <v>2125</v>
      </c>
      <c r="Y216" s="2">
        <v>2125</v>
      </c>
      <c r="Z216" s="2">
        <v>21525</v>
      </c>
      <c r="AA216">
        <v>0</v>
      </c>
      <c r="AB216">
        <v>27625</v>
      </c>
      <c r="AC216">
        <v>64582525</v>
      </c>
      <c r="AD216">
        <v>0</v>
      </c>
      <c r="AE216" s="5">
        <v>45697</v>
      </c>
      <c r="AF216" t="s">
        <v>356</v>
      </c>
      <c r="AG216" t="s">
        <v>1553</v>
      </c>
      <c r="AH216" t="s">
        <v>1532</v>
      </c>
    </row>
    <row r="217" spans="1:34" ht="15" customHeight="1" x14ac:dyDescent="0.2">
      <c r="A217" t="s">
        <v>2424</v>
      </c>
      <c r="B217" t="s">
        <v>479</v>
      </c>
      <c r="C217" s="2">
        <v>21625</v>
      </c>
      <c r="D217" s="5">
        <v>45697</v>
      </c>
      <c r="E217" s="5">
        <v>45697.662499999999</v>
      </c>
      <c r="F217" t="s">
        <v>312</v>
      </c>
      <c r="G217" s="2">
        <v>923211</v>
      </c>
      <c r="H217" t="s">
        <v>29</v>
      </c>
      <c r="I217" t="s">
        <v>30</v>
      </c>
      <c r="J217" t="s">
        <v>31</v>
      </c>
      <c r="K217" s="50">
        <v>45995110</v>
      </c>
      <c r="L217" s="50">
        <v>0</v>
      </c>
      <c r="M217" s="50">
        <v>45995110</v>
      </c>
      <c r="N217" s="50">
        <v>42775452</v>
      </c>
      <c r="O217" t="s">
        <v>351</v>
      </c>
      <c r="P217">
        <v>1013659725</v>
      </c>
      <c r="Q217" t="s">
        <v>1555</v>
      </c>
      <c r="R217" t="s">
        <v>316</v>
      </c>
      <c r="S217" t="s">
        <v>317</v>
      </c>
      <c r="T217" s="2">
        <v>24071291626</v>
      </c>
      <c r="U217" t="s">
        <v>319</v>
      </c>
      <c r="V217">
        <v>860007335</v>
      </c>
      <c r="W217" t="s">
        <v>381</v>
      </c>
      <c r="X217" s="2">
        <v>2125</v>
      </c>
      <c r="Y217" s="2">
        <v>2125</v>
      </c>
      <c r="Z217" s="2">
        <v>21625</v>
      </c>
      <c r="AA217">
        <v>0</v>
      </c>
      <c r="AB217">
        <v>27725</v>
      </c>
      <c r="AC217">
        <v>64582625</v>
      </c>
      <c r="AD217">
        <v>0</v>
      </c>
      <c r="AE217" s="5">
        <v>45697</v>
      </c>
      <c r="AF217" t="s">
        <v>356</v>
      </c>
      <c r="AG217" t="s">
        <v>1558</v>
      </c>
      <c r="AH217" t="s">
        <v>1532</v>
      </c>
    </row>
    <row r="218" spans="1:34" ht="15" customHeight="1" x14ac:dyDescent="0.2">
      <c r="A218" t="s">
        <v>2425</v>
      </c>
      <c r="B218" t="s">
        <v>479</v>
      </c>
      <c r="C218" s="2">
        <v>21725</v>
      </c>
      <c r="D218" s="5">
        <v>45697</v>
      </c>
      <c r="E218" s="5">
        <v>45697.662499999999</v>
      </c>
      <c r="F218" t="s">
        <v>312</v>
      </c>
      <c r="G218" s="2">
        <v>923211</v>
      </c>
      <c r="H218" t="s">
        <v>29</v>
      </c>
      <c r="I218" t="s">
        <v>30</v>
      </c>
      <c r="J218" t="s">
        <v>31</v>
      </c>
      <c r="K218" s="50">
        <v>45995110</v>
      </c>
      <c r="L218" s="50">
        <v>0</v>
      </c>
      <c r="M218" s="50">
        <v>45995110</v>
      </c>
      <c r="N218" s="50">
        <v>42775452</v>
      </c>
      <c r="O218" t="s">
        <v>351</v>
      </c>
      <c r="P218">
        <v>1070959413</v>
      </c>
      <c r="Q218" t="s">
        <v>1560</v>
      </c>
      <c r="R218" t="s">
        <v>316</v>
      </c>
      <c r="S218" t="s">
        <v>317</v>
      </c>
      <c r="T218" s="2">
        <v>37238942196</v>
      </c>
      <c r="U218" t="s">
        <v>319</v>
      </c>
      <c r="V218">
        <v>890903938</v>
      </c>
      <c r="W218" t="s">
        <v>342</v>
      </c>
      <c r="X218" s="2">
        <v>2125</v>
      </c>
      <c r="Y218" s="2">
        <v>2125</v>
      </c>
      <c r="Z218" s="2">
        <v>21725</v>
      </c>
      <c r="AA218">
        <v>0</v>
      </c>
      <c r="AB218">
        <v>27825</v>
      </c>
      <c r="AC218">
        <v>64582725</v>
      </c>
      <c r="AD218">
        <v>0</v>
      </c>
      <c r="AE218" s="5">
        <v>45697</v>
      </c>
      <c r="AF218" t="s">
        <v>356</v>
      </c>
      <c r="AG218" t="s">
        <v>1563</v>
      </c>
      <c r="AH218" t="s">
        <v>1532</v>
      </c>
    </row>
    <row r="219" spans="1:34" ht="15" customHeight="1" x14ac:dyDescent="0.2">
      <c r="A219" t="s">
        <v>2426</v>
      </c>
      <c r="B219" t="s">
        <v>479</v>
      </c>
      <c r="C219" s="2">
        <v>21825</v>
      </c>
      <c r="D219" s="5">
        <v>45697</v>
      </c>
      <c r="E219" s="5">
        <v>45697.662499999999</v>
      </c>
      <c r="F219" t="s">
        <v>312</v>
      </c>
      <c r="G219" s="2">
        <v>923211</v>
      </c>
      <c r="H219" t="s">
        <v>29</v>
      </c>
      <c r="I219" t="s">
        <v>30</v>
      </c>
      <c r="J219" t="s">
        <v>31</v>
      </c>
      <c r="K219" s="50">
        <v>45995110</v>
      </c>
      <c r="L219" s="50">
        <v>0</v>
      </c>
      <c r="M219" s="50">
        <v>45995110</v>
      </c>
      <c r="N219" s="50">
        <v>42775452</v>
      </c>
      <c r="O219" t="s">
        <v>351</v>
      </c>
      <c r="P219">
        <v>1070611613</v>
      </c>
      <c r="Q219" t="s">
        <v>1565</v>
      </c>
      <c r="R219" t="s">
        <v>316</v>
      </c>
      <c r="S219" t="s">
        <v>317</v>
      </c>
      <c r="T219" s="2">
        <v>488431229027</v>
      </c>
      <c r="U219" t="s">
        <v>319</v>
      </c>
      <c r="V219">
        <v>860034313</v>
      </c>
      <c r="W219" t="s">
        <v>355</v>
      </c>
      <c r="X219" s="2">
        <v>2125</v>
      </c>
      <c r="Y219" s="2">
        <v>2125</v>
      </c>
      <c r="Z219" s="2">
        <v>21825</v>
      </c>
      <c r="AA219">
        <v>0</v>
      </c>
      <c r="AB219">
        <v>27925</v>
      </c>
      <c r="AC219">
        <v>64582825</v>
      </c>
      <c r="AD219">
        <v>0</v>
      </c>
      <c r="AE219" s="5">
        <v>45697</v>
      </c>
      <c r="AF219" t="s">
        <v>356</v>
      </c>
      <c r="AG219" t="s">
        <v>1568</v>
      </c>
      <c r="AH219" t="s">
        <v>1532</v>
      </c>
    </row>
    <row r="220" spans="1:34" ht="15" customHeight="1" x14ac:dyDescent="0.2">
      <c r="A220" t="s">
        <v>2427</v>
      </c>
      <c r="B220" t="s">
        <v>479</v>
      </c>
      <c r="C220" s="2">
        <v>21925</v>
      </c>
      <c r="D220" s="5">
        <v>45697</v>
      </c>
      <c r="E220" s="5">
        <v>45697.662499999999</v>
      </c>
      <c r="F220" t="s">
        <v>312</v>
      </c>
      <c r="G220" s="2">
        <v>923211</v>
      </c>
      <c r="H220" t="s">
        <v>29</v>
      </c>
      <c r="I220" t="s">
        <v>30</v>
      </c>
      <c r="J220" t="s">
        <v>31</v>
      </c>
      <c r="K220" s="50">
        <v>45995110</v>
      </c>
      <c r="L220" s="50">
        <v>0</v>
      </c>
      <c r="M220" s="50">
        <v>45995110</v>
      </c>
      <c r="N220" s="50">
        <v>42775452</v>
      </c>
      <c r="O220" t="s">
        <v>351</v>
      </c>
      <c r="P220">
        <v>79062962</v>
      </c>
      <c r="Q220" t="s">
        <v>1569</v>
      </c>
      <c r="R220" t="s">
        <v>316</v>
      </c>
      <c r="S220" t="s">
        <v>317</v>
      </c>
      <c r="T220" s="2">
        <v>24059238144</v>
      </c>
      <c r="U220" t="s">
        <v>319</v>
      </c>
      <c r="V220">
        <v>860007335</v>
      </c>
      <c r="W220" t="s">
        <v>381</v>
      </c>
      <c r="X220" s="2">
        <v>2125</v>
      </c>
      <c r="Y220" s="2">
        <v>2125</v>
      </c>
      <c r="Z220" s="2">
        <v>21925</v>
      </c>
      <c r="AA220">
        <v>0</v>
      </c>
      <c r="AB220">
        <v>28025</v>
      </c>
      <c r="AC220">
        <v>64582925</v>
      </c>
      <c r="AD220">
        <v>0</v>
      </c>
      <c r="AE220" s="5">
        <v>45697</v>
      </c>
      <c r="AF220" t="s">
        <v>356</v>
      </c>
      <c r="AG220" t="s">
        <v>1572</v>
      </c>
      <c r="AH220" t="s">
        <v>1532</v>
      </c>
    </row>
    <row r="221" spans="1:34" ht="15" customHeight="1" x14ac:dyDescent="0.2">
      <c r="A221" t="s">
        <v>2428</v>
      </c>
      <c r="B221" t="s">
        <v>479</v>
      </c>
      <c r="C221" s="2">
        <v>22025</v>
      </c>
      <c r="D221" s="5">
        <v>45697</v>
      </c>
      <c r="E221" s="5">
        <v>45697.684027777781</v>
      </c>
      <c r="F221" t="s">
        <v>312</v>
      </c>
      <c r="G221" s="2">
        <v>923211</v>
      </c>
      <c r="H221" t="s">
        <v>29</v>
      </c>
      <c r="I221" t="s">
        <v>30</v>
      </c>
      <c r="J221" t="s">
        <v>31</v>
      </c>
      <c r="K221" s="50">
        <v>45995110</v>
      </c>
      <c r="L221" s="50">
        <v>0</v>
      </c>
      <c r="M221" s="50">
        <v>45995110</v>
      </c>
      <c r="N221" s="50">
        <v>42775452</v>
      </c>
      <c r="O221" t="s">
        <v>351</v>
      </c>
      <c r="P221">
        <v>39731146</v>
      </c>
      <c r="Q221" t="s">
        <v>1574</v>
      </c>
      <c r="R221" t="s">
        <v>316</v>
      </c>
      <c r="S221" t="s">
        <v>317</v>
      </c>
      <c r="T221" s="2">
        <v>570004070214012</v>
      </c>
      <c r="U221" t="s">
        <v>319</v>
      </c>
      <c r="V221">
        <v>860034313</v>
      </c>
      <c r="W221" t="s">
        <v>355</v>
      </c>
      <c r="X221" s="2">
        <v>2125</v>
      </c>
      <c r="Y221" s="2">
        <v>2125</v>
      </c>
      <c r="Z221" s="2">
        <v>22025</v>
      </c>
      <c r="AA221">
        <v>0</v>
      </c>
      <c r="AB221">
        <v>28125</v>
      </c>
      <c r="AC221">
        <v>64583025</v>
      </c>
      <c r="AD221">
        <v>0</v>
      </c>
      <c r="AE221" s="5">
        <v>45697</v>
      </c>
      <c r="AF221" t="s">
        <v>356</v>
      </c>
      <c r="AG221" t="s">
        <v>1577</v>
      </c>
      <c r="AH221" t="s">
        <v>1532</v>
      </c>
    </row>
    <row r="222" spans="1:34" ht="15" customHeight="1" x14ac:dyDescent="0.2">
      <c r="A222" t="s">
        <v>2429</v>
      </c>
      <c r="B222" t="s">
        <v>479</v>
      </c>
      <c r="C222" s="2">
        <v>22125</v>
      </c>
      <c r="D222" s="5">
        <v>45697</v>
      </c>
      <c r="E222" s="5">
        <v>45697.684027777781</v>
      </c>
      <c r="F222" t="s">
        <v>312</v>
      </c>
      <c r="G222" s="2">
        <v>923211</v>
      </c>
      <c r="H222" t="s">
        <v>29</v>
      </c>
      <c r="I222" t="s">
        <v>30</v>
      </c>
      <c r="J222" t="s">
        <v>31</v>
      </c>
      <c r="K222" s="50">
        <v>45995110</v>
      </c>
      <c r="L222" s="50">
        <v>0</v>
      </c>
      <c r="M222" s="50">
        <v>45995110</v>
      </c>
      <c r="N222" s="50">
        <v>42775452</v>
      </c>
      <c r="O222" t="s">
        <v>351</v>
      </c>
      <c r="P222">
        <v>40040382</v>
      </c>
      <c r="Q222" t="s">
        <v>1579</v>
      </c>
      <c r="R222" t="s">
        <v>316</v>
      </c>
      <c r="S222" t="s">
        <v>317</v>
      </c>
      <c r="T222" s="2">
        <v>176570060390</v>
      </c>
      <c r="U222" t="s">
        <v>319</v>
      </c>
      <c r="V222">
        <v>860034313</v>
      </c>
      <c r="W222" t="s">
        <v>355</v>
      </c>
      <c r="X222" s="2">
        <v>2125</v>
      </c>
      <c r="Y222" s="2">
        <v>2125</v>
      </c>
      <c r="Z222" s="2">
        <v>22125</v>
      </c>
      <c r="AA222">
        <v>0</v>
      </c>
      <c r="AB222">
        <v>28225</v>
      </c>
      <c r="AC222">
        <v>64583125</v>
      </c>
      <c r="AD222">
        <v>0</v>
      </c>
      <c r="AE222" s="5">
        <v>45697</v>
      </c>
      <c r="AF222" t="s">
        <v>356</v>
      </c>
      <c r="AG222" t="s">
        <v>1582</v>
      </c>
      <c r="AH222" t="s">
        <v>1532</v>
      </c>
    </row>
    <row r="223" spans="1:34" ht="15" customHeight="1" x14ac:dyDescent="0.2">
      <c r="A223" t="s">
        <v>2430</v>
      </c>
      <c r="B223" t="s">
        <v>479</v>
      </c>
      <c r="C223" s="2">
        <v>22225</v>
      </c>
      <c r="D223" s="5">
        <v>45697</v>
      </c>
      <c r="E223" s="5">
        <v>45697.684027777781</v>
      </c>
      <c r="F223" t="s">
        <v>312</v>
      </c>
      <c r="G223" s="2">
        <v>923211</v>
      </c>
      <c r="H223" t="s">
        <v>29</v>
      </c>
      <c r="I223" t="s">
        <v>30</v>
      </c>
      <c r="J223" t="s">
        <v>31</v>
      </c>
      <c r="K223" s="50">
        <v>45995110</v>
      </c>
      <c r="L223" s="50">
        <v>0</v>
      </c>
      <c r="M223" s="50">
        <v>45995110</v>
      </c>
      <c r="N223" s="50">
        <v>42775452</v>
      </c>
      <c r="O223" t="s">
        <v>351</v>
      </c>
      <c r="P223">
        <v>46362690</v>
      </c>
      <c r="Q223" t="s">
        <v>1584</v>
      </c>
      <c r="R223" t="s">
        <v>316</v>
      </c>
      <c r="S223" t="s">
        <v>317</v>
      </c>
      <c r="T223" s="2">
        <v>24065752140</v>
      </c>
      <c r="U223" t="s">
        <v>319</v>
      </c>
      <c r="V223">
        <v>860007335</v>
      </c>
      <c r="W223" t="s">
        <v>381</v>
      </c>
      <c r="X223" s="2">
        <v>2125</v>
      </c>
      <c r="Y223" s="2">
        <v>2125</v>
      </c>
      <c r="Z223" s="2">
        <v>22225</v>
      </c>
      <c r="AA223">
        <v>0</v>
      </c>
      <c r="AB223">
        <v>28325</v>
      </c>
      <c r="AC223">
        <v>64583225</v>
      </c>
      <c r="AD223">
        <v>0</v>
      </c>
      <c r="AE223" s="5">
        <v>45697</v>
      </c>
      <c r="AF223" t="s">
        <v>356</v>
      </c>
      <c r="AG223" t="s">
        <v>1587</v>
      </c>
      <c r="AH223" t="s">
        <v>1532</v>
      </c>
    </row>
    <row r="224" spans="1:34" ht="15" customHeight="1" x14ac:dyDescent="0.2">
      <c r="A224" t="s">
        <v>2431</v>
      </c>
      <c r="B224" t="s">
        <v>479</v>
      </c>
      <c r="C224" s="2">
        <v>22325</v>
      </c>
      <c r="D224" s="5">
        <v>45697</v>
      </c>
      <c r="E224" s="5">
        <v>45697.684027777781</v>
      </c>
      <c r="F224" t="s">
        <v>312</v>
      </c>
      <c r="G224" s="2">
        <v>923211</v>
      </c>
      <c r="H224" t="s">
        <v>29</v>
      </c>
      <c r="I224" t="s">
        <v>30</v>
      </c>
      <c r="J224" t="s">
        <v>31</v>
      </c>
      <c r="K224" s="50">
        <v>45995110</v>
      </c>
      <c r="L224" s="50">
        <v>0</v>
      </c>
      <c r="M224" s="50">
        <v>45995110</v>
      </c>
      <c r="N224" s="50">
        <v>42775452</v>
      </c>
      <c r="O224" t="s">
        <v>351</v>
      </c>
      <c r="P224">
        <v>52850963</v>
      </c>
      <c r="Q224" t="s">
        <v>1589</v>
      </c>
      <c r="R224" t="s">
        <v>316</v>
      </c>
      <c r="S224" t="s">
        <v>317</v>
      </c>
      <c r="T224" s="2">
        <v>9670310565</v>
      </c>
      <c r="U224" t="s">
        <v>319</v>
      </c>
      <c r="V224">
        <v>860034313</v>
      </c>
      <c r="W224" t="s">
        <v>355</v>
      </c>
      <c r="X224" s="2">
        <v>2125</v>
      </c>
      <c r="Y224" s="2">
        <v>2125</v>
      </c>
      <c r="Z224" s="2">
        <v>22325</v>
      </c>
      <c r="AA224">
        <v>0</v>
      </c>
      <c r="AB224">
        <v>28425</v>
      </c>
      <c r="AC224">
        <v>64583425</v>
      </c>
      <c r="AD224">
        <v>0</v>
      </c>
      <c r="AE224" s="5">
        <v>45697</v>
      </c>
      <c r="AF224" t="s">
        <v>356</v>
      </c>
      <c r="AG224" t="s">
        <v>1592</v>
      </c>
      <c r="AH224" t="s">
        <v>1532</v>
      </c>
    </row>
    <row r="225" spans="1:34" ht="15" customHeight="1" x14ac:dyDescent="0.2">
      <c r="A225" t="s">
        <v>2432</v>
      </c>
      <c r="B225" t="s">
        <v>479</v>
      </c>
      <c r="C225" s="2">
        <v>22425</v>
      </c>
      <c r="D225" s="5">
        <v>45697</v>
      </c>
      <c r="E225" s="5">
        <v>45697.684027777781</v>
      </c>
      <c r="F225" t="s">
        <v>312</v>
      </c>
      <c r="G225" s="2">
        <v>923211</v>
      </c>
      <c r="H225" t="s">
        <v>29</v>
      </c>
      <c r="I225" t="s">
        <v>30</v>
      </c>
      <c r="J225" t="s">
        <v>31</v>
      </c>
      <c r="K225" s="50">
        <v>45995110</v>
      </c>
      <c r="L225" s="50">
        <v>0</v>
      </c>
      <c r="M225" s="50">
        <v>45995110</v>
      </c>
      <c r="N225" s="50">
        <v>42775452</v>
      </c>
      <c r="O225" t="s">
        <v>351</v>
      </c>
      <c r="P225">
        <v>72252961</v>
      </c>
      <c r="Q225" t="s">
        <v>1593</v>
      </c>
      <c r="R225" t="s">
        <v>316</v>
      </c>
      <c r="S225" t="s">
        <v>317</v>
      </c>
      <c r="T225" s="2">
        <v>488430112471</v>
      </c>
      <c r="U225" t="s">
        <v>319</v>
      </c>
      <c r="V225">
        <v>860034313</v>
      </c>
      <c r="W225" t="s">
        <v>355</v>
      </c>
      <c r="X225" s="2">
        <v>2125</v>
      </c>
      <c r="Y225" s="2">
        <v>2125</v>
      </c>
      <c r="Z225" s="2">
        <v>22425</v>
      </c>
      <c r="AA225">
        <v>0</v>
      </c>
      <c r="AB225">
        <v>28525</v>
      </c>
      <c r="AC225">
        <v>64583525</v>
      </c>
      <c r="AD225">
        <v>0</v>
      </c>
      <c r="AE225" s="5">
        <v>45697</v>
      </c>
      <c r="AF225" t="s">
        <v>356</v>
      </c>
      <c r="AG225" t="s">
        <v>1596</v>
      </c>
      <c r="AH225" t="s">
        <v>1532</v>
      </c>
    </row>
    <row r="226" spans="1:34" ht="15" customHeight="1" x14ac:dyDescent="0.2">
      <c r="A226" t="s">
        <v>2433</v>
      </c>
      <c r="B226" t="s">
        <v>479</v>
      </c>
      <c r="C226" s="2">
        <v>22525</v>
      </c>
      <c r="D226" s="5">
        <v>45697</v>
      </c>
      <c r="E226" s="5">
        <v>45697.684027777781</v>
      </c>
      <c r="F226" t="s">
        <v>312</v>
      </c>
      <c r="G226" s="2">
        <v>923211</v>
      </c>
      <c r="H226" t="s">
        <v>29</v>
      </c>
      <c r="I226" t="s">
        <v>30</v>
      </c>
      <c r="J226" t="s">
        <v>31</v>
      </c>
      <c r="K226" s="50">
        <v>45995110</v>
      </c>
      <c r="L226" s="50">
        <v>0</v>
      </c>
      <c r="M226" s="50">
        <v>45995110</v>
      </c>
      <c r="N226" s="50">
        <v>42775452</v>
      </c>
      <c r="O226" t="s">
        <v>351</v>
      </c>
      <c r="P226">
        <v>79537849</v>
      </c>
      <c r="Q226" t="s">
        <v>1598</v>
      </c>
      <c r="R226" t="s">
        <v>316</v>
      </c>
      <c r="S226" t="s">
        <v>317</v>
      </c>
      <c r="T226" s="2">
        <v>65955963932</v>
      </c>
      <c r="U226" t="s">
        <v>319</v>
      </c>
      <c r="V226">
        <v>890903938</v>
      </c>
      <c r="W226" t="s">
        <v>342</v>
      </c>
      <c r="X226" s="2">
        <v>2125</v>
      </c>
      <c r="Y226" s="2">
        <v>2125</v>
      </c>
      <c r="Z226" s="2">
        <v>22525</v>
      </c>
      <c r="AA226">
        <v>0</v>
      </c>
      <c r="AB226">
        <v>28625</v>
      </c>
      <c r="AC226">
        <v>64583625</v>
      </c>
      <c r="AD226">
        <v>0</v>
      </c>
      <c r="AE226" s="5">
        <v>45697</v>
      </c>
      <c r="AF226" t="s">
        <v>356</v>
      </c>
      <c r="AG226" t="s">
        <v>1601</v>
      </c>
      <c r="AH226" t="s">
        <v>1532</v>
      </c>
    </row>
    <row r="227" spans="1:34" ht="15" customHeight="1" x14ac:dyDescent="0.2">
      <c r="A227" t="s">
        <v>2434</v>
      </c>
      <c r="B227" t="s">
        <v>479</v>
      </c>
      <c r="C227" s="2">
        <v>22625</v>
      </c>
      <c r="D227" s="5">
        <v>45697</v>
      </c>
      <c r="E227" s="5">
        <v>45697.684027777781</v>
      </c>
      <c r="F227" t="s">
        <v>312</v>
      </c>
      <c r="G227" s="2">
        <v>923211</v>
      </c>
      <c r="H227" t="s">
        <v>29</v>
      </c>
      <c r="I227" t="s">
        <v>30</v>
      </c>
      <c r="J227" t="s">
        <v>31</v>
      </c>
      <c r="K227" s="50">
        <v>45995110</v>
      </c>
      <c r="L227" s="50">
        <v>0</v>
      </c>
      <c r="M227" s="50">
        <v>45995110</v>
      </c>
      <c r="N227" s="50">
        <v>42775452</v>
      </c>
      <c r="O227" t="s">
        <v>351</v>
      </c>
      <c r="P227">
        <v>80764556</v>
      </c>
      <c r="Q227" t="s">
        <v>1603</v>
      </c>
      <c r="R227" t="s">
        <v>316</v>
      </c>
      <c r="S227" t="s">
        <v>317</v>
      </c>
      <c r="T227" s="2">
        <v>123251043</v>
      </c>
      <c r="U227" t="s">
        <v>319</v>
      </c>
      <c r="V227">
        <v>860002964</v>
      </c>
      <c r="W227" t="s">
        <v>419</v>
      </c>
      <c r="X227" s="2">
        <v>2125</v>
      </c>
      <c r="Y227" s="2">
        <v>2125</v>
      </c>
      <c r="Z227" s="2">
        <v>22625</v>
      </c>
      <c r="AA227">
        <v>0</v>
      </c>
      <c r="AB227">
        <v>28725</v>
      </c>
      <c r="AC227">
        <v>64583725</v>
      </c>
      <c r="AD227">
        <v>0</v>
      </c>
      <c r="AE227" s="5">
        <v>45697</v>
      </c>
      <c r="AF227" t="s">
        <v>356</v>
      </c>
      <c r="AG227" t="s">
        <v>1606</v>
      </c>
      <c r="AH227" t="s">
        <v>1532</v>
      </c>
    </row>
    <row r="228" spans="1:34" ht="15" customHeight="1" x14ac:dyDescent="0.2">
      <c r="A228" t="s">
        <v>2435</v>
      </c>
      <c r="B228" t="s">
        <v>479</v>
      </c>
      <c r="C228" s="2">
        <v>22725</v>
      </c>
      <c r="D228" s="5">
        <v>45697</v>
      </c>
      <c r="E228" s="5">
        <v>45697.684027777781</v>
      </c>
      <c r="F228" t="s">
        <v>312</v>
      </c>
      <c r="G228" s="2">
        <v>923211</v>
      </c>
      <c r="H228" t="s">
        <v>29</v>
      </c>
      <c r="I228" t="s">
        <v>30</v>
      </c>
      <c r="J228" t="s">
        <v>31</v>
      </c>
      <c r="K228" s="50">
        <v>45995110</v>
      </c>
      <c r="L228" s="50">
        <v>0</v>
      </c>
      <c r="M228" s="50">
        <v>45995110</v>
      </c>
      <c r="N228" s="50">
        <v>42775452</v>
      </c>
      <c r="O228" t="s">
        <v>351</v>
      </c>
      <c r="P228">
        <v>84079403</v>
      </c>
      <c r="Q228" t="s">
        <v>1608</v>
      </c>
      <c r="R228" t="s">
        <v>316</v>
      </c>
      <c r="S228" t="s">
        <v>317</v>
      </c>
      <c r="T228" s="2">
        <v>758442297</v>
      </c>
      <c r="U228" t="s">
        <v>319</v>
      </c>
      <c r="V228">
        <v>860003020</v>
      </c>
      <c r="W228" t="s">
        <v>393</v>
      </c>
      <c r="X228" s="2">
        <v>2125</v>
      </c>
      <c r="Y228" s="2">
        <v>2125</v>
      </c>
      <c r="Z228" s="2">
        <v>22725</v>
      </c>
      <c r="AA228">
        <v>0</v>
      </c>
      <c r="AB228">
        <v>28825</v>
      </c>
      <c r="AC228">
        <v>64583825</v>
      </c>
      <c r="AD228">
        <v>0</v>
      </c>
      <c r="AE228" s="5">
        <v>45697</v>
      </c>
      <c r="AF228" t="s">
        <v>356</v>
      </c>
      <c r="AG228" t="s">
        <v>1611</v>
      </c>
      <c r="AH228" t="s">
        <v>1532</v>
      </c>
    </row>
    <row r="229" spans="1:34" ht="15" customHeight="1" x14ac:dyDescent="0.2">
      <c r="A229" t="s">
        <v>2436</v>
      </c>
      <c r="B229" t="s">
        <v>479</v>
      </c>
      <c r="C229" s="2">
        <v>22825</v>
      </c>
      <c r="D229" s="5">
        <v>45697</v>
      </c>
      <c r="E229" s="5">
        <v>45697.684027777781</v>
      </c>
      <c r="F229" t="s">
        <v>312</v>
      </c>
      <c r="G229" s="2">
        <v>923211</v>
      </c>
      <c r="H229" t="s">
        <v>29</v>
      </c>
      <c r="I229" t="s">
        <v>30</v>
      </c>
      <c r="J229" t="s">
        <v>31</v>
      </c>
      <c r="K229" s="50">
        <v>45995110</v>
      </c>
      <c r="L229" s="50">
        <v>0</v>
      </c>
      <c r="M229" s="50">
        <v>45995110</v>
      </c>
      <c r="N229" s="50">
        <v>42775452</v>
      </c>
      <c r="O229" t="s">
        <v>351</v>
      </c>
      <c r="P229">
        <v>79348348</v>
      </c>
      <c r="Q229" t="s">
        <v>1613</v>
      </c>
      <c r="R229" t="s">
        <v>316</v>
      </c>
      <c r="S229" t="s">
        <v>317</v>
      </c>
      <c r="T229" s="2">
        <v>83385880</v>
      </c>
      <c r="U229" t="s">
        <v>319</v>
      </c>
      <c r="V229">
        <v>860003020</v>
      </c>
      <c r="W229" t="s">
        <v>393</v>
      </c>
      <c r="X229" s="2">
        <v>2125</v>
      </c>
      <c r="Y229" s="2">
        <v>2125</v>
      </c>
      <c r="Z229" s="2">
        <v>22825</v>
      </c>
      <c r="AA229">
        <v>0</v>
      </c>
      <c r="AB229">
        <v>28925</v>
      </c>
      <c r="AC229">
        <v>64583925</v>
      </c>
      <c r="AD229">
        <v>0</v>
      </c>
      <c r="AE229" s="5">
        <v>45697</v>
      </c>
      <c r="AF229" t="s">
        <v>356</v>
      </c>
      <c r="AG229" t="s">
        <v>1616</v>
      </c>
      <c r="AH229" t="s">
        <v>1532</v>
      </c>
    </row>
    <row r="230" spans="1:34" ht="15" customHeight="1" x14ac:dyDescent="0.2">
      <c r="A230" t="s">
        <v>2437</v>
      </c>
      <c r="B230" t="s">
        <v>479</v>
      </c>
      <c r="C230" s="2">
        <v>22925</v>
      </c>
      <c r="D230" s="5">
        <v>45697</v>
      </c>
      <c r="E230" s="5">
        <v>45697.684027777781</v>
      </c>
      <c r="F230" t="s">
        <v>312</v>
      </c>
      <c r="G230" s="2">
        <v>923211</v>
      </c>
      <c r="H230" t="s">
        <v>29</v>
      </c>
      <c r="I230" t="s">
        <v>30</v>
      </c>
      <c r="J230" t="s">
        <v>31</v>
      </c>
      <c r="K230" s="50">
        <v>45995110</v>
      </c>
      <c r="L230" s="50">
        <v>0</v>
      </c>
      <c r="M230" s="50">
        <v>45995110</v>
      </c>
      <c r="N230" s="50">
        <v>42775452</v>
      </c>
      <c r="O230" t="s">
        <v>351</v>
      </c>
      <c r="P230">
        <v>79712469</v>
      </c>
      <c r="Q230" t="s">
        <v>1618</v>
      </c>
      <c r="R230" t="s">
        <v>316</v>
      </c>
      <c r="S230" t="s">
        <v>317</v>
      </c>
      <c r="T230" s="2">
        <v>24076395965</v>
      </c>
      <c r="U230" t="s">
        <v>319</v>
      </c>
      <c r="V230">
        <v>860007335</v>
      </c>
      <c r="W230" t="s">
        <v>381</v>
      </c>
      <c r="X230" s="2">
        <v>2125</v>
      </c>
      <c r="Y230" s="2">
        <v>2125</v>
      </c>
      <c r="Z230" s="2">
        <v>22925</v>
      </c>
      <c r="AA230">
        <v>0</v>
      </c>
      <c r="AB230">
        <v>29025</v>
      </c>
      <c r="AC230">
        <v>64584025</v>
      </c>
      <c r="AD230">
        <v>0</v>
      </c>
      <c r="AE230" s="5">
        <v>45697</v>
      </c>
      <c r="AF230" t="s">
        <v>356</v>
      </c>
      <c r="AG230" t="s">
        <v>1621</v>
      </c>
      <c r="AH230" t="s">
        <v>1532</v>
      </c>
    </row>
    <row r="231" spans="1:34" ht="15" customHeight="1" x14ac:dyDescent="0.2">
      <c r="A231" t="s">
        <v>2438</v>
      </c>
      <c r="B231" t="s">
        <v>479</v>
      </c>
      <c r="C231" s="2">
        <v>23025</v>
      </c>
      <c r="D231" s="5">
        <v>45697</v>
      </c>
      <c r="E231" s="5">
        <v>45697.684027777781</v>
      </c>
      <c r="F231" t="s">
        <v>312</v>
      </c>
      <c r="G231" s="2">
        <v>923211</v>
      </c>
      <c r="H231" t="s">
        <v>29</v>
      </c>
      <c r="I231" t="s">
        <v>30</v>
      </c>
      <c r="J231" t="s">
        <v>31</v>
      </c>
      <c r="K231" s="50">
        <v>45995110</v>
      </c>
      <c r="L231" s="50">
        <v>0</v>
      </c>
      <c r="M231" s="50">
        <v>45995110</v>
      </c>
      <c r="N231" s="50">
        <v>42775452</v>
      </c>
      <c r="O231" t="s">
        <v>351</v>
      </c>
      <c r="P231">
        <v>5916502</v>
      </c>
      <c r="Q231" t="s">
        <v>1623</v>
      </c>
      <c r="R231" t="s">
        <v>316</v>
      </c>
      <c r="S231" t="s">
        <v>317</v>
      </c>
      <c r="T231" s="2">
        <v>488437713362</v>
      </c>
      <c r="U231" t="s">
        <v>319</v>
      </c>
      <c r="V231">
        <v>860034313</v>
      </c>
      <c r="W231" t="s">
        <v>355</v>
      </c>
      <c r="X231" s="2">
        <v>2125</v>
      </c>
      <c r="Y231" s="2">
        <v>2125</v>
      </c>
      <c r="Z231" s="2">
        <v>23025</v>
      </c>
      <c r="AA231">
        <v>0</v>
      </c>
      <c r="AB231">
        <v>29125</v>
      </c>
      <c r="AC231">
        <v>64584125</v>
      </c>
      <c r="AD231">
        <v>0</v>
      </c>
      <c r="AE231" s="5">
        <v>45697</v>
      </c>
      <c r="AF231" t="s">
        <v>356</v>
      </c>
      <c r="AG231" t="s">
        <v>1625</v>
      </c>
      <c r="AH231" t="s">
        <v>1532</v>
      </c>
    </row>
    <row r="232" spans="1:34" ht="15" customHeight="1" x14ac:dyDescent="0.2">
      <c r="A232" t="s">
        <v>2439</v>
      </c>
      <c r="B232" t="s">
        <v>479</v>
      </c>
      <c r="C232" s="2">
        <v>23125</v>
      </c>
      <c r="D232" s="5">
        <v>45697</v>
      </c>
      <c r="E232" s="5">
        <v>45697.684027777781</v>
      </c>
      <c r="F232" t="s">
        <v>312</v>
      </c>
      <c r="G232" s="2">
        <v>923211</v>
      </c>
      <c r="H232" t="s">
        <v>29</v>
      </c>
      <c r="I232" t="s">
        <v>30</v>
      </c>
      <c r="J232" t="s">
        <v>31</v>
      </c>
      <c r="K232" s="50">
        <v>45995110</v>
      </c>
      <c r="L232" s="50">
        <v>0</v>
      </c>
      <c r="M232" s="50">
        <v>45995110</v>
      </c>
      <c r="N232" s="50">
        <v>42775452</v>
      </c>
      <c r="O232" t="s">
        <v>351</v>
      </c>
      <c r="P232">
        <v>3230265</v>
      </c>
      <c r="Q232" t="s">
        <v>1627</v>
      </c>
      <c r="R232" t="s">
        <v>316</v>
      </c>
      <c r="S232" t="s">
        <v>317</v>
      </c>
      <c r="T232" s="2">
        <v>7002068522</v>
      </c>
      <c r="U232" t="s">
        <v>319</v>
      </c>
      <c r="V232">
        <v>860034594</v>
      </c>
      <c r="W232" t="s">
        <v>374</v>
      </c>
      <c r="X232" s="2">
        <v>2125</v>
      </c>
      <c r="Y232" s="2">
        <v>2125</v>
      </c>
      <c r="Z232" s="2">
        <v>23125</v>
      </c>
      <c r="AA232">
        <v>0</v>
      </c>
      <c r="AB232">
        <v>29225</v>
      </c>
      <c r="AC232">
        <v>64584225</v>
      </c>
      <c r="AD232">
        <v>0</v>
      </c>
      <c r="AE232" s="5">
        <v>45697</v>
      </c>
      <c r="AF232" t="s">
        <v>356</v>
      </c>
      <c r="AG232" t="s">
        <v>1630</v>
      </c>
      <c r="AH232" t="s">
        <v>1532</v>
      </c>
    </row>
    <row r="233" spans="1:34" ht="15" customHeight="1" x14ac:dyDescent="0.2">
      <c r="A233" t="s">
        <v>2440</v>
      </c>
      <c r="B233" t="s">
        <v>479</v>
      </c>
      <c r="C233" s="2">
        <v>23225</v>
      </c>
      <c r="D233" s="5">
        <v>45697</v>
      </c>
      <c r="E233" s="5">
        <v>45697.684027777781</v>
      </c>
      <c r="F233" t="s">
        <v>312</v>
      </c>
      <c r="G233" s="2">
        <v>923211</v>
      </c>
      <c r="H233" t="s">
        <v>29</v>
      </c>
      <c r="I233" t="s">
        <v>30</v>
      </c>
      <c r="J233" t="s">
        <v>31</v>
      </c>
      <c r="K233" s="50">
        <v>45995110</v>
      </c>
      <c r="L233" s="50">
        <v>0</v>
      </c>
      <c r="M233" s="50">
        <v>45995110</v>
      </c>
      <c r="N233" s="50">
        <v>42775452</v>
      </c>
      <c r="O233" t="s">
        <v>351</v>
      </c>
      <c r="P233">
        <v>20755992</v>
      </c>
      <c r="Q233" t="s">
        <v>1632</v>
      </c>
      <c r="R233" t="s">
        <v>316</v>
      </c>
      <c r="S233" t="s">
        <v>317</v>
      </c>
      <c r="T233" s="2">
        <v>24051442110</v>
      </c>
      <c r="U233" t="s">
        <v>319</v>
      </c>
      <c r="V233">
        <v>860007335</v>
      </c>
      <c r="W233" t="s">
        <v>381</v>
      </c>
      <c r="X233" s="2">
        <v>2125</v>
      </c>
      <c r="Y233" s="2">
        <v>2125</v>
      </c>
      <c r="Z233" s="2">
        <v>23225</v>
      </c>
      <c r="AA233">
        <v>0</v>
      </c>
      <c r="AB233">
        <v>29325</v>
      </c>
      <c r="AC233">
        <v>64584325</v>
      </c>
      <c r="AD233">
        <v>0</v>
      </c>
      <c r="AE233" s="5">
        <v>45697</v>
      </c>
      <c r="AF233" t="s">
        <v>356</v>
      </c>
      <c r="AG233" t="s">
        <v>1635</v>
      </c>
      <c r="AH233" t="s">
        <v>1532</v>
      </c>
    </row>
    <row r="234" spans="1:34" ht="15" customHeight="1" x14ac:dyDescent="0.2">
      <c r="A234" t="s">
        <v>2441</v>
      </c>
      <c r="B234" t="s">
        <v>479</v>
      </c>
      <c r="C234" s="2">
        <v>23325</v>
      </c>
      <c r="D234" s="5">
        <v>45697</v>
      </c>
      <c r="E234" s="5">
        <v>45697.684027777781</v>
      </c>
      <c r="F234" t="s">
        <v>312</v>
      </c>
      <c r="G234" s="2">
        <v>923211</v>
      </c>
      <c r="H234" t="s">
        <v>29</v>
      </c>
      <c r="I234" t="s">
        <v>30</v>
      </c>
      <c r="J234" t="s">
        <v>31</v>
      </c>
      <c r="K234" s="50">
        <v>45995110</v>
      </c>
      <c r="L234" s="50">
        <v>0</v>
      </c>
      <c r="M234" s="50">
        <v>45995110</v>
      </c>
      <c r="N234" s="50">
        <v>42775452</v>
      </c>
      <c r="O234" t="s">
        <v>351</v>
      </c>
      <c r="P234">
        <v>33702053</v>
      </c>
      <c r="Q234" t="s">
        <v>1637</v>
      </c>
      <c r="R234" t="s">
        <v>316</v>
      </c>
      <c r="S234" t="s">
        <v>317</v>
      </c>
      <c r="T234" s="2">
        <v>67318748826</v>
      </c>
      <c r="U234" t="s">
        <v>319</v>
      </c>
      <c r="V234">
        <v>890903938</v>
      </c>
      <c r="W234" t="s">
        <v>342</v>
      </c>
      <c r="X234" s="2">
        <v>2125</v>
      </c>
      <c r="Y234" s="2">
        <v>2125</v>
      </c>
      <c r="Z234" s="2">
        <v>23325</v>
      </c>
      <c r="AA234">
        <v>0</v>
      </c>
      <c r="AB234">
        <v>29425</v>
      </c>
      <c r="AC234">
        <v>64584425</v>
      </c>
      <c r="AD234">
        <v>0</v>
      </c>
      <c r="AE234" s="5">
        <v>45697</v>
      </c>
      <c r="AF234" t="s">
        <v>356</v>
      </c>
      <c r="AG234" t="s">
        <v>1640</v>
      </c>
      <c r="AH234" t="s">
        <v>1532</v>
      </c>
    </row>
    <row r="235" spans="1:34" ht="15" customHeight="1" x14ac:dyDescent="0.2">
      <c r="A235" t="s">
        <v>2442</v>
      </c>
      <c r="B235" t="s">
        <v>479</v>
      </c>
      <c r="C235" s="2">
        <v>23425</v>
      </c>
      <c r="D235" s="5">
        <v>45697</v>
      </c>
      <c r="E235" s="5">
        <v>45697.684027777781</v>
      </c>
      <c r="F235" t="s">
        <v>312</v>
      </c>
      <c r="G235" s="2">
        <v>923211</v>
      </c>
      <c r="H235" t="s">
        <v>29</v>
      </c>
      <c r="I235" t="s">
        <v>30</v>
      </c>
      <c r="J235" t="s">
        <v>31</v>
      </c>
      <c r="K235" s="50">
        <v>45995110</v>
      </c>
      <c r="L235" s="50">
        <v>0</v>
      </c>
      <c r="M235" s="50">
        <v>45995110</v>
      </c>
      <c r="N235" s="50">
        <v>42775452</v>
      </c>
      <c r="O235" t="s">
        <v>351</v>
      </c>
      <c r="P235">
        <v>82390869</v>
      </c>
      <c r="Q235" t="s">
        <v>1642</v>
      </c>
      <c r="R235" t="s">
        <v>316</v>
      </c>
      <c r="S235" t="s">
        <v>317</v>
      </c>
      <c r="T235" s="2">
        <v>26457557816</v>
      </c>
      <c r="U235" t="s">
        <v>319</v>
      </c>
      <c r="V235">
        <v>890903938</v>
      </c>
      <c r="W235" t="s">
        <v>342</v>
      </c>
      <c r="X235" s="2">
        <v>2125</v>
      </c>
      <c r="Y235" s="2">
        <v>2125</v>
      </c>
      <c r="Z235" s="2">
        <v>23425</v>
      </c>
      <c r="AA235">
        <v>0</v>
      </c>
      <c r="AB235">
        <v>29525</v>
      </c>
      <c r="AC235">
        <v>64584525</v>
      </c>
      <c r="AD235">
        <v>0</v>
      </c>
      <c r="AE235" s="5">
        <v>45697</v>
      </c>
      <c r="AF235" t="s">
        <v>356</v>
      </c>
      <c r="AG235" t="s">
        <v>1645</v>
      </c>
      <c r="AH235" t="s">
        <v>1532</v>
      </c>
    </row>
    <row r="236" spans="1:34" ht="15" customHeight="1" x14ac:dyDescent="0.2">
      <c r="A236" t="s">
        <v>2443</v>
      </c>
      <c r="B236" t="s">
        <v>479</v>
      </c>
      <c r="C236" s="2">
        <v>23525</v>
      </c>
      <c r="D236" s="5">
        <v>45697</v>
      </c>
      <c r="E236" s="5">
        <v>45697.684027777781</v>
      </c>
      <c r="F236" t="s">
        <v>312</v>
      </c>
      <c r="G236" s="2">
        <v>923211</v>
      </c>
      <c r="H236" t="s">
        <v>29</v>
      </c>
      <c r="I236" t="s">
        <v>30</v>
      </c>
      <c r="J236" t="s">
        <v>31</v>
      </c>
      <c r="K236" s="50">
        <v>45995110</v>
      </c>
      <c r="L236" s="50">
        <v>0</v>
      </c>
      <c r="M236" s="50">
        <v>45995110</v>
      </c>
      <c r="N236" s="50">
        <v>42775452</v>
      </c>
      <c r="O236" t="s">
        <v>351</v>
      </c>
      <c r="P236">
        <v>82395377</v>
      </c>
      <c r="Q236" t="s">
        <v>1647</v>
      </c>
      <c r="R236" t="s">
        <v>316</v>
      </c>
      <c r="S236" t="s">
        <v>317</v>
      </c>
      <c r="T236" s="2">
        <v>466870056648</v>
      </c>
      <c r="U236" t="s">
        <v>319</v>
      </c>
      <c r="V236">
        <v>860034313</v>
      </c>
      <c r="W236" t="s">
        <v>355</v>
      </c>
      <c r="X236" s="2">
        <v>2125</v>
      </c>
      <c r="Y236" s="2">
        <v>2125</v>
      </c>
      <c r="Z236" s="2">
        <v>23525</v>
      </c>
      <c r="AA236">
        <v>0</v>
      </c>
      <c r="AB236">
        <v>29625</v>
      </c>
      <c r="AC236">
        <v>64584625</v>
      </c>
      <c r="AD236">
        <v>0</v>
      </c>
      <c r="AE236" s="5">
        <v>45697</v>
      </c>
      <c r="AF236" t="s">
        <v>356</v>
      </c>
      <c r="AG236" t="s">
        <v>1650</v>
      </c>
      <c r="AH236" t="s">
        <v>1532</v>
      </c>
    </row>
    <row r="237" spans="1:34" ht="15" customHeight="1" x14ac:dyDescent="0.2">
      <c r="A237" t="s">
        <v>2444</v>
      </c>
      <c r="B237" t="s">
        <v>479</v>
      </c>
      <c r="C237" s="2">
        <v>23625</v>
      </c>
      <c r="D237" s="5">
        <v>45697</v>
      </c>
      <c r="E237" s="5">
        <v>45697.684027777781</v>
      </c>
      <c r="F237" t="s">
        <v>312</v>
      </c>
      <c r="G237" s="2">
        <v>923211</v>
      </c>
      <c r="H237" t="s">
        <v>29</v>
      </c>
      <c r="I237" t="s">
        <v>30</v>
      </c>
      <c r="J237" t="s">
        <v>31</v>
      </c>
      <c r="K237" s="50">
        <v>45995110</v>
      </c>
      <c r="L237" s="50">
        <v>0</v>
      </c>
      <c r="M237" s="50">
        <v>45995110</v>
      </c>
      <c r="N237" s="50">
        <v>42775452</v>
      </c>
      <c r="O237" t="s">
        <v>351</v>
      </c>
      <c r="P237">
        <v>88216911</v>
      </c>
      <c r="Q237" t="s">
        <v>1651</v>
      </c>
      <c r="R237" t="s">
        <v>316</v>
      </c>
      <c r="S237" t="s">
        <v>317</v>
      </c>
      <c r="T237" s="2">
        <v>24070999136</v>
      </c>
      <c r="U237" t="s">
        <v>319</v>
      </c>
      <c r="V237">
        <v>860007335</v>
      </c>
      <c r="W237" t="s">
        <v>381</v>
      </c>
      <c r="X237" s="2">
        <v>2125</v>
      </c>
      <c r="Y237" s="2">
        <v>2125</v>
      </c>
      <c r="Z237" s="2">
        <v>23625</v>
      </c>
      <c r="AA237">
        <v>0</v>
      </c>
      <c r="AB237">
        <v>29725</v>
      </c>
      <c r="AC237">
        <v>68528925</v>
      </c>
      <c r="AD237">
        <v>0</v>
      </c>
      <c r="AE237" s="5">
        <v>45697</v>
      </c>
      <c r="AF237" t="s">
        <v>356</v>
      </c>
      <c r="AG237" t="s">
        <v>1654</v>
      </c>
      <c r="AH237" t="s">
        <v>1532</v>
      </c>
    </row>
    <row r="238" spans="1:34" ht="15" customHeight="1" x14ac:dyDescent="0.2">
      <c r="A238" t="s">
        <v>2445</v>
      </c>
      <c r="B238" t="s">
        <v>479</v>
      </c>
      <c r="C238" s="2">
        <v>23725</v>
      </c>
      <c r="D238" s="5">
        <v>45697</v>
      </c>
      <c r="E238" s="5">
        <v>45697.684027777781</v>
      </c>
      <c r="F238" t="s">
        <v>312</v>
      </c>
      <c r="G238" s="2">
        <v>923211</v>
      </c>
      <c r="H238" t="s">
        <v>29</v>
      </c>
      <c r="I238" t="s">
        <v>30</v>
      </c>
      <c r="J238" t="s">
        <v>31</v>
      </c>
      <c r="K238" s="50">
        <v>45995110</v>
      </c>
      <c r="L238" s="50">
        <v>0</v>
      </c>
      <c r="M238" s="50">
        <v>45995110</v>
      </c>
      <c r="N238" s="50">
        <v>42775452</v>
      </c>
      <c r="O238" t="s">
        <v>351</v>
      </c>
      <c r="P238">
        <v>91285312</v>
      </c>
      <c r="Q238" t="s">
        <v>1656</v>
      </c>
      <c r="R238" t="s">
        <v>316</v>
      </c>
      <c r="S238" t="s">
        <v>317</v>
      </c>
      <c r="T238" s="2">
        <v>666009956</v>
      </c>
      <c r="U238" t="s">
        <v>319</v>
      </c>
      <c r="V238">
        <v>860035827</v>
      </c>
      <c r="W238" t="s">
        <v>653</v>
      </c>
      <c r="X238" s="2">
        <v>2125</v>
      </c>
      <c r="Y238" s="2">
        <v>2125</v>
      </c>
      <c r="Z238" s="2">
        <v>23725</v>
      </c>
      <c r="AA238">
        <v>0</v>
      </c>
      <c r="AB238">
        <v>29825</v>
      </c>
      <c r="AC238">
        <v>64584725</v>
      </c>
      <c r="AD238">
        <v>0</v>
      </c>
      <c r="AE238" s="5">
        <v>45697</v>
      </c>
      <c r="AF238" t="s">
        <v>356</v>
      </c>
      <c r="AG238" t="s">
        <v>1659</v>
      </c>
      <c r="AH238" t="s">
        <v>1532</v>
      </c>
    </row>
    <row r="239" spans="1:34" ht="15" customHeight="1" x14ac:dyDescent="0.2">
      <c r="A239" t="s">
        <v>2446</v>
      </c>
      <c r="B239" t="s">
        <v>479</v>
      </c>
      <c r="C239" s="2">
        <v>23825</v>
      </c>
      <c r="D239" s="5">
        <v>45697</v>
      </c>
      <c r="E239" s="5">
        <v>45697.684027777781</v>
      </c>
      <c r="F239" t="s">
        <v>312</v>
      </c>
      <c r="G239" s="2">
        <v>923211</v>
      </c>
      <c r="H239" t="s">
        <v>29</v>
      </c>
      <c r="I239" t="s">
        <v>30</v>
      </c>
      <c r="J239" t="s">
        <v>31</v>
      </c>
      <c r="K239" s="50">
        <v>45995110</v>
      </c>
      <c r="L239" s="50">
        <v>0</v>
      </c>
      <c r="M239" s="50">
        <v>45995110</v>
      </c>
      <c r="N239" s="50">
        <v>42775452</v>
      </c>
      <c r="O239" t="s">
        <v>351</v>
      </c>
      <c r="P239">
        <v>93412419</v>
      </c>
      <c r="Q239" t="s">
        <v>1661</v>
      </c>
      <c r="R239" t="s">
        <v>316</v>
      </c>
      <c r="S239" t="s">
        <v>317</v>
      </c>
      <c r="T239" s="2">
        <v>488443116824</v>
      </c>
      <c r="U239" t="s">
        <v>319</v>
      </c>
      <c r="V239">
        <v>860034313</v>
      </c>
      <c r="W239" t="s">
        <v>355</v>
      </c>
      <c r="X239" s="2">
        <v>2125</v>
      </c>
      <c r="Y239" s="2">
        <v>2125</v>
      </c>
      <c r="Z239" s="2">
        <v>23825</v>
      </c>
      <c r="AA239">
        <v>0</v>
      </c>
      <c r="AB239">
        <v>29925</v>
      </c>
      <c r="AC239">
        <v>64584825</v>
      </c>
      <c r="AD239">
        <v>0</v>
      </c>
      <c r="AE239" s="5">
        <v>45697</v>
      </c>
      <c r="AF239" t="s">
        <v>356</v>
      </c>
      <c r="AG239" t="s">
        <v>1664</v>
      </c>
      <c r="AH239" t="s">
        <v>1532</v>
      </c>
    </row>
    <row r="240" spans="1:34" ht="15" customHeight="1" x14ac:dyDescent="0.2">
      <c r="A240" t="s">
        <v>2447</v>
      </c>
      <c r="B240" t="s">
        <v>479</v>
      </c>
      <c r="C240" s="2">
        <v>23925</v>
      </c>
      <c r="D240" s="5">
        <v>45697</v>
      </c>
      <c r="E240" s="5">
        <v>45697.684027777781</v>
      </c>
      <c r="F240" t="s">
        <v>312</v>
      </c>
      <c r="G240" s="2">
        <v>923211</v>
      </c>
      <c r="H240" t="s">
        <v>29</v>
      </c>
      <c r="I240" t="s">
        <v>30</v>
      </c>
      <c r="J240" t="s">
        <v>31</v>
      </c>
      <c r="K240" s="50">
        <v>45995110</v>
      </c>
      <c r="L240" s="50">
        <v>0</v>
      </c>
      <c r="M240" s="50">
        <v>45995110</v>
      </c>
      <c r="N240" s="50">
        <v>42775452</v>
      </c>
      <c r="O240" t="s">
        <v>351</v>
      </c>
      <c r="P240">
        <v>14136095</v>
      </c>
      <c r="Q240" t="s">
        <v>1666</v>
      </c>
      <c r="R240" t="s">
        <v>316</v>
      </c>
      <c r="S240" t="s">
        <v>317</v>
      </c>
      <c r="T240" s="2">
        <v>570463570023002</v>
      </c>
      <c r="U240" t="s">
        <v>319</v>
      </c>
      <c r="V240">
        <v>860034313</v>
      </c>
      <c r="W240" t="s">
        <v>355</v>
      </c>
      <c r="X240" s="2">
        <v>2125</v>
      </c>
      <c r="Y240" s="2">
        <v>2125</v>
      </c>
      <c r="Z240" s="2">
        <v>23925</v>
      </c>
      <c r="AA240">
        <v>0</v>
      </c>
      <c r="AB240">
        <v>30025</v>
      </c>
      <c r="AC240">
        <v>64584925</v>
      </c>
      <c r="AD240">
        <v>0</v>
      </c>
      <c r="AE240" s="5">
        <v>45697</v>
      </c>
      <c r="AF240" t="s">
        <v>356</v>
      </c>
      <c r="AG240" t="s">
        <v>1669</v>
      </c>
      <c r="AH240" t="s">
        <v>1670</v>
      </c>
    </row>
    <row r="241" spans="1:34" ht="15" customHeight="1" x14ac:dyDescent="0.2">
      <c r="A241" t="s">
        <v>2448</v>
      </c>
      <c r="B241" t="s">
        <v>479</v>
      </c>
      <c r="C241" s="2">
        <v>24025</v>
      </c>
      <c r="D241" s="5">
        <v>45697</v>
      </c>
      <c r="E241" s="5">
        <v>45697.684027777781</v>
      </c>
      <c r="F241" t="s">
        <v>312</v>
      </c>
      <c r="G241" s="2">
        <v>923211</v>
      </c>
      <c r="H241" t="s">
        <v>29</v>
      </c>
      <c r="I241" t="s">
        <v>30</v>
      </c>
      <c r="J241" t="s">
        <v>31</v>
      </c>
      <c r="K241" s="50">
        <v>45995110</v>
      </c>
      <c r="L241" s="50">
        <v>0</v>
      </c>
      <c r="M241" s="50">
        <v>45995110</v>
      </c>
      <c r="N241" s="50">
        <v>42775452</v>
      </c>
      <c r="O241" t="s">
        <v>351</v>
      </c>
      <c r="P241">
        <v>19281696</v>
      </c>
      <c r="Q241" t="s">
        <v>1672</v>
      </c>
      <c r="R241" t="s">
        <v>316</v>
      </c>
      <c r="S241" t="s">
        <v>317</v>
      </c>
      <c r="T241" s="2">
        <v>26458194113</v>
      </c>
      <c r="U241" t="s">
        <v>319</v>
      </c>
      <c r="V241">
        <v>890903938</v>
      </c>
      <c r="W241" t="s">
        <v>342</v>
      </c>
      <c r="X241" s="2">
        <v>2125</v>
      </c>
      <c r="Y241" s="2">
        <v>2125</v>
      </c>
      <c r="Z241" s="2">
        <v>24025</v>
      </c>
      <c r="AA241">
        <v>0</v>
      </c>
      <c r="AB241">
        <v>30125</v>
      </c>
      <c r="AC241">
        <v>64585025</v>
      </c>
      <c r="AD241">
        <v>0</v>
      </c>
      <c r="AE241" s="5">
        <v>45697</v>
      </c>
      <c r="AF241" t="s">
        <v>356</v>
      </c>
      <c r="AG241" t="s">
        <v>1675</v>
      </c>
      <c r="AH241" t="s">
        <v>1532</v>
      </c>
    </row>
    <row r="242" spans="1:34" ht="15" customHeight="1" x14ac:dyDescent="0.2">
      <c r="A242" t="s">
        <v>2449</v>
      </c>
      <c r="B242" t="s">
        <v>479</v>
      </c>
      <c r="C242" s="2">
        <v>24125</v>
      </c>
      <c r="D242" s="5">
        <v>45697</v>
      </c>
      <c r="E242" s="5">
        <v>45697.684027777781</v>
      </c>
      <c r="F242" t="s">
        <v>312</v>
      </c>
      <c r="G242" s="2">
        <v>923211</v>
      </c>
      <c r="H242" t="s">
        <v>29</v>
      </c>
      <c r="I242" t="s">
        <v>30</v>
      </c>
      <c r="J242" t="s">
        <v>31</v>
      </c>
      <c r="K242" s="50">
        <v>45995110</v>
      </c>
      <c r="L242" s="50">
        <v>0</v>
      </c>
      <c r="M242" s="50">
        <v>45995110</v>
      </c>
      <c r="N242" s="50">
        <v>42775452</v>
      </c>
      <c r="O242" t="s">
        <v>351</v>
      </c>
      <c r="P242">
        <v>79051081</v>
      </c>
      <c r="Q242" t="s">
        <v>1677</v>
      </c>
      <c r="R242" t="s">
        <v>316</v>
      </c>
      <c r="S242" t="s">
        <v>317</v>
      </c>
      <c r="T242" s="2">
        <v>94576831441</v>
      </c>
      <c r="U242" t="s">
        <v>319</v>
      </c>
      <c r="V242">
        <v>890903938</v>
      </c>
      <c r="W242" t="s">
        <v>342</v>
      </c>
      <c r="X242" s="2">
        <v>2125</v>
      </c>
      <c r="Y242" s="2">
        <v>2125</v>
      </c>
      <c r="Z242" s="2">
        <v>24125</v>
      </c>
      <c r="AA242">
        <v>0</v>
      </c>
      <c r="AB242">
        <v>30225</v>
      </c>
      <c r="AC242">
        <v>64585125</v>
      </c>
      <c r="AD242">
        <v>0</v>
      </c>
      <c r="AE242" s="5">
        <v>45697</v>
      </c>
      <c r="AF242" t="s">
        <v>356</v>
      </c>
      <c r="AG242" t="s">
        <v>1680</v>
      </c>
      <c r="AH242" t="s">
        <v>1532</v>
      </c>
    </row>
    <row r="243" spans="1:34" ht="15" customHeight="1" x14ac:dyDescent="0.2">
      <c r="A243" t="s">
        <v>2450</v>
      </c>
      <c r="B243" t="s">
        <v>479</v>
      </c>
      <c r="C243" s="2">
        <v>24225</v>
      </c>
      <c r="D243" s="5">
        <v>45697</v>
      </c>
      <c r="E243" s="5">
        <v>45697.684027777781</v>
      </c>
      <c r="F243" t="s">
        <v>312</v>
      </c>
      <c r="G243" s="2">
        <v>923211</v>
      </c>
      <c r="H243" t="s">
        <v>29</v>
      </c>
      <c r="I243" t="s">
        <v>30</v>
      </c>
      <c r="J243" t="s">
        <v>31</v>
      </c>
      <c r="K243" s="50">
        <v>45995110</v>
      </c>
      <c r="L243" s="50">
        <v>0</v>
      </c>
      <c r="M243" s="50">
        <v>45995110</v>
      </c>
      <c r="N243" s="50">
        <v>42775452</v>
      </c>
      <c r="O243" t="s">
        <v>351</v>
      </c>
      <c r="P243">
        <v>79876770</v>
      </c>
      <c r="Q243" t="s">
        <v>1682</v>
      </c>
      <c r="R243" t="s">
        <v>316</v>
      </c>
      <c r="S243" t="s">
        <v>317</v>
      </c>
      <c r="T243" s="2">
        <v>24088387222</v>
      </c>
      <c r="U243" t="s">
        <v>319</v>
      </c>
      <c r="V243">
        <v>860007335</v>
      </c>
      <c r="W243" t="s">
        <v>381</v>
      </c>
      <c r="X243" s="2">
        <v>2125</v>
      </c>
      <c r="Y243" s="2">
        <v>2125</v>
      </c>
      <c r="Z243" s="2">
        <v>24225</v>
      </c>
      <c r="AA243">
        <v>0</v>
      </c>
      <c r="AB243">
        <v>30325</v>
      </c>
      <c r="AC243">
        <v>64585225</v>
      </c>
      <c r="AD243">
        <v>0</v>
      </c>
      <c r="AE243" s="5">
        <v>45697</v>
      </c>
      <c r="AF243" t="s">
        <v>356</v>
      </c>
      <c r="AG243" t="s">
        <v>1685</v>
      </c>
      <c r="AH243" t="s">
        <v>1532</v>
      </c>
    </row>
    <row r="244" spans="1:34" ht="15" customHeight="1" x14ac:dyDescent="0.2">
      <c r="A244" t="s">
        <v>2451</v>
      </c>
      <c r="B244" t="s">
        <v>470</v>
      </c>
      <c r="C244" s="2">
        <v>24325</v>
      </c>
      <c r="D244" s="5">
        <v>45697</v>
      </c>
      <c r="E244" s="5">
        <v>45697.786805555559</v>
      </c>
      <c r="F244" t="s">
        <v>312</v>
      </c>
      <c r="G244" s="2">
        <v>923238</v>
      </c>
      <c r="H244" t="s">
        <v>29</v>
      </c>
      <c r="I244" t="s">
        <v>30</v>
      </c>
      <c r="J244" t="s">
        <v>31</v>
      </c>
      <c r="K244" s="50">
        <v>47988231</v>
      </c>
      <c r="L244" s="50">
        <v>0</v>
      </c>
      <c r="M244" s="50">
        <v>47988231</v>
      </c>
      <c r="N244" s="50">
        <v>44768573</v>
      </c>
      <c r="O244" t="s">
        <v>351</v>
      </c>
      <c r="P244">
        <v>11257178</v>
      </c>
      <c r="Q244" t="s">
        <v>1687</v>
      </c>
      <c r="R244" t="s">
        <v>316</v>
      </c>
      <c r="S244" t="s">
        <v>317</v>
      </c>
      <c r="T244" s="2">
        <v>26430709061</v>
      </c>
      <c r="U244" t="s">
        <v>319</v>
      </c>
      <c r="V244">
        <v>890903938</v>
      </c>
      <c r="W244" t="s">
        <v>342</v>
      </c>
      <c r="X244" s="2">
        <v>125</v>
      </c>
      <c r="Y244" s="2">
        <v>125</v>
      </c>
      <c r="Z244" s="2">
        <v>24325</v>
      </c>
      <c r="AA244">
        <v>0</v>
      </c>
      <c r="AB244">
        <v>30425</v>
      </c>
      <c r="AC244">
        <v>64585325</v>
      </c>
      <c r="AD244">
        <v>0</v>
      </c>
      <c r="AE244" s="5">
        <v>45697</v>
      </c>
      <c r="AF244" t="s">
        <v>356</v>
      </c>
      <c r="AG244" t="s">
        <v>1690</v>
      </c>
      <c r="AH244" t="s">
        <v>742</v>
      </c>
    </row>
    <row r="245" spans="1:34" ht="15" customHeight="1" x14ac:dyDescent="0.2">
      <c r="A245" t="s">
        <v>2452</v>
      </c>
      <c r="B245" t="s">
        <v>470</v>
      </c>
      <c r="C245" s="2">
        <v>24425</v>
      </c>
      <c r="D245" s="5">
        <v>45697</v>
      </c>
      <c r="E245" s="5">
        <v>45697.786805555559</v>
      </c>
      <c r="F245" t="s">
        <v>312</v>
      </c>
      <c r="G245" s="2">
        <v>923238</v>
      </c>
      <c r="H245" t="s">
        <v>29</v>
      </c>
      <c r="I245" t="s">
        <v>30</v>
      </c>
      <c r="J245" t="s">
        <v>31</v>
      </c>
      <c r="K245" s="50">
        <v>47988231</v>
      </c>
      <c r="L245" s="50">
        <v>0</v>
      </c>
      <c r="M245" s="50">
        <v>47988231</v>
      </c>
      <c r="N245" s="50">
        <v>44768573</v>
      </c>
      <c r="O245" t="s">
        <v>351</v>
      </c>
      <c r="P245">
        <v>82395365</v>
      </c>
      <c r="Q245" t="s">
        <v>1692</v>
      </c>
      <c r="R245" t="s">
        <v>316</v>
      </c>
      <c r="S245" t="s">
        <v>317</v>
      </c>
      <c r="T245" s="2">
        <v>378341564</v>
      </c>
      <c r="U245" t="s">
        <v>319</v>
      </c>
      <c r="V245">
        <v>860003020</v>
      </c>
      <c r="W245" t="s">
        <v>393</v>
      </c>
      <c r="X245" s="2">
        <v>125</v>
      </c>
      <c r="Y245" s="2">
        <v>125</v>
      </c>
      <c r="Z245" s="2">
        <v>24425</v>
      </c>
      <c r="AA245">
        <v>0</v>
      </c>
      <c r="AB245">
        <v>30525</v>
      </c>
      <c r="AC245">
        <v>64585425</v>
      </c>
      <c r="AD245">
        <v>0</v>
      </c>
      <c r="AE245" s="5">
        <v>45697</v>
      </c>
      <c r="AF245" t="s">
        <v>356</v>
      </c>
      <c r="AG245" t="s">
        <v>1695</v>
      </c>
      <c r="AH245" t="s">
        <v>742</v>
      </c>
    </row>
    <row r="246" spans="1:34" ht="15" customHeight="1" x14ac:dyDescent="0.2">
      <c r="A246" t="s">
        <v>2453</v>
      </c>
      <c r="B246" t="s">
        <v>470</v>
      </c>
      <c r="C246" s="2">
        <v>24525</v>
      </c>
      <c r="D246" s="5">
        <v>45697</v>
      </c>
      <c r="E246" s="5">
        <v>45697.786805555559</v>
      </c>
      <c r="F246" t="s">
        <v>312</v>
      </c>
      <c r="G246" s="2">
        <v>923238</v>
      </c>
      <c r="H246" t="s">
        <v>29</v>
      </c>
      <c r="I246" t="s">
        <v>30</v>
      </c>
      <c r="J246" t="s">
        <v>31</v>
      </c>
      <c r="K246" s="50">
        <v>47988231</v>
      </c>
      <c r="L246" s="50">
        <v>0</v>
      </c>
      <c r="M246" s="50">
        <v>47988231</v>
      </c>
      <c r="N246" s="50">
        <v>44768573</v>
      </c>
      <c r="O246" t="s">
        <v>351</v>
      </c>
      <c r="P246">
        <v>79703448</v>
      </c>
      <c r="Q246" t="s">
        <v>1697</v>
      </c>
      <c r="R246" t="s">
        <v>316</v>
      </c>
      <c r="S246" t="s">
        <v>317</v>
      </c>
      <c r="T246" s="2">
        <v>24091399973</v>
      </c>
      <c r="U246" t="s">
        <v>319</v>
      </c>
      <c r="V246">
        <v>860007335</v>
      </c>
      <c r="W246" t="s">
        <v>381</v>
      </c>
      <c r="X246" s="2">
        <v>125</v>
      </c>
      <c r="Y246" s="2">
        <v>125</v>
      </c>
      <c r="Z246" s="2">
        <v>24525</v>
      </c>
      <c r="AA246">
        <v>0</v>
      </c>
      <c r="AB246">
        <v>30625</v>
      </c>
      <c r="AC246">
        <v>64585525</v>
      </c>
      <c r="AD246">
        <v>0</v>
      </c>
      <c r="AE246" s="5">
        <v>45697</v>
      </c>
      <c r="AF246" t="s">
        <v>356</v>
      </c>
      <c r="AG246" t="s">
        <v>1700</v>
      </c>
      <c r="AH246" t="s">
        <v>742</v>
      </c>
    </row>
    <row r="247" spans="1:34" ht="15" customHeight="1" x14ac:dyDescent="0.2">
      <c r="A247" t="s">
        <v>2454</v>
      </c>
      <c r="B247" t="s">
        <v>470</v>
      </c>
      <c r="C247" s="2">
        <v>24625</v>
      </c>
      <c r="D247" s="5">
        <v>45697</v>
      </c>
      <c r="E247" s="5">
        <v>45697.786805555559</v>
      </c>
      <c r="F247" t="s">
        <v>312</v>
      </c>
      <c r="G247" s="2">
        <v>923238</v>
      </c>
      <c r="H247" t="s">
        <v>29</v>
      </c>
      <c r="I247" t="s">
        <v>30</v>
      </c>
      <c r="J247" t="s">
        <v>31</v>
      </c>
      <c r="K247" s="50">
        <v>47988231</v>
      </c>
      <c r="L247" s="50">
        <v>0</v>
      </c>
      <c r="M247" s="50">
        <v>47988231</v>
      </c>
      <c r="N247" s="50">
        <v>44768573</v>
      </c>
      <c r="O247" t="s">
        <v>351</v>
      </c>
      <c r="P247">
        <v>1052381667</v>
      </c>
      <c r="Q247" t="s">
        <v>1702</v>
      </c>
      <c r="R247" t="s">
        <v>316</v>
      </c>
      <c r="S247" t="s">
        <v>317</v>
      </c>
      <c r="T247" s="2">
        <v>500802182095</v>
      </c>
      <c r="U247" t="s">
        <v>319</v>
      </c>
      <c r="V247">
        <v>860007738</v>
      </c>
      <c r="W247" t="s">
        <v>784</v>
      </c>
      <c r="X247" s="2">
        <v>125</v>
      </c>
      <c r="Y247" s="2">
        <v>125</v>
      </c>
      <c r="Z247" s="2">
        <v>24625</v>
      </c>
      <c r="AA247">
        <v>0</v>
      </c>
      <c r="AB247">
        <v>30725</v>
      </c>
      <c r="AC247">
        <v>64585625</v>
      </c>
      <c r="AD247">
        <v>0</v>
      </c>
      <c r="AE247" s="5">
        <v>45697</v>
      </c>
      <c r="AF247" t="s">
        <v>356</v>
      </c>
      <c r="AG247" t="s">
        <v>1705</v>
      </c>
      <c r="AH247" t="s">
        <v>742</v>
      </c>
    </row>
    <row r="248" spans="1:34" ht="15" customHeight="1" x14ac:dyDescent="0.2">
      <c r="A248" t="s">
        <v>2455</v>
      </c>
      <c r="B248" t="s">
        <v>470</v>
      </c>
      <c r="C248" s="2">
        <v>24725</v>
      </c>
      <c r="D248" s="5">
        <v>45697</v>
      </c>
      <c r="E248" s="5">
        <v>45697.786805555559</v>
      </c>
      <c r="F248" t="s">
        <v>312</v>
      </c>
      <c r="G248" s="2">
        <v>923238</v>
      </c>
      <c r="H248" t="s">
        <v>29</v>
      </c>
      <c r="I248" t="s">
        <v>30</v>
      </c>
      <c r="J248" t="s">
        <v>31</v>
      </c>
      <c r="K248" s="50">
        <v>47988231</v>
      </c>
      <c r="L248" s="50">
        <v>0</v>
      </c>
      <c r="M248" s="50">
        <v>47988231</v>
      </c>
      <c r="N248" s="50">
        <v>44768573</v>
      </c>
      <c r="O248" t="s">
        <v>351</v>
      </c>
      <c r="P248">
        <v>39728459</v>
      </c>
      <c r="Q248" t="s">
        <v>1707</v>
      </c>
      <c r="R248" t="s">
        <v>316</v>
      </c>
      <c r="S248" t="s">
        <v>317</v>
      </c>
      <c r="T248" s="2">
        <v>24142267633</v>
      </c>
      <c r="U248" t="s">
        <v>319</v>
      </c>
      <c r="V248">
        <v>860007335</v>
      </c>
      <c r="W248" t="s">
        <v>381</v>
      </c>
      <c r="X248" s="2">
        <v>125</v>
      </c>
      <c r="Y248" s="2">
        <v>125</v>
      </c>
      <c r="Z248" s="2">
        <v>24725</v>
      </c>
      <c r="AA248">
        <v>0</v>
      </c>
      <c r="AB248">
        <v>30825</v>
      </c>
      <c r="AC248">
        <v>71247225</v>
      </c>
      <c r="AD248">
        <v>0</v>
      </c>
      <c r="AE248" s="5">
        <v>45697</v>
      </c>
      <c r="AF248" t="s">
        <v>356</v>
      </c>
      <c r="AG248" t="s">
        <v>1709</v>
      </c>
      <c r="AH248" t="s">
        <v>742</v>
      </c>
    </row>
    <row r="249" spans="1:34" ht="15" customHeight="1" x14ac:dyDescent="0.2">
      <c r="A249" t="s">
        <v>2456</v>
      </c>
      <c r="B249" t="s">
        <v>470</v>
      </c>
      <c r="C249" s="2">
        <v>24825</v>
      </c>
      <c r="D249" s="5">
        <v>45697</v>
      </c>
      <c r="E249" s="5">
        <v>45697.786805555559</v>
      </c>
      <c r="F249" t="s">
        <v>312</v>
      </c>
      <c r="G249" s="2">
        <v>923238</v>
      </c>
      <c r="H249" t="s">
        <v>29</v>
      </c>
      <c r="I249" t="s">
        <v>30</v>
      </c>
      <c r="J249" t="s">
        <v>31</v>
      </c>
      <c r="K249" s="50">
        <v>47988231</v>
      </c>
      <c r="L249" s="50">
        <v>0</v>
      </c>
      <c r="M249" s="50">
        <v>47988231</v>
      </c>
      <c r="N249" s="50">
        <v>44768573</v>
      </c>
      <c r="O249" t="s">
        <v>351</v>
      </c>
      <c r="P249">
        <v>79592386</v>
      </c>
      <c r="Q249" t="s">
        <v>1710</v>
      </c>
      <c r="R249" t="s">
        <v>316</v>
      </c>
      <c r="S249" t="s">
        <v>317</v>
      </c>
      <c r="T249" s="2">
        <v>473870032165</v>
      </c>
      <c r="U249" t="s">
        <v>319</v>
      </c>
      <c r="V249">
        <v>860034313</v>
      </c>
      <c r="W249" t="s">
        <v>355</v>
      </c>
      <c r="X249" s="2">
        <v>125</v>
      </c>
      <c r="Y249" s="2">
        <v>125</v>
      </c>
      <c r="Z249" s="2">
        <v>24825</v>
      </c>
      <c r="AA249">
        <v>0</v>
      </c>
      <c r="AB249">
        <v>30925</v>
      </c>
      <c r="AC249">
        <v>64599325</v>
      </c>
      <c r="AD249">
        <v>0</v>
      </c>
      <c r="AE249" s="5">
        <v>45697</v>
      </c>
      <c r="AF249" t="s">
        <v>356</v>
      </c>
      <c r="AG249" t="s">
        <v>1713</v>
      </c>
      <c r="AH249" t="s">
        <v>742</v>
      </c>
    </row>
    <row r="250" spans="1:34" ht="15" customHeight="1" x14ac:dyDescent="0.2">
      <c r="A250" t="s">
        <v>2457</v>
      </c>
      <c r="B250" t="s">
        <v>470</v>
      </c>
      <c r="C250" s="2">
        <v>24925</v>
      </c>
      <c r="D250" s="5">
        <v>45697</v>
      </c>
      <c r="E250" s="5">
        <v>45697.786805555559</v>
      </c>
      <c r="F250" t="s">
        <v>312</v>
      </c>
      <c r="G250" s="2">
        <v>923238</v>
      </c>
      <c r="H250" t="s">
        <v>29</v>
      </c>
      <c r="I250" t="s">
        <v>30</v>
      </c>
      <c r="J250" t="s">
        <v>31</v>
      </c>
      <c r="K250" s="50">
        <v>47988231</v>
      </c>
      <c r="L250" s="50">
        <v>0</v>
      </c>
      <c r="M250" s="50">
        <v>47988231</v>
      </c>
      <c r="N250" s="50">
        <v>44768573</v>
      </c>
      <c r="O250" t="s">
        <v>351</v>
      </c>
      <c r="P250">
        <v>79863951</v>
      </c>
      <c r="Q250" t="s">
        <v>1715</v>
      </c>
      <c r="R250" t="s">
        <v>316</v>
      </c>
      <c r="S250" t="s">
        <v>317</v>
      </c>
      <c r="T250" s="2">
        <v>76669971547</v>
      </c>
      <c r="U250" t="s">
        <v>319</v>
      </c>
      <c r="V250">
        <v>890903938</v>
      </c>
      <c r="W250" t="s">
        <v>342</v>
      </c>
      <c r="X250" s="2">
        <v>125</v>
      </c>
      <c r="Y250" s="2">
        <v>125</v>
      </c>
      <c r="Z250" s="2">
        <v>24925</v>
      </c>
      <c r="AA250">
        <v>0</v>
      </c>
      <c r="AB250">
        <v>31025</v>
      </c>
      <c r="AC250">
        <v>64599425</v>
      </c>
      <c r="AD250">
        <v>0</v>
      </c>
      <c r="AE250" s="5">
        <v>45697</v>
      </c>
      <c r="AF250" t="s">
        <v>356</v>
      </c>
      <c r="AG250" t="s">
        <v>1718</v>
      </c>
      <c r="AH250" t="s">
        <v>742</v>
      </c>
    </row>
    <row r="251" spans="1:34" ht="15" customHeight="1" x14ac:dyDescent="0.2">
      <c r="A251" t="s">
        <v>2458</v>
      </c>
      <c r="B251" t="s">
        <v>470</v>
      </c>
      <c r="C251" s="2">
        <v>25025</v>
      </c>
      <c r="D251" s="5">
        <v>45697</v>
      </c>
      <c r="E251" s="5">
        <v>45697.786805555559</v>
      </c>
      <c r="F251" t="s">
        <v>312</v>
      </c>
      <c r="G251" s="2">
        <v>923238</v>
      </c>
      <c r="H251" t="s">
        <v>29</v>
      </c>
      <c r="I251" t="s">
        <v>30</v>
      </c>
      <c r="J251" t="s">
        <v>31</v>
      </c>
      <c r="K251" s="50">
        <v>47988231</v>
      </c>
      <c r="L251" s="50">
        <v>0</v>
      </c>
      <c r="M251" s="50">
        <v>47988231</v>
      </c>
      <c r="N251" s="50">
        <v>44768573</v>
      </c>
      <c r="O251" t="s">
        <v>351</v>
      </c>
      <c r="P251">
        <v>52556422</v>
      </c>
      <c r="Q251" t="s">
        <v>1720</v>
      </c>
      <c r="R251" t="s">
        <v>316</v>
      </c>
      <c r="S251" t="s">
        <v>317</v>
      </c>
      <c r="T251" s="2">
        <v>478170004988</v>
      </c>
      <c r="U251" t="s">
        <v>319</v>
      </c>
      <c r="V251">
        <v>860034313</v>
      </c>
      <c r="W251" t="s">
        <v>355</v>
      </c>
      <c r="X251" s="2">
        <v>125</v>
      </c>
      <c r="Y251" s="2">
        <v>125</v>
      </c>
      <c r="Z251" s="2">
        <v>25025</v>
      </c>
      <c r="AA251">
        <v>0</v>
      </c>
      <c r="AB251">
        <v>31125</v>
      </c>
      <c r="AC251">
        <v>64599525</v>
      </c>
      <c r="AD251">
        <v>0</v>
      </c>
      <c r="AE251" s="5">
        <v>45697</v>
      </c>
      <c r="AF251" t="s">
        <v>356</v>
      </c>
      <c r="AG251" t="s">
        <v>1723</v>
      </c>
      <c r="AH251" t="s">
        <v>742</v>
      </c>
    </row>
    <row r="252" spans="1:34" ht="15" customHeight="1" x14ac:dyDescent="0.2">
      <c r="A252" t="s">
        <v>2459</v>
      </c>
      <c r="B252" t="s">
        <v>470</v>
      </c>
      <c r="C252" s="2">
        <v>25125</v>
      </c>
      <c r="D252" s="5">
        <v>45697</v>
      </c>
      <c r="E252" s="5">
        <v>45697.786805555559</v>
      </c>
      <c r="F252" t="s">
        <v>312</v>
      </c>
      <c r="G252" s="2">
        <v>923238</v>
      </c>
      <c r="H252" t="s">
        <v>29</v>
      </c>
      <c r="I252" t="s">
        <v>30</v>
      </c>
      <c r="J252" t="s">
        <v>31</v>
      </c>
      <c r="K252" s="50">
        <v>47988231</v>
      </c>
      <c r="L252" s="50">
        <v>0</v>
      </c>
      <c r="M252" s="50">
        <v>47988231</v>
      </c>
      <c r="N252" s="50">
        <v>44768573</v>
      </c>
      <c r="O252" t="s">
        <v>351</v>
      </c>
      <c r="P252">
        <v>49718628</v>
      </c>
      <c r="Q252" t="s">
        <v>1725</v>
      </c>
      <c r="R252" t="s">
        <v>316</v>
      </c>
      <c r="S252" t="s">
        <v>317</v>
      </c>
      <c r="T252" s="2">
        <v>66845657182</v>
      </c>
      <c r="U252" t="s">
        <v>319</v>
      </c>
      <c r="V252">
        <v>890903938</v>
      </c>
      <c r="W252" t="s">
        <v>342</v>
      </c>
      <c r="X252" s="2">
        <v>125</v>
      </c>
      <c r="Y252" s="2">
        <v>125</v>
      </c>
      <c r="Z252" s="2">
        <v>25125</v>
      </c>
      <c r="AA252">
        <v>0</v>
      </c>
      <c r="AB252">
        <v>31225</v>
      </c>
      <c r="AC252">
        <v>64599625</v>
      </c>
      <c r="AD252">
        <v>0</v>
      </c>
      <c r="AE252" s="5">
        <v>45697</v>
      </c>
      <c r="AF252" t="s">
        <v>356</v>
      </c>
      <c r="AG252" t="s">
        <v>1728</v>
      </c>
      <c r="AH252" t="s">
        <v>742</v>
      </c>
    </row>
    <row r="253" spans="1:34" ht="15" customHeight="1" x14ac:dyDescent="0.2">
      <c r="A253" t="s">
        <v>2460</v>
      </c>
      <c r="B253" t="s">
        <v>470</v>
      </c>
      <c r="C253" s="2">
        <v>25225</v>
      </c>
      <c r="D253" s="5">
        <v>45697</v>
      </c>
      <c r="E253" s="5">
        <v>45697.786805555559</v>
      </c>
      <c r="F253" t="s">
        <v>312</v>
      </c>
      <c r="G253" s="2">
        <v>923238</v>
      </c>
      <c r="H253" t="s">
        <v>29</v>
      </c>
      <c r="I253" t="s">
        <v>30</v>
      </c>
      <c r="J253" t="s">
        <v>31</v>
      </c>
      <c r="K253" s="50">
        <v>47988231</v>
      </c>
      <c r="L253" s="50">
        <v>0</v>
      </c>
      <c r="M253" s="50">
        <v>47988231</v>
      </c>
      <c r="N253" s="50">
        <v>44768573</v>
      </c>
      <c r="O253" t="s">
        <v>351</v>
      </c>
      <c r="P253">
        <v>80232876</v>
      </c>
      <c r="Q253" t="s">
        <v>1730</v>
      </c>
      <c r="R253" t="s">
        <v>316</v>
      </c>
      <c r="S253" t="s">
        <v>317</v>
      </c>
      <c r="T253" s="2">
        <v>34143658998</v>
      </c>
      <c r="U253" t="s">
        <v>319</v>
      </c>
      <c r="V253">
        <v>890903938</v>
      </c>
      <c r="W253" t="s">
        <v>342</v>
      </c>
      <c r="X253" s="2">
        <v>125</v>
      </c>
      <c r="Y253" s="2">
        <v>125</v>
      </c>
      <c r="Z253" s="2">
        <v>25225</v>
      </c>
      <c r="AA253">
        <v>0</v>
      </c>
      <c r="AB253">
        <v>31325</v>
      </c>
      <c r="AC253">
        <v>64599725</v>
      </c>
      <c r="AD253">
        <v>0</v>
      </c>
      <c r="AE253" s="5">
        <v>45697</v>
      </c>
      <c r="AF253" t="s">
        <v>356</v>
      </c>
      <c r="AG253" t="s">
        <v>1733</v>
      </c>
      <c r="AH253" t="s">
        <v>742</v>
      </c>
    </row>
    <row r="254" spans="1:34" ht="15" customHeight="1" x14ac:dyDescent="0.2">
      <c r="A254" t="s">
        <v>2461</v>
      </c>
      <c r="B254" t="s">
        <v>470</v>
      </c>
      <c r="C254" s="2">
        <v>25325</v>
      </c>
      <c r="D254" s="5">
        <v>45697</v>
      </c>
      <c r="E254" s="5">
        <v>45697.786805555559</v>
      </c>
      <c r="F254" t="s">
        <v>312</v>
      </c>
      <c r="G254" s="2">
        <v>923238</v>
      </c>
      <c r="H254" t="s">
        <v>29</v>
      </c>
      <c r="I254" t="s">
        <v>30</v>
      </c>
      <c r="J254" t="s">
        <v>31</v>
      </c>
      <c r="K254" s="50">
        <v>47988231</v>
      </c>
      <c r="L254" s="50">
        <v>0</v>
      </c>
      <c r="M254" s="50">
        <v>47988231</v>
      </c>
      <c r="N254" s="50">
        <v>44768573</v>
      </c>
      <c r="O254" t="s">
        <v>351</v>
      </c>
      <c r="P254">
        <v>80002216</v>
      </c>
      <c r="Q254" t="s">
        <v>1735</v>
      </c>
      <c r="R254" t="s">
        <v>316</v>
      </c>
      <c r="S254" t="s">
        <v>317</v>
      </c>
      <c r="T254" s="2">
        <v>7770234735</v>
      </c>
      <c r="U254" t="s">
        <v>319</v>
      </c>
      <c r="V254">
        <v>860034313</v>
      </c>
      <c r="W254" t="s">
        <v>355</v>
      </c>
      <c r="X254" s="2">
        <v>125</v>
      </c>
      <c r="Y254" s="2">
        <v>125</v>
      </c>
      <c r="Z254" s="2">
        <v>25325</v>
      </c>
      <c r="AA254">
        <v>0</v>
      </c>
      <c r="AB254">
        <v>40625</v>
      </c>
      <c r="AC254">
        <v>66431325</v>
      </c>
      <c r="AD254">
        <v>0</v>
      </c>
      <c r="AE254" s="5">
        <v>45697</v>
      </c>
      <c r="AF254" t="s">
        <v>356</v>
      </c>
      <c r="AG254" t="s">
        <v>1738</v>
      </c>
      <c r="AH254" t="s">
        <v>742</v>
      </c>
    </row>
    <row r="255" spans="1:34" ht="15" customHeight="1" x14ac:dyDescent="0.2">
      <c r="A255" t="s">
        <v>2462</v>
      </c>
      <c r="B255" t="s">
        <v>470</v>
      </c>
      <c r="C255" s="2">
        <v>25425</v>
      </c>
      <c r="D255" s="5">
        <v>45697</v>
      </c>
      <c r="E255" s="5">
        <v>45697.786805555559</v>
      </c>
      <c r="F255" t="s">
        <v>312</v>
      </c>
      <c r="G255" s="2">
        <v>923238</v>
      </c>
      <c r="H255" t="s">
        <v>29</v>
      </c>
      <c r="I255" t="s">
        <v>30</v>
      </c>
      <c r="J255" t="s">
        <v>31</v>
      </c>
      <c r="K255" s="50">
        <v>47988231</v>
      </c>
      <c r="L255" s="50">
        <v>0</v>
      </c>
      <c r="M255" s="50">
        <v>47988231</v>
      </c>
      <c r="N255" s="50">
        <v>44768573</v>
      </c>
      <c r="O255" t="s">
        <v>351</v>
      </c>
      <c r="P255">
        <v>79977580</v>
      </c>
      <c r="Q255" t="s">
        <v>1740</v>
      </c>
      <c r="R255" t="s">
        <v>316</v>
      </c>
      <c r="S255" t="s">
        <v>317</v>
      </c>
      <c r="T255" s="2">
        <v>24043558014</v>
      </c>
      <c r="U255" t="s">
        <v>319</v>
      </c>
      <c r="V255">
        <v>860007335</v>
      </c>
      <c r="W255" t="s">
        <v>381</v>
      </c>
      <c r="X255" s="2">
        <v>125</v>
      </c>
      <c r="Y255" s="2">
        <v>125</v>
      </c>
      <c r="Z255" s="2">
        <v>25425</v>
      </c>
      <c r="AA255">
        <v>0</v>
      </c>
      <c r="AB255">
        <v>40725</v>
      </c>
      <c r="AC255">
        <v>66431425</v>
      </c>
      <c r="AD255">
        <v>0</v>
      </c>
      <c r="AE255" s="5">
        <v>45697</v>
      </c>
      <c r="AF255" t="s">
        <v>356</v>
      </c>
      <c r="AG255" t="s">
        <v>1743</v>
      </c>
      <c r="AH255" t="s">
        <v>742</v>
      </c>
    </row>
    <row r="256" spans="1:34" ht="15" customHeight="1" x14ac:dyDescent="0.2">
      <c r="A256" t="s">
        <v>2463</v>
      </c>
      <c r="B256" t="s">
        <v>470</v>
      </c>
      <c r="C256" s="2">
        <v>25525</v>
      </c>
      <c r="D256" s="5">
        <v>45697</v>
      </c>
      <c r="E256" s="5">
        <v>45697.786805555559</v>
      </c>
      <c r="F256" t="s">
        <v>312</v>
      </c>
      <c r="G256" s="2">
        <v>923238</v>
      </c>
      <c r="H256" t="s">
        <v>29</v>
      </c>
      <c r="I256" t="s">
        <v>30</v>
      </c>
      <c r="J256" t="s">
        <v>31</v>
      </c>
      <c r="K256" s="50">
        <v>47988231</v>
      </c>
      <c r="L256" s="50">
        <v>0</v>
      </c>
      <c r="M256" s="50">
        <v>47988231</v>
      </c>
      <c r="N256" s="50">
        <v>44768573</v>
      </c>
      <c r="O256" t="s">
        <v>351</v>
      </c>
      <c r="P256">
        <v>1032370727</v>
      </c>
      <c r="Q256" t="s">
        <v>1744</v>
      </c>
      <c r="R256" t="s">
        <v>316</v>
      </c>
      <c r="S256" t="s">
        <v>317</v>
      </c>
      <c r="T256" s="2">
        <v>24073845500</v>
      </c>
      <c r="U256" t="s">
        <v>319</v>
      </c>
      <c r="V256">
        <v>860007335</v>
      </c>
      <c r="W256" t="s">
        <v>381</v>
      </c>
      <c r="X256" s="2">
        <v>125</v>
      </c>
      <c r="Y256" s="2">
        <v>125</v>
      </c>
      <c r="Z256" s="2">
        <v>25525</v>
      </c>
      <c r="AA256">
        <v>0</v>
      </c>
      <c r="AB256">
        <v>40825</v>
      </c>
      <c r="AC256">
        <v>66431525</v>
      </c>
      <c r="AD256">
        <v>0</v>
      </c>
      <c r="AE256" s="5">
        <v>45697</v>
      </c>
      <c r="AF256" t="s">
        <v>356</v>
      </c>
      <c r="AG256" t="s">
        <v>1747</v>
      </c>
      <c r="AH256" t="s">
        <v>742</v>
      </c>
    </row>
    <row r="257" spans="1:34" ht="15" customHeight="1" x14ac:dyDescent="0.2">
      <c r="A257" t="s">
        <v>2464</v>
      </c>
      <c r="B257" t="s">
        <v>470</v>
      </c>
      <c r="C257" s="2">
        <v>25625</v>
      </c>
      <c r="D257" s="5">
        <v>45697</v>
      </c>
      <c r="E257" s="5">
        <v>45697.786805555559</v>
      </c>
      <c r="F257" t="s">
        <v>312</v>
      </c>
      <c r="G257" s="2">
        <v>923238</v>
      </c>
      <c r="H257" t="s">
        <v>29</v>
      </c>
      <c r="I257" t="s">
        <v>30</v>
      </c>
      <c r="J257" t="s">
        <v>31</v>
      </c>
      <c r="K257" s="50">
        <v>47988231</v>
      </c>
      <c r="L257" s="50">
        <v>0</v>
      </c>
      <c r="M257" s="50">
        <v>47988231</v>
      </c>
      <c r="N257" s="50">
        <v>44768573</v>
      </c>
      <c r="O257" t="s">
        <v>351</v>
      </c>
      <c r="P257">
        <v>39671472</v>
      </c>
      <c r="Q257" t="s">
        <v>1749</v>
      </c>
      <c r="R257" t="s">
        <v>316</v>
      </c>
      <c r="S257" t="s">
        <v>317</v>
      </c>
      <c r="T257" s="2">
        <v>22100000259</v>
      </c>
      <c r="U257" t="s">
        <v>319</v>
      </c>
      <c r="V257">
        <v>890903938</v>
      </c>
      <c r="W257" t="s">
        <v>342</v>
      </c>
      <c r="X257" s="2">
        <v>125</v>
      </c>
      <c r="Y257" s="2">
        <v>125</v>
      </c>
      <c r="Z257" s="2">
        <v>25625</v>
      </c>
      <c r="AA257">
        <v>0</v>
      </c>
      <c r="AB257">
        <v>40925</v>
      </c>
      <c r="AC257">
        <v>66431625</v>
      </c>
      <c r="AD257">
        <v>0</v>
      </c>
      <c r="AE257" s="5">
        <v>45697</v>
      </c>
      <c r="AF257" t="s">
        <v>356</v>
      </c>
      <c r="AG257" t="s">
        <v>1752</v>
      </c>
      <c r="AH257" t="s">
        <v>742</v>
      </c>
    </row>
    <row r="258" spans="1:34" ht="15" customHeight="1" x14ac:dyDescent="0.2">
      <c r="A258" t="s">
        <v>2465</v>
      </c>
      <c r="B258" t="s">
        <v>470</v>
      </c>
      <c r="C258" s="2">
        <v>25725</v>
      </c>
      <c r="D258" s="5">
        <v>45697</v>
      </c>
      <c r="E258" s="5">
        <v>45697.786805555559</v>
      </c>
      <c r="F258" t="s">
        <v>312</v>
      </c>
      <c r="G258" s="2">
        <v>923238</v>
      </c>
      <c r="H258" t="s">
        <v>29</v>
      </c>
      <c r="I258" t="s">
        <v>30</v>
      </c>
      <c r="J258" t="s">
        <v>31</v>
      </c>
      <c r="K258" s="50">
        <v>47988231</v>
      </c>
      <c r="L258" s="50">
        <v>0</v>
      </c>
      <c r="M258" s="50">
        <v>47988231</v>
      </c>
      <c r="N258" s="50">
        <v>44768573</v>
      </c>
      <c r="O258" t="s">
        <v>351</v>
      </c>
      <c r="P258">
        <v>55177634</v>
      </c>
      <c r="Q258" t="s">
        <v>1754</v>
      </c>
      <c r="R258" t="s">
        <v>316</v>
      </c>
      <c r="S258" t="s">
        <v>317</v>
      </c>
      <c r="T258" s="2">
        <v>488417436331</v>
      </c>
      <c r="U258" t="s">
        <v>319</v>
      </c>
      <c r="V258">
        <v>860034313</v>
      </c>
      <c r="W258" t="s">
        <v>355</v>
      </c>
      <c r="X258" s="2">
        <v>125</v>
      </c>
      <c r="Y258" s="2">
        <v>125</v>
      </c>
      <c r="Z258" s="2">
        <v>25725</v>
      </c>
      <c r="AA258">
        <v>0</v>
      </c>
      <c r="AB258">
        <v>41025</v>
      </c>
      <c r="AC258">
        <v>66431725</v>
      </c>
      <c r="AD258">
        <v>0</v>
      </c>
      <c r="AE258" s="5">
        <v>45697</v>
      </c>
      <c r="AF258" t="s">
        <v>356</v>
      </c>
      <c r="AG258" t="s">
        <v>1757</v>
      </c>
      <c r="AH258" t="s">
        <v>742</v>
      </c>
    </row>
    <row r="259" spans="1:34" ht="15" customHeight="1" x14ac:dyDescent="0.2">
      <c r="A259" t="s">
        <v>2466</v>
      </c>
      <c r="B259" t="s">
        <v>470</v>
      </c>
      <c r="C259" s="2">
        <v>25825</v>
      </c>
      <c r="D259" s="5">
        <v>45697</v>
      </c>
      <c r="E259" s="5">
        <v>45697.786805555559</v>
      </c>
      <c r="F259" t="s">
        <v>312</v>
      </c>
      <c r="G259" s="2">
        <v>923238</v>
      </c>
      <c r="H259" t="s">
        <v>29</v>
      </c>
      <c r="I259" t="s">
        <v>30</v>
      </c>
      <c r="J259" t="s">
        <v>31</v>
      </c>
      <c r="K259" s="50">
        <v>47988231</v>
      </c>
      <c r="L259" s="50">
        <v>0</v>
      </c>
      <c r="M259" s="50">
        <v>47988231</v>
      </c>
      <c r="N259" s="50">
        <v>44768573</v>
      </c>
      <c r="O259" t="s">
        <v>351</v>
      </c>
      <c r="P259">
        <v>88260450</v>
      </c>
      <c r="Q259" t="s">
        <v>1759</v>
      </c>
      <c r="R259" t="s">
        <v>316</v>
      </c>
      <c r="S259" t="s">
        <v>317</v>
      </c>
      <c r="T259" s="2">
        <v>24119909829</v>
      </c>
      <c r="U259" t="s">
        <v>319</v>
      </c>
      <c r="V259">
        <v>860007335</v>
      </c>
      <c r="W259" t="s">
        <v>381</v>
      </c>
      <c r="X259" s="2">
        <v>125</v>
      </c>
      <c r="Y259" s="2">
        <v>125</v>
      </c>
      <c r="Z259" s="2">
        <v>25825</v>
      </c>
      <c r="AA259">
        <v>0</v>
      </c>
      <c r="AB259">
        <v>41125</v>
      </c>
      <c r="AC259">
        <v>68529125</v>
      </c>
      <c r="AD259">
        <v>0</v>
      </c>
      <c r="AE259" s="5">
        <v>45697</v>
      </c>
      <c r="AF259" t="s">
        <v>356</v>
      </c>
      <c r="AG259" t="s">
        <v>1762</v>
      </c>
      <c r="AH259" t="s">
        <v>742</v>
      </c>
    </row>
    <row r="260" spans="1:34" ht="15" customHeight="1" x14ac:dyDescent="0.2">
      <c r="A260" t="s">
        <v>2467</v>
      </c>
      <c r="B260" t="s">
        <v>470</v>
      </c>
      <c r="C260" s="2">
        <v>25925</v>
      </c>
      <c r="D260" s="5">
        <v>45697</v>
      </c>
      <c r="E260" s="5">
        <v>45697.931944444441</v>
      </c>
      <c r="F260" t="s">
        <v>312</v>
      </c>
      <c r="G260" s="2">
        <v>923238</v>
      </c>
      <c r="H260" t="s">
        <v>29</v>
      </c>
      <c r="I260" t="s">
        <v>30</v>
      </c>
      <c r="J260" t="s">
        <v>31</v>
      </c>
      <c r="K260" s="50">
        <v>47988231</v>
      </c>
      <c r="L260" s="50">
        <v>0</v>
      </c>
      <c r="M260" s="50">
        <v>47988231</v>
      </c>
      <c r="N260" s="50">
        <v>44768573</v>
      </c>
      <c r="O260" t="s">
        <v>351</v>
      </c>
      <c r="P260">
        <v>3170948</v>
      </c>
      <c r="Q260" t="s">
        <v>1764</v>
      </c>
      <c r="R260" t="s">
        <v>316</v>
      </c>
      <c r="S260" t="s">
        <v>317</v>
      </c>
      <c r="T260" s="2">
        <v>488400443682</v>
      </c>
      <c r="U260" t="s">
        <v>319</v>
      </c>
      <c r="V260">
        <v>860034313</v>
      </c>
      <c r="W260" t="s">
        <v>355</v>
      </c>
      <c r="X260" s="2">
        <v>125</v>
      </c>
      <c r="Y260" s="2">
        <v>125</v>
      </c>
      <c r="Z260" s="2">
        <v>25925</v>
      </c>
      <c r="AA260">
        <v>0</v>
      </c>
      <c r="AB260">
        <v>41225</v>
      </c>
      <c r="AC260">
        <v>66431825</v>
      </c>
      <c r="AD260">
        <v>0</v>
      </c>
      <c r="AE260" s="5">
        <v>45697</v>
      </c>
      <c r="AF260" t="s">
        <v>356</v>
      </c>
      <c r="AG260" t="s">
        <v>1767</v>
      </c>
      <c r="AH260" t="s">
        <v>742</v>
      </c>
    </row>
    <row r="261" spans="1:34" ht="15" customHeight="1" x14ac:dyDescent="0.2">
      <c r="A261" t="s">
        <v>2468</v>
      </c>
      <c r="B261" t="s">
        <v>470</v>
      </c>
      <c r="C261" s="2">
        <v>26025</v>
      </c>
      <c r="D261" s="5">
        <v>45697</v>
      </c>
      <c r="E261" s="5">
        <v>45697.931944444441</v>
      </c>
      <c r="F261" t="s">
        <v>312</v>
      </c>
      <c r="G261" s="2">
        <v>923238</v>
      </c>
      <c r="H261" t="s">
        <v>29</v>
      </c>
      <c r="I261" t="s">
        <v>30</v>
      </c>
      <c r="J261" t="s">
        <v>31</v>
      </c>
      <c r="K261" s="50">
        <v>47988231</v>
      </c>
      <c r="L261" s="50">
        <v>-46148427</v>
      </c>
      <c r="M261" s="50">
        <v>1839804</v>
      </c>
      <c r="N261" s="50">
        <v>0</v>
      </c>
      <c r="O261" t="s">
        <v>351</v>
      </c>
      <c r="P261">
        <v>80496354</v>
      </c>
      <c r="Q261" t="s">
        <v>1769</v>
      </c>
      <c r="R261" t="s">
        <v>316</v>
      </c>
      <c r="S261" t="s">
        <v>317</v>
      </c>
      <c r="T261" s="2">
        <v>477900002288</v>
      </c>
      <c r="U261" t="s">
        <v>319</v>
      </c>
      <c r="V261">
        <v>860034313</v>
      </c>
      <c r="W261" t="s">
        <v>355</v>
      </c>
      <c r="X261" s="2">
        <v>125</v>
      </c>
      <c r="Y261" s="2">
        <v>125</v>
      </c>
      <c r="Z261" s="2">
        <v>26025</v>
      </c>
      <c r="AA261">
        <v>0</v>
      </c>
      <c r="AB261">
        <v>41325</v>
      </c>
      <c r="AC261">
        <v>66431925</v>
      </c>
      <c r="AD261">
        <v>0</v>
      </c>
      <c r="AE261" s="5">
        <v>45697</v>
      </c>
      <c r="AF261" t="s">
        <v>356</v>
      </c>
      <c r="AG261" t="s">
        <v>1772</v>
      </c>
      <c r="AH261" t="s">
        <v>742</v>
      </c>
    </row>
    <row r="262" spans="1:34" ht="15" customHeight="1" x14ac:dyDescent="0.2">
      <c r="A262" t="s">
        <v>2469</v>
      </c>
      <c r="B262" t="s">
        <v>470</v>
      </c>
      <c r="C262" s="2">
        <v>26125</v>
      </c>
      <c r="D262" s="5">
        <v>45697</v>
      </c>
      <c r="E262" s="5">
        <v>45697.931944444441</v>
      </c>
      <c r="F262" t="s">
        <v>312</v>
      </c>
      <c r="G262" s="2">
        <v>923238</v>
      </c>
      <c r="H262" t="s">
        <v>29</v>
      </c>
      <c r="I262" t="s">
        <v>30</v>
      </c>
      <c r="J262" t="s">
        <v>31</v>
      </c>
      <c r="K262" s="50">
        <v>47988231</v>
      </c>
      <c r="L262" s="50">
        <v>0</v>
      </c>
      <c r="M262" s="50">
        <v>47988231</v>
      </c>
      <c r="N262" s="50">
        <v>44768573</v>
      </c>
      <c r="O262" t="s">
        <v>351</v>
      </c>
      <c r="P262">
        <v>1030530318</v>
      </c>
      <c r="Q262" t="s">
        <v>1774</v>
      </c>
      <c r="R262" t="s">
        <v>316</v>
      </c>
      <c r="S262" t="s">
        <v>317</v>
      </c>
      <c r="T262" s="2">
        <v>24115083509</v>
      </c>
      <c r="U262" t="s">
        <v>319</v>
      </c>
      <c r="V262">
        <v>860007335</v>
      </c>
      <c r="W262" t="s">
        <v>381</v>
      </c>
      <c r="X262" s="2">
        <v>125</v>
      </c>
      <c r="Y262" s="2">
        <v>125</v>
      </c>
      <c r="Z262" s="2">
        <v>26125</v>
      </c>
      <c r="AA262">
        <v>0</v>
      </c>
      <c r="AB262">
        <v>41425</v>
      </c>
      <c r="AC262">
        <v>66432025</v>
      </c>
      <c r="AD262">
        <v>0</v>
      </c>
      <c r="AE262" s="5">
        <v>45697</v>
      </c>
      <c r="AF262" t="s">
        <v>356</v>
      </c>
      <c r="AG262" t="s">
        <v>1777</v>
      </c>
      <c r="AH262" t="s">
        <v>742</v>
      </c>
    </row>
    <row r="263" spans="1:34" ht="15" customHeight="1" x14ac:dyDescent="0.2">
      <c r="A263" t="s">
        <v>2470</v>
      </c>
      <c r="B263" t="s">
        <v>470</v>
      </c>
      <c r="C263" s="2">
        <v>26225</v>
      </c>
      <c r="D263" s="5">
        <v>45697</v>
      </c>
      <c r="E263" s="5">
        <v>45697.931944444441</v>
      </c>
      <c r="F263" t="s">
        <v>312</v>
      </c>
      <c r="G263" s="2">
        <v>923238</v>
      </c>
      <c r="H263" t="s">
        <v>29</v>
      </c>
      <c r="I263" t="s">
        <v>30</v>
      </c>
      <c r="J263" t="s">
        <v>31</v>
      </c>
      <c r="K263" s="50">
        <v>47988231</v>
      </c>
      <c r="L263" s="50">
        <v>0</v>
      </c>
      <c r="M263" s="50">
        <v>47988231</v>
      </c>
      <c r="N263" s="50">
        <v>44768573</v>
      </c>
      <c r="O263" t="s">
        <v>351</v>
      </c>
      <c r="P263">
        <v>1136887061</v>
      </c>
      <c r="Q263" t="s">
        <v>1779</v>
      </c>
      <c r="R263" t="s">
        <v>316</v>
      </c>
      <c r="S263" t="s">
        <v>317</v>
      </c>
      <c r="T263" s="2">
        <v>4525906138</v>
      </c>
      <c r="U263" t="s">
        <v>319</v>
      </c>
      <c r="V263">
        <v>890903938</v>
      </c>
      <c r="W263" t="s">
        <v>342</v>
      </c>
      <c r="X263" s="2">
        <v>125</v>
      </c>
      <c r="Y263" s="2">
        <v>125</v>
      </c>
      <c r="Z263" s="2">
        <v>26225</v>
      </c>
      <c r="AA263">
        <v>0</v>
      </c>
      <c r="AB263">
        <v>31425</v>
      </c>
      <c r="AC263">
        <v>64599825</v>
      </c>
      <c r="AD263">
        <v>0</v>
      </c>
      <c r="AE263" s="5">
        <v>45697</v>
      </c>
      <c r="AF263" t="s">
        <v>356</v>
      </c>
      <c r="AG263" t="s">
        <v>1782</v>
      </c>
      <c r="AH263" t="s">
        <v>742</v>
      </c>
    </row>
    <row r="264" spans="1:34" ht="15" customHeight="1" x14ac:dyDescent="0.2">
      <c r="A264" t="s">
        <v>2471</v>
      </c>
      <c r="B264" t="s">
        <v>473</v>
      </c>
      <c r="C264" s="2">
        <v>26325</v>
      </c>
      <c r="D264" s="5">
        <v>45697</v>
      </c>
      <c r="E264" s="5">
        <v>45697.931944444441</v>
      </c>
      <c r="F264" t="s">
        <v>312</v>
      </c>
      <c r="G264" s="2">
        <v>923210</v>
      </c>
      <c r="H264" t="s">
        <v>57</v>
      </c>
      <c r="I264" t="s">
        <v>58</v>
      </c>
      <c r="J264" t="s">
        <v>31</v>
      </c>
      <c r="K264" s="50">
        <v>37099598</v>
      </c>
      <c r="L264" s="50">
        <v>0</v>
      </c>
      <c r="M264" s="50">
        <v>37099598</v>
      </c>
      <c r="N264" s="50">
        <v>34610486</v>
      </c>
      <c r="O264" t="s">
        <v>351</v>
      </c>
      <c r="P264">
        <v>39656823</v>
      </c>
      <c r="Q264" t="s">
        <v>1784</v>
      </c>
      <c r="R264" t="s">
        <v>316</v>
      </c>
      <c r="S264" t="s">
        <v>317</v>
      </c>
      <c r="T264" s="2">
        <v>42728755002</v>
      </c>
      <c r="U264" t="s">
        <v>319</v>
      </c>
      <c r="V264">
        <v>890903938</v>
      </c>
      <c r="W264" t="s">
        <v>342</v>
      </c>
      <c r="X264" s="2">
        <v>825</v>
      </c>
      <c r="Y264" s="2">
        <v>825</v>
      </c>
      <c r="Z264" s="2">
        <v>26325</v>
      </c>
      <c r="AA264">
        <v>0</v>
      </c>
      <c r="AB264">
        <v>31525</v>
      </c>
      <c r="AC264">
        <v>64599925</v>
      </c>
      <c r="AD264">
        <v>0</v>
      </c>
      <c r="AE264" s="5">
        <v>45697</v>
      </c>
      <c r="AF264" t="s">
        <v>356</v>
      </c>
      <c r="AG264" t="s">
        <v>1787</v>
      </c>
      <c r="AH264" t="s">
        <v>1332</v>
      </c>
    </row>
    <row r="265" spans="1:34" ht="15" customHeight="1" x14ac:dyDescent="0.2">
      <c r="A265" t="s">
        <v>2472</v>
      </c>
      <c r="B265" t="s">
        <v>473</v>
      </c>
      <c r="C265" s="2">
        <v>26425</v>
      </c>
      <c r="D265" s="5">
        <v>45697</v>
      </c>
      <c r="E265" s="5">
        <v>45697.931944444441</v>
      </c>
      <c r="F265" t="s">
        <v>312</v>
      </c>
      <c r="G265" s="2">
        <v>923210</v>
      </c>
      <c r="H265" t="s">
        <v>57</v>
      </c>
      <c r="I265" t="s">
        <v>58</v>
      </c>
      <c r="J265" t="s">
        <v>31</v>
      </c>
      <c r="K265" s="50">
        <v>47988231</v>
      </c>
      <c r="L265" s="50">
        <v>0</v>
      </c>
      <c r="M265" s="50">
        <v>47988231</v>
      </c>
      <c r="N265" s="50">
        <v>44768573</v>
      </c>
      <c r="O265" t="s">
        <v>351</v>
      </c>
      <c r="P265">
        <v>93122691</v>
      </c>
      <c r="Q265" t="s">
        <v>1789</v>
      </c>
      <c r="R265" t="s">
        <v>316</v>
      </c>
      <c r="S265" t="s">
        <v>317</v>
      </c>
      <c r="T265" s="2">
        <v>24121798572</v>
      </c>
      <c r="U265" t="s">
        <v>319</v>
      </c>
      <c r="V265">
        <v>860007335</v>
      </c>
      <c r="W265" t="s">
        <v>381</v>
      </c>
      <c r="X265" s="2">
        <v>825</v>
      </c>
      <c r="Y265" s="2">
        <v>825</v>
      </c>
      <c r="Z265" s="2">
        <v>26425</v>
      </c>
      <c r="AA265">
        <v>0</v>
      </c>
      <c r="AB265">
        <v>31625</v>
      </c>
      <c r="AC265">
        <v>64600025</v>
      </c>
      <c r="AD265">
        <v>0</v>
      </c>
      <c r="AE265" s="5">
        <v>45697</v>
      </c>
      <c r="AF265" t="s">
        <v>356</v>
      </c>
      <c r="AG265" t="s">
        <v>1792</v>
      </c>
      <c r="AH265" t="s">
        <v>1332</v>
      </c>
    </row>
    <row r="266" spans="1:34" ht="15" customHeight="1" x14ac:dyDescent="0.2">
      <c r="A266" t="s">
        <v>2473</v>
      </c>
      <c r="B266" t="s">
        <v>473</v>
      </c>
      <c r="C266" s="2">
        <v>26525</v>
      </c>
      <c r="D266" s="5">
        <v>45697</v>
      </c>
      <c r="E266" s="5">
        <v>45697.931944444441</v>
      </c>
      <c r="F266" t="s">
        <v>312</v>
      </c>
      <c r="G266" s="2">
        <v>923210</v>
      </c>
      <c r="H266" t="s">
        <v>57</v>
      </c>
      <c r="I266" t="s">
        <v>58</v>
      </c>
      <c r="J266" t="s">
        <v>31</v>
      </c>
      <c r="K266" s="50">
        <v>47988231</v>
      </c>
      <c r="L266" s="50">
        <v>0</v>
      </c>
      <c r="M266" s="50">
        <v>47988231</v>
      </c>
      <c r="N266" s="50">
        <v>44768573</v>
      </c>
      <c r="O266" t="s">
        <v>351</v>
      </c>
      <c r="P266">
        <v>79572241</v>
      </c>
      <c r="Q266" t="s">
        <v>1794</v>
      </c>
      <c r="R266" t="s">
        <v>316</v>
      </c>
      <c r="S266" t="s">
        <v>317</v>
      </c>
      <c r="T266" s="2">
        <v>488436656117</v>
      </c>
      <c r="U266" t="s">
        <v>319</v>
      </c>
      <c r="V266">
        <v>860034313</v>
      </c>
      <c r="W266" t="s">
        <v>355</v>
      </c>
      <c r="X266" s="2">
        <v>825</v>
      </c>
      <c r="Y266" s="2">
        <v>825</v>
      </c>
      <c r="Z266" s="2">
        <v>26525</v>
      </c>
      <c r="AA266">
        <v>0</v>
      </c>
      <c r="AB266">
        <v>31725</v>
      </c>
      <c r="AC266">
        <v>64600125</v>
      </c>
      <c r="AD266">
        <v>0</v>
      </c>
      <c r="AE266" s="5">
        <v>45697</v>
      </c>
      <c r="AF266" t="s">
        <v>356</v>
      </c>
      <c r="AG266" t="s">
        <v>1797</v>
      </c>
      <c r="AH266" t="s">
        <v>1332</v>
      </c>
    </row>
    <row r="267" spans="1:34" ht="15" customHeight="1" x14ac:dyDescent="0.2">
      <c r="A267" t="s">
        <v>2474</v>
      </c>
      <c r="B267" t="s">
        <v>473</v>
      </c>
      <c r="C267" s="2">
        <v>26625</v>
      </c>
      <c r="D267" s="5">
        <v>45697</v>
      </c>
      <c r="E267" s="5">
        <v>45697.931944444441</v>
      </c>
      <c r="F267" t="s">
        <v>312</v>
      </c>
      <c r="G267" s="2">
        <v>923210</v>
      </c>
      <c r="H267" t="s">
        <v>57</v>
      </c>
      <c r="I267" t="s">
        <v>58</v>
      </c>
      <c r="J267" t="s">
        <v>31</v>
      </c>
      <c r="K267" s="50">
        <v>47988231</v>
      </c>
      <c r="L267" s="50">
        <v>0</v>
      </c>
      <c r="M267" s="50">
        <v>47988231</v>
      </c>
      <c r="N267" s="50">
        <v>44768573</v>
      </c>
      <c r="O267" t="s">
        <v>351</v>
      </c>
      <c r="P267">
        <v>1015994841</v>
      </c>
      <c r="Q267" t="s">
        <v>1799</v>
      </c>
      <c r="R267" t="s">
        <v>316</v>
      </c>
      <c r="S267" t="s">
        <v>317</v>
      </c>
      <c r="T267" s="2">
        <v>24163073176</v>
      </c>
      <c r="U267" t="s">
        <v>319</v>
      </c>
      <c r="V267">
        <v>890903938</v>
      </c>
      <c r="W267" t="s">
        <v>342</v>
      </c>
      <c r="X267" s="2">
        <v>825</v>
      </c>
      <c r="Y267" s="2">
        <v>825</v>
      </c>
      <c r="Z267" s="2">
        <v>26625</v>
      </c>
      <c r="AA267">
        <v>0</v>
      </c>
      <c r="AB267">
        <v>31825</v>
      </c>
      <c r="AC267">
        <v>64600225</v>
      </c>
      <c r="AD267">
        <v>0</v>
      </c>
      <c r="AE267" s="5">
        <v>45697</v>
      </c>
      <c r="AF267" t="s">
        <v>356</v>
      </c>
      <c r="AG267" t="s">
        <v>1802</v>
      </c>
      <c r="AH267" t="s">
        <v>1332</v>
      </c>
    </row>
    <row r="268" spans="1:34" ht="15" customHeight="1" x14ac:dyDescent="0.2">
      <c r="A268" t="s">
        <v>2475</v>
      </c>
      <c r="B268" t="s">
        <v>473</v>
      </c>
      <c r="C268" s="2">
        <v>26725</v>
      </c>
      <c r="D268" s="5">
        <v>45697</v>
      </c>
      <c r="E268" s="5">
        <v>45697.931944444441</v>
      </c>
      <c r="F268" t="s">
        <v>312</v>
      </c>
      <c r="G268" s="2">
        <v>923210</v>
      </c>
      <c r="H268" t="s">
        <v>57</v>
      </c>
      <c r="I268" t="s">
        <v>58</v>
      </c>
      <c r="J268" t="s">
        <v>31</v>
      </c>
      <c r="K268" s="50">
        <v>47988231</v>
      </c>
      <c r="L268" s="50">
        <v>0</v>
      </c>
      <c r="M268" s="50">
        <v>47988231</v>
      </c>
      <c r="N268" s="50">
        <v>44768573</v>
      </c>
      <c r="O268" t="s">
        <v>351</v>
      </c>
      <c r="P268">
        <v>45464937</v>
      </c>
      <c r="Q268" t="s">
        <v>1804</v>
      </c>
      <c r="R268" t="s">
        <v>316</v>
      </c>
      <c r="S268" t="s">
        <v>317</v>
      </c>
      <c r="T268" s="2">
        <v>56754326382</v>
      </c>
      <c r="U268" t="s">
        <v>319</v>
      </c>
      <c r="V268">
        <v>890903938</v>
      </c>
      <c r="W268" t="s">
        <v>342</v>
      </c>
      <c r="X268" s="2">
        <v>825</v>
      </c>
      <c r="Y268" s="2">
        <v>825</v>
      </c>
      <c r="Z268" s="2">
        <v>26725</v>
      </c>
      <c r="AA268">
        <v>0</v>
      </c>
      <c r="AB268">
        <v>31925</v>
      </c>
      <c r="AC268">
        <v>64600325</v>
      </c>
      <c r="AD268">
        <v>0</v>
      </c>
      <c r="AE268" s="5">
        <v>45697</v>
      </c>
      <c r="AF268" t="s">
        <v>356</v>
      </c>
      <c r="AG268" t="s">
        <v>1807</v>
      </c>
      <c r="AH268" t="s">
        <v>1332</v>
      </c>
    </row>
    <row r="269" spans="1:34" ht="15" customHeight="1" x14ac:dyDescent="0.2">
      <c r="A269" t="s">
        <v>2476</v>
      </c>
      <c r="B269" t="s">
        <v>473</v>
      </c>
      <c r="C269" s="2">
        <v>26825</v>
      </c>
      <c r="D269" s="5">
        <v>45697</v>
      </c>
      <c r="E269" s="5">
        <v>45697.941666666666</v>
      </c>
      <c r="F269" t="s">
        <v>312</v>
      </c>
      <c r="G269" s="2">
        <v>923210</v>
      </c>
      <c r="H269" t="s">
        <v>57</v>
      </c>
      <c r="I269" t="s">
        <v>58</v>
      </c>
      <c r="J269" t="s">
        <v>31</v>
      </c>
      <c r="K269" s="50">
        <v>47988231</v>
      </c>
      <c r="L269" s="50">
        <v>0</v>
      </c>
      <c r="M269" s="50">
        <v>47988231</v>
      </c>
      <c r="N269" s="50">
        <v>44768573</v>
      </c>
      <c r="O269" t="s">
        <v>351</v>
      </c>
      <c r="P269">
        <v>79431471</v>
      </c>
      <c r="Q269" t="s">
        <v>1809</v>
      </c>
      <c r="R269" t="s">
        <v>316</v>
      </c>
      <c r="S269" t="s">
        <v>317</v>
      </c>
      <c r="T269" s="2">
        <v>415510052604</v>
      </c>
      <c r="U269" t="s">
        <v>319</v>
      </c>
      <c r="V269">
        <v>800037800</v>
      </c>
      <c r="W269" t="s">
        <v>660</v>
      </c>
      <c r="X269" s="2">
        <v>825</v>
      </c>
      <c r="Y269" s="2">
        <v>825</v>
      </c>
      <c r="Z269" s="2">
        <v>26825</v>
      </c>
      <c r="AA269">
        <v>0</v>
      </c>
      <c r="AB269">
        <v>32025</v>
      </c>
      <c r="AC269">
        <v>64600425</v>
      </c>
      <c r="AD269">
        <v>0</v>
      </c>
      <c r="AE269" s="5">
        <v>45697</v>
      </c>
      <c r="AF269" t="s">
        <v>356</v>
      </c>
      <c r="AG269" t="s">
        <v>1812</v>
      </c>
      <c r="AH269" t="s">
        <v>1332</v>
      </c>
    </row>
    <row r="270" spans="1:34" ht="15" customHeight="1" x14ac:dyDescent="0.2">
      <c r="A270" t="s">
        <v>2477</v>
      </c>
      <c r="B270" t="s">
        <v>473</v>
      </c>
      <c r="C270" s="2">
        <v>26925</v>
      </c>
      <c r="D270" s="5">
        <v>45697</v>
      </c>
      <c r="E270" s="5">
        <v>45697.944444444445</v>
      </c>
      <c r="F270" t="s">
        <v>312</v>
      </c>
      <c r="G270" s="2">
        <v>923210</v>
      </c>
      <c r="H270" t="s">
        <v>57</v>
      </c>
      <c r="I270" t="s">
        <v>58</v>
      </c>
      <c r="J270" t="s">
        <v>31</v>
      </c>
      <c r="K270" s="50">
        <v>47988231</v>
      </c>
      <c r="L270" s="50">
        <v>0</v>
      </c>
      <c r="M270" s="50">
        <v>47988231</v>
      </c>
      <c r="N270" s="50">
        <v>44768573</v>
      </c>
      <c r="O270" t="s">
        <v>351</v>
      </c>
      <c r="P270">
        <v>80249078</v>
      </c>
      <c r="Q270" t="s">
        <v>1814</v>
      </c>
      <c r="R270" t="s">
        <v>316</v>
      </c>
      <c r="S270" t="s">
        <v>317</v>
      </c>
      <c r="T270" s="2">
        <v>688895932</v>
      </c>
      <c r="U270" t="s">
        <v>319</v>
      </c>
      <c r="V270">
        <v>860035827</v>
      </c>
      <c r="W270" t="s">
        <v>653</v>
      </c>
      <c r="X270" s="2">
        <v>825</v>
      </c>
      <c r="Y270" s="2">
        <v>825</v>
      </c>
      <c r="Z270" s="2">
        <v>26925</v>
      </c>
      <c r="AA270">
        <v>0</v>
      </c>
      <c r="AB270">
        <v>32125</v>
      </c>
      <c r="AC270">
        <v>64600525</v>
      </c>
      <c r="AD270">
        <v>0</v>
      </c>
      <c r="AE270" s="5">
        <v>45697</v>
      </c>
      <c r="AF270" t="s">
        <v>356</v>
      </c>
      <c r="AG270" t="s">
        <v>1817</v>
      </c>
      <c r="AH270" t="s">
        <v>1332</v>
      </c>
    </row>
    <row r="271" spans="1:34" ht="15" customHeight="1" x14ac:dyDescent="0.2">
      <c r="A271" t="s">
        <v>2478</v>
      </c>
      <c r="B271" t="s">
        <v>473</v>
      </c>
      <c r="C271" s="2">
        <v>27025</v>
      </c>
      <c r="D271" s="5">
        <v>45697</v>
      </c>
      <c r="E271" s="5">
        <v>45697.946527777778</v>
      </c>
      <c r="F271" t="s">
        <v>312</v>
      </c>
      <c r="G271" s="2">
        <v>923210</v>
      </c>
      <c r="H271" t="s">
        <v>57</v>
      </c>
      <c r="I271" t="s">
        <v>58</v>
      </c>
      <c r="J271" t="s">
        <v>31</v>
      </c>
      <c r="K271" s="50">
        <v>47988231</v>
      </c>
      <c r="L271" s="50">
        <v>0</v>
      </c>
      <c r="M271" s="50">
        <v>47988231</v>
      </c>
      <c r="N271" s="50">
        <v>44768573</v>
      </c>
      <c r="O271" t="s">
        <v>351</v>
      </c>
      <c r="P271">
        <v>93343728</v>
      </c>
      <c r="Q271" t="s">
        <v>1819</v>
      </c>
      <c r="R271" t="s">
        <v>316</v>
      </c>
      <c r="S271" t="s">
        <v>317</v>
      </c>
      <c r="T271" s="2">
        <v>24130639615</v>
      </c>
      <c r="U271" t="s">
        <v>319</v>
      </c>
      <c r="V271">
        <v>860007335</v>
      </c>
      <c r="W271" t="s">
        <v>381</v>
      </c>
      <c r="X271" s="2">
        <v>825</v>
      </c>
      <c r="Y271" s="2">
        <v>825</v>
      </c>
      <c r="Z271" s="2">
        <v>27025</v>
      </c>
      <c r="AA271">
        <v>0</v>
      </c>
      <c r="AB271">
        <v>32225</v>
      </c>
      <c r="AC271">
        <v>64600625</v>
      </c>
      <c r="AD271">
        <v>0</v>
      </c>
      <c r="AE271" s="5">
        <v>45697</v>
      </c>
      <c r="AF271" t="s">
        <v>356</v>
      </c>
      <c r="AG271" t="s">
        <v>1822</v>
      </c>
      <c r="AH271" t="s">
        <v>1332</v>
      </c>
    </row>
    <row r="272" spans="1:34" ht="15" customHeight="1" x14ac:dyDescent="0.2">
      <c r="A272" t="s">
        <v>2479</v>
      </c>
      <c r="B272" t="s">
        <v>473</v>
      </c>
      <c r="C272" s="2">
        <v>27125</v>
      </c>
      <c r="D272" s="5">
        <v>45697</v>
      </c>
      <c r="E272" s="5">
        <v>45697.95</v>
      </c>
      <c r="F272" t="s">
        <v>312</v>
      </c>
      <c r="G272" s="2">
        <v>923210</v>
      </c>
      <c r="H272" t="s">
        <v>57</v>
      </c>
      <c r="I272" t="s">
        <v>58</v>
      </c>
      <c r="J272" t="s">
        <v>31</v>
      </c>
      <c r="K272" s="50">
        <v>37099598</v>
      </c>
      <c r="L272" s="50">
        <v>0</v>
      </c>
      <c r="M272" s="50">
        <v>37099598</v>
      </c>
      <c r="N272" s="50">
        <v>34610486</v>
      </c>
      <c r="O272" t="s">
        <v>351</v>
      </c>
      <c r="P272">
        <v>52843265</v>
      </c>
      <c r="Q272" t="s">
        <v>1824</v>
      </c>
      <c r="R272" t="s">
        <v>316</v>
      </c>
      <c r="S272" t="s">
        <v>317</v>
      </c>
      <c r="T272" s="2">
        <v>24054166756</v>
      </c>
      <c r="U272" t="s">
        <v>319</v>
      </c>
      <c r="V272">
        <v>860007335</v>
      </c>
      <c r="W272" t="s">
        <v>381</v>
      </c>
      <c r="X272" s="2">
        <v>825</v>
      </c>
      <c r="Y272" s="2">
        <v>825</v>
      </c>
      <c r="Z272" s="2">
        <v>27125</v>
      </c>
      <c r="AA272">
        <v>0</v>
      </c>
      <c r="AB272">
        <v>32325</v>
      </c>
      <c r="AC272">
        <v>64600725</v>
      </c>
      <c r="AD272">
        <v>0</v>
      </c>
      <c r="AE272" s="5">
        <v>45697</v>
      </c>
      <c r="AF272" t="s">
        <v>356</v>
      </c>
      <c r="AG272" t="s">
        <v>1827</v>
      </c>
      <c r="AH272" t="s">
        <v>1332</v>
      </c>
    </row>
    <row r="273" spans="1:34" ht="15" customHeight="1" x14ac:dyDescent="0.2">
      <c r="A273" t="s">
        <v>2480</v>
      </c>
      <c r="B273" t="s">
        <v>478</v>
      </c>
      <c r="C273" s="2">
        <v>27225</v>
      </c>
      <c r="D273" s="5">
        <v>45698</v>
      </c>
      <c r="E273" s="5">
        <v>45698.564583333333</v>
      </c>
      <c r="F273" t="s">
        <v>312</v>
      </c>
      <c r="G273" s="2">
        <v>923210</v>
      </c>
      <c r="H273" t="s">
        <v>29</v>
      </c>
      <c r="I273" t="s">
        <v>30</v>
      </c>
      <c r="J273" t="s">
        <v>31</v>
      </c>
      <c r="K273" s="50">
        <v>32550000</v>
      </c>
      <c r="L273" s="50">
        <v>0</v>
      </c>
      <c r="M273" s="50">
        <v>32550000</v>
      </c>
      <c r="N273" s="50">
        <v>30380000</v>
      </c>
      <c r="O273" t="s">
        <v>351</v>
      </c>
      <c r="P273">
        <v>1010151692</v>
      </c>
      <c r="Q273" t="s">
        <v>1830</v>
      </c>
      <c r="R273" t="s">
        <v>316</v>
      </c>
      <c r="S273" t="s">
        <v>317</v>
      </c>
      <c r="T273" s="2">
        <v>24129030410</v>
      </c>
      <c r="U273" t="s">
        <v>319</v>
      </c>
      <c r="V273">
        <v>860007335</v>
      </c>
      <c r="W273" t="s">
        <v>381</v>
      </c>
      <c r="X273" s="2">
        <v>1925</v>
      </c>
      <c r="Y273" s="2">
        <v>1925</v>
      </c>
      <c r="Z273" s="2">
        <v>27225</v>
      </c>
      <c r="AA273">
        <v>0</v>
      </c>
      <c r="AB273">
        <v>32425</v>
      </c>
      <c r="AC273">
        <v>64600825</v>
      </c>
      <c r="AD273">
        <v>0</v>
      </c>
      <c r="AE273" s="5">
        <v>45698</v>
      </c>
      <c r="AF273" t="s">
        <v>356</v>
      </c>
      <c r="AG273" t="s">
        <v>1833</v>
      </c>
      <c r="AH273" t="s">
        <v>1834</v>
      </c>
    </row>
    <row r="274" spans="1:34" ht="15" customHeight="1" x14ac:dyDescent="0.2">
      <c r="A274" t="s">
        <v>2481</v>
      </c>
      <c r="B274" t="s">
        <v>478</v>
      </c>
      <c r="C274" s="2">
        <v>27325</v>
      </c>
      <c r="D274" s="5">
        <v>45698</v>
      </c>
      <c r="E274" s="5">
        <v>45698.577777777777</v>
      </c>
      <c r="F274" t="s">
        <v>312</v>
      </c>
      <c r="G274" s="2">
        <v>923210</v>
      </c>
      <c r="H274" t="s">
        <v>29</v>
      </c>
      <c r="I274" t="s">
        <v>30</v>
      </c>
      <c r="J274" t="s">
        <v>31</v>
      </c>
      <c r="K274" s="50">
        <v>26920688</v>
      </c>
      <c r="L274" s="50">
        <v>0</v>
      </c>
      <c r="M274" s="50">
        <v>26920688</v>
      </c>
      <c r="N274" s="50">
        <v>25125975</v>
      </c>
      <c r="O274" t="s">
        <v>351</v>
      </c>
      <c r="P274">
        <v>1136889114</v>
      </c>
      <c r="Q274" t="s">
        <v>1836</v>
      </c>
      <c r="R274" t="s">
        <v>316</v>
      </c>
      <c r="S274" t="s">
        <v>317</v>
      </c>
      <c r="T274" s="2">
        <v>24104851841</v>
      </c>
      <c r="U274" t="s">
        <v>319</v>
      </c>
      <c r="V274">
        <v>860007335</v>
      </c>
      <c r="W274" t="s">
        <v>381</v>
      </c>
      <c r="X274" s="2">
        <v>1925</v>
      </c>
      <c r="Y274" s="2">
        <v>1925</v>
      </c>
      <c r="Z274" s="2">
        <v>27325</v>
      </c>
      <c r="AA274">
        <v>0</v>
      </c>
      <c r="AB274">
        <v>32525</v>
      </c>
      <c r="AC274">
        <v>64600925</v>
      </c>
      <c r="AD274">
        <v>0</v>
      </c>
      <c r="AE274" s="5">
        <v>45698</v>
      </c>
      <c r="AF274" t="s">
        <v>356</v>
      </c>
      <c r="AG274" t="s">
        <v>1839</v>
      </c>
      <c r="AH274" t="s">
        <v>1840</v>
      </c>
    </row>
    <row r="275" spans="1:34" ht="15" customHeight="1" x14ac:dyDescent="0.2">
      <c r="A275" t="s">
        <v>2482</v>
      </c>
      <c r="B275" t="s">
        <v>478</v>
      </c>
      <c r="C275" s="2">
        <v>27425</v>
      </c>
      <c r="D275" s="5">
        <v>45698</v>
      </c>
      <c r="E275" s="5">
        <v>45698.577777777777</v>
      </c>
      <c r="F275" t="s">
        <v>312</v>
      </c>
      <c r="G275" s="2">
        <v>923210</v>
      </c>
      <c r="H275" t="s">
        <v>29</v>
      </c>
      <c r="I275" t="s">
        <v>30</v>
      </c>
      <c r="J275" t="s">
        <v>31</v>
      </c>
      <c r="K275" s="50">
        <v>26920688</v>
      </c>
      <c r="L275" s="50">
        <v>0</v>
      </c>
      <c r="M275" s="50">
        <v>26920688</v>
      </c>
      <c r="N275" s="50">
        <v>25125975</v>
      </c>
      <c r="O275" t="s">
        <v>351</v>
      </c>
      <c r="P275">
        <v>16790163</v>
      </c>
      <c r="Q275" t="s">
        <v>1842</v>
      </c>
      <c r="R275" t="s">
        <v>316</v>
      </c>
      <c r="S275" t="s">
        <v>317</v>
      </c>
      <c r="T275" s="2">
        <v>91225315570</v>
      </c>
      <c r="U275" t="s">
        <v>319</v>
      </c>
      <c r="V275">
        <v>890903938</v>
      </c>
      <c r="W275" t="s">
        <v>342</v>
      </c>
      <c r="X275" s="2">
        <v>1925</v>
      </c>
      <c r="Y275" s="2">
        <v>1925</v>
      </c>
      <c r="Z275" s="2">
        <v>27425</v>
      </c>
      <c r="AA275">
        <v>0</v>
      </c>
      <c r="AB275">
        <v>32625</v>
      </c>
      <c r="AC275">
        <v>64601025</v>
      </c>
      <c r="AD275">
        <v>0</v>
      </c>
      <c r="AE275" s="5">
        <v>45698</v>
      </c>
      <c r="AF275" t="s">
        <v>356</v>
      </c>
      <c r="AG275" t="s">
        <v>1845</v>
      </c>
      <c r="AH275" t="s">
        <v>1846</v>
      </c>
    </row>
    <row r="276" spans="1:34" ht="15" customHeight="1" x14ac:dyDescent="0.2">
      <c r="A276" t="s">
        <v>2483</v>
      </c>
      <c r="B276" t="s">
        <v>478</v>
      </c>
      <c r="C276" s="2">
        <v>27525</v>
      </c>
      <c r="D276" s="5">
        <v>45698</v>
      </c>
      <c r="E276" s="5">
        <v>45698.591666666667</v>
      </c>
      <c r="F276" t="s">
        <v>312</v>
      </c>
      <c r="G276" s="2">
        <v>923210</v>
      </c>
      <c r="H276" t="s">
        <v>29</v>
      </c>
      <c r="I276" t="s">
        <v>30</v>
      </c>
      <c r="J276" t="s">
        <v>31</v>
      </c>
      <c r="K276" s="50">
        <v>39900000</v>
      </c>
      <c r="L276" s="50">
        <v>0</v>
      </c>
      <c r="M276" s="50">
        <v>39900000</v>
      </c>
      <c r="N276" s="50">
        <v>37240000</v>
      </c>
      <c r="O276" t="s">
        <v>351</v>
      </c>
      <c r="P276">
        <v>52905526</v>
      </c>
      <c r="Q276" t="s">
        <v>1848</v>
      </c>
      <c r="R276" t="s">
        <v>316</v>
      </c>
      <c r="S276" t="s">
        <v>317</v>
      </c>
      <c r="T276" s="2">
        <v>550456000048920</v>
      </c>
      <c r="U276" t="s">
        <v>319</v>
      </c>
      <c r="V276">
        <v>860034313</v>
      </c>
      <c r="W276" t="s">
        <v>355</v>
      </c>
      <c r="X276" s="2">
        <v>1925</v>
      </c>
      <c r="Y276" s="2">
        <v>1925</v>
      </c>
      <c r="Z276" s="2">
        <v>27525</v>
      </c>
      <c r="AA276">
        <v>0</v>
      </c>
      <c r="AB276">
        <v>32725</v>
      </c>
      <c r="AC276">
        <v>64601125</v>
      </c>
      <c r="AD276">
        <v>0</v>
      </c>
      <c r="AE276" s="5">
        <v>45698</v>
      </c>
      <c r="AF276" t="s">
        <v>356</v>
      </c>
      <c r="AG276" t="s">
        <v>1851</v>
      </c>
      <c r="AH276" t="s">
        <v>1852</v>
      </c>
    </row>
    <row r="277" spans="1:34" ht="15" customHeight="1" x14ac:dyDescent="0.2">
      <c r="A277" t="s">
        <v>2484</v>
      </c>
      <c r="B277" t="s">
        <v>478</v>
      </c>
      <c r="C277" s="2">
        <v>27625</v>
      </c>
      <c r="D277" s="5">
        <v>45698</v>
      </c>
      <c r="E277" s="5">
        <v>45698.59652777778</v>
      </c>
      <c r="F277" t="s">
        <v>312</v>
      </c>
      <c r="G277" s="2">
        <v>923210</v>
      </c>
      <c r="H277" t="s">
        <v>29</v>
      </c>
      <c r="I277" t="s">
        <v>30</v>
      </c>
      <c r="J277" t="s">
        <v>31</v>
      </c>
      <c r="K277" s="50">
        <v>37104760</v>
      </c>
      <c r="L277" s="50">
        <v>0</v>
      </c>
      <c r="M277" s="50">
        <v>37104760</v>
      </c>
      <c r="N277" s="50">
        <v>34507426</v>
      </c>
      <c r="O277" t="s">
        <v>351</v>
      </c>
      <c r="P277">
        <v>79428808</v>
      </c>
      <c r="Q277" t="s">
        <v>1854</v>
      </c>
      <c r="R277" t="s">
        <v>316</v>
      </c>
      <c r="S277" t="s">
        <v>317</v>
      </c>
      <c r="T277" s="2">
        <v>24023036488</v>
      </c>
      <c r="U277" t="s">
        <v>319</v>
      </c>
      <c r="V277">
        <v>860007335</v>
      </c>
      <c r="W277" t="s">
        <v>381</v>
      </c>
      <c r="X277" s="2">
        <v>1925</v>
      </c>
      <c r="Y277" s="2">
        <v>1925</v>
      </c>
      <c r="Z277" s="2">
        <v>27625</v>
      </c>
      <c r="AA277">
        <v>0</v>
      </c>
      <c r="AB277">
        <v>32825</v>
      </c>
      <c r="AC277">
        <v>64601225</v>
      </c>
      <c r="AD277">
        <v>0</v>
      </c>
      <c r="AE277" s="5">
        <v>45698</v>
      </c>
      <c r="AF277" t="s">
        <v>356</v>
      </c>
      <c r="AG277" t="s">
        <v>1857</v>
      </c>
      <c r="AH277" t="s">
        <v>1858</v>
      </c>
    </row>
    <row r="278" spans="1:34" ht="15" customHeight="1" x14ac:dyDescent="0.2">
      <c r="A278" t="s">
        <v>2485</v>
      </c>
      <c r="B278" t="s">
        <v>488</v>
      </c>
      <c r="C278" s="2">
        <v>27725</v>
      </c>
      <c r="D278" s="5">
        <v>45698</v>
      </c>
      <c r="E278" s="5">
        <v>45698.691666666666</v>
      </c>
      <c r="F278" t="s">
        <v>312</v>
      </c>
      <c r="G278" s="2">
        <v>923290</v>
      </c>
      <c r="H278" t="s">
        <v>29</v>
      </c>
      <c r="I278" t="s">
        <v>30</v>
      </c>
      <c r="J278" t="s">
        <v>31</v>
      </c>
      <c r="K278" s="50">
        <v>23894350</v>
      </c>
      <c r="L278" s="50">
        <v>0</v>
      </c>
      <c r="M278" s="50">
        <v>23894350</v>
      </c>
      <c r="N278" s="50">
        <v>22221745</v>
      </c>
      <c r="O278" t="s">
        <v>351</v>
      </c>
      <c r="P278">
        <v>79207235</v>
      </c>
      <c r="Q278" t="s">
        <v>1860</v>
      </c>
      <c r="R278" t="s">
        <v>316</v>
      </c>
      <c r="S278" t="s">
        <v>317</v>
      </c>
      <c r="T278" s="2">
        <v>24115675441</v>
      </c>
      <c r="U278" t="s">
        <v>319</v>
      </c>
      <c r="V278">
        <v>860007335</v>
      </c>
      <c r="W278" t="s">
        <v>381</v>
      </c>
      <c r="X278" s="2">
        <v>4525</v>
      </c>
      <c r="Y278" s="2">
        <v>4525</v>
      </c>
      <c r="Z278" s="2">
        <v>27725</v>
      </c>
      <c r="AA278">
        <v>0</v>
      </c>
      <c r="AB278">
        <v>32925</v>
      </c>
      <c r="AC278">
        <v>64601325</v>
      </c>
      <c r="AD278">
        <v>0</v>
      </c>
      <c r="AE278" s="5">
        <v>45698</v>
      </c>
      <c r="AF278" t="s">
        <v>356</v>
      </c>
      <c r="AG278" t="s">
        <v>1862</v>
      </c>
      <c r="AH278" t="s">
        <v>1863</v>
      </c>
    </row>
    <row r="279" spans="1:34" ht="15" customHeight="1" x14ac:dyDescent="0.2">
      <c r="A279" t="s">
        <v>2486</v>
      </c>
      <c r="B279" t="s">
        <v>478</v>
      </c>
      <c r="C279" s="2">
        <v>27825</v>
      </c>
      <c r="D279" s="5">
        <v>45698</v>
      </c>
      <c r="E279" s="5">
        <v>45698.918749999997</v>
      </c>
      <c r="F279" t="s">
        <v>312</v>
      </c>
      <c r="G279" s="2">
        <v>923210</v>
      </c>
      <c r="H279" t="s">
        <v>29</v>
      </c>
      <c r="I279" t="s">
        <v>30</v>
      </c>
      <c r="J279" t="s">
        <v>31</v>
      </c>
      <c r="K279" s="50">
        <v>24392907</v>
      </c>
      <c r="L279" s="50">
        <v>0</v>
      </c>
      <c r="M279" s="50">
        <v>24392907</v>
      </c>
      <c r="N279" s="50">
        <v>22766713</v>
      </c>
      <c r="O279" t="s">
        <v>351</v>
      </c>
      <c r="P279">
        <v>1028781645</v>
      </c>
      <c r="Q279" t="s">
        <v>1865</v>
      </c>
      <c r="R279" t="s">
        <v>316</v>
      </c>
      <c r="S279" t="s">
        <v>317</v>
      </c>
      <c r="T279" s="2">
        <v>261425169</v>
      </c>
      <c r="U279" t="s">
        <v>319</v>
      </c>
      <c r="V279">
        <v>860002964</v>
      </c>
      <c r="W279" t="s">
        <v>419</v>
      </c>
      <c r="X279" s="2">
        <v>1925</v>
      </c>
      <c r="Y279" s="2">
        <v>1925</v>
      </c>
      <c r="Z279" s="2">
        <v>27825</v>
      </c>
      <c r="AA279">
        <v>0</v>
      </c>
      <c r="AB279">
        <v>33025</v>
      </c>
      <c r="AC279">
        <v>64601425</v>
      </c>
      <c r="AD279">
        <v>0</v>
      </c>
      <c r="AE279" s="5">
        <v>45698</v>
      </c>
      <c r="AF279" t="s">
        <v>356</v>
      </c>
      <c r="AG279" t="s">
        <v>1868</v>
      </c>
      <c r="AH279" t="s">
        <v>1869</v>
      </c>
    </row>
    <row r="280" spans="1:34" ht="15" customHeight="1" x14ac:dyDescent="0.2">
      <c r="A280" t="s">
        <v>2487</v>
      </c>
      <c r="B280" t="s">
        <v>478</v>
      </c>
      <c r="C280" s="2">
        <v>27925</v>
      </c>
      <c r="D280" s="5">
        <v>45698</v>
      </c>
      <c r="E280" s="5">
        <v>45698.927083333336</v>
      </c>
      <c r="F280" t="s">
        <v>312</v>
      </c>
      <c r="G280" s="2">
        <v>923210</v>
      </c>
      <c r="H280" t="s">
        <v>29</v>
      </c>
      <c r="I280" t="s">
        <v>30</v>
      </c>
      <c r="J280" t="s">
        <v>31</v>
      </c>
      <c r="K280" s="50">
        <v>23894350</v>
      </c>
      <c r="L280" s="50">
        <v>0</v>
      </c>
      <c r="M280" s="50">
        <v>23894350</v>
      </c>
      <c r="N280" s="50">
        <v>22221745</v>
      </c>
      <c r="O280" t="s">
        <v>351</v>
      </c>
      <c r="P280">
        <v>79661139</v>
      </c>
      <c r="Q280" t="s">
        <v>1871</v>
      </c>
      <c r="R280" t="s">
        <v>316</v>
      </c>
      <c r="S280" t="s">
        <v>317</v>
      </c>
      <c r="T280" s="2">
        <v>4400141166</v>
      </c>
      <c r="U280" t="s">
        <v>319</v>
      </c>
      <c r="V280">
        <v>860034313</v>
      </c>
      <c r="W280" t="s">
        <v>355</v>
      </c>
      <c r="X280" s="2">
        <v>1925</v>
      </c>
      <c r="Y280" s="2">
        <v>1925</v>
      </c>
      <c r="Z280" s="2">
        <v>27925</v>
      </c>
      <c r="AA280">
        <v>0</v>
      </c>
      <c r="AB280">
        <v>33125</v>
      </c>
      <c r="AC280">
        <v>64601525</v>
      </c>
      <c r="AD280">
        <v>0</v>
      </c>
      <c r="AE280" s="5">
        <v>45698</v>
      </c>
      <c r="AF280" t="s">
        <v>356</v>
      </c>
      <c r="AG280" t="s">
        <v>1874</v>
      </c>
      <c r="AH280" t="s">
        <v>1875</v>
      </c>
    </row>
    <row r="281" spans="1:34" ht="15" customHeight="1" x14ac:dyDescent="0.2">
      <c r="A281" t="s">
        <v>2488</v>
      </c>
      <c r="B281" t="s">
        <v>478</v>
      </c>
      <c r="C281" s="2">
        <v>28025</v>
      </c>
      <c r="D281" s="5">
        <v>45698</v>
      </c>
      <c r="E281" s="5">
        <v>45698.931944444441</v>
      </c>
      <c r="F281" t="s">
        <v>312</v>
      </c>
      <c r="G281" s="2">
        <v>923210</v>
      </c>
      <c r="H281" t="s">
        <v>29</v>
      </c>
      <c r="I281" t="s">
        <v>30</v>
      </c>
      <c r="J281" t="s">
        <v>31</v>
      </c>
      <c r="K281" s="50">
        <v>23894350</v>
      </c>
      <c r="L281" s="50">
        <v>0</v>
      </c>
      <c r="M281" s="50">
        <v>23894350</v>
      </c>
      <c r="N281" s="50">
        <v>22221745</v>
      </c>
      <c r="O281" t="s">
        <v>351</v>
      </c>
      <c r="P281">
        <v>79205725</v>
      </c>
      <c r="Q281" t="s">
        <v>1877</v>
      </c>
      <c r="R281" t="s">
        <v>316</v>
      </c>
      <c r="S281" t="s">
        <v>317</v>
      </c>
      <c r="T281" s="2">
        <v>161545264</v>
      </c>
      <c r="U281" t="s">
        <v>319</v>
      </c>
      <c r="V281">
        <v>860002964</v>
      </c>
      <c r="W281" t="s">
        <v>419</v>
      </c>
      <c r="X281" s="2">
        <v>1925</v>
      </c>
      <c r="Y281" s="2">
        <v>1925</v>
      </c>
      <c r="Z281" s="2">
        <v>28025</v>
      </c>
      <c r="AA281">
        <v>0</v>
      </c>
      <c r="AB281">
        <v>33225</v>
      </c>
      <c r="AC281">
        <v>64601625</v>
      </c>
      <c r="AD281">
        <v>0</v>
      </c>
      <c r="AE281" s="5">
        <v>45698</v>
      </c>
      <c r="AF281" t="s">
        <v>356</v>
      </c>
      <c r="AG281" t="s">
        <v>1880</v>
      </c>
      <c r="AH281" t="s">
        <v>1875</v>
      </c>
    </row>
    <row r="282" spans="1:34" ht="15" customHeight="1" x14ac:dyDescent="0.2">
      <c r="A282" t="s">
        <v>2489</v>
      </c>
      <c r="B282" t="s">
        <v>479</v>
      </c>
      <c r="C282" s="2">
        <v>28125</v>
      </c>
      <c r="D282" s="5">
        <v>45698</v>
      </c>
      <c r="E282" s="5">
        <v>45698.944444444445</v>
      </c>
      <c r="F282" t="s">
        <v>312</v>
      </c>
      <c r="G282" s="2">
        <v>923211</v>
      </c>
      <c r="H282" t="s">
        <v>29</v>
      </c>
      <c r="I282" t="s">
        <v>30</v>
      </c>
      <c r="J282" t="s">
        <v>31</v>
      </c>
      <c r="K282" s="50">
        <v>45995110</v>
      </c>
      <c r="L282" s="50">
        <v>0</v>
      </c>
      <c r="M282" s="50">
        <v>45995110</v>
      </c>
      <c r="N282" s="50">
        <v>42775452</v>
      </c>
      <c r="O282" t="s">
        <v>351</v>
      </c>
      <c r="P282">
        <v>16897160</v>
      </c>
      <c r="Q282" t="s">
        <v>1882</v>
      </c>
      <c r="R282" t="s">
        <v>316</v>
      </c>
      <c r="S282" t="s">
        <v>317</v>
      </c>
      <c r="T282" s="2">
        <v>80600014548</v>
      </c>
      <c r="U282" t="s">
        <v>319</v>
      </c>
      <c r="V282">
        <v>890903938</v>
      </c>
      <c r="W282" t="s">
        <v>342</v>
      </c>
      <c r="X282" s="2">
        <v>2125</v>
      </c>
      <c r="Y282" s="2">
        <v>2125</v>
      </c>
      <c r="Z282" s="2">
        <v>28125</v>
      </c>
      <c r="AA282">
        <v>0</v>
      </c>
      <c r="AB282">
        <v>33325</v>
      </c>
      <c r="AC282">
        <v>64601725</v>
      </c>
      <c r="AD282">
        <v>0</v>
      </c>
      <c r="AE282" s="5">
        <v>45698</v>
      </c>
      <c r="AF282" t="s">
        <v>356</v>
      </c>
      <c r="AG282" t="s">
        <v>1885</v>
      </c>
      <c r="AH282" t="s">
        <v>1886</v>
      </c>
    </row>
    <row r="283" spans="1:34" ht="15" customHeight="1" x14ac:dyDescent="0.2">
      <c r="A283" t="s">
        <v>2490</v>
      </c>
      <c r="B283" t="s">
        <v>478</v>
      </c>
      <c r="C283" s="2">
        <v>28225</v>
      </c>
      <c r="D283" s="5">
        <v>45698</v>
      </c>
      <c r="E283" s="5">
        <v>45698.948611111111</v>
      </c>
      <c r="F283" t="s">
        <v>312</v>
      </c>
      <c r="G283" s="2">
        <v>923210</v>
      </c>
      <c r="H283" t="s">
        <v>29</v>
      </c>
      <c r="I283" t="s">
        <v>30</v>
      </c>
      <c r="J283" t="s">
        <v>31</v>
      </c>
      <c r="K283" s="50">
        <v>24000000</v>
      </c>
      <c r="L283" s="50">
        <v>0</v>
      </c>
      <c r="M283" s="50">
        <v>24000000</v>
      </c>
      <c r="N283" s="50">
        <v>22320000</v>
      </c>
      <c r="O283" t="s">
        <v>351</v>
      </c>
      <c r="P283">
        <v>52800088</v>
      </c>
      <c r="Q283" t="s">
        <v>1888</v>
      </c>
      <c r="R283" t="s">
        <v>316</v>
      </c>
      <c r="S283" t="s">
        <v>317</v>
      </c>
      <c r="T283" s="2">
        <v>456800259214</v>
      </c>
      <c r="U283" t="s">
        <v>319</v>
      </c>
      <c r="V283">
        <v>860034313</v>
      </c>
      <c r="W283" t="s">
        <v>355</v>
      </c>
      <c r="X283" s="2">
        <v>1925</v>
      </c>
      <c r="Y283" s="2">
        <v>1925</v>
      </c>
      <c r="Z283" s="2">
        <v>28225</v>
      </c>
      <c r="AA283">
        <v>0</v>
      </c>
      <c r="AB283">
        <v>33425</v>
      </c>
      <c r="AC283">
        <v>64601825</v>
      </c>
      <c r="AD283">
        <v>0</v>
      </c>
      <c r="AE283" s="5">
        <v>45698</v>
      </c>
      <c r="AF283" t="s">
        <v>356</v>
      </c>
      <c r="AG283" t="s">
        <v>1891</v>
      </c>
      <c r="AH283" t="s">
        <v>1892</v>
      </c>
    </row>
    <row r="284" spans="1:34" ht="15" customHeight="1" x14ac:dyDescent="0.2">
      <c r="A284" t="s">
        <v>2491</v>
      </c>
      <c r="B284" t="s">
        <v>484</v>
      </c>
      <c r="C284" s="2">
        <v>28325</v>
      </c>
      <c r="D284" s="5">
        <v>45698</v>
      </c>
      <c r="E284" s="5">
        <v>45698.95416666667</v>
      </c>
      <c r="F284" t="s">
        <v>312</v>
      </c>
      <c r="G284" s="2">
        <v>923242</v>
      </c>
      <c r="H284" t="s">
        <v>29</v>
      </c>
      <c r="I284" t="s">
        <v>30</v>
      </c>
      <c r="J284" t="s">
        <v>31</v>
      </c>
      <c r="K284" s="50">
        <v>39694137</v>
      </c>
      <c r="L284" s="50">
        <v>0</v>
      </c>
      <c r="M284" s="50">
        <v>39694137</v>
      </c>
      <c r="N284" s="50">
        <v>37047861</v>
      </c>
      <c r="O284" t="s">
        <v>351</v>
      </c>
      <c r="P284">
        <v>1010226452</v>
      </c>
      <c r="Q284" t="s">
        <v>1894</v>
      </c>
      <c r="R284" t="s">
        <v>316</v>
      </c>
      <c r="S284" t="s">
        <v>317</v>
      </c>
      <c r="T284" s="2">
        <v>24052664386</v>
      </c>
      <c r="U284" t="s">
        <v>319</v>
      </c>
      <c r="V284">
        <v>860007335</v>
      </c>
      <c r="W284" t="s">
        <v>381</v>
      </c>
      <c r="X284" s="2">
        <v>3625</v>
      </c>
      <c r="Y284" s="2">
        <v>3625</v>
      </c>
      <c r="Z284" s="2">
        <v>28325</v>
      </c>
      <c r="AA284">
        <v>0</v>
      </c>
      <c r="AB284">
        <v>33525</v>
      </c>
      <c r="AC284">
        <v>64601925</v>
      </c>
      <c r="AD284">
        <v>0</v>
      </c>
      <c r="AE284" s="5">
        <v>45698</v>
      </c>
      <c r="AF284" t="s">
        <v>356</v>
      </c>
      <c r="AG284" t="s">
        <v>1897</v>
      </c>
      <c r="AH284" t="s">
        <v>1898</v>
      </c>
    </row>
    <row r="285" spans="1:34" ht="15" customHeight="1" x14ac:dyDescent="0.2">
      <c r="A285" t="s">
        <v>2492</v>
      </c>
      <c r="B285" t="s">
        <v>484</v>
      </c>
      <c r="C285" s="2">
        <v>28425</v>
      </c>
      <c r="D285" s="5">
        <v>45698</v>
      </c>
      <c r="E285" s="5">
        <v>45698.955555555556</v>
      </c>
      <c r="F285" t="s">
        <v>312</v>
      </c>
      <c r="G285" s="2">
        <v>923242</v>
      </c>
      <c r="H285" t="s">
        <v>29</v>
      </c>
      <c r="I285" t="s">
        <v>30</v>
      </c>
      <c r="J285" t="s">
        <v>31</v>
      </c>
      <c r="K285" s="50">
        <v>31726737</v>
      </c>
      <c r="L285" s="50">
        <v>0</v>
      </c>
      <c r="M285" s="50">
        <v>31726737</v>
      </c>
      <c r="N285" s="50">
        <v>29611621</v>
      </c>
      <c r="O285" t="s">
        <v>351</v>
      </c>
      <c r="P285">
        <v>79418258</v>
      </c>
      <c r="Q285" t="s">
        <v>1900</v>
      </c>
      <c r="R285" t="s">
        <v>316</v>
      </c>
      <c r="S285" t="s">
        <v>317</v>
      </c>
      <c r="T285" s="2">
        <v>4622049045</v>
      </c>
      <c r="U285" t="s">
        <v>319</v>
      </c>
      <c r="V285">
        <v>860034594</v>
      </c>
      <c r="W285" t="s">
        <v>374</v>
      </c>
      <c r="X285" s="2">
        <v>3625</v>
      </c>
      <c r="Y285" s="2">
        <v>3625</v>
      </c>
      <c r="Z285" s="2">
        <v>28425</v>
      </c>
      <c r="AA285">
        <v>0</v>
      </c>
      <c r="AB285">
        <v>33625</v>
      </c>
      <c r="AC285">
        <v>64602025</v>
      </c>
      <c r="AD285">
        <v>0</v>
      </c>
      <c r="AE285" s="5">
        <v>45698</v>
      </c>
      <c r="AF285" t="s">
        <v>356</v>
      </c>
      <c r="AG285" t="s">
        <v>1903</v>
      </c>
      <c r="AH285" t="s">
        <v>1904</v>
      </c>
    </row>
    <row r="286" spans="1:34" ht="15" customHeight="1" x14ac:dyDescent="0.2">
      <c r="A286" t="s">
        <v>2493</v>
      </c>
      <c r="B286" t="s">
        <v>484</v>
      </c>
      <c r="C286" s="2">
        <v>28525</v>
      </c>
      <c r="D286" s="5">
        <v>45698</v>
      </c>
      <c r="E286" s="5">
        <v>45698.956944444442</v>
      </c>
      <c r="F286" t="s">
        <v>312</v>
      </c>
      <c r="G286" s="2">
        <v>923242</v>
      </c>
      <c r="H286" t="s">
        <v>29</v>
      </c>
      <c r="I286" t="s">
        <v>30</v>
      </c>
      <c r="J286" t="s">
        <v>31</v>
      </c>
      <c r="K286" s="50">
        <v>39694137</v>
      </c>
      <c r="L286" s="50">
        <v>0</v>
      </c>
      <c r="M286" s="50">
        <v>39694137</v>
      </c>
      <c r="N286" s="50">
        <v>37047861</v>
      </c>
      <c r="O286" t="s">
        <v>351</v>
      </c>
      <c r="P286">
        <v>1018427297</v>
      </c>
      <c r="Q286" t="s">
        <v>1906</v>
      </c>
      <c r="R286" t="s">
        <v>316</v>
      </c>
      <c r="S286" t="s">
        <v>317</v>
      </c>
      <c r="T286" s="2">
        <v>24077305352</v>
      </c>
      <c r="U286" t="s">
        <v>319</v>
      </c>
      <c r="V286">
        <v>860007335</v>
      </c>
      <c r="W286" t="s">
        <v>381</v>
      </c>
      <c r="X286" s="2">
        <v>3625</v>
      </c>
      <c r="Y286" s="2">
        <v>3625</v>
      </c>
      <c r="Z286" s="2">
        <v>28525</v>
      </c>
      <c r="AA286">
        <v>0</v>
      </c>
      <c r="AB286">
        <v>33725</v>
      </c>
      <c r="AC286">
        <v>64602125</v>
      </c>
      <c r="AD286">
        <v>0</v>
      </c>
      <c r="AE286" s="5">
        <v>45698</v>
      </c>
      <c r="AF286" t="s">
        <v>356</v>
      </c>
      <c r="AG286" t="s">
        <v>1909</v>
      </c>
      <c r="AH286" t="s">
        <v>1910</v>
      </c>
    </row>
    <row r="287" spans="1:34" ht="15" customHeight="1" x14ac:dyDescent="0.2">
      <c r="A287" t="s">
        <v>2230</v>
      </c>
      <c r="B287" t="s">
        <v>476</v>
      </c>
      <c r="C287" s="2">
        <v>28625</v>
      </c>
      <c r="D287" s="5">
        <v>45699</v>
      </c>
      <c r="E287" s="5">
        <v>45699.349305555559</v>
      </c>
      <c r="F287" t="s">
        <v>312</v>
      </c>
      <c r="G287" s="2">
        <v>923210</v>
      </c>
      <c r="H287" t="s">
        <v>29</v>
      </c>
      <c r="I287" t="s">
        <v>30</v>
      </c>
      <c r="J287" t="s">
        <v>47</v>
      </c>
      <c r="K287" s="50">
        <v>1797160</v>
      </c>
      <c r="L287" s="50">
        <v>0</v>
      </c>
      <c r="M287" s="50">
        <v>1797160</v>
      </c>
      <c r="N287" s="50">
        <v>0</v>
      </c>
      <c r="O287" t="s">
        <v>314</v>
      </c>
      <c r="P287">
        <v>860063875</v>
      </c>
      <c r="Q287" t="s">
        <v>315</v>
      </c>
      <c r="R287" t="s">
        <v>316</v>
      </c>
      <c r="S287" t="s">
        <v>317</v>
      </c>
      <c r="T287" s="2">
        <v>90060000410</v>
      </c>
      <c r="U287" t="s">
        <v>319</v>
      </c>
      <c r="V287">
        <v>860050750</v>
      </c>
      <c r="W287" t="s">
        <v>321</v>
      </c>
      <c r="X287" s="2">
        <v>1225</v>
      </c>
      <c r="Y287" s="2">
        <v>1225</v>
      </c>
      <c r="Z287" s="2">
        <v>28625</v>
      </c>
      <c r="AA287">
        <v>3025</v>
      </c>
      <c r="AB287">
        <v>2025</v>
      </c>
      <c r="AC287">
        <v>32050725</v>
      </c>
      <c r="AD287">
        <v>0</v>
      </c>
      <c r="AE287" s="5">
        <v>45699</v>
      </c>
      <c r="AF287" t="s">
        <v>323</v>
      </c>
      <c r="AG287" t="s">
        <v>1916</v>
      </c>
      <c r="AH287" t="s">
        <v>1917</v>
      </c>
    </row>
    <row r="288" spans="1:34" ht="15" customHeight="1" x14ac:dyDescent="0.2">
      <c r="A288" t="s">
        <v>2229</v>
      </c>
      <c r="B288" t="s">
        <v>476</v>
      </c>
      <c r="C288" s="2">
        <v>28725</v>
      </c>
      <c r="D288" s="5">
        <v>45699</v>
      </c>
      <c r="E288" s="5">
        <v>45699.359027777777</v>
      </c>
      <c r="F288" t="s">
        <v>312</v>
      </c>
      <c r="G288" s="2">
        <v>923210</v>
      </c>
      <c r="H288" t="s">
        <v>29</v>
      </c>
      <c r="I288" t="s">
        <v>30</v>
      </c>
      <c r="J288" t="s">
        <v>47</v>
      </c>
      <c r="K288" s="50">
        <v>4390</v>
      </c>
      <c r="L288" s="50">
        <v>0</v>
      </c>
      <c r="M288" s="50">
        <v>4390</v>
      </c>
      <c r="N288" s="50">
        <v>0</v>
      </c>
      <c r="O288" t="s">
        <v>314</v>
      </c>
      <c r="P288">
        <v>800007813</v>
      </c>
      <c r="Q288" t="s">
        <v>339</v>
      </c>
      <c r="R288" t="s">
        <v>316</v>
      </c>
      <c r="S288" t="s">
        <v>317</v>
      </c>
      <c r="T288" s="2">
        <v>17800000434</v>
      </c>
      <c r="U288" t="s">
        <v>319</v>
      </c>
      <c r="V288">
        <v>890903938</v>
      </c>
      <c r="W288" t="s">
        <v>342</v>
      </c>
      <c r="X288" s="2">
        <v>1225</v>
      </c>
      <c r="Y288" s="2">
        <v>1225</v>
      </c>
      <c r="Z288" s="2">
        <v>28725</v>
      </c>
      <c r="AA288">
        <v>2925</v>
      </c>
      <c r="AB288">
        <v>1925</v>
      </c>
      <c r="AC288">
        <v>32039125</v>
      </c>
      <c r="AD288">
        <v>0</v>
      </c>
      <c r="AE288" s="5">
        <v>45699</v>
      </c>
      <c r="AF288" t="s">
        <v>323</v>
      </c>
      <c r="AG288" t="s">
        <v>1921</v>
      </c>
      <c r="AH288" t="s">
        <v>1922</v>
      </c>
    </row>
    <row r="289" spans="1:34" ht="15" customHeight="1" x14ac:dyDescent="0.2">
      <c r="A289" t="s">
        <v>2494</v>
      </c>
      <c r="B289" t="s">
        <v>472</v>
      </c>
      <c r="C289" s="2">
        <v>28825</v>
      </c>
      <c r="D289" s="5">
        <v>45700</v>
      </c>
      <c r="E289" s="5">
        <v>45700.42291666667</v>
      </c>
      <c r="F289" t="s">
        <v>312</v>
      </c>
      <c r="G289" s="2">
        <v>923238</v>
      </c>
      <c r="H289" t="s">
        <v>29</v>
      </c>
      <c r="I289" t="s">
        <v>30</v>
      </c>
      <c r="J289" t="s">
        <v>31</v>
      </c>
      <c r="K289" s="50">
        <v>576929</v>
      </c>
      <c r="L289" s="50">
        <v>0</v>
      </c>
      <c r="M289" s="50">
        <v>576929</v>
      </c>
      <c r="N289" s="50">
        <v>0</v>
      </c>
      <c r="O289" t="s">
        <v>351</v>
      </c>
      <c r="P289">
        <v>80724086</v>
      </c>
      <c r="Q289" t="s">
        <v>1926</v>
      </c>
      <c r="R289" t="s">
        <v>316</v>
      </c>
      <c r="S289" t="s">
        <v>317</v>
      </c>
      <c r="T289" s="2">
        <v>22127248099</v>
      </c>
      <c r="U289" t="s">
        <v>319</v>
      </c>
      <c r="V289">
        <v>890903938</v>
      </c>
      <c r="W289" t="s">
        <v>342</v>
      </c>
      <c r="X289" s="2">
        <v>325</v>
      </c>
      <c r="Y289" s="2">
        <v>325</v>
      </c>
      <c r="Z289" s="2">
        <v>28825</v>
      </c>
      <c r="AA289">
        <v>3425</v>
      </c>
      <c r="AB289">
        <v>4125</v>
      </c>
      <c r="AC289">
        <v>47481725</v>
      </c>
      <c r="AD289">
        <v>0</v>
      </c>
      <c r="AE289" s="5">
        <v>45700</v>
      </c>
      <c r="AF289" t="s">
        <v>1929</v>
      </c>
      <c r="AG289" t="s">
        <v>1930</v>
      </c>
      <c r="AH289" t="s">
        <v>1931</v>
      </c>
    </row>
    <row r="290" spans="1:34" ht="15" customHeight="1" x14ac:dyDescent="0.2">
      <c r="A290" t="s">
        <v>2495</v>
      </c>
      <c r="B290" t="s">
        <v>489</v>
      </c>
      <c r="C290" s="2">
        <v>28925</v>
      </c>
      <c r="D290" s="5">
        <v>45700</v>
      </c>
      <c r="E290" s="5">
        <v>45700.425694444442</v>
      </c>
      <c r="F290" t="s">
        <v>312</v>
      </c>
      <c r="G290" s="2">
        <v>923290</v>
      </c>
      <c r="H290" t="s">
        <v>29</v>
      </c>
      <c r="I290" t="s">
        <v>30</v>
      </c>
      <c r="J290" t="s">
        <v>31</v>
      </c>
      <c r="K290" s="50">
        <v>478585</v>
      </c>
      <c r="L290" s="50">
        <v>0</v>
      </c>
      <c r="M290" s="50">
        <v>478585</v>
      </c>
      <c r="N290" s="50">
        <v>0</v>
      </c>
      <c r="O290" t="s">
        <v>351</v>
      </c>
      <c r="P290">
        <v>1012449137</v>
      </c>
      <c r="Q290" t="s">
        <v>390</v>
      </c>
      <c r="R290" t="s">
        <v>316</v>
      </c>
      <c r="S290" t="s">
        <v>317</v>
      </c>
      <c r="T290" s="2">
        <v>883150385</v>
      </c>
      <c r="U290" t="s">
        <v>319</v>
      </c>
      <c r="V290">
        <v>860003020</v>
      </c>
      <c r="W290" t="s">
        <v>393</v>
      </c>
      <c r="X290" s="2">
        <v>4925</v>
      </c>
      <c r="Y290" s="2">
        <v>4925</v>
      </c>
      <c r="Z290" s="2">
        <v>28925</v>
      </c>
      <c r="AA290">
        <v>0</v>
      </c>
      <c r="AB290">
        <v>4225</v>
      </c>
      <c r="AC290">
        <v>47481825</v>
      </c>
      <c r="AD290">
        <v>0</v>
      </c>
      <c r="AE290" s="5">
        <v>45700</v>
      </c>
      <c r="AF290" t="s">
        <v>1929</v>
      </c>
      <c r="AG290" t="s">
        <v>1934</v>
      </c>
      <c r="AH290" t="s">
        <v>1935</v>
      </c>
    </row>
    <row r="291" spans="1:34" ht="15" customHeight="1" x14ac:dyDescent="0.2">
      <c r="A291" t="s">
        <v>2496</v>
      </c>
      <c r="B291" t="s">
        <v>477</v>
      </c>
      <c r="C291" s="2">
        <v>29025</v>
      </c>
      <c r="D291" s="5">
        <v>45700</v>
      </c>
      <c r="E291" s="5">
        <v>45700.430555555555</v>
      </c>
      <c r="F291" t="s">
        <v>312</v>
      </c>
      <c r="G291" s="2">
        <v>923210</v>
      </c>
      <c r="H291" t="s">
        <v>29</v>
      </c>
      <c r="I291" t="s">
        <v>30</v>
      </c>
      <c r="J291" t="s">
        <v>31</v>
      </c>
      <c r="K291" s="50">
        <v>93439</v>
      </c>
      <c r="L291" s="50">
        <v>0</v>
      </c>
      <c r="M291" s="50">
        <v>93439</v>
      </c>
      <c r="N291" s="50">
        <v>0</v>
      </c>
      <c r="O291" t="s">
        <v>351</v>
      </c>
      <c r="P291">
        <v>79661139</v>
      </c>
      <c r="Q291" t="s">
        <v>1871</v>
      </c>
      <c r="R291" t="s">
        <v>316</v>
      </c>
      <c r="S291" t="s">
        <v>317</v>
      </c>
      <c r="T291" s="2">
        <v>4400141166</v>
      </c>
      <c r="U291" t="s">
        <v>319</v>
      </c>
      <c r="V291">
        <v>860034313</v>
      </c>
      <c r="W291" t="s">
        <v>355</v>
      </c>
      <c r="X291" s="2">
        <v>1625</v>
      </c>
      <c r="Y291" s="2">
        <v>1625</v>
      </c>
      <c r="Z291" s="2">
        <v>29025</v>
      </c>
      <c r="AA291">
        <v>0</v>
      </c>
      <c r="AB291">
        <v>4325</v>
      </c>
      <c r="AC291">
        <v>47481925</v>
      </c>
      <c r="AD291">
        <v>0</v>
      </c>
      <c r="AE291" s="5">
        <v>45700</v>
      </c>
      <c r="AF291" t="s">
        <v>1929</v>
      </c>
      <c r="AG291" t="s">
        <v>1939</v>
      </c>
      <c r="AH291" t="s">
        <v>1940</v>
      </c>
    </row>
    <row r="292" spans="1:34" ht="15" customHeight="1" x14ac:dyDescent="0.2">
      <c r="A292" t="s">
        <v>2497</v>
      </c>
      <c r="B292" t="s">
        <v>477</v>
      </c>
      <c r="C292" s="2">
        <v>29125</v>
      </c>
      <c r="D292" s="5">
        <v>45700</v>
      </c>
      <c r="E292" s="5">
        <v>45700.4375</v>
      </c>
      <c r="F292" t="s">
        <v>312</v>
      </c>
      <c r="G292" s="2">
        <v>923210</v>
      </c>
      <c r="H292" t="s">
        <v>29</v>
      </c>
      <c r="I292" t="s">
        <v>30</v>
      </c>
      <c r="J292" t="s">
        <v>31</v>
      </c>
      <c r="K292" s="50">
        <v>252632</v>
      </c>
      <c r="L292" s="50">
        <v>0</v>
      </c>
      <c r="M292" s="50">
        <v>252632</v>
      </c>
      <c r="N292" s="50">
        <v>0</v>
      </c>
      <c r="O292" t="s">
        <v>351</v>
      </c>
      <c r="P292">
        <v>80062448</v>
      </c>
      <c r="Q292" t="s">
        <v>1943</v>
      </c>
      <c r="R292" t="s">
        <v>316</v>
      </c>
      <c r="S292" t="s">
        <v>317</v>
      </c>
      <c r="T292" s="2">
        <v>570451570058300</v>
      </c>
      <c r="U292" t="s">
        <v>319</v>
      </c>
      <c r="V292">
        <v>860034313</v>
      </c>
      <c r="W292" t="s">
        <v>355</v>
      </c>
      <c r="X292" s="2">
        <v>1625</v>
      </c>
      <c r="Y292" s="2">
        <v>1625</v>
      </c>
      <c r="Z292" s="2">
        <v>29125</v>
      </c>
      <c r="AA292">
        <v>0</v>
      </c>
      <c r="AB292">
        <v>4425</v>
      </c>
      <c r="AC292">
        <v>47482025</v>
      </c>
      <c r="AD292">
        <v>0</v>
      </c>
      <c r="AE292" s="5">
        <v>45700</v>
      </c>
      <c r="AF292" t="s">
        <v>1929</v>
      </c>
      <c r="AG292" t="s">
        <v>1946</v>
      </c>
      <c r="AH292" t="s">
        <v>1947</v>
      </c>
    </row>
    <row r="293" spans="1:34" ht="15" customHeight="1" x14ac:dyDescent="0.2">
      <c r="A293" t="s">
        <v>2498</v>
      </c>
      <c r="B293" t="s">
        <v>487</v>
      </c>
      <c r="C293" s="2">
        <v>29225</v>
      </c>
      <c r="D293" s="5">
        <v>45700</v>
      </c>
      <c r="E293" s="5">
        <v>45700.443749999999</v>
      </c>
      <c r="F293" t="s">
        <v>312</v>
      </c>
      <c r="G293" s="2">
        <v>923285</v>
      </c>
      <c r="H293" t="s">
        <v>29</v>
      </c>
      <c r="I293" t="s">
        <v>30</v>
      </c>
      <c r="J293" t="s">
        <v>31</v>
      </c>
      <c r="K293" s="50">
        <v>478585</v>
      </c>
      <c r="L293" s="50">
        <v>0</v>
      </c>
      <c r="M293" s="50">
        <v>478585</v>
      </c>
      <c r="N293" s="50">
        <v>0</v>
      </c>
      <c r="O293" t="s">
        <v>351</v>
      </c>
      <c r="P293">
        <v>1018436224</v>
      </c>
      <c r="Q293" t="s">
        <v>739</v>
      </c>
      <c r="R293" t="s">
        <v>316</v>
      </c>
      <c r="S293" t="s">
        <v>317</v>
      </c>
      <c r="T293" s="2">
        <v>22100018156</v>
      </c>
      <c r="U293" t="s">
        <v>319</v>
      </c>
      <c r="V293">
        <v>890903938</v>
      </c>
      <c r="W293" t="s">
        <v>342</v>
      </c>
      <c r="X293" s="2">
        <v>4425</v>
      </c>
      <c r="Y293" s="2">
        <v>4425</v>
      </c>
      <c r="Z293" s="2">
        <v>29225</v>
      </c>
      <c r="AA293">
        <v>0</v>
      </c>
      <c r="AB293">
        <v>4525</v>
      </c>
      <c r="AC293">
        <v>47482125</v>
      </c>
      <c r="AD293">
        <v>0</v>
      </c>
      <c r="AE293" s="5">
        <v>45700</v>
      </c>
      <c r="AF293" t="s">
        <v>1929</v>
      </c>
      <c r="AG293" t="s">
        <v>1949</v>
      </c>
      <c r="AH293" t="s">
        <v>1950</v>
      </c>
    </row>
    <row r="294" spans="1:34" ht="15" customHeight="1" x14ac:dyDescent="0.2">
      <c r="A294" t="s">
        <v>2499</v>
      </c>
      <c r="B294" t="s">
        <v>472</v>
      </c>
      <c r="C294" s="2">
        <v>29325</v>
      </c>
      <c r="D294" s="5">
        <v>45700</v>
      </c>
      <c r="E294" s="5">
        <v>45700.447916666664</v>
      </c>
      <c r="F294" t="s">
        <v>312</v>
      </c>
      <c r="G294" s="2">
        <v>923238</v>
      </c>
      <c r="H294" t="s">
        <v>29</v>
      </c>
      <c r="I294" t="s">
        <v>30</v>
      </c>
      <c r="J294" t="s">
        <v>31</v>
      </c>
      <c r="K294" s="50">
        <v>372012</v>
      </c>
      <c r="L294" s="50">
        <v>0</v>
      </c>
      <c r="M294" s="50">
        <v>372012</v>
      </c>
      <c r="N294" s="50">
        <v>0</v>
      </c>
      <c r="O294" t="s">
        <v>351</v>
      </c>
      <c r="P294">
        <v>52425990</v>
      </c>
      <c r="Q294" t="s">
        <v>1953</v>
      </c>
      <c r="R294" t="s">
        <v>316</v>
      </c>
      <c r="S294" t="s">
        <v>317</v>
      </c>
      <c r="T294" s="2">
        <v>24523344944</v>
      </c>
      <c r="U294" t="s">
        <v>319</v>
      </c>
      <c r="V294">
        <v>860007335</v>
      </c>
      <c r="W294" t="s">
        <v>381</v>
      </c>
      <c r="X294" s="2">
        <v>325</v>
      </c>
      <c r="Y294" s="2">
        <v>325</v>
      </c>
      <c r="Z294" s="2">
        <v>29325</v>
      </c>
      <c r="AA294">
        <v>0</v>
      </c>
      <c r="AB294">
        <v>4625</v>
      </c>
      <c r="AC294">
        <v>47482225</v>
      </c>
      <c r="AD294">
        <v>0</v>
      </c>
      <c r="AE294" s="5">
        <v>45700</v>
      </c>
      <c r="AF294" t="s">
        <v>1929</v>
      </c>
      <c r="AG294" t="s">
        <v>1956</v>
      </c>
      <c r="AH294" t="s">
        <v>1957</v>
      </c>
    </row>
    <row r="295" spans="1:34" ht="15" customHeight="1" x14ac:dyDescent="0.2">
      <c r="A295" t="s">
        <v>2500</v>
      </c>
      <c r="B295" t="s">
        <v>477</v>
      </c>
      <c r="C295" s="2">
        <v>29425</v>
      </c>
      <c r="D295" s="5">
        <v>45700</v>
      </c>
      <c r="E295" s="5">
        <v>45700.453472222223</v>
      </c>
      <c r="F295" t="s">
        <v>312</v>
      </c>
      <c r="G295" s="2">
        <v>923210</v>
      </c>
      <c r="H295" t="s">
        <v>29</v>
      </c>
      <c r="I295" t="s">
        <v>30</v>
      </c>
      <c r="J295" t="s">
        <v>31</v>
      </c>
      <c r="K295" s="50">
        <v>576929</v>
      </c>
      <c r="L295" s="50">
        <v>0</v>
      </c>
      <c r="M295" s="50">
        <v>576929</v>
      </c>
      <c r="N295" s="50">
        <v>0</v>
      </c>
      <c r="O295" t="s">
        <v>351</v>
      </c>
      <c r="P295">
        <v>79359242</v>
      </c>
      <c r="Q295" t="s">
        <v>1959</v>
      </c>
      <c r="R295" t="s">
        <v>316</v>
      </c>
      <c r="S295" t="s">
        <v>317</v>
      </c>
      <c r="T295" s="2">
        <v>272175241</v>
      </c>
      <c r="U295" t="s">
        <v>319</v>
      </c>
      <c r="V295">
        <v>860002964</v>
      </c>
      <c r="W295" t="s">
        <v>419</v>
      </c>
      <c r="X295" s="2">
        <v>1625</v>
      </c>
      <c r="Y295" s="2">
        <v>1625</v>
      </c>
      <c r="Z295" s="2">
        <v>29425</v>
      </c>
      <c r="AA295">
        <v>0</v>
      </c>
      <c r="AB295">
        <v>4725</v>
      </c>
      <c r="AC295">
        <v>47482425</v>
      </c>
      <c r="AD295">
        <v>0</v>
      </c>
      <c r="AE295" s="5">
        <v>45700</v>
      </c>
      <c r="AF295" t="s">
        <v>1929</v>
      </c>
      <c r="AG295" t="s">
        <v>1962</v>
      </c>
      <c r="AH295" t="s">
        <v>1963</v>
      </c>
    </row>
    <row r="296" spans="1:34" ht="15" customHeight="1" x14ac:dyDescent="0.2">
      <c r="A296" t="s">
        <v>2501</v>
      </c>
      <c r="B296" t="s">
        <v>478</v>
      </c>
      <c r="C296" s="2">
        <v>29525</v>
      </c>
      <c r="D296" s="5">
        <v>45700</v>
      </c>
      <c r="E296" s="5">
        <v>45700.660416666666</v>
      </c>
      <c r="F296" t="s">
        <v>312</v>
      </c>
      <c r="G296" s="2">
        <v>923210</v>
      </c>
      <c r="H296" t="s">
        <v>29</v>
      </c>
      <c r="I296" t="s">
        <v>30</v>
      </c>
      <c r="J296" t="s">
        <v>31</v>
      </c>
      <c r="K296" s="50">
        <v>19357900</v>
      </c>
      <c r="L296" s="50">
        <v>0</v>
      </c>
      <c r="M296" s="50">
        <v>19357900</v>
      </c>
      <c r="N296" s="50">
        <v>18131900</v>
      </c>
      <c r="O296" t="s">
        <v>351</v>
      </c>
      <c r="P296">
        <v>1073704418</v>
      </c>
      <c r="Q296" t="s">
        <v>1965</v>
      </c>
      <c r="R296" t="s">
        <v>316</v>
      </c>
      <c r="S296" t="s">
        <v>317</v>
      </c>
      <c r="T296" s="2">
        <v>299122085</v>
      </c>
      <c r="U296" t="s">
        <v>319</v>
      </c>
      <c r="V296">
        <v>860002964</v>
      </c>
      <c r="W296" t="s">
        <v>419</v>
      </c>
      <c r="X296" s="2">
        <v>1925</v>
      </c>
      <c r="Y296" s="2">
        <v>1925</v>
      </c>
      <c r="Z296" s="2">
        <v>29525</v>
      </c>
      <c r="AA296">
        <v>0</v>
      </c>
      <c r="AB296">
        <v>33825</v>
      </c>
      <c r="AC296">
        <v>64602225</v>
      </c>
      <c r="AD296">
        <v>0</v>
      </c>
      <c r="AE296" s="5">
        <v>45700</v>
      </c>
      <c r="AF296" t="s">
        <v>356</v>
      </c>
      <c r="AG296" t="s">
        <v>1968</v>
      </c>
      <c r="AH296" t="s">
        <v>1969</v>
      </c>
    </row>
    <row r="297" spans="1:34" ht="15" customHeight="1" x14ac:dyDescent="0.2">
      <c r="A297" t="s">
        <v>2502</v>
      </c>
      <c r="B297" t="s">
        <v>478</v>
      </c>
      <c r="C297" s="2">
        <v>29625</v>
      </c>
      <c r="D297" s="5">
        <v>45700</v>
      </c>
      <c r="E297" s="5">
        <v>45700.660416666666</v>
      </c>
      <c r="F297" t="s">
        <v>312</v>
      </c>
      <c r="G297" s="2">
        <v>923210</v>
      </c>
      <c r="H297" t="s">
        <v>29</v>
      </c>
      <c r="I297" t="s">
        <v>30</v>
      </c>
      <c r="J297" t="s">
        <v>31</v>
      </c>
      <c r="K297" s="50">
        <v>18327900</v>
      </c>
      <c r="L297" s="50">
        <v>0</v>
      </c>
      <c r="M297" s="50">
        <v>18327900</v>
      </c>
      <c r="N297" s="50">
        <v>17167133</v>
      </c>
      <c r="O297" t="s">
        <v>351</v>
      </c>
      <c r="P297">
        <v>79217930</v>
      </c>
      <c r="Q297" t="s">
        <v>1971</v>
      </c>
      <c r="R297" t="s">
        <v>316</v>
      </c>
      <c r="S297" t="s">
        <v>317</v>
      </c>
      <c r="T297" s="2">
        <v>85360725</v>
      </c>
      <c r="U297" t="s">
        <v>319</v>
      </c>
      <c r="V297">
        <v>860003020</v>
      </c>
      <c r="W297" t="s">
        <v>393</v>
      </c>
      <c r="X297" s="2">
        <v>1925</v>
      </c>
      <c r="Y297" s="2">
        <v>1925</v>
      </c>
      <c r="Z297" s="2">
        <v>29625</v>
      </c>
      <c r="AA297">
        <v>0</v>
      </c>
      <c r="AB297">
        <v>33925</v>
      </c>
      <c r="AC297">
        <v>71227025</v>
      </c>
      <c r="AD297">
        <v>0</v>
      </c>
      <c r="AE297" s="5">
        <v>45700</v>
      </c>
      <c r="AF297" t="s">
        <v>356</v>
      </c>
      <c r="AG297" t="s">
        <v>1973</v>
      </c>
      <c r="AH297" t="s">
        <v>1974</v>
      </c>
    </row>
    <row r="298" spans="1:34" ht="15" customHeight="1" x14ac:dyDescent="0.2">
      <c r="A298" t="s">
        <v>2503</v>
      </c>
      <c r="B298" t="s">
        <v>478</v>
      </c>
      <c r="C298" s="2">
        <v>29725</v>
      </c>
      <c r="D298" s="5">
        <v>45700</v>
      </c>
      <c r="E298" s="5">
        <v>45700.660416666666</v>
      </c>
      <c r="F298" t="s">
        <v>312</v>
      </c>
      <c r="G298" s="2">
        <v>923210</v>
      </c>
      <c r="H298" t="s">
        <v>29</v>
      </c>
      <c r="I298" t="s">
        <v>30</v>
      </c>
      <c r="J298" t="s">
        <v>31</v>
      </c>
      <c r="K298" s="50">
        <v>20600000</v>
      </c>
      <c r="L298" s="50">
        <v>0</v>
      </c>
      <c r="M298" s="50">
        <v>20600000</v>
      </c>
      <c r="N298" s="50">
        <v>19295333</v>
      </c>
      <c r="O298" t="s">
        <v>351</v>
      </c>
      <c r="P298">
        <v>52760141</v>
      </c>
      <c r="Q298" t="s">
        <v>1976</v>
      </c>
      <c r="R298" t="s">
        <v>316</v>
      </c>
      <c r="S298" t="s">
        <v>317</v>
      </c>
      <c r="T298" s="2">
        <v>550488450533549</v>
      </c>
      <c r="U298" t="s">
        <v>319</v>
      </c>
      <c r="V298">
        <v>860034313</v>
      </c>
      <c r="W298" t="s">
        <v>355</v>
      </c>
      <c r="X298" s="2">
        <v>1925</v>
      </c>
      <c r="Y298" s="2">
        <v>1925</v>
      </c>
      <c r="Z298" s="2">
        <v>29725</v>
      </c>
      <c r="AA298">
        <v>0</v>
      </c>
      <c r="AB298">
        <v>34025</v>
      </c>
      <c r="AC298">
        <v>64602325</v>
      </c>
      <c r="AD298">
        <v>0</v>
      </c>
      <c r="AE298" s="5">
        <v>45700</v>
      </c>
      <c r="AF298" t="s">
        <v>356</v>
      </c>
      <c r="AG298" t="s">
        <v>1979</v>
      </c>
      <c r="AH298" t="s">
        <v>1980</v>
      </c>
    </row>
    <row r="299" spans="1:34" ht="15" customHeight="1" x14ac:dyDescent="0.2">
      <c r="A299" t="s">
        <v>2504</v>
      </c>
      <c r="B299" t="s">
        <v>478</v>
      </c>
      <c r="C299" s="2">
        <v>29825</v>
      </c>
      <c r="D299" s="5">
        <v>45700</v>
      </c>
      <c r="E299" s="5">
        <v>45700.660416666666</v>
      </c>
      <c r="F299" t="s">
        <v>27</v>
      </c>
      <c r="G299" s="2">
        <v>923210</v>
      </c>
      <c r="H299" t="s">
        <v>29</v>
      </c>
      <c r="I299" t="s">
        <v>30</v>
      </c>
      <c r="J299" t="s">
        <v>31</v>
      </c>
      <c r="K299" s="50">
        <v>19239990</v>
      </c>
      <c r="L299" s="50">
        <v>-19047590</v>
      </c>
      <c r="M299" s="50">
        <v>192400</v>
      </c>
      <c r="N299" s="50">
        <v>192400</v>
      </c>
      <c r="O299" t="s">
        <v>351</v>
      </c>
      <c r="P299">
        <v>1032362456</v>
      </c>
      <c r="Q299" t="s">
        <v>1982</v>
      </c>
      <c r="R299" t="s">
        <v>316</v>
      </c>
      <c r="S299" t="s">
        <v>317</v>
      </c>
      <c r="T299" s="2">
        <v>24092205468</v>
      </c>
      <c r="U299" t="s">
        <v>319</v>
      </c>
      <c r="V299">
        <v>860007335</v>
      </c>
      <c r="W299" t="s">
        <v>381</v>
      </c>
      <c r="X299" s="2">
        <v>1925</v>
      </c>
      <c r="Y299" s="2">
        <v>1925</v>
      </c>
      <c r="Z299" s="2">
        <v>29825</v>
      </c>
      <c r="AA299">
        <v>0</v>
      </c>
      <c r="AB299">
        <v>0</v>
      </c>
      <c r="AC299">
        <v>0</v>
      </c>
      <c r="AD299">
        <v>0</v>
      </c>
      <c r="AE299" s="5">
        <v>45700</v>
      </c>
      <c r="AF299" t="s">
        <v>356</v>
      </c>
      <c r="AG299" t="s">
        <v>1985</v>
      </c>
      <c r="AH299" t="s">
        <v>1986</v>
      </c>
    </row>
    <row r="300" spans="1:34" ht="15" customHeight="1" x14ac:dyDescent="0.2">
      <c r="A300" t="s">
        <v>2505</v>
      </c>
      <c r="B300" t="s">
        <v>478</v>
      </c>
      <c r="C300" s="2">
        <v>29925</v>
      </c>
      <c r="D300" s="5">
        <v>45700</v>
      </c>
      <c r="E300" s="5">
        <v>45700.660416666666</v>
      </c>
      <c r="F300" t="s">
        <v>312</v>
      </c>
      <c r="G300" s="2">
        <v>923210</v>
      </c>
      <c r="H300" t="s">
        <v>29</v>
      </c>
      <c r="I300" t="s">
        <v>30</v>
      </c>
      <c r="J300" t="s">
        <v>31</v>
      </c>
      <c r="K300" s="50">
        <v>19357900</v>
      </c>
      <c r="L300" s="50">
        <v>0</v>
      </c>
      <c r="M300" s="50">
        <v>19357900</v>
      </c>
      <c r="N300" s="50">
        <v>18131900</v>
      </c>
      <c r="O300" t="s">
        <v>351</v>
      </c>
      <c r="P300">
        <v>1071349192</v>
      </c>
      <c r="Q300" t="s">
        <v>1988</v>
      </c>
      <c r="R300" t="s">
        <v>316</v>
      </c>
      <c r="S300" t="s">
        <v>317</v>
      </c>
      <c r="T300" s="2">
        <v>272399544</v>
      </c>
      <c r="U300" t="s">
        <v>319</v>
      </c>
      <c r="V300">
        <v>860002964</v>
      </c>
      <c r="W300" t="s">
        <v>419</v>
      </c>
      <c r="X300" s="2">
        <v>1925</v>
      </c>
      <c r="Y300" s="2">
        <v>1925</v>
      </c>
      <c r="Z300" s="2">
        <v>29925</v>
      </c>
      <c r="AA300">
        <v>0</v>
      </c>
      <c r="AB300">
        <v>34125</v>
      </c>
      <c r="AC300">
        <v>64602425</v>
      </c>
      <c r="AD300">
        <v>0</v>
      </c>
      <c r="AE300" s="5">
        <v>45700</v>
      </c>
      <c r="AF300" t="s">
        <v>356</v>
      </c>
      <c r="AG300" t="s">
        <v>1991</v>
      </c>
      <c r="AH300" t="s">
        <v>1992</v>
      </c>
    </row>
    <row r="301" spans="1:34" ht="15" customHeight="1" x14ac:dyDescent="0.2">
      <c r="A301" t="s">
        <v>2506</v>
      </c>
      <c r="B301" t="s">
        <v>478</v>
      </c>
      <c r="C301" s="2">
        <v>30025</v>
      </c>
      <c r="D301" s="5">
        <v>45700</v>
      </c>
      <c r="E301" s="5">
        <v>45700.660416666666</v>
      </c>
      <c r="F301" t="s">
        <v>312</v>
      </c>
      <c r="G301" s="2">
        <v>923210</v>
      </c>
      <c r="H301" t="s">
        <v>29</v>
      </c>
      <c r="I301" t="s">
        <v>30</v>
      </c>
      <c r="J301" t="s">
        <v>31</v>
      </c>
      <c r="K301" s="50">
        <v>27872000</v>
      </c>
      <c r="L301" s="50">
        <v>0</v>
      </c>
      <c r="M301" s="50">
        <v>27872000</v>
      </c>
      <c r="N301" s="50">
        <v>26106773</v>
      </c>
      <c r="O301" t="s">
        <v>351</v>
      </c>
      <c r="P301">
        <v>52202874</v>
      </c>
      <c r="Q301" t="s">
        <v>1994</v>
      </c>
      <c r="R301" t="s">
        <v>316</v>
      </c>
      <c r="S301" t="s">
        <v>317</v>
      </c>
      <c r="T301" s="2">
        <v>24116968045</v>
      </c>
      <c r="U301" t="s">
        <v>319</v>
      </c>
      <c r="V301">
        <v>860007335</v>
      </c>
      <c r="W301" t="s">
        <v>381</v>
      </c>
      <c r="X301" s="2">
        <v>1925</v>
      </c>
      <c r="Y301" s="2">
        <v>1925</v>
      </c>
      <c r="Z301" s="2">
        <v>30025</v>
      </c>
      <c r="AA301">
        <v>0</v>
      </c>
      <c r="AB301">
        <v>34225</v>
      </c>
      <c r="AC301">
        <v>64602525</v>
      </c>
      <c r="AD301">
        <v>0</v>
      </c>
      <c r="AE301" s="5">
        <v>45700</v>
      </c>
      <c r="AF301" t="s">
        <v>356</v>
      </c>
      <c r="AG301" t="s">
        <v>1997</v>
      </c>
      <c r="AH301" t="s">
        <v>1998</v>
      </c>
    </row>
    <row r="302" spans="1:34" ht="15" customHeight="1" x14ac:dyDescent="0.2">
      <c r="A302" t="s">
        <v>2507</v>
      </c>
      <c r="B302" t="s">
        <v>484</v>
      </c>
      <c r="C302" s="2">
        <v>30125</v>
      </c>
      <c r="D302" s="5">
        <v>45700</v>
      </c>
      <c r="E302" s="5">
        <v>45700.725694444445</v>
      </c>
      <c r="F302" t="s">
        <v>312</v>
      </c>
      <c r="G302" s="2">
        <v>923242</v>
      </c>
      <c r="H302" t="s">
        <v>29</v>
      </c>
      <c r="I302" t="s">
        <v>30</v>
      </c>
      <c r="J302" t="s">
        <v>31</v>
      </c>
      <c r="K302" s="50">
        <v>21491064</v>
      </c>
      <c r="L302" s="50">
        <v>0</v>
      </c>
      <c r="M302" s="50">
        <v>21491064</v>
      </c>
      <c r="N302" s="50">
        <v>19978730</v>
      </c>
      <c r="O302" t="s">
        <v>351</v>
      </c>
      <c r="P302">
        <v>51890685</v>
      </c>
      <c r="Q302" t="s">
        <v>2000</v>
      </c>
      <c r="R302" t="s">
        <v>316</v>
      </c>
      <c r="S302" t="s">
        <v>317</v>
      </c>
      <c r="T302" s="2">
        <v>22140037510</v>
      </c>
      <c r="U302" t="s">
        <v>319</v>
      </c>
      <c r="V302">
        <v>890903938</v>
      </c>
      <c r="W302" t="s">
        <v>342</v>
      </c>
      <c r="X302" s="2">
        <v>3625</v>
      </c>
      <c r="Y302" s="2">
        <v>3625</v>
      </c>
      <c r="Z302" s="2">
        <v>30125</v>
      </c>
      <c r="AA302">
        <v>0</v>
      </c>
      <c r="AB302">
        <v>34325</v>
      </c>
      <c r="AC302">
        <v>64602625</v>
      </c>
      <c r="AD302">
        <v>0</v>
      </c>
      <c r="AE302" s="5">
        <v>45700</v>
      </c>
      <c r="AF302" t="s">
        <v>356</v>
      </c>
      <c r="AG302" t="s">
        <v>2003</v>
      </c>
      <c r="AH302" t="s">
        <v>2004</v>
      </c>
    </row>
    <row r="303" spans="1:34" ht="15" customHeight="1" x14ac:dyDescent="0.2">
      <c r="A303" t="s">
        <v>2508</v>
      </c>
      <c r="B303" t="s">
        <v>472</v>
      </c>
      <c r="C303" s="2">
        <v>30225</v>
      </c>
      <c r="D303" s="5">
        <v>45701</v>
      </c>
      <c r="E303" s="5">
        <v>45701.298611111109</v>
      </c>
      <c r="F303" t="s">
        <v>312</v>
      </c>
      <c r="G303" s="2">
        <v>923238</v>
      </c>
      <c r="H303" t="s">
        <v>29</v>
      </c>
      <c r="I303" t="s">
        <v>30</v>
      </c>
      <c r="J303" t="s">
        <v>31</v>
      </c>
      <c r="K303" s="50">
        <v>465641</v>
      </c>
      <c r="L303" s="50">
        <v>0</v>
      </c>
      <c r="M303" s="50">
        <v>465641</v>
      </c>
      <c r="N303" s="50">
        <v>0</v>
      </c>
      <c r="O303" t="s">
        <v>351</v>
      </c>
      <c r="P303">
        <v>80062448</v>
      </c>
      <c r="Q303" t="s">
        <v>1943</v>
      </c>
      <c r="R303" t="s">
        <v>316</v>
      </c>
      <c r="S303" t="s">
        <v>317</v>
      </c>
      <c r="T303" s="2">
        <v>570451570058300</v>
      </c>
      <c r="U303" t="s">
        <v>319</v>
      </c>
      <c r="V303">
        <v>860034313</v>
      </c>
      <c r="W303" t="s">
        <v>355</v>
      </c>
      <c r="X303" s="2">
        <v>325</v>
      </c>
      <c r="Y303" s="2">
        <v>325</v>
      </c>
      <c r="Z303" s="2">
        <v>30225</v>
      </c>
      <c r="AA303">
        <v>0</v>
      </c>
      <c r="AB303">
        <v>4825</v>
      </c>
      <c r="AC303">
        <v>47482625</v>
      </c>
      <c r="AD303">
        <v>0</v>
      </c>
      <c r="AE303" s="5">
        <v>45701</v>
      </c>
      <c r="AF303" t="s">
        <v>1929</v>
      </c>
      <c r="AG303" t="s">
        <v>2009</v>
      </c>
      <c r="AH303" t="s">
        <v>2010</v>
      </c>
    </row>
    <row r="304" spans="1:34" ht="15" customHeight="1" x14ac:dyDescent="0.2">
      <c r="A304" t="s">
        <v>2509</v>
      </c>
      <c r="B304" t="s">
        <v>477</v>
      </c>
      <c r="C304" s="2">
        <v>30325</v>
      </c>
      <c r="D304" s="5">
        <v>45701</v>
      </c>
      <c r="E304" s="5">
        <v>45701.302777777775</v>
      </c>
      <c r="F304" t="s">
        <v>312</v>
      </c>
      <c r="G304" s="2">
        <v>923210</v>
      </c>
      <c r="H304" t="s">
        <v>29</v>
      </c>
      <c r="I304" t="s">
        <v>30</v>
      </c>
      <c r="J304" t="s">
        <v>31</v>
      </c>
      <c r="K304" s="50">
        <v>35200</v>
      </c>
      <c r="L304" s="50">
        <v>0</v>
      </c>
      <c r="M304" s="50">
        <v>35200</v>
      </c>
      <c r="N304" s="50">
        <v>0</v>
      </c>
      <c r="O304" t="s">
        <v>351</v>
      </c>
      <c r="P304">
        <v>79661139</v>
      </c>
      <c r="Q304" t="s">
        <v>1871</v>
      </c>
      <c r="R304" t="s">
        <v>316</v>
      </c>
      <c r="S304" t="s">
        <v>317</v>
      </c>
      <c r="T304" s="2">
        <v>4400141166</v>
      </c>
      <c r="U304" t="s">
        <v>319</v>
      </c>
      <c r="V304">
        <v>860034313</v>
      </c>
      <c r="W304" t="s">
        <v>355</v>
      </c>
      <c r="X304" s="2">
        <v>1625</v>
      </c>
      <c r="Y304" s="2">
        <v>1625</v>
      </c>
      <c r="Z304" s="2">
        <v>30325</v>
      </c>
      <c r="AA304">
        <v>0</v>
      </c>
      <c r="AB304">
        <v>4925</v>
      </c>
      <c r="AC304">
        <v>47482825</v>
      </c>
      <c r="AD304">
        <v>0</v>
      </c>
      <c r="AE304" s="5">
        <v>45701</v>
      </c>
      <c r="AF304" t="s">
        <v>1929</v>
      </c>
      <c r="AG304" t="s">
        <v>2014</v>
      </c>
      <c r="AH304" t="s">
        <v>2015</v>
      </c>
    </row>
    <row r="305" spans="1:34" ht="15" customHeight="1" x14ac:dyDescent="0.2">
      <c r="A305" t="s">
        <v>2510</v>
      </c>
      <c r="B305" t="s">
        <v>477</v>
      </c>
      <c r="C305" s="2">
        <v>30425</v>
      </c>
      <c r="D305" s="5">
        <v>45702</v>
      </c>
      <c r="E305" s="5">
        <v>45702.325694444444</v>
      </c>
      <c r="F305" t="s">
        <v>312</v>
      </c>
      <c r="G305" s="2">
        <v>923210</v>
      </c>
      <c r="H305" t="s">
        <v>29</v>
      </c>
      <c r="I305" t="s">
        <v>30</v>
      </c>
      <c r="J305" t="s">
        <v>31</v>
      </c>
      <c r="K305" s="50">
        <v>136200</v>
      </c>
      <c r="L305" s="50">
        <v>0</v>
      </c>
      <c r="M305" s="50">
        <v>136200</v>
      </c>
      <c r="N305" s="50">
        <v>0</v>
      </c>
      <c r="O305" t="s">
        <v>351</v>
      </c>
      <c r="P305">
        <v>79661139</v>
      </c>
      <c r="Q305" t="s">
        <v>1871</v>
      </c>
      <c r="R305" t="s">
        <v>316</v>
      </c>
      <c r="S305" t="s">
        <v>317</v>
      </c>
      <c r="T305" s="2">
        <v>4400141166</v>
      </c>
      <c r="U305" t="s">
        <v>319</v>
      </c>
      <c r="V305">
        <v>860034313</v>
      </c>
      <c r="W305" t="s">
        <v>355</v>
      </c>
      <c r="X305" s="2">
        <v>1625</v>
      </c>
      <c r="Y305" s="2">
        <v>1625</v>
      </c>
      <c r="Z305" s="2">
        <v>30425</v>
      </c>
      <c r="AA305">
        <v>0</v>
      </c>
      <c r="AB305">
        <v>5025</v>
      </c>
      <c r="AC305">
        <v>47483125</v>
      </c>
      <c r="AD305">
        <v>0</v>
      </c>
      <c r="AE305" s="5">
        <v>45702</v>
      </c>
      <c r="AF305" t="s">
        <v>1929</v>
      </c>
      <c r="AG305" t="s">
        <v>2020</v>
      </c>
      <c r="AH305" t="s">
        <v>2021</v>
      </c>
    </row>
    <row r="306" spans="1:34" ht="15" customHeight="1" x14ac:dyDescent="0.2">
      <c r="A306" t="s">
        <v>2231</v>
      </c>
      <c r="B306" t="s">
        <v>476</v>
      </c>
      <c r="C306" s="2">
        <v>30525</v>
      </c>
      <c r="D306" s="5">
        <v>45702</v>
      </c>
      <c r="E306" s="5">
        <v>45702.413888888892</v>
      </c>
      <c r="F306" t="s">
        <v>312</v>
      </c>
      <c r="G306" s="2">
        <v>923210</v>
      </c>
      <c r="H306" t="s">
        <v>29</v>
      </c>
      <c r="I306" t="s">
        <v>30</v>
      </c>
      <c r="J306" t="s">
        <v>47</v>
      </c>
      <c r="K306" s="50">
        <v>2112083</v>
      </c>
      <c r="L306" s="50">
        <v>0</v>
      </c>
      <c r="M306" s="50">
        <v>2112083</v>
      </c>
      <c r="N306" s="50">
        <v>0</v>
      </c>
      <c r="O306" t="s">
        <v>314</v>
      </c>
      <c r="P306">
        <v>860063875</v>
      </c>
      <c r="Q306" t="s">
        <v>315</v>
      </c>
      <c r="R306" t="s">
        <v>316</v>
      </c>
      <c r="S306" t="s">
        <v>317</v>
      </c>
      <c r="T306" s="2">
        <v>90060000410</v>
      </c>
      <c r="U306" t="s">
        <v>319</v>
      </c>
      <c r="V306">
        <v>860050750</v>
      </c>
      <c r="W306" t="s">
        <v>321</v>
      </c>
      <c r="X306" s="2">
        <v>1225</v>
      </c>
      <c r="Y306" s="2">
        <v>1225</v>
      </c>
      <c r="Z306" s="2">
        <v>30525</v>
      </c>
      <c r="AA306">
        <v>3525</v>
      </c>
      <c r="AB306">
        <v>2325</v>
      </c>
      <c r="AC306" t="s">
        <v>3950</v>
      </c>
      <c r="AD306">
        <v>0</v>
      </c>
      <c r="AE306" s="5">
        <v>45702</v>
      </c>
      <c r="AF306" t="s">
        <v>323</v>
      </c>
      <c r="AG306">
        <v>15883496</v>
      </c>
      <c r="AH306" t="s">
        <v>2026</v>
      </c>
    </row>
    <row r="307" spans="1:34" ht="15" customHeight="1" x14ac:dyDescent="0.2">
      <c r="A307" t="s">
        <v>2232</v>
      </c>
      <c r="B307" t="s">
        <v>476</v>
      </c>
      <c r="C307" s="2">
        <v>30625</v>
      </c>
      <c r="D307" s="5">
        <v>45702</v>
      </c>
      <c r="E307" s="5">
        <v>45702.421527777777</v>
      </c>
      <c r="F307" t="s">
        <v>312</v>
      </c>
      <c r="G307" s="2">
        <v>923210</v>
      </c>
      <c r="H307" t="s">
        <v>29</v>
      </c>
      <c r="I307" t="s">
        <v>30</v>
      </c>
      <c r="J307" t="s">
        <v>47</v>
      </c>
      <c r="K307" s="50">
        <v>1452220</v>
      </c>
      <c r="L307" s="50">
        <v>0</v>
      </c>
      <c r="M307" s="50">
        <v>1452220</v>
      </c>
      <c r="N307" s="50">
        <v>0</v>
      </c>
      <c r="O307" t="s">
        <v>314</v>
      </c>
      <c r="P307">
        <v>899999115</v>
      </c>
      <c r="Q307" t="s">
        <v>327</v>
      </c>
      <c r="R307" t="s">
        <v>316</v>
      </c>
      <c r="S307" t="s">
        <v>328</v>
      </c>
      <c r="T307" s="2">
        <v>20936509</v>
      </c>
      <c r="U307" t="s">
        <v>319</v>
      </c>
      <c r="V307">
        <v>860051135</v>
      </c>
      <c r="W307" t="s">
        <v>331</v>
      </c>
      <c r="X307" s="2">
        <v>1225</v>
      </c>
      <c r="Y307" s="2">
        <v>1225</v>
      </c>
      <c r="Z307" s="2">
        <v>30625</v>
      </c>
      <c r="AA307" t="s">
        <v>2029</v>
      </c>
      <c r="AB307" t="s">
        <v>2030</v>
      </c>
      <c r="AC307" t="s">
        <v>2031</v>
      </c>
      <c r="AD307">
        <v>0</v>
      </c>
      <c r="AE307" s="5">
        <v>45702</v>
      </c>
      <c r="AF307" t="s">
        <v>323</v>
      </c>
      <c r="AG307" t="s">
        <v>2032</v>
      </c>
      <c r="AH307" t="s">
        <v>2033</v>
      </c>
    </row>
    <row r="308" spans="1:34" ht="15" customHeight="1" x14ac:dyDescent="0.2">
      <c r="A308" t="s">
        <v>2511</v>
      </c>
      <c r="B308" t="s">
        <v>477</v>
      </c>
      <c r="C308" s="2">
        <v>30725</v>
      </c>
      <c r="D308" s="5">
        <v>45705</v>
      </c>
      <c r="E308" s="5">
        <v>45705.474305555559</v>
      </c>
      <c r="F308" t="s">
        <v>312</v>
      </c>
      <c r="G308" s="2">
        <v>923210</v>
      </c>
      <c r="H308" t="s">
        <v>29</v>
      </c>
      <c r="I308" t="s">
        <v>30</v>
      </c>
      <c r="J308" t="s">
        <v>31</v>
      </c>
      <c r="K308" s="50">
        <v>222632</v>
      </c>
      <c r="L308" s="50">
        <v>0</v>
      </c>
      <c r="M308" s="50">
        <v>222632</v>
      </c>
      <c r="N308" s="50">
        <v>0</v>
      </c>
      <c r="O308" t="s">
        <v>351</v>
      </c>
      <c r="P308">
        <v>11315001</v>
      </c>
      <c r="Q308" t="s">
        <v>2037</v>
      </c>
      <c r="R308" t="s">
        <v>316</v>
      </c>
      <c r="S308" t="s">
        <v>317</v>
      </c>
      <c r="T308" s="2">
        <v>20505880851</v>
      </c>
      <c r="U308" t="s">
        <v>319</v>
      </c>
      <c r="V308">
        <v>890903938</v>
      </c>
      <c r="W308" t="s">
        <v>342</v>
      </c>
      <c r="X308" s="2">
        <v>1625</v>
      </c>
      <c r="Y308" s="2">
        <v>1625</v>
      </c>
      <c r="Z308" s="2">
        <v>30725</v>
      </c>
      <c r="AA308">
        <v>0</v>
      </c>
      <c r="AB308">
        <v>5125</v>
      </c>
      <c r="AC308">
        <v>47483225</v>
      </c>
      <c r="AD308">
        <v>0</v>
      </c>
      <c r="AE308" s="5">
        <v>45705</v>
      </c>
      <c r="AF308" t="s">
        <v>1929</v>
      </c>
      <c r="AG308" t="s">
        <v>2040</v>
      </c>
      <c r="AH308" t="s">
        <v>2041</v>
      </c>
    </row>
    <row r="309" spans="1:34" ht="15" customHeight="1" x14ac:dyDescent="0.2">
      <c r="A309" t="s">
        <v>2512</v>
      </c>
      <c r="B309" t="s">
        <v>482</v>
      </c>
      <c r="C309" s="2">
        <v>30825</v>
      </c>
      <c r="D309" s="5">
        <v>45705</v>
      </c>
      <c r="E309" s="5">
        <v>45705.477777777778</v>
      </c>
      <c r="F309" t="s">
        <v>312</v>
      </c>
      <c r="G309" s="2">
        <v>923228</v>
      </c>
      <c r="H309" t="s">
        <v>159</v>
      </c>
      <c r="I309" t="s">
        <v>160</v>
      </c>
      <c r="J309" t="s">
        <v>31</v>
      </c>
      <c r="K309" s="50">
        <v>354493</v>
      </c>
      <c r="L309" s="50">
        <v>0</v>
      </c>
      <c r="M309" s="50">
        <v>354493</v>
      </c>
      <c r="N309" s="50">
        <v>0</v>
      </c>
      <c r="O309" t="s">
        <v>351</v>
      </c>
      <c r="P309">
        <v>40783907</v>
      </c>
      <c r="Q309" t="s">
        <v>2044</v>
      </c>
      <c r="R309" t="s">
        <v>316</v>
      </c>
      <c r="S309" t="s">
        <v>317</v>
      </c>
      <c r="T309" s="2">
        <v>378001057</v>
      </c>
      <c r="U309" t="s">
        <v>319</v>
      </c>
      <c r="V309">
        <v>860003020</v>
      </c>
      <c r="W309" t="s">
        <v>393</v>
      </c>
      <c r="X309" s="2">
        <v>3425</v>
      </c>
      <c r="Y309" s="2">
        <v>3425</v>
      </c>
      <c r="Z309" s="2">
        <v>30825</v>
      </c>
      <c r="AA309">
        <v>0</v>
      </c>
      <c r="AB309">
        <v>5225</v>
      </c>
      <c r="AC309">
        <v>47483325</v>
      </c>
      <c r="AD309">
        <v>0</v>
      </c>
      <c r="AE309" s="5">
        <v>45705</v>
      </c>
      <c r="AF309" t="s">
        <v>1929</v>
      </c>
      <c r="AG309" t="s">
        <v>2046</v>
      </c>
      <c r="AH309" t="s">
        <v>2047</v>
      </c>
    </row>
    <row r="310" spans="1:34" ht="15" customHeight="1" x14ac:dyDescent="0.2">
      <c r="A310" t="s">
        <v>2513</v>
      </c>
      <c r="B310" t="s">
        <v>484</v>
      </c>
      <c r="C310" s="2">
        <v>30925</v>
      </c>
      <c r="D310" s="5">
        <v>45705</v>
      </c>
      <c r="E310" s="5">
        <v>45705.513888888891</v>
      </c>
      <c r="F310" t="s">
        <v>312</v>
      </c>
      <c r="G310" s="2">
        <v>923242</v>
      </c>
      <c r="H310" t="s">
        <v>29</v>
      </c>
      <c r="I310" t="s">
        <v>30</v>
      </c>
      <c r="J310" t="s">
        <v>31</v>
      </c>
      <c r="K310" s="50">
        <v>37803940</v>
      </c>
      <c r="L310" s="50">
        <v>0</v>
      </c>
      <c r="M310" s="50">
        <v>37803940</v>
      </c>
      <c r="N310" s="50">
        <v>36039756</v>
      </c>
      <c r="O310" t="s">
        <v>351</v>
      </c>
      <c r="P310">
        <v>1073698639</v>
      </c>
      <c r="Q310" t="s">
        <v>2049</v>
      </c>
      <c r="R310" t="s">
        <v>316</v>
      </c>
      <c r="S310" t="s">
        <v>317</v>
      </c>
      <c r="T310" s="2">
        <v>24113487927</v>
      </c>
      <c r="U310" t="s">
        <v>319</v>
      </c>
      <c r="V310">
        <v>860007335</v>
      </c>
      <c r="W310" t="s">
        <v>381</v>
      </c>
      <c r="X310" s="2">
        <v>3625</v>
      </c>
      <c r="Y310" s="2">
        <v>3625</v>
      </c>
      <c r="Z310" s="2">
        <v>30925</v>
      </c>
      <c r="AA310">
        <v>0</v>
      </c>
      <c r="AB310">
        <v>34425</v>
      </c>
      <c r="AC310">
        <v>64602725</v>
      </c>
      <c r="AD310">
        <v>0</v>
      </c>
      <c r="AE310" s="5">
        <v>45705</v>
      </c>
      <c r="AF310" t="s">
        <v>356</v>
      </c>
      <c r="AG310" t="s">
        <v>2052</v>
      </c>
      <c r="AH310" t="s">
        <v>1910</v>
      </c>
    </row>
    <row r="311" spans="1:34" ht="15" customHeight="1" x14ac:dyDescent="0.2">
      <c r="A311" t="s">
        <v>2514</v>
      </c>
      <c r="B311" t="s">
        <v>484</v>
      </c>
      <c r="C311" s="2">
        <v>31025</v>
      </c>
      <c r="D311" s="5">
        <v>45705</v>
      </c>
      <c r="E311" s="5">
        <v>45705.536805555559</v>
      </c>
      <c r="F311" t="s">
        <v>27</v>
      </c>
      <c r="G311" s="2">
        <v>923242</v>
      </c>
      <c r="H311" t="s">
        <v>29</v>
      </c>
      <c r="I311" t="s">
        <v>30</v>
      </c>
      <c r="J311" t="s">
        <v>31</v>
      </c>
      <c r="K311" s="50">
        <v>37803940</v>
      </c>
      <c r="L311" s="50">
        <v>-36543809</v>
      </c>
      <c r="M311" s="50">
        <v>1260131</v>
      </c>
      <c r="N311" s="50">
        <v>1260131</v>
      </c>
      <c r="O311" t="s">
        <v>351</v>
      </c>
      <c r="P311">
        <v>1070623987</v>
      </c>
      <c r="Q311" t="s">
        <v>2054</v>
      </c>
      <c r="R311" t="s">
        <v>316</v>
      </c>
      <c r="S311" t="s">
        <v>317</v>
      </c>
      <c r="T311" s="2">
        <v>24118937427</v>
      </c>
      <c r="U311" t="s">
        <v>319</v>
      </c>
      <c r="V311">
        <v>860007335</v>
      </c>
      <c r="W311" t="s">
        <v>381</v>
      </c>
      <c r="X311" s="2">
        <v>3625</v>
      </c>
      <c r="Y311" s="2">
        <v>3625</v>
      </c>
      <c r="Z311" s="2">
        <v>31025</v>
      </c>
      <c r="AA311">
        <v>0</v>
      </c>
      <c r="AB311">
        <v>0</v>
      </c>
      <c r="AC311">
        <v>0</v>
      </c>
      <c r="AD311">
        <v>0</v>
      </c>
      <c r="AE311" s="5">
        <v>45705</v>
      </c>
      <c r="AF311" t="s">
        <v>356</v>
      </c>
      <c r="AG311" t="s">
        <v>2057</v>
      </c>
      <c r="AH311" t="s">
        <v>1910</v>
      </c>
    </row>
    <row r="312" spans="1:34" ht="15" customHeight="1" x14ac:dyDescent="0.2">
      <c r="A312" t="s">
        <v>2515</v>
      </c>
      <c r="B312" t="s">
        <v>484</v>
      </c>
      <c r="C312" s="2">
        <v>31125</v>
      </c>
      <c r="D312" s="5">
        <v>45705</v>
      </c>
      <c r="E312" s="5">
        <v>45705.56527777778</v>
      </c>
      <c r="F312" t="s">
        <v>312</v>
      </c>
      <c r="G312" s="2">
        <v>923242</v>
      </c>
      <c r="H312" t="s">
        <v>29</v>
      </c>
      <c r="I312" t="s">
        <v>30</v>
      </c>
      <c r="J312" t="s">
        <v>31</v>
      </c>
      <c r="K312" s="50">
        <v>38359110</v>
      </c>
      <c r="L312" s="50">
        <v>0</v>
      </c>
      <c r="M312" s="50">
        <v>38359110</v>
      </c>
      <c r="N312" s="50">
        <v>36569018</v>
      </c>
      <c r="O312" t="s">
        <v>351</v>
      </c>
      <c r="P312">
        <v>1024466962</v>
      </c>
      <c r="Q312" t="s">
        <v>2059</v>
      </c>
      <c r="R312" t="s">
        <v>316</v>
      </c>
      <c r="S312" t="s">
        <v>317</v>
      </c>
      <c r="T312" s="2">
        <v>24055278715</v>
      </c>
      <c r="U312" t="s">
        <v>319</v>
      </c>
      <c r="V312">
        <v>860007335</v>
      </c>
      <c r="W312" t="s">
        <v>381</v>
      </c>
      <c r="X312" s="2">
        <v>3625</v>
      </c>
      <c r="Y312" s="2">
        <v>3625</v>
      </c>
      <c r="Z312" s="2">
        <v>31125</v>
      </c>
      <c r="AA312">
        <v>0</v>
      </c>
      <c r="AB312">
        <v>34525</v>
      </c>
      <c r="AC312">
        <v>64602825</v>
      </c>
      <c r="AD312">
        <v>0</v>
      </c>
      <c r="AE312" s="5">
        <v>45705</v>
      </c>
      <c r="AF312" t="s">
        <v>356</v>
      </c>
      <c r="AG312" t="s">
        <v>2062</v>
      </c>
      <c r="AH312" t="s">
        <v>2063</v>
      </c>
    </row>
    <row r="313" spans="1:34" ht="15" customHeight="1" x14ac:dyDescent="0.2">
      <c r="A313" t="s">
        <v>2516</v>
      </c>
      <c r="B313" t="s">
        <v>481</v>
      </c>
      <c r="C313" s="2">
        <v>31225</v>
      </c>
      <c r="D313" s="5">
        <v>45705</v>
      </c>
      <c r="E313" s="5">
        <v>45705.585416666669</v>
      </c>
      <c r="F313" t="s">
        <v>312</v>
      </c>
      <c r="G313" s="2">
        <v>923228</v>
      </c>
      <c r="H313" t="s">
        <v>159</v>
      </c>
      <c r="I313" t="s">
        <v>160</v>
      </c>
      <c r="J313" t="s">
        <v>31</v>
      </c>
      <c r="K313" s="50">
        <v>49045333</v>
      </c>
      <c r="L313" s="50">
        <v>0</v>
      </c>
      <c r="M313" s="50">
        <v>49045333</v>
      </c>
      <c r="N313" s="50">
        <v>46786666</v>
      </c>
      <c r="O313" t="s">
        <v>351</v>
      </c>
      <c r="P313">
        <v>1022371659</v>
      </c>
      <c r="Q313" t="s">
        <v>2065</v>
      </c>
      <c r="R313" t="s">
        <v>316</v>
      </c>
      <c r="S313" t="s">
        <v>317</v>
      </c>
      <c r="T313" s="2">
        <v>1900270156</v>
      </c>
      <c r="U313" t="s">
        <v>319</v>
      </c>
      <c r="V313">
        <v>860034313</v>
      </c>
      <c r="W313" t="s">
        <v>355</v>
      </c>
      <c r="X313" s="2">
        <v>3325</v>
      </c>
      <c r="Y313" s="2">
        <v>3325</v>
      </c>
      <c r="Z313" s="2">
        <v>31225</v>
      </c>
      <c r="AA313">
        <v>0</v>
      </c>
      <c r="AB313">
        <v>34625</v>
      </c>
      <c r="AC313">
        <v>64602925</v>
      </c>
      <c r="AD313">
        <v>0</v>
      </c>
      <c r="AE313" s="5">
        <v>45705</v>
      </c>
      <c r="AF313" t="s">
        <v>356</v>
      </c>
      <c r="AG313" t="s">
        <v>2068</v>
      </c>
      <c r="AH313" t="s">
        <v>2069</v>
      </c>
    </row>
    <row r="314" spans="1:34" ht="15" customHeight="1" x14ac:dyDescent="0.2">
      <c r="A314" t="s">
        <v>2517</v>
      </c>
      <c r="B314" t="s">
        <v>481</v>
      </c>
      <c r="C314" s="2">
        <v>31325</v>
      </c>
      <c r="D314" s="5">
        <v>45705</v>
      </c>
      <c r="E314" s="5">
        <v>45705.592361111114</v>
      </c>
      <c r="F314" t="s">
        <v>312</v>
      </c>
      <c r="G314" s="2">
        <v>923228</v>
      </c>
      <c r="H314" t="s">
        <v>159</v>
      </c>
      <c r="I314" t="s">
        <v>160</v>
      </c>
      <c r="J314" t="s">
        <v>31</v>
      </c>
      <c r="K314" s="50">
        <v>49045333</v>
      </c>
      <c r="L314" s="50">
        <v>0</v>
      </c>
      <c r="M314" s="50">
        <v>49045333</v>
      </c>
      <c r="N314" s="50">
        <v>46786666</v>
      </c>
      <c r="O314" t="s">
        <v>351</v>
      </c>
      <c r="P314">
        <v>79822903</v>
      </c>
      <c r="Q314" t="s">
        <v>2071</v>
      </c>
      <c r="R314" t="s">
        <v>316</v>
      </c>
      <c r="S314" t="s">
        <v>317</v>
      </c>
      <c r="T314" s="2">
        <v>8480273344</v>
      </c>
      <c r="U314" t="s">
        <v>319</v>
      </c>
      <c r="V314">
        <v>860034313</v>
      </c>
      <c r="W314" t="s">
        <v>355</v>
      </c>
      <c r="X314" s="2">
        <v>3325</v>
      </c>
      <c r="Y314" s="2">
        <v>3325</v>
      </c>
      <c r="Z314" s="2">
        <v>31325</v>
      </c>
      <c r="AA314">
        <v>0</v>
      </c>
      <c r="AB314">
        <v>34725</v>
      </c>
      <c r="AC314">
        <v>64603025</v>
      </c>
      <c r="AD314">
        <v>0</v>
      </c>
      <c r="AE314" s="5">
        <v>45705</v>
      </c>
      <c r="AF314" t="s">
        <v>356</v>
      </c>
      <c r="AG314" t="s">
        <v>2074</v>
      </c>
      <c r="AH314" t="s">
        <v>2069</v>
      </c>
    </row>
    <row r="315" spans="1:34" ht="15" customHeight="1" x14ac:dyDescent="0.2">
      <c r="A315" t="s">
        <v>2518</v>
      </c>
      <c r="B315" t="s">
        <v>481</v>
      </c>
      <c r="C315" s="2">
        <v>31425</v>
      </c>
      <c r="D315" s="5">
        <v>45705</v>
      </c>
      <c r="E315" s="5">
        <v>45705.630555555559</v>
      </c>
      <c r="F315" t="s">
        <v>312</v>
      </c>
      <c r="G315" s="2">
        <v>923228</v>
      </c>
      <c r="H315" t="s">
        <v>159</v>
      </c>
      <c r="I315" t="s">
        <v>160</v>
      </c>
      <c r="J315" t="s">
        <v>31</v>
      </c>
      <c r="K315" s="50">
        <v>49045333</v>
      </c>
      <c r="L315" s="50">
        <v>0</v>
      </c>
      <c r="M315" s="50">
        <v>49045333</v>
      </c>
      <c r="N315" s="50">
        <v>46786666</v>
      </c>
      <c r="O315" t="s">
        <v>351</v>
      </c>
      <c r="P315">
        <v>3171437</v>
      </c>
      <c r="Q315" t="s">
        <v>2076</v>
      </c>
      <c r="R315" t="s">
        <v>316</v>
      </c>
      <c r="S315" t="s">
        <v>317</v>
      </c>
      <c r="T315" s="2">
        <v>378001287</v>
      </c>
      <c r="U315" t="s">
        <v>319</v>
      </c>
      <c r="V315">
        <v>860003020</v>
      </c>
      <c r="W315" t="s">
        <v>393</v>
      </c>
      <c r="X315" s="2">
        <v>3325</v>
      </c>
      <c r="Y315" s="2">
        <v>3325</v>
      </c>
      <c r="Z315" s="2">
        <v>31425</v>
      </c>
      <c r="AA315">
        <v>0</v>
      </c>
      <c r="AB315">
        <v>34825</v>
      </c>
      <c r="AC315">
        <v>64603125</v>
      </c>
      <c r="AD315">
        <v>0</v>
      </c>
      <c r="AE315" s="5">
        <v>45705</v>
      </c>
      <c r="AF315" t="s">
        <v>356</v>
      </c>
      <c r="AG315" t="s">
        <v>2079</v>
      </c>
      <c r="AH315" t="s">
        <v>2069</v>
      </c>
    </row>
    <row r="316" spans="1:34" ht="15" customHeight="1" x14ac:dyDescent="0.2">
      <c r="A316" t="s">
        <v>2519</v>
      </c>
      <c r="B316" t="s">
        <v>481</v>
      </c>
      <c r="C316" s="2">
        <v>31525</v>
      </c>
      <c r="D316" s="5">
        <v>45705</v>
      </c>
      <c r="E316" s="5">
        <v>45705.638888888891</v>
      </c>
      <c r="F316" t="s">
        <v>312</v>
      </c>
      <c r="G316" s="2">
        <v>923228</v>
      </c>
      <c r="H316" t="s">
        <v>159</v>
      </c>
      <c r="I316" t="s">
        <v>160</v>
      </c>
      <c r="J316" t="s">
        <v>31</v>
      </c>
      <c r="K316" s="50">
        <v>49045333</v>
      </c>
      <c r="L316" s="50">
        <v>0</v>
      </c>
      <c r="M316" s="50">
        <v>49045333</v>
      </c>
      <c r="N316" s="50">
        <v>46786666</v>
      </c>
      <c r="O316" t="s">
        <v>351</v>
      </c>
      <c r="P316">
        <v>17973156</v>
      </c>
      <c r="Q316" t="s">
        <v>2081</v>
      </c>
      <c r="R316" t="s">
        <v>316</v>
      </c>
      <c r="S316" t="s">
        <v>317</v>
      </c>
      <c r="T316" s="2">
        <v>256800051037</v>
      </c>
      <c r="U316" t="s">
        <v>319</v>
      </c>
      <c r="V316">
        <v>860034313</v>
      </c>
      <c r="W316" t="s">
        <v>355</v>
      </c>
      <c r="X316" s="2">
        <v>3325</v>
      </c>
      <c r="Y316" s="2">
        <v>3325</v>
      </c>
      <c r="Z316" s="2">
        <v>31525</v>
      </c>
      <c r="AA316">
        <v>0</v>
      </c>
      <c r="AB316">
        <v>34925</v>
      </c>
      <c r="AC316">
        <v>64603225</v>
      </c>
      <c r="AD316">
        <v>0</v>
      </c>
      <c r="AE316" s="5">
        <v>45705</v>
      </c>
      <c r="AF316" t="s">
        <v>356</v>
      </c>
      <c r="AG316" t="s">
        <v>2084</v>
      </c>
      <c r="AH316" t="s">
        <v>2069</v>
      </c>
    </row>
    <row r="317" spans="1:34" ht="15" customHeight="1" x14ac:dyDescent="0.2">
      <c r="A317" t="s">
        <v>2520</v>
      </c>
      <c r="B317" t="s">
        <v>478</v>
      </c>
      <c r="C317" s="2">
        <v>31625</v>
      </c>
      <c r="D317" s="5">
        <v>45705</v>
      </c>
      <c r="E317" s="5">
        <v>45705.659722222219</v>
      </c>
      <c r="F317" t="s">
        <v>312</v>
      </c>
      <c r="G317" s="2">
        <v>923210</v>
      </c>
      <c r="H317" t="s">
        <v>29</v>
      </c>
      <c r="I317" t="s">
        <v>30</v>
      </c>
      <c r="J317" t="s">
        <v>31</v>
      </c>
      <c r="K317" s="50">
        <v>26208000</v>
      </c>
      <c r="L317" s="50">
        <v>0</v>
      </c>
      <c r="M317" s="50">
        <v>26208000</v>
      </c>
      <c r="N317" s="50">
        <v>24793600</v>
      </c>
      <c r="O317" t="s">
        <v>351</v>
      </c>
      <c r="P317">
        <v>1010209964</v>
      </c>
      <c r="Q317" t="s">
        <v>2086</v>
      </c>
      <c r="R317" t="s">
        <v>316</v>
      </c>
      <c r="S317" t="s">
        <v>317</v>
      </c>
      <c r="T317" s="2">
        <v>22118601134</v>
      </c>
      <c r="U317" t="s">
        <v>319</v>
      </c>
      <c r="V317">
        <v>890903938</v>
      </c>
      <c r="W317" t="s">
        <v>342</v>
      </c>
      <c r="X317" s="2">
        <v>1925</v>
      </c>
      <c r="Y317" s="2">
        <v>1925</v>
      </c>
      <c r="Z317" s="2">
        <v>31625</v>
      </c>
      <c r="AA317">
        <v>0</v>
      </c>
      <c r="AB317">
        <v>35025</v>
      </c>
      <c r="AC317">
        <v>64603325</v>
      </c>
      <c r="AD317">
        <v>0</v>
      </c>
      <c r="AE317" s="5">
        <v>45705</v>
      </c>
      <c r="AF317" t="s">
        <v>356</v>
      </c>
      <c r="AG317" t="s">
        <v>2089</v>
      </c>
      <c r="AH317" t="s">
        <v>2090</v>
      </c>
    </row>
    <row r="318" spans="1:34" ht="15" customHeight="1" x14ac:dyDescent="0.2">
      <c r="A318" t="s">
        <v>2521</v>
      </c>
      <c r="B318" t="s">
        <v>481</v>
      </c>
      <c r="C318" s="2">
        <v>31725</v>
      </c>
      <c r="D318" s="5">
        <v>45705</v>
      </c>
      <c r="E318" s="5">
        <v>45705.671527777777</v>
      </c>
      <c r="F318" t="s">
        <v>312</v>
      </c>
      <c r="G318" s="2">
        <v>923228</v>
      </c>
      <c r="H318" t="s">
        <v>159</v>
      </c>
      <c r="I318" t="s">
        <v>160</v>
      </c>
      <c r="J318" t="s">
        <v>31</v>
      </c>
      <c r="K318" s="50">
        <v>49045333</v>
      </c>
      <c r="L318" s="50">
        <v>0</v>
      </c>
      <c r="M318" s="50">
        <v>49045333</v>
      </c>
      <c r="N318" s="50">
        <v>46786666</v>
      </c>
      <c r="O318" t="s">
        <v>351</v>
      </c>
      <c r="P318">
        <v>1032446718</v>
      </c>
      <c r="Q318" t="s">
        <v>2092</v>
      </c>
      <c r="R318" t="s">
        <v>316</v>
      </c>
      <c r="S318" t="s">
        <v>317</v>
      </c>
      <c r="T318" s="2">
        <v>19287282861</v>
      </c>
      <c r="U318" t="s">
        <v>319</v>
      </c>
      <c r="V318">
        <v>890903938</v>
      </c>
      <c r="W318" t="s">
        <v>342</v>
      </c>
      <c r="X318" s="2">
        <v>3325</v>
      </c>
      <c r="Y318" s="2">
        <v>3325</v>
      </c>
      <c r="Z318" s="2">
        <v>31725</v>
      </c>
      <c r="AA318">
        <v>0</v>
      </c>
      <c r="AB318">
        <v>35125</v>
      </c>
      <c r="AC318">
        <v>64603425</v>
      </c>
      <c r="AD318">
        <v>0</v>
      </c>
      <c r="AE318" s="5">
        <v>45705</v>
      </c>
      <c r="AF318" t="s">
        <v>356</v>
      </c>
      <c r="AG318" t="s">
        <v>2095</v>
      </c>
      <c r="AH318" t="s">
        <v>2069</v>
      </c>
    </row>
    <row r="319" spans="1:34" ht="15" customHeight="1" x14ac:dyDescent="0.2">
      <c r="A319" t="s">
        <v>2522</v>
      </c>
      <c r="B319" t="s">
        <v>481</v>
      </c>
      <c r="C319" s="2">
        <v>31825</v>
      </c>
      <c r="D319" s="5">
        <v>45705</v>
      </c>
      <c r="E319" s="5">
        <v>45705.942361111112</v>
      </c>
      <c r="F319" t="s">
        <v>312</v>
      </c>
      <c r="G319" s="2">
        <v>923228</v>
      </c>
      <c r="H319" t="s">
        <v>159</v>
      </c>
      <c r="I319" t="s">
        <v>160</v>
      </c>
      <c r="J319" t="s">
        <v>31</v>
      </c>
      <c r="K319" s="50">
        <v>34538393</v>
      </c>
      <c r="L319" s="50">
        <v>0</v>
      </c>
      <c r="M319" s="50">
        <v>34538393</v>
      </c>
      <c r="N319" s="50">
        <v>32947809</v>
      </c>
      <c r="O319" t="s">
        <v>351</v>
      </c>
      <c r="P319">
        <v>79324276</v>
      </c>
      <c r="Q319" t="s">
        <v>2097</v>
      </c>
      <c r="R319" t="s">
        <v>316</v>
      </c>
      <c r="S319" t="s">
        <v>317</v>
      </c>
      <c r="T319" s="2">
        <v>24745808464</v>
      </c>
      <c r="U319" t="s">
        <v>319</v>
      </c>
      <c r="V319">
        <v>890903938</v>
      </c>
      <c r="W319" t="s">
        <v>342</v>
      </c>
      <c r="X319" s="2">
        <v>3325</v>
      </c>
      <c r="Y319" s="2">
        <v>3325</v>
      </c>
      <c r="Z319" s="2">
        <v>31825</v>
      </c>
      <c r="AA319">
        <v>0</v>
      </c>
      <c r="AB319">
        <v>35225</v>
      </c>
      <c r="AC319">
        <v>64603525</v>
      </c>
      <c r="AD319">
        <v>0</v>
      </c>
      <c r="AE319" s="5">
        <v>45705</v>
      </c>
      <c r="AF319" t="s">
        <v>356</v>
      </c>
      <c r="AG319" t="s">
        <v>2100</v>
      </c>
      <c r="AH319" t="s">
        <v>2101</v>
      </c>
    </row>
    <row r="320" spans="1:34" ht="15" customHeight="1" x14ac:dyDescent="0.2">
      <c r="A320" t="s">
        <v>2523</v>
      </c>
      <c r="B320" t="s">
        <v>484</v>
      </c>
      <c r="C320" s="2">
        <v>31925</v>
      </c>
      <c r="D320" s="5">
        <v>45705</v>
      </c>
      <c r="E320" s="5">
        <v>45705.950694444444</v>
      </c>
      <c r="F320" t="s">
        <v>312</v>
      </c>
      <c r="G320" s="2">
        <v>923242</v>
      </c>
      <c r="H320" t="s">
        <v>29</v>
      </c>
      <c r="I320" t="s">
        <v>30</v>
      </c>
      <c r="J320" t="s">
        <v>31</v>
      </c>
      <c r="K320" s="50">
        <v>24462500</v>
      </c>
      <c r="L320" s="50">
        <v>0</v>
      </c>
      <c r="M320" s="50">
        <v>24462500</v>
      </c>
      <c r="N320" s="50">
        <v>23175000</v>
      </c>
      <c r="O320" t="s">
        <v>351</v>
      </c>
      <c r="P320">
        <v>1026276407</v>
      </c>
      <c r="Q320" t="s">
        <v>2103</v>
      </c>
      <c r="R320" t="s">
        <v>316</v>
      </c>
      <c r="S320" t="s">
        <v>317</v>
      </c>
      <c r="T320" s="2">
        <v>24076030383</v>
      </c>
      <c r="U320" t="s">
        <v>319</v>
      </c>
      <c r="V320">
        <v>860007335</v>
      </c>
      <c r="W320" t="s">
        <v>381</v>
      </c>
      <c r="X320" s="2">
        <v>3625</v>
      </c>
      <c r="Y320" s="2">
        <v>3625</v>
      </c>
      <c r="Z320" s="2">
        <v>31925</v>
      </c>
      <c r="AA320">
        <v>0</v>
      </c>
      <c r="AB320">
        <v>35325</v>
      </c>
      <c r="AC320">
        <v>64603625</v>
      </c>
      <c r="AD320">
        <v>0</v>
      </c>
      <c r="AE320" s="5">
        <v>45705</v>
      </c>
      <c r="AF320" t="s">
        <v>356</v>
      </c>
      <c r="AG320" t="s">
        <v>2106</v>
      </c>
      <c r="AH320" t="s">
        <v>2107</v>
      </c>
    </row>
    <row r="321" spans="1:34" ht="15" customHeight="1" x14ac:dyDescent="0.2">
      <c r="A321" t="s">
        <v>2524</v>
      </c>
      <c r="B321" t="s">
        <v>481</v>
      </c>
      <c r="C321" s="2">
        <v>32025</v>
      </c>
      <c r="D321" s="5">
        <v>45705</v>
      </c>
      <c r="E321" s="5">
        <v>45705.956250000003</v>
      </c>
      <c r="F321" t="s">
        <v>312</v>
      </c>
      <c r="G321" s="2">
        <v>923228</v>
      </c>
      <c r="H321" t="s">
        <v>159</v>
      </c>
      <c r="I321" t="s">
        <v>160</v>
      </c>
      <c r="J321" t="s">
        <v>31</v>
      </c>
      <c r="K321" s="50">
        <v>40333333</v>
      </c>
      <c r="L321" s="50">
        <v>0</v>
      </c>
      <c r="M321" s="50">
        <v>40333333</v>
      </c>
      <c r="N321" s="50">
        <v>38074666</v>
      </c>
      <c r="O321" t="s">
        <v>351</v>
      </c>
      <c r="P321">
        <v>80500306</v>
      </c>
      <c r="Q321" t="s">
        <v>2109</v>
      </c>
      <c r="R321" t="s">
        <v>316</v>
      </c>
      <c r="S321" t="s">
        <v>317</v>
      </c>
      <c r="T321" s="2">
        <v>378467807</v>
      </c>
      <c r="U321" t="s">
        <v>319</v>
      </c>
      <c r="V321">
        <v>860003020</v>
      </c>
      <c r="W321" t="s">
        <v>393</v>
      </c>
      <c r="X321" s="2">
        <v>3325</v>
      </c>
      <c r="Y321" s="2">
        <v>3325</v>
      </c>
      <c r="Z321" s="2">
        <v>32025</v>
      </c>
      <c r="AA321">
        <v>0</v>
      </c>
      <c r="AB321">
        <v>35425</v>
      </c>
      <c r="AC321">
        <v>64603725</v>
      </c>
      <c r="AD321">
        <v>0</v>
      </c>
      <c r="AE321" s="5">
        <v>45705</v>
      </c>
      <c r="AF321" t="s">
        <v>356</v>
      </c>
      <c r="AG321" t="s">
        <v>2112</v>
      </c>
      <c r="AH321" t="s">
        <v>2069</v>
      </c>
    </row>
    <row r="322" spans="1:34" ht="15" customHeight="1" x14ac:dyDescent="0.2">
      <c r="A322" t="s">
        <v>2233</v>
      </c>
      <c r="B322" t="s">
        <v>476</v>
      </c>
      <c r="C322" s="2">
        <v>32125</v>
      </c>
      <c r="D322" s="5">
        <v>45706</v>
      </c>
      <c r="E322" s="5">
        <v>45706.698611111111</v>
      </c>
      <c r="F322" t="s">
        <v>312</v>
      </c>
      <c r="G322" s="2">
        <v>923210</v>
      </c>
      <c r="H322" t="s">
        <v>29</v>
      </c>
      <c r="I322" t="s">
        <v>30</v>
      </c>
      <c r="J322" t="s">
        <v>47</v>
      </c>
      <c r="K322" s="50">
        <v>183.45</v>
      </c>
      <c r="L322" s="50">
        <v>183266.55</v>
      </c>
      <c r="M322" s="50">
        <v>183450</v>
      </c>
      <c r="N322" s="50">
        <v>0</v>
      </c>
      <c r="O322" t="s">
        <v>314</v>
      </c>
      <c r="P322">
        <v>899999115</v>
      </c>
      <c r="Q322" t="s">
        <v>327</v>
      </c>
      <c r="R322" t="s">
        <v>316</v>
      </c>
      <c r="S322" t="s">
        <v>328</v>
      </c>
      <c r="T322" s="2">
        <v>20936509</v>
      </c>
      <c r="U322" t="s">
        <v>319</v>
      </c>
      <c r="V322">
        <v>860051135</v>
      </c>
      <c r="W322" t="s">
        <v>331</v>
      </c>
      <c r="X322" s="2">
        <v>1225</v>
      </c>
      <c r="Y322" s="2">
        <v>1225</v>
      </c>
      <c r="Z322" s="2">
        <v>32125</v>
      </c>
      <c r="AA322" t="s">
        <v>2116</v>
      </c>
      <c r="AB322" t="s">
        <v>2117</v>
      </c>
      <c r="AC322" t="s">
        <v>2118</v>
      </c>
      <c r="AD322">
        <v>0</v>
      </c>
      <c r="AE322" s="5">
        <v>45706</v>
      </c>
      <c r="AF322" t="s">
        <v>323</v>
      </c>
      <c r="AG322" t="s">
        <v>2119</v>
      </c>
      <c r="AH322" t="s">
        <v>2120</v>
      </c>
    </row>
    <row r="323" spans="1:34" ht="15" customHeight="1" x14ac:dyDescent="0.2">
      <c r="A323" t="s">
        <v>2525</v>
      </c>
      <c r="B323" t="s">
        <v>474</v>
      </c>
      <c r="C323" s="2">
        <v>32225</v>
      </c>
      <c r="D323" s="5">
        <v>45707</v>
      </c>
      <c r="E323" s="5">
        <v>45707.373611111114</v>
      </c>
      <c r="F323" t="s">
        <v>312</v>
      </c>
      <c r="G323" s="2">
        <v>923211</v>
      </c>
      <c r="H323" t="s">
        <v>29</v>
      </c>
      <c r="I323" t="s">
        <v>30</v>
      </c>
      <c r="J323" t="s">
        <v>31</v>
      </c>
      <c r="K323" s="50">
        <v>478585</v>
      </c>
      <c r="L323" s="50">
        <v>0</v>
      </c>
      <c r="M323" s="50">
        <v>478585</v>
      </c>
      <c r="N323" s="50">
        <v>0</v>
      </c>
      <c r="O323" t="s">
        <v>351</v>
      </c>
      <c r="P323">
        <v>11313776</v>
      </c>
      <c r="Q323" t="s">
        <v>676</v>
      </c>
      <c r="R323" t="s">
        <v>316</v>
      </c>
      <c r="S323" t="s">
        <v>317</v>
      </c>
      <c r="T323" s="2">
        <v>52564652261</v>
      </c>
      <c r="U323" t="s">
        <v>319</v>
      </c>
      <c r="V323">
        <v>890903938</v>
      </c>
      <c r="W323" t="s">
        <v>342</v>
      </c>
      <c r="X323" s="2">
        <v>925</v>
      </c>
      <c r="Y323" s="2">
        <v>925</v>
      </c>
      <c r="Z323" s="2">
        <v>32225</v>
      </c>
      <c r="AA323">
        <v>0</v>
      </c>
      <c r="AB323">
        <v>5325</v>
      </c>
      <c r="AC323">
        <v>47483425</v>
      </c>
      <c r="AD323">
        <v>0</v>
      </c>
      <c r="AE323" s="5">
        <v>45707</v>
      </c>
      <c r="AF323" t="s">
        <v>1929</v>
      </c>
      <c r="AG323" t="s">
        <v>2125</v>
      </c>
      <c r="AH323" t="s">
        <v>2126</v>
      </c>
    </row>
    <row r="324" spans="1:34" ht="15" customHeight="1" x14ac:dyDescent="0.2">
      <c r="A324" t="s">
        <v>2526</v>
      </c>
      <c r="B324" t="s">
        <v>474</v>
      </c>
      <c r="C324" s="2">
        <v>32325</v>
      </c>
      <c r="D324" s="5">
        <v>45707</v>
      </c>
      <c r="E324" s="5">
        <v>45707.375694444447</v>
      </c>
      <c r="F324" t="s">
        <v>312</v>
      </c>
      <c r="G324" s="2">
        <v>923211</v>
      </c>
      <c r="H324" t="s">
        <v>29</v>
      </c>
      <c r="I324" t="s">
        <v>30</v>
      </c>
      <c r="J324" t="s">
        <v>31</v>
      </c>
      <c r="K324" s="50">
        <v>478585</v>
      </c>
      <c r="L324" s="50">
        <v>0</v>
      </c>
      <c r="M324" s="50">
        <v>478585</v>
      </c>
      <c r="N324" s="50">
        <v>0</v>
      </c>
      <c r="O324" t="s">
        <v>351</v>
      </c>
      <c r="P324">
        <v>11223758</v>
      </c>
      <c r="Q324" t="s">
        <v>671</v>
      </c>
      <c r="R324" t="s">
        <v>316</v>
      </c>
      <c r="S324" t="s">
        <v>317</v>
      </c>
      <c r="T324" s="2">
        <v>26470274475</v>
      </c>
      <c r="U324" t="s">
        <v>319</v>
      </c>
      <c r="V324">
        <v>890903938</v>
      </c>
      <c r="W324" t="s">
        <v>342</v>
      </c>
      <c r="X324" s="2">
        <v>925</v>
      </c>
      <c r="Y324" s="2">
        <v>925</v>
      </c>
      <c r="Z324" s="2">
        <v>32325</v>
      </c>
      <c r="AA324">
        <v>0</v>
      </c>
      <c r="AB324">
        <v>5425</v>
      </c>
      <c r="AC324">
        <v>47483525</v>
      </c>
      <c r="AD324">
        <v>0</v>
      </c>
      <c r="AE324" s="5">
        <v>45707</v>
      </c>
      <c r="AF324" t="s">
        <v>1929</v>
      </c>
      <c r="AG324" t="s">
        <v>2129</v>
      </c>
      <c r="AH324" t="s">
        <v>2126</v>
      </c>
    </row>
    <row r="325" spans="1:34" ht="15" customHeight="1" x14ac:dyDescent="0.2">
      <c r="A325" t="s">
        <v>2527</v>
      </c>
      <c r="B325" t="s">
        <v>472</v>
      </c>
      <c r="C325" s="2">
        <v>32425</v>
      </c>
      <c r="D325" s="5">
        <v>45707</v>
      </c>
      <c r="E325" s="5">
        <v>45707.431250000001</v>
      </c>
      <c r="F325" t="s">
        <v>312</v>
      </c>
      <c r="G325" s="2">
        <v>923238</v>
      </c>
      <c r="H325" t="s">
        <v>29</v>
      </c>
      <c r="I325" t="s">
        <v>30</v>
      </c>
      <c r="J325" t="s">
        <v>31</v>
      </c>
      <c r="K325" s="50">
        <v>465641</v>
      </c>
      <c r="L325" s="50">
        <v>0</v>
      </c>
      <c r="M325" s="50">
        <v>465641</v>
      </c>
      <c r="N325" s="50">
        <v>0</v>
      </c>
      <c r="O325" t="s">
        <v>351</v>
      </c>
      <c r="P325">
        <v>11315001</v>
      </c>
      <c r="Q325" t="s">
        <v>2037</v>
      </c>
      <c r="R325" t="s">
        <v>316</v>
      </c>
      <c r="S325" t="s">
        <v>317</v>
      </c>
      <c r="T325" s="2">
        <v>20505880851</v>
      </c>
      <c r="U325" t="s">
        <v>319</v>
      </c>
      <c r="V325">
        <v>890903938</v>
      </c>
      <c r="W325" t="s">
        <v>342</v>
      </c>
      <c r="X325" s="2">
        <v>325</v>
      </c>
      <c r="Y325" s="2">
        <v>325</v>
      </c>
      <c r="Z325" s="2">
        <v>32425</v>
      </c>
      <c r="AA325">
        <v>0</v>
      </c>
      <c r="AB325">
        <v>5525</v>
      </c>
      <c r="AC325">
        <v>47483625</v>
      </c>
      <c r="AD325">
        <v>0</v>
      </c>
      <c r="AE325" s="5">
        <v>45707</v>
      </c>
      <c r="AF325" t="s">
        <v>1929</v>
      </c>
      <c r="AG325" t="s">
        <v>2132</v>
      </c>
      <c r="AH325" t="s">
        <v>2133</v>
      </c>
    </row>
    <row r="326" spans="1:34" ht="15" customHeight="1" x14ac:dyDescent="0.2">
      <c r="A326" t="s">
        <v>2528</v>
      </c>
      <c r="B326" t="s">
        <v>2529</v>
      </c>
      <c r="C326" s="2">
        <v>32525</v>
      </c>
      <c r="D326" s="5">
        <v>45707</v>
      </c>
      <c r="E326" s="5">
        <v>45707.929166666669</v>
      </c>
      <c r="F326" t="s">
        <v>312</v>
      </c>
      <c r="G326" s="2">
        <v>923270</v>
      </c>
      <c r="H326" t="s">
        <v>590</v>
      </c>
      <c r="I326" t="s">
        <v>591</v>
      </c>
      <c r="J326" t="s">
        <v>47</v>
      </c>
      <c r="K326" s="50">
        <v>58800000</v>
      </c>
      <c r="L326" s="50">
        <v>0</v>
      </c>
      <c r="M326" s="50">
        <v>58800000</v>
      </c>
      <c r="N326" s="50">
        <v>56000000</v>
      </c>
      <c r="O326" t="s">
        <v>351</v>
      </c>
      <c r="P326">
        <v>52712359</v>
      </c>
      <c r="Q326" t="s">
        <v>2135</v>
      </c>
      <c r="R326" t="s">
        <v>316</v>
      </c>
      <c r="S326" t="s">
        <v>317</v>
      </c>
      <c r="T326" s="2">
        <v>24613606510</v>
      </c>
      <c r="U326" t="s">
        <v>319</v>
      </c>
      <c r="V326">
        <v>890903938</v>
      </c>
      <c r="W326" t="s">
        <v>342</v>
      </c>
      <c r="X326" s="2">
        <v>7125</v>
      </c>
      <c r="Y326" s="2">
        <v>7125</v>
      </c>
      <c r="Z326" s="2">
        <v>32525</v>
      </c>
      <c r="AA326">
        <v>0</v>
      </c>
      <c r="AB326">
        <v>35525</v>
      </c>
      <c r="AC326">
        <v>64603825</v>
      </c>
      <c r="AD326">
        <v>0</v>
      </c>
      <c r="AE326" s="5">
        <v>45707</v>
      </c>
      <c r="AF326" t="s">
        <v>356</v>
      </c>
      <c r="AG326" t="s">
        <v>2138</v>
      </c>
      <c r="AH326" t="s">
        <v>2139</v>
      </c>
    </row>
    <row r="327" spans="1:34" ht="15" customHeight="1" x14ac:dyDescent="0.2">
      <c r="A327" t="s">
        <v>2530</v>
      </c>
      <c r="B327" t="s">
        <v>2531</v>
      </c>
      <c r="C327" s="2">
        <v>32625</v>
      </c>
      <c r="D327" s="5">
        <v>45707</v>
      </c>
      <c r="E327" s="5">
        <v>45707.931944444441</v>
      </c>
      <c r="F327" t="s">
        <v>312</v>
      </c>
      <c r="G327" s="2">
        <v>923269</v>
      </c>
      <c r="H327" t="s">
        <v>582</v>
      </c>
      <c r="I327" t="s">
        <v>583</v>
      </c>
      <c r="J327" t="s">
        <v>47</v>
      </c>
      <c r="K327" s="50">
        <v>29400000</v>
      </c>
      <c r="L327" s="50">
        <v>0</v>
      </c>
      <c r="M327" s="50">
        <v>29400000</v>
      </c>
      <c r="N327" s="50">
        <v>28000000</v>
      </c>
      <c r="O327" t="s">
        <v>351</v>
      </c>
      <c r="P327">
        <v>1030685664</v>
      </c>
      <c r="Q327" t="s">
        <v>2141</v>
      </c>
      <c r="R327" t="s">
        <v>316</v>
      </c>
      <c r="S327" t="s">
        <v>317</v>
      </c>
      <c r="T327" s="2">
        <v>4682052125</v>
      </c>
      <c r="U327" t="s">
        <v>319</v>
      </c>
      <c r="V327">
        <v>860034594</v>
      </c>
      <c r="W327" t="s">
        <v>374</v>
      </c>
      <c r="X327" s="2">
        <v>7025</v>
      </c>
      <c r="Y327" s="2">
        <v>7025</v>
      </c>
      <c r="Z327" s="2">
        <v>32625</v>
      </c>
      <c r="AA327">
        <v>0</v>
      </c>
      <c r="AB327">
        <v>35625</v>
      </c>
      <c r="AC327">
        <v>64603925</v>
      </c>
      <c r="AD327">
        <v>0</v>
      </c>
      <c r="AE327" s="5">
        <v>45707</v>
      </c>
      <c r="AF327" t="s">
        <v>356</v>
      </c>
      <c r="AG327" t="s">
        <v>2144</v>
      </c>
      <c r="AH327" t="s">
        <v>2145</v>
      </c>
    </row>
    <row r="328" spans="1:34" ht="15" customHeight="1" x14ac:dyDescent="0.2">
      <c r="A328" t="s">
        <v>2532</v>
      </c>
      <c r="B328" t="s">
        <v>479</v>
      </c>
      <c r="C328" s="2">
        <v>32725</v>
      </c>
      <c r="D328" s="5">
        <v>45707</v>
      </c>
      <c r="E328" s="5">
        <v>45707.938888888886</v>
      </c>
      <c r="F328" t="s">
        <v>312</v>
      </c>
      <c r="G328" s="2">
        <v>923211</v>
      </c>
      <c r="H328" t="s">
        <v>29</v>
      </c>
      <c r="I328" t="s">
        <v>30</v>
      </c>
      <c r="J328" t="s">
        <v>31</v>
      </c>
      <c r="K328" s="50">
        <v>46148427</v>
      </c>
      <c r="L328" s="50">
        <v>0</v>
      </c>
      <c r="M328" s="50">
        <v>46148427</v>
      </c>
      <c r="N328" s="50">
        <v>44308623</v>
      </c>
      <c r="O328" t="s">
        <v>351</v>
      </c>
      <c r="P328">
        <v>1026307427</v>
      </c>
      <c r="Q328" t="s">
        <v>2147</v>
      </c>
      <c r="R328" t="s">
        <v>316</v>
      </c>
      <c r="S328" t="s">
        <v>317</v>
      </c>
      <c r="T328" s="2">
        <v>261373302</v>
      </c>
      <c r="U328" t="s">
        <v>319</v>
      </c>
      <c r="V328">
        <v>860002964</v>
      </c>
      <c r="W328" t="s">
        <v>419</v>
      </c>
      <c r="X328" s="2">
        <v>2125</v>
      </c>
      <c r="Y328" s="2">
        <v>2125</v>
      </c>
      <c r="Z328" s="2">
        <v>32725</v>
      </c>
      <c r="AA328">
        <v>0</v>
      </c>
      <c r="AB328">
        <v>35725</v>
      </c>
      <c r="AC328">
        <v>67839925</v>
      </c>
      <c r="AD328">
        <v>0</v>
      </c>
      <c r="AE328" s="5">
        <v>45707</v>
      </c>
      <c r="AF328" t="s">
        <v>356</v>
      </c>
      <c r="AG328" t="s">
        <v>2149</v>
      </c>
      <c r="AH328" t="s">
        <v>1886</v>
      </c>
    </row>
    <row r="329" spans="1:34" ht="15" customHeight="1" x14ac:dyDescent="0.2">
      <c r="A329" t="s">
        <v>2533</v>
      </c>
      <c r="B329" t="s">
        <v>2529</v>
      </c>
      <c r="C329" s="2">
        <v>32825</v>
      </c>
      <c r="D329" s="5">
        <v>45707</v>
      </c>
      <c r="E329" s="5">
        <v>45707.944444444445</v>
      </c>
      <c r="F329" t="s">
        <v>312</v>
      </c>
      <c r="G329" s="2">
        <v>923270</v>
      </c>
      <c r="H329" t="s">
        <v>590</v>
      </c>
      <c r="I329" t="s">
        <v>591</v>
      </c>
      <c r="J329" t="s">
        <v>47</v>
      </c>
      <c r="K329" s="50">
        <v>58800000</v>
      </c>
      <c r="L329" s="50">
        <v>0</v>
      </c>
      <c r="M329" s="50">
        <v>58800000</v>
      </c>
      <c r="N329" s="50">
        <v>56000000</v>
      </c>
      <c r="O329" t="s">
        <v>351</v>
      </c>
      <c r="P329">
        <v>1121827031</v>
      </c>
      <c r="Q329" t="s">
        <v>2151</v>
      </c>
      <c r="R329" t="s">
        <v>316</v>
      </c>
      <c r="S329" t="s">
        <v>317</v>
      </c>
      <c r="T329" s="2">
        <v>36414836903</v>
      </c>
      <c r="U329" t="s">
        <v>319</v>
      </c>
      <c r="V329">
        <v>890903938</v>
      </c>
      <c r="W329" t="s">
        <v>342</v>
      </c>
      <c r="X329" s="2">
        <v>7125</v>
      </c>
      <c r="Y329" s="2">
        <v>7125</v>
      </c>
      <c r="Z329" s="2">
        <v>32825</v>
      </c>
      <c r="AA329">
        <v>0</v>
      </c>
      <c r="AB329">
        <v>35825</v>
      </c>
      <c r="AC329">
        <v>64616125</v>
      </c>
      <c r="AD329">
        <v>0</v>
      </c>
      <c r="AE329" s="5">
        <v>45707</v>
      </c>
      <c r="AF329" t="s">
        <v>356</v>
      </c>
      <c r="AG329" t="s">
        <v>2154</v>
      </c>
      <c r="AH329" t="s">
        <v>2155</v>
      </c>
    </row>
    <row r="330" spans="1:34" ht="15" customHeight="1" x14ac:dyDescent="0.2">
      <c r="A330" t="s">
        <v>2534</v>
      </c>
      <c r="B330" t="s">
        <v>2529</v>
      </c>
      <c r="C330" s="2">
        <v>32925</v>
      </c>
      <c r="D330" s="5">
        <v>45707</v>
      </c>
      <c r="E330" s="5">
        <v>45707.946527777778</v>
      </c>
      <c r="F330" t="s">
        <v>312</v>
      </c>
      <c r="G330" s="2">
        <v>923270</v>
      </c>
      <c r="H330" t="s">
        <v>590</v>
      </c>
      <c r="I330" t="s">
        <v>591</v>
      </c>
      <c r="J330" t="s">
        <v>47</v>
      </c>
      <c r="K330" s="50">
        <v>58800000</v>
      </c>
      <c r="L330" s="50">
        <v>0</v>
      </c>
      <c r="M330" s="50">
        <v>58800000</v>
      </c>
      <c r="N330" s="50">
        <v>56000000</v>
      </c>
      <c r="O330" t="s">
        <v>351</v>
      </c>
      <c r="P330">
        <v>1098740549</v>
      </c>
      <c r="Q330" t="s">
        <v>2157</v>
      </c>
      <c r="R330" t="s">
        <v>316</v>
      </c>
      <c r="S330" t="s">
        <v>317</v>
      </c>
      <c r="T330" s="2">
        <v>72682161788</v>
      </c>
      <c r="U330" t="s">
        <v>319</v>
      </c>
      <c r="V330">
        <v>890903938</v>
      </c>
      <c r="W330" t="s">
        <v>342</v>
      </c>
      <c r="X330" s="2">
        <v>7125</v>
      </c>
      <c r="Y330" s="2">
        <v>7125</v>
      </c>
      <c r="Z330" s="2">
        <v>32925</v>
      </c>
      <c r="AA330">
        <v>0</v>
      </c>
      <c r="AB330">
        <v>35925</v>
      </c>
      <c r="AC330">
        <v>64616325</v>
      </c>
      <c r="AD330">
        <v>0</v>
      </c>
      <c r="AE330" s="5">
        <v>45707</v>
      </c>
      <c r="AF330" t="s">
        <v>356</v>
      </c>
      <c r="AG330" t="s">
        <v>2160</v>
      </c>
      <c r="AH330" t="s">
        <v>2155</v>
      </c>
    </row>
    <row r="331" spans="1:34" ht="15" customHeight="1" x14ac:dyDescent="0.2">
      <c r="A331" t="s">
        <v>2535</v>
      </c>
      <c r="B331" t="s">
        <v>2529</v>
      </c>
      <c r="C331" s="2">
        <v>33025</v>
      </c>
      <c r="D331" s="5">
        <v>45707</v>
      </c>
      <c r="E331" s="5">
        <v>45707.947916666664</v>
      </c>
      <c r="F331" t="s">
        <v>312</v>
      </c>
      <c r="G331" s="2">
        <v>923270</v>
      </c>
      <c r="H331" t="s">
        <v>590</v>
      </c>
      <c r="I331" t="s">
        <v>591</v>
      </c>
      <c r="J331" t="s">
        <v>47</v>
      </c>
      <c r="K331" s="50">
        <v>58800000</v>
      </c>
      <c r="L331" s="50">
        <v>0</v>
      </c>
      <c r="M331" s="50">
        <v>58800000</v>
      </c>
      <c r="N331" s="50">
        <v>56000000</v>
      </c>
      <c r="O331" t="s">
        <v>351</v>
      </c>
      <c r="P331">
        <v>1053797721</v>
      </c>
      <c r="Q331" t="s">
        <v>2162</v>
      </c>
      <c r="R331" t="s">
        <v>316</v>
      </c>
      <c r="S331" t="s">
        <v>317</v>
      </c>
      <c r="T331" s="2">
        <v>5940624632</v>
      </c>
      <c r="U331" t="s">
        <v>319</v>
      </c>
      <c r="V331">
        <v>890903938</v>
      </c>
      <c r="W331" t="s">
        <v>342</v>
      </c>
      <c r="X331" s="2">
        <v>7125</v>
      </c>
      <c r="Y331" s="2">
        <v>7125</v>
      </c>
      <c r="Z331" s="2">
        <v>33025</v>
      </c>
      <c r="AA331">
        <v>0</v>
      </c>
      <c r="AB331">
        <v>36025</v>
      </c>
      <c r="AC331">
        <v>64616425</v>
      </c>
      <c r="AD331">
        <v>0</v>
      </c>
      <c r="AE331" s="5">
        <v>45707</v>
      </c>
      <c r="AF331" t="s">
        <v>356</v>
      </c>
      <c r="AG331" t="s">
        <v>2165</v>
      </c>
      <c r="AH331" t="s">
        <v>2155</v>
      </c>
    </row>
    <row r="332" spans="1:34" ht="15" customHeight="1" x14ac:dyDescent="0.2">
      <c r="A332" t="s">
        <v>2536</v>
      </c>
      <c r="B332" t="s">
        <v>2529</v>
      </c>
      <c r="C332" s="2">
        <v>33125</v>
      </c>
      <c r="D332" s="5">
        <v>45707</v>
      </c>
      <c r="E332" s="5">
        <v>45707.95</v>
      </c>
      <c r="F332" t="s">
        <v>312</v>
      </c>
      <c r="G332" s="2">
        <v>923270</v>
      </c>
      <c r="H332" t="s">
        <v>590</v>
      </c>
      <c r="I332" t="s">
        <v>591</v>
      </c>
      <c r="J332" t="s">
        <v>47</v>
      </c>
      <c r="K332" s="50">
        <v>58800000</v>
      </c>
      <c r="L332" s="50">
        <v>0</v>
      </c>
      <c r="M332" s="50">
        <v>58800000</v>
      </c>
      <c r="N332" s="50">
        <v>56000000</v>
      </c>
      <c r="O332" t="s">
        <v>351</v>
      </c>
      <c r="P332">
        <v>7179866</v>
      </c>
      <c r="Q332" t="s">
        <v>2167</v>
      </c>
      <c r="R332" t="s">
        <v>316</v>
      </c>
      <c r="S332" t="s">
        <v>317</v>
      </c>
      <c r="T332" s="2">
        <v>15900005283</v>
      </c>
      <c r="U332" t="s">
        <v>319</v>
      </c>
      <c r="V332">
        <v>890903938</v>
      </c>
      <c r="W332" t="s">
        <v>342</v>
      </c>
      <c r="X332" s="2">
        <v>7125</v>
      </c>
      <c r="Y332" s="2">
        <v>7125</v>
      </c>
      <c r="Z332" s="2">
        <v>33125</v>
      </c>
      <c r="AA332">
        <v>0</v>
      </c>
      <c r="AB332">
        <v>36125</v>
      </c>
      <c r="AC332">
        <v>64616525</v>
      </c>
      <c r="AD332">
        <v>0</v>
      </c>
      <c r="AE332" s="5">
        <v>45707</v>
      </c>
      <c r="AF332" t="s">
        <v>356</v>
      </c>
      <c r="AG332" t="s">
        <v>2169</v>
      </c>
      <c r="AH332" t="s">
        <v>2155</v>
      </c>
    </row>
    <row r="333" spans="1:34" ht="15" customHeight="1" x14ac:dyDescent="0.2">
      <c r="A333" t="s">
        <v>2537</v>
      </c>
      <c r="B333" t="s">
        <v>2531</v>
      </c>
      <c r="C333" s="2">
        <v>33225</v>
      </c>
      <c r="D333" s="5">
        <v>45707</v>
      </c>
      <c r="E333" s="5">
        <v>45707.951388888891</v>
      </c>
      <c r="F333" t="s">
        <v>312</v>
      </c>
      <c r="G333" s="2">
        <v>923269</v>
      </c>
      <c r="H333" t="s">
        <v>582</v>
      </c>
      <c r="I333" t="s">
        <v>583</v>
      </c>
      <c r="J333" t="s">
        <v>47</v>
      </c>
      <c r="K333" s="50">
        <v>58800000</v>
      </c>
      <c r="L333" s="50">
        <v>0</v>
      </c>
      <c r="M333" s="50">
        <v>58800000</v>
      </c>
      <c r="N333" s="50">
        <v>56000000</v>
      </c>
      <c r="O333" t="s">
        <v>351</v>
      </c>
      <c r="P333">
        <v>11220943</v>
      </c>
      <c r="Q333" t="s">
        <v>2171</v>
      </c>
      <c r="R333" t="s">
        <v>316</v>
      </c>
      <c r="S333" t="s">
        <v>317</v>
      </c>
      <c r="T333" s="2">
        <v>29987983432</v>
      </c>
      <c r="U333" t="s">
        <v>319</v>
      </c>
      <c r="V333">
        <v>890903938</v>
      </c>
      <c r="W333" t="s">
        <v>342</v>
      </c>
      <c r="X333" s="2">
        <v>7025</v>
      </c>
      <c r="Y333" s="2">
        <v>7025</v>
      </c>
      <c r="Z333" s="2">
        <v>33225</v>
      </c>
      <c r="AA333">
        <v>0</v>
      </c>
      <c r="AB333">
        <v>36225</v>
      </c>
      <c r="AC333">
        <v>64616625</v>
      </c>
      <c r="AD333">
        <v>0</v>
      </c>
      <c r="AE333" s="5">
        <v>45707</v>
      </c>
      <c r="AF333" t="s">
        <v>356</v>
      </c>
      <c r="AG333" t="s">
        <v>2174</v>
      </c>
      <c r="AH333" t="s">
        <v>2175</v>
      </c>
    </row>
    <row r="334" spans="1:34" ht="15" customHeight="1" x14ac:dyDescent="0.2">
      <c r="A334" t="s">
        <v>2538</v>
      </c>
      <c r="B334" t="s">
        <v>2531</v>
      </c>
      <c r="C334" s="2">
        <v>33325</v>
      </c>
      <c r="D334" s="5">
        <v>45707</v>
      </c>
      <c r="E334" s="5">
        <v>45707.953472222223</v>
      </c>
      <c r="F334" t="s">
        <v>312</v>
      </c>
      <c r="G334" s="2">
        <v>923269</v>
      </c>
      <c r="H334" t="s">
        <v>582</v>
      </c>
      <c r="I334" t="s">
        <v>583</v>
      </c>
      <c r="J334" t="s">
        <v>47</v>
      </c>
      <c r="K334" s="50">
        <v>58800000</v>
      </c>
      <c r="L334" s="50">
        <v>0</v>
      </c>
      <c r="M334" s="50">
        <v>58800000</v>
      </c>
      <c r="N334" s="50">
        <v>56000000</v>
      </c>
      <c r="O334" t="s">
        <v>351</v>
      </c>
      <c r="P334">
        <v>87714602</v>
      </c>
      <c r="Q334" t="s">
        <v>2177</v>
      </c>
      <c r="R334" t="s">
        <v>316</v>
      </c>
      <c r="S334" t="s">
        <v>317</v>
      </c>
      <c r="T334" s="2">
        <v>91230569393</v>
      </c>
      <c r="U334" t="s">
        <v>319</v>
      </c>
      <c r="V334">
        <v>890903938</v>
      </c>
      <c r="W334" t="s">
        <v>342</v>
      </c>
      <c r="X334" s="2">
        <v>7025</v>
      </c>
      <c r="Y334" s="2">
        <v>7025</v>
      </c>
      <c r="Z334" s="2">
        <v>33325</v>
      </c>
      <c r="AA334">
        <v>0</v>
      </c>
      <c r="AB334">
        <v>36325</v>
      </c>
      <c r="AC334">
        <v>64616725</v>
      </c>
      <c r="AD334">
        <v>0</v>
      </c>
      <c r="AE334" s="5">
        <v>45707</v>
      </c>
      <c r="AF334" t="s">
        <v>356</v>
      </c>
      <c r="AG334" t="s">
        <v>2179</v>
      </c>
      <c r="AH334" t="s">
        <v>2175</v>
      </c>
    </row>
    <row r="335" spans="1:34" ht="15" customHeight="1" x14ac:dyDescent="0.2">
      <c r="A335" t="s">
        <v>2539</v>
      </c>
      <c r="B335" t="s">
        <v>2531</v>
      </c>
      <c r="C335" s="2">
        <v>33425</v>
      </c>
      <c r="D335" s="5">
        <v>45707</v>
      </c>
      <c r="E335" s="5">
        <v>45707.955555555556</v>
      </c>
      <c r="F335" t="s">
        <v>312</v>
      </c>
      <c r="G335" s="2">
        <v>923269</v>
      </c>
      <c r="H335" t="s">
        <v>582</v>
      </c>
      <c r="I335" t="s">
        <v>583</v>
      </c>
      <c r="J335" t="s">
        <v>47</v>
      </c>
      <c r="K335" s="50">
        <v>58800000</v>
      </c>
      <c r="L335" s="50">
        <v>0</v>
      </c>
      <c r="M335" s="50">
        <v>58800000</v>
      </c>
      <c r="N335" s="50">
        <v>56000000</v>
      </c>
      <c r="O335" t="s">
        <v>351</v>
      </c>
      <c r="P335">
        <v>79564002</v>
      </c>
      <c r="Q335" t="s">
        <v>2181</v>
      </c>
      <c r="R335" t="s">
        <v>316</v>
      </c>
      <c r="S335" t="s">
        <v>317</v>
      </c>
      <c r="T335" s="2">
        <v>17712912561</v>
      </c>
      <c r="U335" t="s">
        <v>319</v>
      </c>
      <c r="V335">
        <v>890903938</v>
      </c>
      <c r="W335" t="s">
        <v>342</v>
      </c>
      <c r="X335" s="2">
        <v>7025</v>
      </c>
      <c r="Y335" s="2">
        <v>7025</v>
      </c>
      <c r="Z335" s="2">
        <v>33425</v>
      </c>
      <c r="AA335">
        <v>0</v>
      </c>
      <c r="AB335">
        <v>36425</v>
      </c>
      <c r="AC335">
        <v>64616825</v>
      </c>
      <c r="AD335">
        <v>0</v>
      </c>
      <c r="AE335" s="5">
        <v>45707</v>
      </c>
      <c r="AF335" t="s">
        <v>356</v>
      </c>
      <c r="AG335" t="s">
        <v>2184</v>
      </c>
      <c r="AH335" t="s">
        <v>2175</v>
      </c>
    </row>
    <row r="336" spans="1:34" ht="15" customHeight="1" x14ac:dyDescent="0.2">
      <c r="A336" t="s">
        <v>2540</v>
      </c>
      <c r="B336" t="s">
        <v>2531</v>
      </c>
      <c r="C336" s="2">
        <v>33525</v>
      </c>
      <c r="D336" s="5">
        <v>45707</v>
      </c>
      <c r="E336" s="5">
        <v>45707.956944444442</v>
      </c>
      <c r="F336" t="s">
        <v>312</v>
      </c>
      <c r="G336" s="2">
        <v>923269</v>
      </c>
      <c r="H336" t="s">
        <v>582</v>
      </c>
      <c r="I336" t="s">
        <v>583</v>
      </c>
      <c r="J336" t="s">
        <v>47</v>
      </c>
      <c r="K336" s="50">
        <v>58800000</v>
      </c>
      <c r="L336" s="50">
        <v>0</v>
      </c>
      <c r="M336" s="50">
        <v>58800000</v>
      </c>
      <c r="N336" s="50">
        <v>56000000</v>
      </c>
      <c r="O336" t="s">
        <v>351</v>
      </c>
      <c r="P336">
        <v>5471664</v>
      </c>
      <c r="Q336" t="s">
        <v>2186</v>
      </c>
      <c r="R336" t="s">
        <v>316</v>
      </c>
      <c r="S336" t="s">
        <v>317</v>
      </c>
      <c r="T336" s="2">
        <v>7270663490</v>
      </c>
      <c r="U336" t="s">
        <v>319</v>
      </c>
      <c r="V336">
        <v>860034313</v>
      </c>
      <c r="W336" t="s">
        <v>355</v>
      </c>
      <c r="X336" s="2">
        <v>7025</v>
      </c>
      <c r="Y336" s="2">
        <v>7025</v>
      </c>
      <c r="Z336" s="2">
        <v>33525</v>
      </c>
      <c r="AA336">
        <v>0</v>
      </c>
      <c r="AB336">
        <v>36525</v>
      </c>
      <c r="AC336">
        <v>64616925</v>
      </c>
      <c r="AD336">
        <v>0</v>
      </c>
      <c r="AE336" s="5">
        <v>45707</v>
      </c>
      <c r="AF336" t="s">
        <v>356</v>
      </c>
      <c r="AG336" t="s">
        <v>2189</v>
      </c>
      <c r="AH336" t="s">
        <v>2175</v>
      </c>
    </row>
    <row r="337" spans="1:34" ht="15" customHeight="1" x14ac:dyDescent="0.2">
      <c r="A337" t="s">
        <v>4411</v>
      </c>
      <c r="B337" t="s">
        <v>478</v>
      </c>
      <c r="C337" s="2">
        <v>33625</v>
      </c>
      <c r="D337" s="5">
        <v>45708</v>
      </c>
      <c r="E337" s="5">
        <v>45708.521527777775</v>
      </c>
      <c r="F337" t="s">
        <v>312</v>
      </c>
      <c r="G337" s="2">
        <v>923210</v>
      </c>
      <c r="H337" t="s">
        <v>29</v>
      </c>
      <c r="I337" t="s">
        <v>30</v>
      </c>
      <c r="J337" t="s">
        <v>31</v>
      </c>
      <c r="K337" s="50">
        <v>17887392</v>
      </c>
      <c r="L337" s="50">
        <v>0</v>
      </c>
      <c r="M337" s="50">
        <v>17887392</v>
      </c>
      <c r="N337" s="50">
        <v>16959898</v>
      </c>
      <c r="O337" t="s">
        <v>351</v>
      </c>
      <c r="P337">
        <v>1010040399</v>
      </c>
      <c r="Q337" t="s">
        <v>3324</v>
      </c>
      <c r="R337" t="s">
        <v>316</v>
      </c>
      <c r="S337" t="s">
        <v>317</v>
      </c>
      <c r="T337" s="2">
        <v>7200751175</v>
      </c>
      <c r="U337" t="s">
        <v>319</v>
      </c>
      <c r="V337">
        <v>860034313</v>
      </c>
      <c r="W337" t="s">
        <v>355</v>
      </c>
      <c r="X337" s="2">
        <v>1925</v>
      </c>
      <c r="Y337" s="2">
        <v>1925</v>
      </c>
      <c r="Z337" s="2">
        <v>33625</v>
      </c>
      <c r="AA337">
        <v>0</v>
      </c>
      <c r="AB337">
        <v>36625</v>
      </c>
      <c r="AC337">
        <v>64617025</v>
      </c>
      <c r="AD337">
        <v>0</v>
      </c>
      <c r="AE337" s="5">
        <v>45708</v>
      </c>
      <c r="AF337" t="s">
        <v>356</v>
      </c>
      <c r="AG337" t="s">
        <v>3328</v>
      </c>
      <c r="AH337" t="s">
        <v>3329</v>
      </c>
    </row>
    <row r="338" spans="1:34" ht="15" customHeight="1" x14ac:dyDescent="0.2">
      <c r="A338" t="s">
        <v>4412</v>
      </c>
      <c r="B338" t="s">
        <v>489</v>
      </c>
      <c r="C338" s="2">
        <v>33725</v>
      </c>
      <c r="D338" s="5">
        <v>45708</v>
      </c>
      <c r="E338" s="5">
        <v>45708.604861111111</v>
      </c>
      <c r="F338" t="s">
        <v>312</v>
      </c>
      <c r="G338" s="2">
        <v>923290</v>
      </c>
      <c r="H338" t="s">
        <v>29</v>
      </c>
      <c r="I338" t="s">
        <v>30</v>
      </c>
      <c r="J338" t="s">
        <v>31</v>
      </c>
      <c r="K338" s="50">
        <v>156195</v>
      </c>
      <c r="L338" s="50">
        <v>0</v>
      </c>
      <c r="M338" s="50">
        <v>156195</v>
      </c>
      <c r="N338" s="50">
        <v>0</v>
      </c>
      <c r="O338" t="s">
        <v>351</v>
      </c>
      <c r="P338">
        <v>1012449137</v>
      </c>
      <c r="Q338" t="s">
        <v>390</v>
      </c>
      <c r="R338" t="s">
        <v>316</v>
      </c>
      <c r="S338" t="s">
        <v>317</v>
      </c>
      <c r="T338" s="2">
        <v>883150385</v>
      </c>
      <c r="U338" t="s">
        <v>319</v>
      </c>
      <c r="V338">
        <v>860003020</v>
      </c>
      <c r="W338" t="s">
        <v>393</v>
      </c>
      <c r="X338" s="2">
        <v>4925</v>
      </c>
      <c r="Y338" s="2">
        <v>4925</v>
      </c>
      <c r="Z338" s="2">
        <v>33725</v>
      </c>
      <c r="AA338">
        <v>0</v>
      </c>
      <c r="AB338">
        <v>5625</v>
      </c>
      <c r="AC338">
        <v>47483825</v>
      </c>
      <c r="AD338">
        <v>0</v>
      </c>
      <c r="AE338" s="5">
        <v>45708</v>
      </c>
      <c r="AF338" t="s">
        <v>1929</v>
      </c>
      <c r="AG338" t="s">
        <v>2691</v>
      </c>
      <c r="AH338" t="s">
        <v>2692</v>
      </c>
    </row>
    <row r="339" spans="1:34" ht="15" customHeight="1" x14ac:dyDescent="0.2">
      <c r="A339" t="s">
        <v>4413</v>
      </c>
      <c r="B339" t="s">
        <v>487</v>
      </c>
      <c r="C339" s="2">
        <v>33825</v>
      </c>
      <c r="D339" s="5">
        <v>45708</v>
      </c>
      <c r="E339" s="5">
        <v>45708.61041666667</v>
      </c>
      <c r="F339" t="s">
        <v>312</v>
      </c>
      <c r="G339" s="2">
        <v>923285</v>
      </c>
      <c r="H339" t="s">
        <v>29</v>
      </c>
      <c r="I339" t="s">
        <v>30</v>
      </c>
      <c r="J339" t="s">
        <v>31</v>
      </c>
      <c r="K339" s="50">
        <v>322390</v>
      </c>
      <c r="L339" s="50">
        <v>0</v>
      </c>
      <c r="M339" s="50">
        <v>322390</v>
      </c>
      <c r="N339" s="50">
        <v>0</v>
      </c>
      <c r="O339" t="s">
        <v>351</v>
      </c>
      <c r="P339">
        <v>1018436224</v>
      </c>
      <c r="Q339" t="s">
        <v>739</v>
      </c>
      <c r="R339" t="s">
        <v>316</v>
      </c>
      <c r="S339" t="s">
        <v>317</v>
      </c>
      <c r="T339" s="2">
        <v>22100018156</v>
      </c>
      <c r="U339" t="s">
        <v>319</v>
      </c>
      <c r="V339">
        <v>890903938</v>
      </c>
      <c r="W339" t="s">
        <v>342</v>
      </c>
      <c r="X339" s="2">
        <v>4425</v>
      </c>
      <c r="Y339" s="2">
        <v>4425</v>
      </c>
      <c r="Z339" s="2">
        <v>33825</v>
      </c>
      <c r="AA339">
        <v>0</v>
      </c>
      <c r="AB339">
        <v>5725</v>
      </c>
      <c r="AC339">
        <v>47483925</v>
      </c>
      <c r="AD339">
        <v>0</v>
      </c>
      <c r="AE339" s="5">
        <v>45708</v>
      </c>
      <c r="AF339" t="s">
        <v>1929</v>
      </c>
      <c r="AG339" t="s">
        <v>2697</v>
      </c>
      <c r="AH339" t="s">
        <v>2698</v>
      </c>
    </row>
    <row r="340" spans="1:34" ht="15" customHeight="1" x14ac:dyDescent="0.2">
      <c r="A340" t="s">
        <v>4414</v>
      </c>
      <c r="B340" t="s">
        <v>472</v>
      </c>
      <c r="C340" s="2">
        <v>33925</v>
      </c>
      <c r="D340" s="5">
        <v>45708</v>
      </c>
      <c r="E340" s="5">
        <v>45708.613194444442</v>
      </c>
      <c r="F340" t="s">
        <v>312</v>
      </c>
      <c r="G340" s="2">
        <v>923238</v>
      </c>
      <c r="H340" t="s">
        <v>29</v>
      </c>
      <c r="I340" t="s">
        <v>30</v>
      </c>
      <c r="J340" t="s">
        <v>31</v>
      </c>
      <c r="K340" s="50">
        <v>404493</v>
      </c>
      <c r="L340" s="50">
        <v>0</v>
      </c>
      <c r="M340" s="50">
        <v>404493</v>
      </c>
      <c r="N340" s="50">
        <v>0</v>
      </c>
      <c r="O340" t="s">
        <v>351</v>
      </c>
      <c r="P340">
        <v>80724086</v>
      </c>
      <c r="Q340" t="s">
        <v>1926</v>
      </c>
      <c r="R340" t="s">
        <v>316</v>
      </c>
      <c r="S340" t="s">
        <v>317</v>
      </c>
      <c r="T340" s="2">
        <v>22127248099</v>
      </c>
      <c r="U340" t="s">
        <v>319</v>
      </c>
      <c r="V340">
        <v>890903938</v>
      </c>
      <c r="W340" t="s">
        <v>342</v>
      </c>
      <c r="X340" s="2">
        <v>325</v>
      </c>
      <c r="Y340" s="2">
        <v>325</v>
      </c>
      <c r="Z340" s="2">
        <v>33925</v>
      </c>
      <c r="AA340">
        <v>0</v>
      </c>
      <c r="AB340">
        <v>5825</v>
      </c>
      <c r="AC340">
        <v>47484025</v>
      </c>
      <c r="AD340">
        <v>0</v>
      </c>
      <c r="AE340" s="5">
        <v>45708</v>
      </c>
      <c r="AF340" t="s">
        <v>1929</v>
      </c>
      <c r="AG340" t="s">
        <v>2703</v>
      </c>
      <c r="AH340" t="s">
        <v>2704</v>
      </c>
    </row>
    <row r="341" spans="1:34" ht="15" customHeight="1" x14ac:dyDescent="0.2">
      <c r="A341" t="s">
        <v>4415</v>
      </c>
      <c r="B341" t="s">
        <v>4416</v>
      </c>
      <c r="C341" s="2">
        <v>34025</v>
      </c>
      <c r="D341" s="5">
        <v>45708</v>
      </c>
      <c r="E341" s="5">
        <v>45708.615277777775</v>
      </c>
      <c r="F341" t="s">
        <v>312</v>
      </c>
      <c r="G341" s="2">
        <v>923290</v>
      </c>
      <c r="H341" t="s">
        <v>29</v>
      </c>
      <c r="I341" t="s">
        <v>30</v>
      </c>
      <c r="J341" t="s">
        <v>31</v>
      </c>
      <c r="K341" s="50">
        <v>119839</v>
      </c>
      <c r="L341" s="50">
        <v>0</v>
      </c>
      <c r="M341" s="50">
        <v>119839</v>
      </c>
      <c r="N341" s="50">
        <v>0</v>
      </c>
      <c r="O341" t="s">
        <v>351</v>
      </c>
      <c r="P341">
        <v>79207235</v>
      </c>
      <c r="Q341" t="s">
        <v>1860</v>
      </c>
      <c r="R341" t="s">
        <v>316</v>
      </c>
      <c r="S341" t="s">
        <v>317</v>
      </c>
      <c r="T341" s="2">
        <v>24115675441</v>
      </c>
      <c r="U341" t="s">
        <v>319</v>
      </c>
      <c r="V341">
        <v>860007335</v>
      </c>
      <c r="W341" t="s">
        <v>381</v>
      </c>
      <c r="X341" s="2">
        <v>4825</v>
      </c>
      <c r="Y341" s="2">
        <v>4825</v>
      </c>
      <c r="Z341" s="2">
        <v>34025</v>
      </c>
      <c r="AA341">
        <v>0</v>
      </c>
      <c r="AB341">
        <v>5925</v>
      </c>
      <c r="AC341">
        <v>47484125</v>
      </c>
      <c r="AD341">
        <v>0</v>
      </c>
      <c r="AE341" s="5">
        <v>45708</v>
      </c>
      <c r="AF341" t="s">
        <v>1929</v>
      </c>
      <c r="AG341" t="s">
        <v>2709</v>
      </c>
      <c r="AH341" t="s">
        <v>2710</v>
      </c>
    </row>
    <row r="342" spans="1:34" ht="15" customHeight="1" x14ac:dyDescent="0.2">
      <c r="A342" t="s">
        <v>4417</v>
      </c>
      <c r="B342" t="s">
        <v>472</v>
      </c>
      <c r="C342" s="2">
        <v>34125</v>
      </c>
      <c r="D342" s="5">
        <v>45708</v>
      </c>
      <c r="E342" s="5">
        <v>45708.618055555555</v>
      </c>
      <c r="F342" t="s">
        <v>312</v>
      </c>
      <c r="G342" s="2">
        <v>923238</v>
      </c>
      <c r="H342" t="s">
        <v>29</v>
      </c>
      <c r="I342" t="s">
        <v>30</v>
      </c>
      <c r="J342" t="s">
        <v>31</v>
      </c>
      <c r="K342" s="50">
        <v>801659</v>
      </c>
      <c r="L342" s="50">
        <v>0</v>
      </c>
      <c r="M342" s="50">
        <v>801659</v>
      </c>
      <c r="N342" s="50">
        <v>0</v>
      </c>
      <c r="O342" t="s">
        <v>351</v>
      </c>
      <c r="P342">
        <v>80062448</v>
      </c>
      <c r="Q342" t="s">
        <v>1943</v>
      </c>
      <c r="R342" t="s">
        <v>316</v>
      </c>
      <c r="S342" t="s">
        <v>317</v>
      </c>
      <c r="T342" s="2">
        <v>570451570058300</v>
      </c>
      <c r="U342" t="s">
        <v>319</v>
      </c>
      <c r="V342">
        <v>860034313</v>
      </c>
      <c r="W342" t="s">
        <v>355</v>
      </c>
      <c r="X342" s="2">
        <v>325</v>
      </c>
      <c r="Y342" s="2">
        <v>325</v>
      </c>
      <c r="Z342" s="2">
        <v>34125</v>
      </c>
      <c r="AA342">
        <v>0</v>
      </c>
      <c r="AB342">
        <v>6025</v>
      </c>
      <c r="AC342">
        <v>47484325</v>
      </c>
      <c r="AD342">
        <v>0</v>
      </c>
      <c r="AE342" s="5">
        <v>45708</v>
      </c>
      <c r="AF342" t="s">
        <v>1929</v>
      </c>
      <c r="AG342" t="s">
        <v>2715</v>
      </c>
      <c r="AH342" t="s">
        <v>2716</v>
      </c>
    </row>
    <row r="343" spans="1:34" ht="15" customHeight="1" x14ac:dyDescent="0.2">
      <c r="A343" t="s">
        <v>4418</v>
      </c>
      <c r="B343" t="s">
        <v>476</v>
      </c>
      <c r="C343" s="2">
        <v>34225</v>
      </c>
      <c r="D343" s="5">
        <v>45708</v>
      </c>
      <c r="E343" s="5">
        <v>45708.670138888891</v>
      </c>
      <c r="F343" t="s">
        <v>312</v>
      </c>
      <c r="G343" s="2">
        <v>923210</v>
      </c>
      <c r="H343" t="s">
        <v>29</v>
      </c>
      <c r="I343" t="s">
        <v>30</v>
      </c>
      <c r="J343" t="s">
        <v>47</v>
      </c>
      <c r="K343" s="50">
        <v>244110</v>
      </c>
      <c r="L343" s="50">
        <v>0</v>
      </c>
      <c r="M343" s="50">
        <v>244110</v>
      </c>
      <c r="N343" s="50">
        <v>0</v>
      </c>
      <c r="O343" t="s">
        <v>314</v>
      </c>
      <c r="P343">
        <v>899999094</v>
      </c>
      <c r="Q343" t="s">
        <v>432</v>
      </c>
      <c r="R343" t="s">
        <v>316</v>
      </c>
      <c r="S343" t="s">
        <v>317</v>
      </c>
      <c r="T343" s="2">
        <v>7900287975</v>
      </c>
      <c r="U343" t="s">
        <v>319</v>
      </c>
      <c r="V343">
        <v>860034313</v>
      </c>
      <c r="W343" t="s">
        <v>355</v>
      </c>
      <c r="X343" s="2">
        <v>1225</v>
      </c>
      <c r="Y343" s="2">
        <v>1225</v>
      </c>
      <c r="Z343" s="2">
        <v>34225</v>
      </c>
      <c r="AA343">
        <v>4025</v>
      </c>
      <c r="AB343">
        <v>7125</v>
      </c>
      <c r="AC343">
        <v>50281325</v>
      </c>
      <c r="AD343">
        <v>0</v>
      </c>
      <c r="AE343" s="5">
        <v>45708</v>
      </c>
      <c r="AF343" t="s">
        <v>323</v>
      </c>
      <c r="AG343">
        <v>39363192012</v>
      </c>
      <c r="AH343" t="s">
        <v>2802</v>
      </c>
    </row>
    <row r="344" spans="1:34" ht="15" customHeight="1" x14ac:dyDescent="0.2">
      <c r="A344" t="s">
        <v>4419</v>
      </c>
      <c r="B344" t="s">
        <v>476</v>
      </c>
      <c r="C344" s="2">
        <v>34325</v>
      </c>
      <c r="D344" s="5">
        <v>45708</v>
      </c>
      <c r="E344" s="5">
        <v>45708.676388888889</v>
      </c>
      <c r="F344" t="s">
        <v>312</v>
      </c>
      <c r="G344" s="2">
        <v>923210</v>
      </c>
      <c r="H344" t="s">
        <v>29</v>
      </c>
      <c r="I344" t="s">
        <v>30</v>
      </c>
      <c r="J344" t="s">
        <v>47</v>
      </c>
      <c r="K344" s="50">
        <v>26070</v>
      </c>
      <c r="L344" s="50">
        <v>0</v>
      </c>
      <c r="M344" s="50">
        <v>26070</v>
      </c>
      <c r="N344" s="50">
        <v>0</v>
      </c>
      <c r="O344" t="s">
        <v>314</v>
      </c>
      <c r="P344">
        <v>899999094</v>
      </c>
      <c r="Q344" t="s">
        <v>432</v>
      </c>
      <c r="R344" t="s">
        <v>316</v>
      </c>
      <c r="S344" t="s">
        <v>317</v>
      </c>
      <c r="T344" s="2">
        <v>7900287975</v>
      </c>
      <c r="U344" t="s">
        <v>319</v>
      </c>
      <c r="V344">
        <v>860034313</v>
      </c>
      <c r="W344" t="s">
        <v>355</v>
      </c>
      <c r="X344" s="2">
        <v>1225</v>
      </c>
      <c r="Y344" s="2">
        <v>1225</v>
      </c>
      <c r="Z344" s="2">
        <v>34325</v>
      </c>
      <c r="AA344">
        <v>4125</v>
      </c>
      <c r="AB344">
        <v>7225</v>
      </c>
      <c r="AC344">
        <v>50245825</v>
      </c>
      <c r="AD344">
        <v>0</v>
      </c>
      <c r="AE344" s="5">
        <v>45708</v>
      </c>
      <c r="AF344" t="s">
        <v>323</v>
      </c>
      <c r="AG344">
        <v>39363192111</v>
      </c>
      <c r="AH344" t="s">
        <v>2795</v>
      </c>
    </row>
    <row r="345" spans="1:34" ht="15" customHeight="1" x14ac:dyDescent="0.2">
      <c r="A345" t="s">
        <v>4420</v>
      </c>
      <c r="B345" t="s">
        <v>479</v>
      </c>
      <c r="C345" s="2">
        <v>34425</v>
      </c>
      <c r="D345" s="5">
        <v>45708</v>
      </c>
      <c r="E345" s="5">
        <v>45708.93472222222</v>
      </c>
      <c r="F345" t="s">
        <v>312</v>
      </c>
      <c r="G345" s="2">
        <v>923211</v>
      </c>
      <c r="H345" t="s">
        <v>29</v>
      </c>
      <c r="I345" t="s">
        <v>30</v>
      </c>
      <c r="J345" t="s">
        <v>31</v>
      </c>
      <c r="K345" s="50">
        <v>46148427</v>
      </c>
      <c r="L345" s="50">
        <v>0</v>
      </c>
      <c r="M345" s="50">
        <v>46148427</v>
      </c>
      <c r="N345" s="50">
        <v>44308623</v>
      </c>
      <c r="O345" t="s">
        <v>351</v>
      </c>
      <c r="P345">
        <v>80797270</v>
      </c>
      <c r="Q345" t="s">
        <v>3332</v>
      </c>
      <c r="R345" t="s">
        <v>316</v>
      </c>
      <c r="S345" t="s">
        <v>317</v>
      </c>
      <c r="T345" s="2">
        <v>4970282465</v>
      </c>
      <c r="U345" t="s">
        <v>319</v>
      </c>
      <c r="V345">
        <v>860034313</v>
      </c>
      <c r="W345" t="s">
        <v>355</v>
      </c>
      <c r="X345" s="2">
        <v>2125</v>
      </c>
      <c r="Y345" s="2">
        <v>2125</v>
      </c>
      <c r="Z345" s="2">
        <v>34425</v>
      </c>
      <c r="AA345">
        <v>0</v>
      </c>
      <c r="AB345">
        <v>36725</v>
      </c>
      <c r="AC345">
        <v>64617125</v>
      </c>
      <c r="AD345">
        <v>0</v>
      </c>
      <c r="AE345" s="5">
        <v>45708</v>
      </c>
      <c r="AF345" t="s">
        <v>356</v>
      </c>
      <c r="AG345" t="s">
        <v>3336</v>
      </c>
      <c r="AH345" t="s">
        <v>1158</v>
      </c>
    </row>
    <row r="346" spans="1:34" ht="15" customHeight="1" x14ac:dyDescent="0.2">
      <c r="A346" t="s">
        <v>4421</v>
      </c>
      <c r="B346" t="s">
        <v>479</v>
      </c>
      <c r="C346" s="2">
        <v>34525</v>
      </c>
      <c r="D346" s="5">
        <v>45708</v>
      </c>
      <c r="E346" s="5">
        <v>45708.93472222222</v>
      </c>
      <c r="F346" t="s">
        <v>312</v>
      </c>
      <c r="G346" s="2">
        <v>923211</v>
      </c>
      <c r="H346" t="s">
        <v>29</v>
      </c>
      <c r="I346" t="s">
        <v>30</v>
      </c>
      <c r="J346" t="s">
        <v>31</v>
      </c>
      <c r="K346" s="50">
        <v>46148427</v>
      </c>
      <c r="L346" s="50">
        <v>0</v>
      </c>
      <c r="M346" s="50">
        <v>46148427</v>
      </c>
      <c r="N346" s="50">
        <v>44308623</v>
      </c>
      <c r="O346" t="s">
        <v>351</v>
      </c>
      <c r="P346">
        <v>52423278</v>
      </c>
      <c r="Q346" t="s">
        <v>3339</v>
      </c>
      <c r="R346" t="s">
        <v>316</v>
      </c>
      <c r="S346" t="s">
        <v>317</v>
      </c>
      <c r="T346" s="2">
        <v>52577329877</v>
      </c>
      <c r="U346" t="s">
        <v>319</v>
      </c>
      <c r="V346">
        <v>890903938</v>
      </c>
      <c r="W346" t="s">
        <v>342</v>
      </c>
      <c r="X346" s="2">
        <v>2125</v>
      </c>
      <c r="Y346" s="2">
        <v>2125</v>
      </c>
      <c r="Z346" s="2">
        <v>34525</v>
      </c>
      <c r="AA346">
        <v>0</v>
      </c>
      <c r="AB346">
        <v>36825</v>
      </c>
      <c r="AC346">
        <v>64617225</v>
      </c>
      <c r="AD346">
        <v>0</v>
      </c>
      <c r="AE346" s="5">
        <v>45708</v>
      </c>
      <c r="AF346" t="s">
        <v>356</v>
      </c>
      <c r="AG346" t="s">
        <v>3342</v>
      </c>
      <c r="AH346" t="s">
        <v>3343</v>
      </c>
    </row>
    <row r="347" spans="1:34" ht="15" customHeight="1" x14ac:dyDescent="0.2">
      <c r="A347" t="s">
        <v>4422</v>
      </c>
      <c r="B347" t="s">
        <v>479</v>
      </c>
      <c r="C347" s="2">
        <v>34625</v>
      </c>
      <c r="D347" s="5">
        <v>45708</v>
      </c>
      <c r="E347" s="5">
        <v>45708.93472222222</v>
      </c>
      <c r="F347" t="s">
        <v>312</v>
      </c>
      <c r="G347" s="2">
        <v>923211</v>
      </c>
      <c r="H347" t="s">
        <v>29</v>
      </c>
      <c r="I347" t="s">
        <v>30</v>
      </c>
      <c r="J347" t="s">
        <v>31</v>
      </c>
      <c r="K347" s="50">
        <v>46148427</v>
      </c>
      <c r="L347" s="50">
        <v>0</v>
      </c>
      <c r="M347" s="50">
        <v>46148427</v>
      </c>
      <c r="N347" s="50">
        <v>44308623</v>
      </c>
      <c r="O347" t="s">
        <v>351</v>
      </c>
      <c r="P347">
        <v>52121132</v>
      </c>
      <c r="Q347" t="s">
        <v>3346</v>
      </c>
      <c r="R347" t="s">
        <v>316</v>
      </c>
      <c r="S347" t="s">
        <v>317</v>
      </c>
      <c r="T347" s="2">
        <v>24136899509</v>
      </c>
      <c r="U347" t="s">
        <v>319</v>
      </c>
      <c r="V347">
        <v>860007335</v>
      </c>
      <c r="W347" t="s">
        <v>381</v>
      </c>
      <c r="X347" s="2">
        <v>2125</v>
      </c>
      <c r="Y347" s="2">
        <v>2125</v>
      </c>
      <c r="Z347" s="2">
        <v>34625</v>
      </c>
      <c r="AA347">
        <v>0</v>
      </c>
      <c r="AB347">
        <v>36925</v>
      </c>
      <c r="AC347">
        <v>64617325</v>
      </c>
      <c r="AD347">
        <v>0</v>
      </c>
      <c r="AE347" s="5">
        <v>45708</v>
      </c>
      <c r="AF347" t="s">
        <v>356</v>
      </c>
      <c r="AG347" t="s">
        <v>3349</v>
      </c>
      <c r="AH347" t="s">
        <v>1158</v>
      </c>
    </row>
    <row r="348" spans="1:34" ht="15" customHeight="1" x14ac:dyDescent="0.2">
      <c r="A348" t="s">
        <v>4423</v>
      </c>
      <c r="B348" t="s">
        <v>479</v>
      </c>
      <c r="C348" s="2">
        <v>34725</v>
      </c>
      <c r="D348" s="5">
        <v>45708</v>
      </c>
      <c r="E348" s="5">
        <v>45708.93472222222</v>
      </c>
      <c r="F348" t="s">
        <v>312</v>
      </c>
      <c r="G348" s="2">
        <v>923211</v>
      </c>
      <c r="H348" t="s">
        <v>29</v>
      </c>
      <c r="I348" t="s">
        <v>30</v>
      </c>
      <c r="J348" t="s">
        <v>31</v>
      </c>
      <c r="K348" s="50">
        <v>46148427</v>
      </c>
      <c r="L348" s="50">
        <v>0</v>
      </c>
      <c r="M348" s="50">
        <v>46148427</v>
      </c>
      <c r="N348" s="50">
        <v>44308623</v>
      </c>
      <c r="O348" t="s">
        <v>351</v>
      </c>
      <c r="P348">
        <v>1015410686</v>
      </c>
      <c r="Q348" t="s">
        <v>3352</v>
      </c>
      <c r="R348" t="s">
        <v>316</v>
      </c>
      <c r="S348" t="s">
        <v>317</v>
      </c>
      <c r="T348" s="2">
        <v>22149677571</v>
      </c>
      <c r="U348" t="s">
        <v>319</v>
      </c>
      <c r="V348">
        <v>890903938</v>
      </c>
      <c r="W348" t="s">
        <v>342</v>
      </c>
      <c r="X348" s="2">
        <v>2125</v>
      </c>
      <c r="Y348" s="2">
        <v>2125</v>
      </c>
      <c r="Z348" s="2">
        <v>34725</v>
      </c>
      <c r="AA348">
        <v>0</v>
      </c>
      <c r="AB348">
        <v>37025</v>
      </c>
      <c r="AC348">
        <v>64617425</v>
      </c>
      <c r="AD348">
        <v>0</v>
      </c>
      <c r="AE348" s="5">
        <v>45708</v>
      </c>
      <c r="AF348" t="s">
        <v>356</v>
      </c>
      <c r="AG348" t="s">
        <v>3355</v>
      </c>
      <c r="AH348" t="s">
        <v>1158</v>
      </c>
    </row>
    <row r="349" spans="1:34" ht="15" customHeight="1" x14ac:dyDescent="0.2">
      <c r="A349" t="s">
        <v>4424</v>
      </c>
      <c r="B349" t="s">
        <v>479</v>
      </c>
      <c r="C349" s="2">
        <v>34825</v>
      </c>
      <c r="D349" s="5">
        <v>45708</v>
      </c>
      <c r="E349" s="5">
        <v>45708.93472222222</v>
      </c>
      <c r="F349" t="s">
        <v>312</v>
      </c>
      <c r="G349" s="2">
        <v>923211</v>
      </c>
      <c r="H349" t="s">
        <v>29</v>
      </c>
      <c r="I349" t="s">
        <v>30</v>
      </c>
      <c r="J349" t="s">
        <v>31</v>
      </c>
      <c r="K349" s="50">
        <v>46148427</v>
      </c>
      <c r="L349" s="50">
        <v>0</v>
      </c>
      <c r="M349" s="50">
        <v>46148427</v>
      </c>
      <c r="N349" s="50">
        <v>44308623</v>
      </c>
      <c r="O349" t="s">
        <v>351</v>
      </c>
      <c r="P349">
        <v>1032366666</v>
      </c>
      <c r="Q349" t="s">
        <v>3358</v>
      </c>
      <c r="R349" t="s">
        <v>316</v>
      </c>
      <c r="S349" t="s">
        <v>317</v>
      </c>
      <c r="T349" s="2">
        <v>488448361656</v>
      </c>
      <c r="U349" t="s">
        <v>319</v>
      </c>
      <c r="V349">
        <v>860034313</v>
      </c>
      <c r="W349" t="s">
        <v>355</v>
      </c>
      <c r="X349" s="2">
        <v>2125</v>
      </c>
      <c r="Y349" s="2">
        <v>2125</v>
      </c>
      <c r="Z349" s="2">
        <v>34825</v>
      </c>
      <c r="AA349">
        <v>0</v>
      </c>
      <c r="AB349">
        <v>37125</v>
      </c>
      <c r="AC349">
        <v>64617525</v>
      </c>
      <c r="AD349">
        <v>0</v>
      </c>
      <c r="AE349" s="5">
        <v>45708</v>
      </c>
      <c r="AF349" t="s">
        <v>356</v>
      </c>
      <c r="AG349" t="s">
        <v>3361</v>
      </c>
      <c r="AH349" t="s">
        <v>1158</v>
      </c>
    </row>
    <row r="350" spans="1:34" ht="15" customHeight="1" x14ac:dyDescent="0.2">
      <c r="A350" t="s">
        <v>4425</v>
      </c>
      <c r="B350" t="s">
        <v>479</v>
      </c>
      <c r="C350" s="2">
        <v>34925</v>
      </c>
      <c r="D350" s="5">
        <v>45708</v>
      </c>
      <c r="E350" s="5">
        <v>45708.93472222222</v>
      </c>
      <c r="F350" t="s">
        <v>312</v>
      </c>
      <c r="G350" s="2">
        <v>923211</v>
      </c>
      <c r="H350" t="s">
        <v>29</v>
      </c>
      <c r="I350" t="s">
        <v>30</v>
      </c>
      <c r="J350" t="s">
        <v>31</v>
      </c>
      <c r="K350" s="50">
        <v>46148427</v>
      </c>
      <c r="L350" s="50">
        <v>0</v>
      </c>
      <c r="M350" s="50">
        <v>46148427</v>
      </c>
      <c r="N350" s="50">
        <v>44308623</v>
      </c>
      <c r="O350" t="s">
        <v>351</v>
      </c>
      <c r="P350">
        <v>1012364106</v>
      </c>
      <c r="Q350" t="s">
        <v>3363</v>
      </c>
      <c r="R350" t="s">
        <v>316</v>
      </c>
      <c r="S350" t="s">
        <v>317</v>
      </c>
      <c r="T350" s="2">
        <v>24096002382</v>
      </c>
      <c r="U350" t="s">
        <v>319</v>
      </c>
      <c r="V350">
        <v>860007335</v>
      </c>
      <c r="W350" t="s">
        <v>381</v>
      </c>
      <c r="X350" s="2">
        <v>2125</v>
      </c>
      <c r="Y350" s="2">
        <v>2125</v>
      </c>
      <c r="Z350" s="2">
        <v>34925</v>
      </c>
      <c r="AA350">
        <v>0</v>
      </c>
      <c r="AB350">
        <v>37225</v>
      </c>
      <c r="AC350">
        <v>64617625</v>
      </c>
      <c r="AD350">
        <v>0</v>
      </c>
      <c r="AE350" s="5">
        <v>45708</v>
      </c>
      <c r="AF350" t="s">
        <v>356</v>
      </c>
      <c r="AG350" t="s">
        <v>3366</v>
      </c>
      <c r="AH350" t="s">
        <v>1158</v>
      </c>
    </row>
    <row r="351" spans="1:34" ht="15" customHeight="1" x14ac:dyDescent="0.2">
      <c r="A351" t="s">
        <v>4426</v>
      </c>
      <c r="B351" t="s">
        <v>470</v>
      </c>
      <c r="C351" s="2">
        <v>35025</v>
      </c>
      <c r="D351" s="5">
        <v>45708</v>
      </c>
      <c r="E351" s="5">
        <v>45708.93472222222</v>
      </c>
      <c r="F351" t="s">
        <v>312</v>
      </c>
      <c r="G351" s="2">
        <v>923238</v>
      </c>
      <c r="H351" t="s">
        <v>29</v>
      </c>
      <c r="I351" t="s">
        <v>30</v>
      </c>
      <c r="J351" t="s">
        <v>31</v>
      </c>
      <c r="K351" s="50">
        <v>46148427</v>
      </c>
      <c r="L351" s="50">
        <v>0</v>
      </c>
      <c r="M351" s="50">
        <v>46148427</v>
      </c>
      <c r="N351" s="50">
        <v>44308623</v>
      </c>
      <c r="O351" t="s">
        <v>351</v>
      </c>
      <c r="P351">
        <v>79840465</v>
      </c>
      <c r="Q351" t="s">
        <v>3368</v>
      </c>
      <c r="R351" t="s">
        <v>316</v>
      </c>
      <c r="S351" t="s">
        <v>317</v>
      </c>
      <c r="T351" s="2">
        <v>488431733127</v>
      </c>
      <c r="U351" t="s">
        <v>319</v>
      </c>
      <c r="V351">
        <v>860034313</v>
      </c>
      <c r="W351" t="s">
        <v>355</v>
      </c>
      <c r="X351" s="2">
        <v>125</v>
      </c>
      <c r="Y351" s="2">
        <v>125</v>
      </c>
      <c r="Z351" s="2">
        <v>35025</v>
      </c>
      <c r="AA351">
        <v>0</v>
      </c>
      <c r="AB351">
        <v>37325</v>
      </c>
      <c r="AC351">
        <v>64617725</v>
      </c>
      <c r="AD351">
        <v>0</v>
      </c>
      <c r="AE351" s="5">
        <v>45708</v>
      </c>
      <c r="AF351" t="s">
        <v>356</v>
      </c>
      <c r="AG351" t="s">
        <v>3371</v>
      </c>
      <c r="AH351" t="s">
        <v>742</v>
      </c>
    </row>
    <row r="352" spans="1:34" ht="15" customHeight="1" x14ac:dyDescent="0.2">
      <c r="A352" t="s">
        <v>4427</v>
      </c>
      <c r="B352" t="s">
        <v>485</v>
      </c>
      <c r="C352" s="2">
        <v>35125</v>
      </c>
      <c r="D352" s="5">
        <v>45708</v>
      </c>
      <c r="E352" s="5">
        <v>45708.93472222222</v>
      </c>
      <c r="F352" t="s">
        <v>312</v>
      </c>
      <c r="G352" s="2">
        <v>923245</v>
      </c>
      <c r="H352" t="s">
        <v>29</v>
      </c>
      <c r="I352" t="s">
        <v>30</v>
      </c>
      <c r="J352" t="s">
        <v>31</v>
      </c>
      <c r="K352" s="50">
        <v>46148427</v>
      </c>
      <c r="L352" s="50">
        <v>0</v>
      </c>
      <c r="M352" s="50">
        <v>46148427</v>
      </c>
      <c r="N352" s="50">
        <v>44308623</v>
      </c>
      <c r="O352" t="s">
        <v>351</v>
      </c>
      <c r="P352">
        <v>80737587</v>
      </c>
      <c r="Q352" t="s">
        <v>3566</v>
      </c>
      <c r="R352" t="s">
        <v>316</v>
      </c>
      <c r="S352" t="s">
        <v>317</v>
      </c>
      <c r="T352" s="2">
        <v>116200003542</v>
      </c>
      <c r="U352" t="s">
        <v>319</v>
      </c>
      <c r="V352">
        <v>900047981</v>
      </c>
      <c r="W352" t="s">
        <v>399</v>
      </c>
      <c r="X352" s="2">
        <v>3825</v>
      </c>
      <c r="Y352" s="2">
        <v>3825</v>
      </c>
      <c r="Z352" s="2">
        <v>35125</v>
      </c>
      <c r="AA352">
        <v>0</v>
      </c>
      <c r="AB352">
        <v>41525</v>
      </c>
      <c r="AC352">
        <v>66432125</v>
      </c>
      <c r="AD352">
        <v>0</v>
      </c>
      <c r="AE352" s="5">
        <v>45708</v>
      </c>
      <c r="AF352" t="s">
        <v>356</v>
      </c>
      <c r="AG352" t="s">
        <v>3569</v>
      </c>
      <c r="AH352" t="s">
        <v>742</v>
      </c>
    </row>
    <row r="353" spans="1:34" ht="15" customHeight="1" x14ac:dyDescent="0.2">
      <c r="A353" t="s">
        <v>4428</v>
      </c>
      <c r="B353" t="s">
        <v>485</v>
      </c>
      <c r="C353" s="2">
        <v>35225</v>
      </c>
      <c r="D353" s="5">
        <v>45709</v>
      </c>
      <c r="E353" s="5">
        <v>45709.599999999999</v>
      </c>
      <c r="F353" t="s">
        <v>312</v>
      </c>
      <c r="G353" s="2">
        <v>923245</v>
      </c>
      <c r="H353" t="s">
        <v>29</v>
      </c>
      <c r="I353" t="s">
        <v>30</v>
      </c>
      <c r="J353" t="s">
        <v>31</v>
      </c>
      <c r="K353" s="50">
        <v>46148427</v>
      </c>
      <c r="L353" s="50">
        <v>0</v>
      </c>
      <c r="M353" s="50">
        <v>46148427</v>
      </c>
      <c r="N353" s="50">
        <v>44308623</v>
      </c>
      <c r="O353" t="s">
        <v>351</v>
      </c>
      <c r="P353">
        <v>39668402</v>
      </c>
      <c r="Q353" t="s">
        <v>3373</v>
      </c>
      <c r="R353" t="s">
        <v>316</v>
      </c>
      <c r="S353" t="s">
        <v>317</v>
      </c>
      <c r="T353" s="2">
        <v>24050999947</v>
      </c>
      <c r="U353" t="s">
        <v>319</v>
      </c>
      <c r="V353">
        <v>860007335</v>
      </c>
      <c r="W353" t="s">
        <v>381</v>
      </c>
      <c r="X353" s="2">
        <v>3825</v>
      </c>
      <c r="Y353" s="2">
        <v>3825</v>
      </c>
      <c r="Z353" s="2">
        <v>35225</v>
      </c>
      <c r="AA353">
        <v>0</v>
      </c>
      <c r="AB353">
        <v>37425</v>
      </c>
      <c r="AC353">
        <v>64617825</v>
      </c>
      <c r="AD353">
        <v>0</v>
      </c>
      <c r="AE353" s="5">
        <v>45709</v>
      </c>
      <c r="AF353" t="s">
        <v>356</v>
      </c>
      <c r="AG353" t="s">
        <v>3376</v>
      </c>
      <c r="AH353" t="s">
        <v>3377</v>
      </c>
    </row>
    <row r="354" spans="1:34" ht="15" customHeight="1" x14ac:dyDescent="0.2">
      <c r="A354" t="s">
        <v>4429</v>
      </c>
      <c r="B354" t="s">
        <v>485</v>
      </c>
      <c r="C354" s="2">
        <v>35325</v>
      </c>
      <c r="D354" s="5">
        <v>45709</v>
      </c>
      <c r="E354" s="5">
        <v>45709.599999999999</v>
      </c>
      <c r="F354" t="s">
        <v>312</v>
      </c>
      <c r="G354" s="2">
        <v>923245</v>
      </c>
      <c r="H354" t="s">
        <v>29</v>
      </c>
      <c r="I354" t="s">
        <v>30</v>
      </c>
      <c r="J354" t="s">
        <v>31</v>
      </c>
      <c r="K354" s="50">
        <v>46148427</v>
      </c>
      <c r="L354" s="50">
        <v>0</v>
      </c>
      <c r="M354" s="50">
        <v>46148427</v>
      </c>
      <c r="N354" s="50">
        <v>44308623</v>
      </c>
      <c r="O354" t="s">
        <v>351</v>
      </c>
      <c r="P354">
        <v>1010179352</v>
      </c>
      <c r="Q354" t="s">
        <v>3380</v>
      </c>
      <c r="R354" t="s">
        <v>316</v>
      </c>
      <c r="S354" t="s">
        <v>317</v>
      </c>
      <c r="T354" s="2">
        <v>123271918</v>
      </c>
      <c r="U354" t="s">
        <v>319</v>
      </c>
      <c r="V354">
        <v>860002964</v>
      </c>
      <c r="W354" t="s">
        <v>419</v>
      </c>
      <c r="X354" s="2">
        <v>3825</v>
      </c>
      <c r="Y354" s="2">
        <v>3825</v>
      </c>
      <c r="Z354" s="2">
        <v>35325</v>
      </c>
      <c r="AA354">
        <v>0</v>
      </c>
      <c r="AB354">
        <v>37525</v>
      </c>
      <c r="AC354">
        <v>64617925</v>
      </c>
      <c r="AD354">
        <v>0</v>
      </c>
      <c r="AE354" s="5">
        <v>45709</v>
      </c>
      <c r="AF354" t="s">
        <v>356</v>
      </c>
      <c r="AG354" t="s">
        <v>3383</v>
      </c>
      <c r="AH354" t="s">
        <v>3377</v>
      </c>
    </row>
    <row r="355" spans="1:34" ht="15" customHeight="1" x14ac:dyDescent="0.2">
      <c r="A355" t="s">
        <v>4430</v>
      </c>
      <c r="B355" t="s">
        <v>485</v>
      </c>
      <c r="C355" s="2">
        <v>35425</v>
      </c>
      <c r="D355" s="5">
        <v>45709</v>
      </c>
      <c r="E355" s="5">
        <v>45709.599999999999</v>
      </c>
      <c r="F355" t="s">
        <v>312</v>
      </c>
      <c r="G355" s="2">
        <v>923245</v>
      </c>
      <c r="H355" t="s">
        <v>29</v>
      </c>
      <c r="I355" t="s">
        <v>30</v>
      </c>
      <c r="J355" t="s">
        <v>31</v>
      </c>
      <c r="K355" s="50">
        <v>46148427</v>
      </c>
      <c r="L355" s="50">
        <v>0</v>
      </c>
      <c r="M355" s="50">
        <v>46148427</v>
      </c>
      <c r="N355" s="50">
        <v>44308623</v>
      </c>
      <c r="O355" t="s">
        <v>351</v>
      </c>
      <c r="P355">
        <v>80830134</v>
      </c>
      <c r="Q355" t="s">
        <v>3386</v>
      </c>
      <c r="R355" t="s">
        <v>316</v>
      </c>
      <c r="S355" t="s">
        <v>317</v>
      </c>
      <c r="T355" s="2">
        <v>4502053365</v>
      </c>
      <c r="U355" t="s">
        <v>319</v>
      </c>
      <c r="V355">
        <v>860034594</v>
      </c>
      <c r="W355" t="s">
        <v>374</v>
      </c>
      <c r="X355" s="2">
        <v>3825</v>
      </c>
      <c r="Y355" s="2">
        <v>3825</v>
      </c>
      <c r="Z355" s="2">
        <v>35425</v>
      </c>
      <c r="AA355">
        <v>0</v>
      </c>
      <c r="AB355">
        <v>37625</v>
      </c>
      <c r="AC355">
        <v>64618025</v>
      </c>
      <c r="AD355">
        <v>0</v>
      </c>
      <c r="AE355" s="5">
        <v>45709</v>
      </c>
      <c r="AF355" t="s">
        <v>356</v>
      </c>
      <c r="AG355" t="s">
        <v>3389</v>
      </c>
      <c r="AH355" t="s">
        <v>3377</v>
      </c>
    </row>
    <row r="356" spans="1:34" ht="15" customHeight="1" x14ac:dyDescent="0.2">
      <c r="A356" t="s">
        <v>4431</v>
      </c>
      <c r="B356" t="s">
        <v>485</v>
      </c>
      <c r="C356" s="2">
        <v>35525</v>
      </c>
      <c r="D356" s="5">
        <v>45709</v>
      </c>
      <c r="E356" s="5">
        <v>45709.599999999999</v>
      </c>
      <c r="F356" t="s">
        <v>312</v>
      </c>
      <c r="G356" s="2">
        <v>923245</v>
      </c>
      <c r="H356" t="s">
        <v>29</v>
      </c>
      <c r="I356" t="s">
        <v>30</v>
      </c>
      <c r="J356" t="s">
        <v>31</v>
      </c>
      <c r="K356" s="50">
        <v>46148427</v>
      </c>
      <c r="L356" s="50">
        <v>0</v>
      </c>
      <c r="M356" s="50">
        <v>46148427</v>
      </c>
      <c r="N356" s="50">
        <v>44308623</v>
      </c>
      <c r="O356" t="s">
        <v>351</v>
      </c>
      <c r="P356">
        <v>1073708200</v>
      </c>
      <c r="Q356" t="s">
        <v>3392</v>
      </c>
      <c r="R356" t="s">
        <v>316</v>
      </c>
      <c r="S356" t="s">
        <v>317</v>
      </c>
      <c r="T356" s="2">
        <v>948055132</v>
      </c>
      <c r="U356" t="s">
        <v>319</v>
      </c>
      <c r="V356">
        <v>860002964</v>
      </c>
      <c r="W356" t="s">
        <v>419</v>
      </c>
      <c r="X356" s="2">
        <v>3825</v>
      </c>
      <c r="Y356" s="2">
        <v>3825</v>
      </c>
      <c r="Z356" s="2">
        <v>35525</v>
      </c>
      <c r="AA356">
        <v>0</v>
      </c>
      <c r="AB356">
        <v>37725</v>
      </c>
      <c r="AC356">
        <v>64618125</v>
      </c>
      <c r="AD356">
        <v>0</v>
      </c>
      <c r="AE356" s="5">
        <v>45709</v>
      </c>
      <c r="AF356" t="s">
        <v>356</v>
      </c>
      <c r="AG356" t="s">
        <v>3395</v>
      </c>
      <c r="AH356" t="s">
        <v>3377</v>
      </c>
    </row>
    <row r="357" spans="1:34" ht="15" customHeight="1" x14ac:dyDescent="0.2">
      <c r="A357" t="s">
        <v>4432</v>
      </c>
      <c r="B357" t="s">
        <v>485</v>
      </c>
      <c r="C357" s="2">
        <v>35625</v>
      </c>
      <c r="D357" s="5">
        <v>45709</v>
      </c>
      <c r="E357" s="5">
        <v>45709.599999999999</v>
      </c>
      <c r="F357" t="s">
        <v>312</v>
      </c>
      <c r="G357" s="2">
        <v>923245</v>
      </c>
      <c r="H357" t="s">
        <v>29</v>
      </c>
      <c r="I357" t="s">
        <v>30</v>
      </c>
      <c r="J357" t="s">
        <v>31</v>
      </c>
      <c r="K357" s="50">
        <v>46148427</v>
      </c>
      <c r="L357" s="50">
        <v>0</v>
      </c>
      <c r="M357" s="50">
        <v>46148427</v>
      </c>
      <c r="N357" s="50">
        <v>44308623</v>
      </c>
      <c r="O357" t="s">
        <v>351</v>
      </c>
      <c r="P357">
        <v>80357724</v>
      </c>
      <c r="Q357" t="s">
        <v>3397</v>
      </c>
      <c r="R357" t="s">
        <v>316</v>
      </c>
      <c r="S357" t="s">
        <v>317</v>
      </c>
      <c r="T357" s="2">
        <v>65994181046</v>
      </c>
      <c r="U357" t="s">
        <v>319</v>
      </c>
      <c r="V357">
        <v>890903938</v>
      </c>
      <c r="W357" t="s">
        <v>342</v>
      </c>
      <c r="X357" s="2">
        <v>3825</v>
      </c>
      <c r="Y357" s="2">
        <v>3825</v>
      </c>
      <c r="Z357" s="2">
        <v>35625</v>
      </c>
      <c r="AA357">
        <v>0</v>
      </c>
      <c r="AB357">
        <v>37825</v>
      </c>
      <c r="AC357">
        <v>64618225</v>
      </c>
      <c r="AD357">
        <v>0</v>
      </c>
      <c r="AE357" s="5">
        <v>45709</v>
      </c>
      <c r="AF357" t="s">
        <v>356</v>
      </c>
      <c r="AG357" t="s">
        <v>3400</v>
      </c>
      <c r="AH357" t="s">
        <v>3377</v>
      </c>
    </row>
    <row r="358" spans="1:34" ht="15" customHeight="1" x14ac:dyDescent="0.2">
      <c r="A358" t="s">
        <v>4433</v>
      </c>
      <c r="B358" t="s">
        <v>485</v>
      </c>
      <c r="C358" s="2">
        <v>35725</v>
      </c>
      <c r="D358" s="5">
        <v>45709</v>
      </c>
      <c r="E358" s="5">
        <v>45709.599999999999</v>
      </c>
      <c r="F358" t="s">
        <v>312</v>
      </c>
      <c r="G358" s="2">
        <v>923245</v>
      </c>
      <c r="H358" t="s">
        <v>29</v>
      </c>
      <c r="I358" t="s">
        <v>30</v>
      </c>
      <c r="J358" t="s">
        <v>31</v>
      </c>
      <c r="K358" s="50">
        <v>46148427</v>
      </c>
      <c r="L358" s="50">
        <v>0</v>
      </c>
      <c r="M358" s="50">
        <v>46148427</v>
      </c>
      <c r="N358" s="50">
        <v>44308623</v>
      </c>
      <c r="O358" t="s">
        <v>351</v>
      </c>
      <c r="P358">
        <v>7167348</v>
      </c>
      <c r="Q358" t="s">
        <v>3402</v>
      </c>
      <c r="R358" t="s">
        <v>316</v>
      </c>
      <c r="S358" t="s">
        <v>317</v>
      </c>
      <c r="T358" s="2">
        <v>176270087206</v>
      </c>
      <c r="U358" t="s">
        <v>319</v>
      </c>
      <c r="V358">
        <v>860034313</v>
      </c>
      <c r="W358" t="s">
        <v>355</v>
      </c>
      <c r="X358" s="2">
        <v>3825</v>
      </c>
      <c r="Y358" s="2">
        <v>3825</v>
      </c>
      <c r="Z358" s="2">
        <v>35725</v>
      </c>
      <c r="AA358">
        <v>0</v>
      </c>
      <c r="AB358">
        <v>37925</v>
      </c>
      <c r="AC358">
        <v>64618325</v>
      </c>
      <c r="AD358">
        <v>0</v>
      </c>
      <c r="AE358" s="5">
        <v>45709</v>
      </c>
      <c r="AF358" t="s">
        <v>356</v>
      </c>
      <c r="AG358" t="s">
        <v>3406</v>
      </c>
      <c r="AH358" t="s">
        <v>3377</v>
      </c>
    </row>
    <row r="359" spans="1:34" ht="15" customHeight="1" x14ac:dyDescent="0.2">
      <c r="A359" t="s">
        <v>4434</v>
      </c>
      <c r="B359" t="s">
        <v>485</v>
      </c>
      <c r="C359" s="2">
        <v>35825</v>
      </c>
      <c r="D359" s="5">
        <v>45709</v>
      </c>
      <c r="E359" s="5">
        <v>45709.599999999999</v>
      </c>
      <c r="F359" t="s">
        <v>312</v>
      </c>
      <c r="G359" s="2">
        <v>923245</v>
      </c>
      <c r="H359" t="s">
        <v>29</v>
      </c>
      <c r="I359" t="s">
        <v>30</v>
      </c>
      <c r="J359" t="s">
        <v>31</v>
      </c>
      <c r="K359" s="50">
        <v>46148427</v>
      </c>
      <c r="L359" s="50">
        <v>0</v>
      </c>
      <c r="M359" s="50">
        <v>46148427</v>
      </c>
      <c r="N359" s="50">
        <v>44308623</v>
      </c>
      <c r="O359" t="s">
        <v>351</v>
      </c>
      <c r="P359">
        <v>1022374983</v>
      </c>
      <c r="Q359" t="s">
        <v>3409</v>
      </c>
      <c r="R359" t="s">
        <v>316</v>
      </c>
      <c r="S359" t="s">
        <v>317</v>
      </c>
      <c r="T359" s="2">
        <v>22128259451</v>
      </c>
      <c r="U359" t="s">
        <v>319</v>
      </c>
      <c r="V359">
        <v>890903938</v>
      </c>
      <c r="W359" t="s">
        <v>342</v>
      </c>
      <c r="X359" s="2">
        <v>3825</v>
      </c>
      <c r="Y359" s="2">
        <v>3825</v>
      </c>
      <c r="Z359" s="2">
        <v>35825</v>
      </c>
      <c r="AA359">
        <v>0</v>
      </c>
      <c r="AB359">
        <v>38025</v>
      </c>
      <c r="AC359">
        <v>64618425</v>
      </c>
      <c r="AD359">
        <v>0</v>
      </c>
      <c r="AE359" s="5">
        <v>45709</v>
      </c>
      <c r="AF359" t="s">
        <v>356</v>
      </c>
      <c r="AG359" t="s">
        <v>3412</v>
      </c>
      <c r="AH359" t="s">
        <v>3413</v>
      </c>
    </row>
    <row r="360" spans="1:34" ht="15" customHeight="1" x14ac:dyDescent="0.2">
      <c r="A360" t="s">
        <v>4435</v>
      </c>
      <c r="B360" t="s">
        <v>485</v>
      </c>
      <c r="C360" s="2">
        <v>35925</v>
      </c>
      <c r="D360" s="5">
        <v>45709</v>
      </c>
      <c r="E360" s="5">
        <v>45709.599999999999</v>
      </c>
      <c r="F360" t="s">
        <v>312</v>
      </c>
      <c r="G360" s="2">
        <v>923245</v>
      </c>
      <c r="H360" t="s">
        <v>29</v>
      </c>
      <c r="I360" t="s">
        <v>30</v>
      </c>
      <c r="J360" t="s">
        <v>31</v>
      </c>
      <c r="K360" s="50">
        <v>46148427</v>
      </c>
      <c r="L360" s="50">
        <v>0</v>
      </c>
      <c r="M360" s="50">
        <v>46148427</v>
      </c>
      <c r="N360" s="50">
        <v>44308623</v>
      </c>
      <c r="O360" t="s">
        <v>351</v>
      </c>
      <c r="P360">
        <v>79220367</v>
      </c>
      <c r="Q360" t="s">
        <v>3415</v>
      </c>
      <c r="R360" t="s">
        <v>316</v>
      </c>
      <c r="S360" t="s">
        <v>317</v>
      </c>
      <c r="T360" s="2">
        <v>22155203092</v>
      </c>
      <c r="U360" t="s">
        <v>319</v>
      </c>
      <c r="V360">
        <v>890903938</v>
      </c>
      <c r="W360" t="s">
        <v>342</v>
      </c>
      <c r="X360" s="2">
        <v>3825</v>
      </c>
      <c r="Y360" s="2">
        <v>3825</v>
      </c>
      <c r="Z360" s="2">
        <v>35925</v>
      </c>
      <c r="AA360">
        <v>0</v>
      </c>
      <c r="AB360">
        <v>38125</v>
      </c>
      <c r="AC360">
        <v>64618525</v>
      </c>
      <c r="AD360">
        <v>0</v>
      </c>
      <c r="AE360" s="5">
        <v>45709</v>
      </c>
      <c r="AF360" t="s">
        <v>356</v>
      </c>
      <c r="AG360" t="s">
        <v>3417</v>
      </c>
      <c r="AH360" t="s">
        <v>3377</v>
      </c>
    </row>
    <row r="361" spans="1:34" ht="15" customHeight="1" x14ac:dyDescent="0.2">
      <c r="A361" t="s">
        <v>4436</v>
      </c>
      <c r="B361" t="s">
        <v>485</v>
      </c>
      <c r="C361" s="2">
        <v>36025</v>
      </c>
      <c r="D361" s="5">
        <v>45709</v>
      </c>
      <c r="E361" s="5">
        <v>45709.640277777777</v>
      </c>
      <c r="F361" t="s">
        <v>312</v>
      </c>
      <c r="G361" s="2">
        <v>923245</v>
      </c>
      <c r="H361" t="s">
        <v>29</v>
      </c>
      <c r="I361" t="s">
        <v>30</v>
      </c>
      <c r="J361" t="s">
        <v>31</v>
      </c>
      <c r="K361" s="50">
        <v>46148427</v>
      </c>
      <c r="L361" s="50">
        <v>0</v>
      </c>
      <c r="M361" s="50">
        <v>46148427</v>
      </c>
      <c r="N361" s="50">
        <v>44308623</v>
      </c>
      <c r="O361" t="s">
        <v>351</v>
      </c>
      <c r="P361">
        <v>79207730</v>
      </c>
      <c r="Q361" t="s">
        <v>3419</v>
      </c>
      <c r="R361" t="s">
        <v>316</v>
      </c>
      <c r="S361" t="s">
        <v>317</v>
      </c>
      <c r="T361" s="2">
        <v>22167966598</v>
      </c>
      <c r="U361" t="s">
        <v>319</v>
      </c>
      <c r="V361">
        <v>890903938</v>
      </c>
      <c r="W361" t="s">
        <v>342</v>
      </c>
      <c r="X361" s="2">
        <v>3825</v>
      </c>
      <c r="Y361" s="2">
        <v>3825</v>
      </c>
      <c r="Z361" s="2">
        <v>36025</v>
      </c>
      <c r="AA361">
        <v>0</v>
      </c>
      <c r="AB361">
        <v>38225</v>
      </c>
      <c r="AC361">
        <v>64618625</v>
      </c>
      <c r="AD361">
        <v>0</v>
      </c>
      <c r="AE361" s="5">
        <v>45709</v>
      </c>
      <c r="AF361" t="s">
        <v>356</v>
      </c>
      <c r="AG361" t="s">
        <v>3421</v>
      </c>
      <c r="AH361" t="s">
        <v>748</v>
      </c>
    </row>
    <row r="362" spans="1:34" ht="15" customHeight="1" x14ac:dyDescent="0.2">
      <c r="A362" t="s">
        <v>4437</v>
      </c>
      <c r="B362" t="s">
        <v>485</v>
      </c>
      <c r="C362" s="2">
        <v>36125</v>
      </c>
      <c r="D362" s="5">
        <v>45709</v>
      </c>
      <c r="E362" s="5">
        <v>45709.643055555556</v>
      </c>
      <c r="F362" t="s">
        <v>312</v>
      </c>
      <c r="G362" s="2">
        <v>923245</v>
      </c>
      <c r="H362" t="s">
        <v>29</v>
      </c>
      <c r="I362" t="s">
        <v>30</v>
      </c>
      <c r="J362" t="s">
        <v>31</v>
      </c>
      <c r="K362" s="50">
        <v>46148427</v>
      </c>
      <c r="L362" s="50">
        <v>0</v>
      </c>
      <c r="M362" s="50">
        <v>46148427</v>
      </c>
      <c r="N362" s="50">
        <v>44308623</v>
      </c>
      <c r="O362" t="s">
        <v>351</v>
      </c>
      <c r="P362">
        <v>53890046</v>
      </c>
      <c r="Q362" t="s">
        <v>3423</v>
      </c>
      <c r="R362" t="s">
        <v>316</v>
      </c>
      <c r="S362" t="s">
        <v>317</v>
      </c>
      <c r="T362" s="2">
        <v>22148706038</v>
      </c>
      <c r="U362" t="s">
        <v>319</v>
      </c>
      <c r="V362">
        <v>890903938</v>
      </c>
      <c r="W362" t="s">
        <v>342</v>
      </c>
      <c r="X362" s="2">
        <v>3825</v>
      </c>
      <c r="Y362" s="2">
        <v>3825</v>
      </c>
      <c r="Z362" s="2">
        <v>36125</v>
      </c>
      <c r="AA362">
        <v>0</v>
      </c>
      <c r="AB362">
        <v>38325</v>
      </c>
      <c r="AC362">
        <v>64618725</v>
      </c>
      <c r="AD362">
        <v>0</v>
      </c>
      <c r="AE362" s="5">
        <v>45709</v>
      </c>
      <c r="AF362" t="s">
        <v>356</v>
      </c>
      <c r="AG362" t="s">
        <v>3425</v>
      </c>
      <c r="AH362" t="s">
        <v>748</v>
      </c>
    </row>
    <row r="363" spans="1:34" ht="15" customHeight="1" x14ac:dyDescent="0.2">
      <c r="A363" t="s">
        <v>4438</v>
      </c>
      <c r="B363" t="s">
        <v>485</v>
      </c>
      <c r="C363" s="2">
        <v>36225</v>
      </c>
      <c r="D363" s="5">
        <v>45709</v>
      </c>
      <c r="E363" s="5">
        <v>45709.645138888889</v>
      </c>
      <c r="F363" t="s">
        <v>312</v>
      </c>
      <c r="G363" s="2">
        <v>923245</v>
      </c>
      <c r="H363" t="s">
        <v>29</v>
      </c>
      <c r="I363" t="s">
        <v>30</v>
      </c>
      <c r="J363" t="s">
        <v>31</v>
      </c>
      <c r="K363" s="50">
        <v>46148427</v>
      </c>
      <c r="L363" s="50">
        <v>0</v>
      </c>
      <c r="M363" s="50">
        <v>46148427</v>
      </c>
      <c r="N363" s="50">
        <v>44308623</v>
      </c>
      <c r="O363" t="s">
        <v>351</v>
      </c>
      <c r="P363">
        <v>79217310</v>
      </c>
      <c r="Q363" t="s">
        <v>3427</v>
      </c>
      <c r="R363" t="s">
        <v>316</v>
      </c>
      <c r="S363" t="s">
        <v>317</v>
      </c>
      <c r="T363" s="2">
        <v>45119765</v>
      </c>
      <c r="U363" t="s">
        <v>319</v>
      </c>
      <c r="V363">
        <v>860002964</v>
      </c>
      <c r="W363" t="s">
        <v>419</v>
      </c>
      <c r="X363" s="2">
        <v>3825</v>
      </c>
      <c r="Y363" s="2">
        <v>3825</v>
      </c>
      <c r="Z363" s="2">
        <v>36225</v>
      </c>
      <c r="AA363">
        <v>0</v>
      </c>
      <c r="AB363">
        <v>38425</v>
      </c>
      <c r="AC363">
        <v>64618825</v>
      </c>
      <c r="AD363">
        <v>0</v>
      </c>
      <c r="AE363" s="5">
        <v>45709</v>
      </c>
      <c r="AF363" t="s">
        <v>356</v>
      </c>
      <c r="AG363" t="s">
        <v>3429</v>
      </c>
      <c r="AH363" t="s">
        <v>3430</v>
      </c>
    </row>
    <row r="364" spans="1:34" ht="15" customHeight="1" x14ac:dyDescent="0.2">
      <c r="A364" t="s">
        <v>4439</v>
      </c>
      <c r="B364" t="s">
        <v>485</v>
      </c>
      <c r="C364" s="2">
        <v>36325</v>
      </c>
      <c r="D364" s="5">
        <v>45709</v>
      </c>
      <c r="E364" s="5">
        <v>45709.647916666669</v>
      </c>
      <c r="F364" t="s">
        <v>312</v>
      </c>
      <c r="G364" s="2">
        <v>923245</v>
      </c>
      <c r="H364" t="s">
        <v>29</v>
      </c>
      <c r="I364" t="s">
        <v>30</v>
      </c>
      <c r="J364" t="s">
        <v>31</v>
      </c>
      <c r="K364" s="50">
        <v>46148427</v>
      </c>
      <c r="L364" s="50">
        <v>0</v>
      </c>
      <c r="M364" s="50">
        <v>46148427</v>
      </c>
      <c r="N364" s="50">
        <v>44308623</v>
      </c>
      <c r="O364" t="s">
        <v>351</v>
      </c>
      <c r="P364">
        <v>49729347</v>
      </c>
      <c r="Q364" t="s">
        <v>3433</v>
      </c>
      <c r="R364" t="s">
        <v>316</v>
      </c>
      <c r="S364" t="s">
        <v>317</v>
      </c>
      <c r="T364" s="2">
        <v>6272000828</v>
      </c>
      <c r="U364" t="s">
        <v>319</v>
      </c>
      <c r="V364">
        <v>860034594</v>
      </c>
      <c r="W364" t="s">
        <v>374</v>
      </c>
      <c r="X364" s="2">
        <v>3825</v>
      </c>
      <c r="Y364" s="2">
        <v>3825</v>
      </c>
      <c r="Z364" s="2">
        <v>36325</v>
      </c>
      <c r="AA364">
        <v>0</v>
      </c>
      <c r="AB364">
        <v>38525</v>
      </c>
      <c r="AC364">
        <v>64618925</v>
      </c>
      <c r="AD364">
        <v>0</v>
      </c>
      <c r="AE364" s="5">
        <v>45709</v>
      </c>
      <c r="AF364" t="s">
        <v>356</v>
      </c>
      <c r="AG364" t="s">
        <v>3435</v>
      </c>
      <c r="AH364" t="s">
        <v>748</v>
      </c>
    </row>
    <row r="365" spans="1:34" ht="15" customHeight="1" x14ac:dyDescent="0.2">
      <c r="A365" t="s">
        <v>4440</v>
      </c>
      <c r="B365" t="s">
        <v>486</v>
      </c>
      <c r="C365" s="2">
        <v>36425</v>
      </c>
      <c r="D365" s="5">
        <v>45709</v>
      </c>
      <c r="E365" s="5">
        <v>45709.681250000001</v>
      </c>
      <c r="F365" t="s">
        <v>312</v>
      </c>
      <c r="G365" s="2">
        <v>923285</v>
      </c>
      <c r="H365" t="s">
        <v>29</v>
      </c>
      <c r="I365" t="s">
        <v>30</v>
      </c>
      <c r="J365" t="s">
        <v>31</v>
      </c>
      <c r="K365" s="50">
        <v>46148427</v>
      </c>
      <c r="L365" s="50">
        <v>0</v>
      </c>
      <c r="M365" s="50">
        <v>46148427</v>
      </c>
      <c r="N365" s="50">
        <v>44308623</v>
      </c>
      <c r="O365" t="s">
        <v>351</v>
      </c>
      <c r="P365">
        <v>11317827</v>
      </c>
      <c r="Q365" t="s">
        <v>3438</v>
      </c>
      <c r="R365" t="s">
        <v>316</v>
      </c>
      <c r="S365" t="s">
        <v>317</v>
      </c>
      <c r="T365" s="2">
        <v>356070058264</v>
      </c>
      <c r="U365" t="s">
        <v>319</v>
      </c>
      <c r="V365">
        <v>860034313</v>
      </c>
      <c r="W365" t="s">
        <v>355</v>
      </c>
      <c r="X365" s="2">
        <v>4225</v>
      </c>
      <c r="Y365" s="2">
        <v>4225</v>
      </c>
      <c r="Z365" s="2">
        <v>36425</v>
      </c>
      <c r="AA365">
        <v>0</v>
      </c>
      <c r="AB365">
        <v>38625</v>
      </c>
      <c r="AC365">
        <v>64619025</v>
      </c>
      <c r="AD365">
        <v>0</v>
      </c>
      <c r="AE365" s="5">
        <v>45709</v>
      </c>
      <c r="AF365" t="s">
        <v>356</v>
      </c>
      <c r="AG365" t="s">
        <v>3440</v>
      </c>
      <c r="AH365" t="s">
        <v>742</v>
      </c>
    </row>
    <row r="366" spans="1:34" ht="15" customHeight="1" x14ac:dyDescent="0.2">
      <c r="A366" t="s">
        <v>4441</v>
      </c>
      <c r="B366" t="s">
        <v>486</v>
      </c>
      <c r="C366" s="2">
        <v>36525</v>
      </c>
      <c r="D366" s="5">
        <v>45709</v>
      </c>
      <c r="E366" s="5">
        <v>45709.728472222225</v>
      </c>
      <c r="F366" t="s">
        <v>312</v>
      </c>
      <c r="G366" s="2">
        <v>923285</v>
      </c>
      <c r="H366" t="s">
        <v>29</v>
      </c>
      <c r="I366" t="s">
        <v>30</v>
      </c>
      <c r="J366" t="s">
        <v>31</v>
      </c>
      <c r="K366" s="50">
        <v>46148427</v>
      </c>
      <c r="L366" s="50">
        <v>0</v>
      </c>
      <c r="M366" s="50">
        <v>46148427</v>
      </c>
      <c r="N366" s="50">
        <v>44308623</v>
      </c>
      <c r="O366" t="s">
        <v>351</v>
      </c>
      <c r="P366">
        <v>1022328098</v>
      </c>
      <c r="Q366" t="s">
        <v>3443</v>
      </c>
      <c r="R366" t="s">
        <v>316</v>
      </c>
      <c r="S366" t="s">
        <v>317</v>
      </c>
      <c r="T366" s="2">
        <v>488445698399</v>
      </c>
      <c r="U366" t="s">
        <v>319</v>
      </c>
      <c r="V366">
        <v>860034313</v>
      </c>
      <c r="W366" t="s">
        <v>355</v>
      </c>
      <c r="X366" s="2">
        <v>4225</v>
      </c>
      <c r="Y366" s="2">
        <v>4225</v>
      </c>
      <c r="Z366" s="2">
        <v>36525</v>
      </c>
      <c r="AA366">
        <v>0</v>
      </c>
      <c r="AB366">
        <v>38725</v>
      </c>
      <c r="AC366">
        <v>64619125</v>
      </c>
      <c r="AD366">
        <v>0</v>
      </c>
      <c r="AE366" s="5">
        <v>45709</v>
      </c>
      <c r="AF366" t="s">
        <v>356</v>
      </c>
      <c r="AG366" t="s">
        <v>3445</v>
      </c>
      <c r="AH366" t="s">
        <v>742</v>
      </c>
    </row>
    <row r="367" spans="1:34" ht="15" customHeight="1" x14ac:dyDescent="0.2">
      <c r="A367" t="s">
        <v>4442</v>
      </c>
      <c r="B367" t="s">
        <v>473</v>
      </c>
      <c r="C367" s="2">
        <v>36625</v>
      </c>
      <c r="D367" s="5">
        <v>45709</v>
      </c>
      <c r="E367" s="5">
        <v>45709.89166666667</v>
      </c>
      <c r="F367" t="s">
        <v>312</v>
      </c>
      <c r="G367" s="2">
        <v>923210</v>
      </c>
      <c r="H367" t="s">
        <v>57</v>
      </c>
      <c r="I367" t="s">
        <v>58</v>
      </c>
      <c r="J367" t="s">
        <v>31</v>
      </c>
      <c r="K367" s="50">
        <v>46148427</v>
      </c>
      <c r="L367" s="50">
        <v>0</v>
      </c>
      <c r="M367" s="50">
        <v>46148427</v>
      </c>
      <c r="N367" s="50">
        <v>44308623</v>
      </c>
      <c r="O367" t="s">
        <v>351</v>
      </c>
      <c r="P367">
        <v>1032464545</v>
      </c>
      <c r="Q367" t="s">
        <v>3448</v>
      </c>
      <c r="R367" t="s">
        <v>316</v>
      </c>
      <c r="S367" t="s">
        <v>317</v>
      </c>
      <c r="T367" s="2">
        <v>272386426</v>
      </c>
      <c r="U367" t="s">
        <v>319</v>
      </c>
      <c r="V367">
        <v>860002964</v>
      </c>
      <c r="W367" t="s">
        <v>419</v>
      </c>
      <c r="X367" s="2">
        <v>825</v>
      </c>
      <c r="Y367" s="2">
        <v>825</v>
      </c>
      <c r="Z367" s="2">
        <v>36625</v>
      </c>
      <c r="AA367">
        <v>0</v>
      </c>
      <c r="AB367">
        <v>38825</v>
      </c>
      <c r="AC367">
        <v>64619225</v>
      </c>
      <c r="AD367">
        <v>0</v>
      </c>
      <c r="AE367" s="5">
        <v>45709</v>
      </c>
      <c r="AF367" t="s">
        <v>356</v>
      </c>
      <c r="AG367" t="s">
        <v>3450</v>
      </c>
      <c r="AH367" t="s">
        <v>1332</v>
      </c>
    </row>
    <row r="368" spans="1:34" ht="15" customHeight="1" x14ac:dyDescent="0.2">
      <c r="A368" t="s">
        <v>4443</v>
      </c>
      <c r="B368" t="s">
        <v>485</v>
      </c>
      <c r="C368" s="2">
        <v>36725</v>
      </c>
      <c r="D368" s="5">
        <v>45709</v>
      </c>
      <c r="E368" s="5">
        <v>45709.895138888889</v>
      </c>
      <c r="F368" t="s">
        <v>312</v>
      </c>
      <c r="G368" s="2">
        <v>923245</v>
      </c>
      <c r="H368" t="s">
        <v>29</v>
      </c>
      <c r="I368" t="s">
        <v>30</v>
      </c>
      <c r="J368" t="s">
        <v>31</v>
      </c>
      <c r="K368" s="50">
        <v>35677249</v>
      </c>
      <c r="L368" s="50">
        <v>0</v>
      </c>
      <c r="M368" s="50">
        <v>35677249</v>
      </c>
      <c r="N368" s="50">
        <v>34254900</v>
      </c>
      <c r="O368" t="s">
        <v>351</v>
      </c>
      <c r="P368">
        <v>1073699701</v>
      </c>
      <c r="Q368" t="s">
        <v>3452</v>
      </c>
      <c r="R368" t="s">
        <v>316</v>
      </c>
      <c r="S368" t="s">
        <v>317</v>
      </c>
      <c r="T368" s="2">
        <v>7929347</v>
      </c>
      <c r="U368" t="s">
        <v>319</v>
      </c>
      <c r="V368">
        <v>860035827</v>
      </c>
      <c r="W368" t="s">
        <v>653</v>
      </c>
      <c r="X368" s="2">
        <v>3825</v>
      </c>
      <c r="Y368" s="2">
        <v>3825</v>
      </c>
      <c r="Z368" s="2">
        <v>36725</v>
      </c>
      <c r="AA368">
        <v>0</v>
      </c>
      <c r="AB368">
        <v>38925</v>
      </c>
      <c r="AC368">
        <v>64619325</v>
      </c>
      <c r="AD368">
        <v>0</v>
      </c>
      <c r="AE368" s="5">
        <v>45709</v>
      </c>
      <c r="AF368" t="s">
        <v>356</v>
      </c>
      <c r="AG368" t="s">
        <v>3455</v>
      </c>
      <c r="AH368" t="s">
        <v>1332</v>
      </c>
    </row>
    <row r="369" spans="1:34" ht="15" customHeight="1" x14ac:dyDescent="0.2">
      <c r="A369" t="s">
        <v>4444</v>
      </c>
      <c r="B369" t="s">
        <v>4445</v>
      </c>
      <c r="C369" s="2">
        <v>36825</v>
      </c>
      <c r="D369" s="5">
        <v>45709</v>
      </c>
      <c r="E369" s="5">
        <v>45709.897916666669</v>
      </c>
      <c r="F369" t="s">
        <v>312</v>
      </c>
      <c r="G369" s="2">
        <v>923218</v>
      </c>
      <c r="H369" t="s">
        <v>29</v>
      </c>
      <c r="I369" t="s">
        <v>30</v>
      </c>
      <c r="J369" t="s">
        <v>47</v>
      </c>
      <c r="K369" s="50">
        <v>46148427</v>
      </c>
      <c r="L369" s="50">
        <v>0</v>
      </c>
      <c r="M369" s="50">
        <v>46148427</v>
      </c>
      <c r="N369" s="50">
        <v>44308623</v>
      </c>
      <c r="O369" t="s">
        <v>351</v>
      </c>
      <c r="P369">
        <v>1016100841</v>
      </c>
      <c r="Q369" t="s">
        <v>3457</v>
      </c>
      <c r="R369" t="s">
        <v>316</v>
      </c>
      <c r="S369" t="s">
        <v>317</v>
      </c>
      <c r="T369" s="2">
        <v>9900357626</v>
      </c>
      <c r="U369" t="s">
        <v>319</v>
      </c>
      <c r="V369">
        <v>860034313</v>
      </c>
      <c r="W369" t="s">
        <v>355</v>
      </c>
      <c r="X369" s="2">
        <v>2825</v>
      </c>
      <c r="Y369" s="2">
        <v>2825</v>
      </c>
      <c r="Z369" s="2">
        <v>36825</v>
      </c>
      <c r="AA369">
        <v>0</v>
      </c>
      <c r="AB369">
        <v>39025</v>
      </c>
      <c r="AC369">
        <v>64619425</v>
      </c>
      <c r="AD369">
        <v>0</v>
      </c>
      <c r="AE369" s="5">
        <v>45709</v>
      </c>
      <c r="AF369" t="s">
        <v>356</v>
      </c>
      <c r="AG369" t="s">
        <v>3459</v>
      </c>
      <c r="AH369" t="s">
        <v>1332</v>
      </c>
    </row>
    <row r="370" spans="1:34" ht="15" customHeight="1" x14ac:dyDescent="0.2">
      <c r="A370" t="s">
        <v>4446</v>
      </c>
      <c r="B370" t="s">
        <v>485</v>
      </c>
      <c r="C370" s="2">
        <v>36925</v>
      </c>
      <c r="D370" s="5">
        <v>45709</v>
      </c>
      <c r="E370" s="5">
        <v>45709.902083333334</v>
      </c>
      <c r="F370" t="s">
        <v>312</v>
      </c>
      <c r="G370" s="2">
        <v>923245</v>
      </c>
      <c r="H370" t="s">
        <v>29</v>
      </c>
      <c r="I370" t="s">
        <v>30</v>
      </c>
      <c r="J370" t="s">
        <v>31</v>
      </c>
      <c r="K370" s="50">
        <v>46148427</v>
      </c>
      <c r="L370" s="50">
        <v>0</v>
      </c>
      <c r="M370" s="50">
        <v>46148427</v>
      </c>
      <c r="N370" s="50">
        <v>44308623</v>
      </c>
      <c r="O370" t="s">
        <v>351</v>
      </c>
      <c r="P370">
        <v>1013615808</v>
      </c>
      <c r="Q370" t="s">
        <v>3461</v>
      </c>
      <c r="R370" t="s">
        <v>316</v>
      </c>
      <c r="S370" t="s">
        <v>317</v>
      </c>
      <c r="T370" s="2">
        <v>550488403206870</v>
      </c>
      <c r="U370" t="s">
        <v>319</v>
      </c>
      <c r="V370">
        <v>860034313</v>
      </c>
      <c r="W370" t="s">
        <v>355</v>
      </c>
      <c r="X370" s="2">
        <v>3825</v>
      </c>
      <c r="Y370" s="2">
        <v>3825</v>
      </c>
      <c r="Z370" s="2">
        <v>36925</v>
      </c>
      <c r="AA370">
        <v>0</v>
      </c>
      <c r="AB370">
        <v>39125</v>
      </c>
      <c r="AC370">
        <v>64619525</v>
      </c>
      <c r="AD370">
        <v>0</v>
      </c>
      <c r="AE370" s="5">
        <v>45709</v>
      </c>
      <c r="AF370" t="s">
        <v>356</v>
      </c>
      <c r="AG370" t="s">
        <v>3463</v>
      </c>
      <c r="AH370" t="s">
        <v>748</v>
      </c>
    </row>
    <row r="371" spans="1:34" ht="15" customHeight="1" x14ac:dyDescent="0.2">
      <c r="A371" t="s">
        <v>4447</v>
      </c>
      <c r="B371" t="s">
        <v>485</v>
      </c>
      <c r="C371" s="2">
        <v>37025</v>
      </c>
      <c r="D371" s="5">
        <v>45709</v>
      </c>
      <c r="E371" s="5">
        <v>45709.906944444447</v>
      </c>
      <c r="F371" t="s">
        <v>312</v>
      </c>
      <c r="G371" s="2">
        <v>923245</v>
      </c>
      <c r="H371" t="s">
        <v>29</v>
      </c>
      <c r="I371" t="s">
        <v>30</v>
      </c>
      <c r="J371" t="s">
        <v>31</v>
      </c>
      <c r="K371" s="50">
        <v>35677249</v>
      </c>
      <c r="L371" s="50">
        <v>0</v>
      </c>
      <c r="M371" s="50">
        <v>35677249</v>
      </c>
      <c r="N371" s="50">
        <v>34254900</v>
      </c>
      <c r="O371" t="s">
        <v>351</v>
      </c>
      <c r="P371">
        <v>36181189</v>
      </c>
      <c r="Q371" t="s">
        <v>3466</v>
      </c>
      <c r="R371" t="s">
        <v>316</v>
      </c>
      <c r="S371" t="s">
        <v>317</v>
      </c>
      <c r="T371" s="2">
        <v>90140444310</v>
      </c>
      <c r="U371" t="s">
        <v>319</v>
      </c>
      <c r="V371">
        <v>860050750</v>
      </c>
      <c r="W371" t="s">
        <v>321</v>
      </c>
      <c r="X371" s="2">
        <v>3825</v>
      </c>
      <c r="Y371" s="2">
        <v>3825</v>
      </c>
      <c r="Z371" s="2">
        <v>37025</v>
      </c>
      <c r="AA371">
        <v>0</v>
      </c>
      <c r="AB371">
        <v>39225</v>
      </c>
      <c r="AC371">
        <v>64619625</v>
      </c>
      <c r="AD371">
        <v>0</v>
      </c>
      <c r="AE371" s="5">
        <v>45709</v>
      </c>
      <c r="AF371" t="s">
        <v>356</v>
      </c>
      <c r="AG371" t="s">
        <v>3469</v>
      </c>
      <c r="AH371" t="s">
        <v>748</v>
      </c>
    </row>
    <row r="372" spans="1:34" ht="15" customHeight="1" x14ac:dyDescent="0.2">
      <c r="A372" t="s">
        <v>4448</v>
      </c>
      <c r="B372" t="s">
        <v>485</v>
      </c>
      <c r="C372" s="2">
        <v>37125</v>
      </c>
      <c r="D372" s="5">
        <v>45709</v>
      </c>
      <c r="E372" s="5">
        <v>45709.912499999999</v>
      </c>
      <c r="F372" t="s">
        <v>312</v>
      </c>
      <c r="G372" s="2">
        <v>923245</v>
      </c>
      <c r="H372" t="s">
        <v>29</v>
      </c>
      <c r="I372" t="s">
        <v>30</v>
      </c>
      <c r="J372" t="s">
        <v>31</v>
      </c>
      <c r="K372" s="50">
        <v>46148427</v>
      </c>
      <c r="L372" s="50">
        <v>0</v>
      </c>
      <c r="M372" s="50">
        <v>46148427</v>
      </c>
      <c r="N372" s="50">
        <v>44308623</v>
      </c>
      <c r="O372" t="s">
        <v>351</v>
      </c>
      <c r="P372">
        <v>51976419</v>
      </c>
      <c r="Q372" t="s">
        <v>3472</v>
      </c>
      <c r="R372" t="s">
        <v>316</v>
      </c>
      <c r="S372" t="s">
        <v>317</v>
      </c>
      <c r="T372" s="2">
        <v>233275635</v>
      </c>
      <c r="U372" t="s">
        <v>319</v>
      </c>
      <c r="V372">
        <v>860003020</v>
      </c>
      <c r="W372" t="s">
        <v>393</v>
      </c>
      <c r="X372" s="2">
        <v>3825</v>
      </c>
      <c r="Y372" s="2">
        <v>3825</v>
      </c>
      <c r="Z372" s="2">
        <v>37125</v>
      </c>
      <c r="AA372">
        <v>0</v>
      </c>
      <c r="AB372">
        <v>39325</v>
      </c>
      <c r="AC372">
        <v>64619725</v>
      </c>
      <c r="AD372">
        <v>0</v>
      </c>
      <c r="AE372" s="5">
        <v>45709</v>
      </c>
      <c r="AF372" t="s">
        <v>356</v>
      </c>
      <c r="AG372" t="s">
        <v>3475</v>
      </c>
      <c r="AH372" t="s">
        <v>748</v>
      </c>
    </row>
    <row r="373" spans="1:34" ht="15" customHeight="1" x14ac:dyDescent="0.2">
      <c r="A373" t="s">
        <v>4449</v>
      </c>
      <c r="B373" t="s">
        <v>485</v>
      </c>
      <c r="C373" s="2">
        <v>37225</v>
      </c>
      <c r="D373" s="5">
        <v>45709</v>
      </c>
      <c r="E373" s="5">
        <v>45709.918749999997</v>
      </c>
      <c r="F373" t="s">
        <v>312</v>
      </c>
      <c r="G373" s="2">
        <v>923245</v>
      </c>
      <c r="H373" t="s">
        <v>29</v>
      </c>
      <c r="I373" t="s">
        <v>30</v>
      </c>
      <c r="J373" t="s">
        <v>31</v>
      </c>
      <c r="K373" s="50">
        <v>46148427</v>
      </c>
      <c r="L373" s="50">
        <v>0</v>
      </c>
      <c r="M373" s="50">
        <v>46148427</v>
      </c>
      <c r="N373" s="50">
        <v>44308623</v>
      </c>
      <c r="O373" t="s">
        <v>351</v>
      </c>
      <c r="P373">
        <v>1001277409</v>
      </c>
      <c r="Q373" t="s">
        <v>3478</v>
      </c>
      <c r="R373" t="s">
        <v>316</v>
      </c>
      <c r="S373" t="s">
        <v>317</v>
      </c>
      <c r="T373" s="2">
        <v>87858556</v>
      </c>
      <c r="U373" t="s">
        <v>319</v>
      </c>
      <c r="V373">
        <v>860035827</v>
      </c>
      <c r="W373" t="s">
        <v>653</v>
      </c>
      <c r="X373" s="2">
        <v>3825</v>
      </c>
      <c r="Y373" s="2">
        <v>3825</v>
      </c>
      <c r="Z373" s="2">
        <v>37225</v>
      </c>
      <c r="AA373">
        <v>0</v>
      </c>
      <c r="AB373">
        <v>39425</v>
      </c>
      <c r="AC373">
        <v>64619825</v>
      </c>
      <c r="AD373">
        <v>0</v>
      </c>
      <c r="AE373" s="5">
        <v>45709</v>
      </c>
      <c r="AF373" t="s">
        <v>356</v>
      </c>
      <c r="AG373" t="s">
        <v>3481</v>
      </c>
      <c r="AH373" t="s">
        <v>3482</v>
      </c>
    </row>
    <row r="374" spans="1:34" ht="15" customHeight="1" x14ac:dyDescent="0.2">
      <c r="A374" t="s">
        <v>4450</v>
      </c>
      <c r="B374" t="s">
        <v>485</v>
      </c>
      <c r="C374" s="2">
        <v>37325</v>
      </c>
      <c r="D374" s="5">
        <v>45709</v>
      </c>
      <c r="E374" s="5">
        <v>45709.92291666667</v>
      </c>
      <c r="F374" t="s">
        <v>312</v>
      </c>
      <c r="G374" s="2">
        <v>923245</v>
      </c>
      <c r="H374" t="s">
        <v>29</v>
      </c>
      <c r="I374" t="s">
        <v>30</v>
      </c>
      <c r="J374" t="s">
        <v>31</v>
      </c>
      <c r="K374" s="50">
        <v>46148427</v>
      </c>
      <c r="L374" s="50">
        <v>0</v>
      </c>
      <c r="M374" s="50">
        <v>46148427</v>
      </c>
      <c r="N374" s="50">
        <v>44308623</v>
      </c>
      <c r="O374" t="s">
        <v>351</v>
      </c>
      <c r="P374">
        <v>37862143</v>
      </c>
      <c r="Q374" t="s">
        <v>3485</v>
      </c>
      <c r="R374" t="s">
        <v>316</v>
      </c>
      <c r="S374" t="s">
        <v>317</v>
      </c>
      <c r="T374" s="2">
        <v>22160266493</v>
      </c>
      <c r="U374" t="s">
        <v>319</v>
      </c>
      <c r="V374">
        <v>890903938</v>
      </c>
      <c r="W374" t="s">
        <v>342</v>
      </c>
      <c r="X374" s="2">
        <v>3825</v>
      </c>
      <c r="Y374" s="2">
        <v>3825</v>
      </c>
      <c r="Z374" s="2">
        <v>37325</v>
      </c>
      <c r="AA374">
        <v>0</v>
      </c>
      <c r="AB374">
        <v>39525</v>
      </c>
      <c r="AC374">
        <v>64619925</v>
      </c>
      <c r="AD374">
        <v>0</v>
      </c>
      <c r="AE374" s="5">
        <v>45709</v>
      </c>
      <c r="AF374" t="s">
        <v>356</v>
      </c>
      <c r="AG374" t="s">
        <v>3488</v>
      </c>
      <c r="AH374" t="s">
        <v>3482</v>
      </c>
    </row>
    <row r="375" spans="1:34" ht="15" customHeight="1" x14ac:dyDescent="0.2">
      <c r="A375" t="s">
        <v>4451</v>
      </c>
      <c r="B375" t="s">
        <v>485</v>
      </c>
      <c r="C375" s="2">
        <v>37425</v>
      </c>
      <c r="D375" s="5">
        <v>45709</v>
      </c>
      <c r="E375" s="5">
        <v>45709.927777777775</v>
      </c>
      <c r="F375" t="s">
        <v>312</v>
      </c>
      <c r="G375" s="2">
        <v>923245</v>
      </c>
      <c r="H375" t="s">
        <v>29</v>
      </c>
      <c r="I375" t="s">
        <v>30</v>
      </c>
      <c r="J375" t="s">
        <v>31</v>
      </c>
      <c r="K375" s="50">
        <v>46148427</v>
      </c>
      <c r="L375" s="50">
        <v>0</v>
      </c>
      <c r="M375" s="50">
        <v>46148427</v>
      </c>
      <c r="N375" s="50">
        <v>44308623</v>
      </c>
      <c r="O375" t="s">
        <v>351</v>
      </c>
      <c r="P375">
        <v>1091667951</v>
      </c>
      <c r="Q375" t="s">
        <v>3490</v>
      </c>
      <c r="R375" t="s">
        <v>316</v>
      </c>
      <c r="S375" t="s">
        <v>317</v>
      </c>
      <c r="T375" s="2">
        <v>865144745</v>
      </c>
      <c r="U375" t="s">
        <v>319</v>
      </c>
      <c r="V375">
        <v>860003020</v>
      </c>
      <c r="W375" t="s">
        <v>393</v>
      </c>
      <c r="X375" s="2">
        <v>3825</v>
      </c>
      <c r="Y375" s="2">
        <v>3825</v>
      </c>
      <c r="Z375" s="2">
        <v>37425</v>
      </c>
      <c r="AA375">
        <v>0</v>
      </c>
      <c r="AB375">
        <v>39625</v>
      </c>
      <c r="AC375">
        <v>64620025</v>
      </c>
      <c r="AD375">
        <v>0</v>
      </c>
      <c r="AE375" s="5">
        <v>45709</v>
      </c>
      <c r="AF375" t="s">
        <v>356</v>
      </c>
      <c r="AG375" t="s">
        <v>3493</v>
      </c>
      <c r="AH375" t="s">
        <v>3482</v>
      </c>
    </row>
    <row r="376" spans="1:34" ht="15" customHeight="1" x14ac:dyDescent="0.2">
      <c r="A376" t="s">
        <v>4452</v>
      </c>
      <c r="B376" t="s">
        <v>485</v>
      </c>
      <c r="C376" s="2">
        <v>37525</v>
      </c>
      <c r="D376" s="5">
        <v>45709</v>
      </c>
      <c r="E376" s="5">
        <v>45709.931944444441</v>
      </c>
      <c r="F376" t="s">
        <v>312</v>
      </c>
      <c r="G376" s="2">
        <v>923245</v>
      </c>
      <c r="H376" t="s">
        <v>29</v>
      </c>
      <c r="I376" t="s">
        <v>30</v>
      </c>
      <c r="J376" t="s">
        <v>31</v>
      </c>
      <c r="K376" s="50">
        <v>46148427</v>
      </c>
      <c r="L376" s="50">
        <v>0</v>
      </c>
      <c r="M376" s="50">
        <v>46148427</v>
      </c>
      <c r="N376" s="50">
        <v>44308623</v>
      </c>
      <c r="O376" t="s">
        <v>351</v>
      </c>
      <c r="P376">
        <v>1032488155</v>
      </c>
      <c r="Q376" t="s">
        <v>3495</v>
      </c>
      <c r="R376" t="s">
        <v>316</v>
      </c>
      <c r="S376" t="s">
        <v>317</v>
      </c>
      <c r="T376" s="2">
        <v>91235423117</v>
      </c>
      <c r="U376" t="s">
        <v>319</v>
      </c>
      <c r="V376">
        <v>890903938</v>
      </c>
      <c r="W376" t="s">
        <v>342</v>
      </c>
      <c r="X376" s="2">
        <v>3825</v>
      </c>
      <c r="Y376" s="2">
        <v>3825</v>
      </c>
      <c r="Z376" s="2">
        <v>37525</v>
      </c>
      <c r="AA376">
        <v>0</v>
      </c>
      <c r="AB376">
        <v>39725</v>
      </c>
      <c r="AC376">
        <v>64620125</v>
      </c>
      <c r="AD376">
        <v>0</v>
      </c>
      <c r="AE376" s="5">
        <v>45709</v>
      </c>
      <c r="AF376" t="s">
        <v>356</v>
      </c>
      <c r="AG376" t="s">
        <v>3498</v>
      </c>
      <c r="AH376" t="s">
        <v>748</v>
      </c>
    </row>
    <row r="377" spans="1:34" ht="15" customHeight="1" x14ac:dyDescent="0.2">
      <c r="A377" t="s">
        <v>4453</v>
      </c>
      <c r="B377" t="s">
        <v>485</v>
      </c>
      <c r="C377" s="2">
        <v>37625</v>
      </c>
      <c r="D377" s="5">
        <v>45709</v>
      </c>
      <c r="E377" s="5">
        <v>45709.936111111114</v>
      </c>
      <c r="F377" t="s">
        <v>312</v>
      </c>
      <c r="G377" s="2">
        <v>923245</v>
      </c>
      <c r="H377" t="s">
        <v>29</v>
      </c>
      <c r="I377" t="s">
        <v>30</v>
      </c>
      <c r="J377" t="s">
        <v>31</v>
      </c>
      <c r="K377" s="50">
        <v>46148427</v>
      </c>
      <c r="L377" s="50">
        <v>0</v>
      </c>
      <c r="M377" s="50">
        <v>46148427</v>
      </c>
      <c r="N377" s="50">
        <v>44308623</v>
      </c>
      <c r="O377" t="s">
        <v>351</v>
      </c>
      <c r="P377">
        <v>1073694768</v>
      </c>
      <c r="Q377" t="s">
        <v>3500</v>
      </c>
      <c r="R377" t="s">
        <v>316</v>
      </c>
      <c r="S377" t="s">
        <v>317</v>
      </c>
      <c r="T377" s="2">
        <v>85432995</v>
      </c>
      <c r="U377" t="s">
        <v>319</v>
      </c>
      <c r="V377">
        <v>860003020</v>
      </c>
      <c r="W377" t="s">
        <v>393</v>
      </c>
      <c r="X377" s="2">
        <v>3825</v>
      </c>
      <c r="Y377" s="2">
        <v>3825</v>
      </c>
      <c r="Z377" s="2">
        <v>37625</v>
      </c>
      <c r="AA377">
        <v>0</v>
      </c>
      <c r="AB377">
        <v>39825</v>
      </c>
      <c r="AC377">
        <v>64620225</v>
      </c>
      <c r="AD377">
        <v>0</v>
      </c>
      <c r="AE377" s="5">
        <v>45709</v>
      </c>
      <c r="AF377" t="s">
        <v>356</v>
      </c>
      <c r="AG377" t="s">
        <v>3503</v>
      </c>
      <c r="AH377" t="s">
        <v>3482</v>
      </c>
    </row>
    <row r="378" spans="1:34" ht="15" customHeight="1" x14ac:dyDescent="0.2">
      <c r="A378" t="s">
        <v>4454</v>
      </c>
      <c r="B378" t="s">
        <v>479</v>
      </c>
      <c r="C378" s="2">
        <v>37725</v>
      </c>
      <c r="D378" s="5">
        <v>45709</v>
      </c>
      <c r="E378" s="5">
        <v>45709.943055555559</v>
      </c>
      <c r="F378" t="s">
        <v>312</v>
      </c>
      <c r="G378" s="2">
        <v>923211</v>
      </c>
      <c r="H378" t="s">
        <v>29</v>
      </c>
      <c r="I378" t="s">
        <v>30</v>
      </c>
      <c r="J378" t="s">
        <v>31</v>
      </c>
      <c r="K378" s="50">
        <v>46148427</v>
      </c>
      <c r="L378" s="50">
        <v>0</v>
      </c>
      <c r="M378" s="50">
        <v>46148427</v>
      </c>
      <c r="N378" s="50">
        <v>44308623</v>
      </c>
      <c r="O378" t="s">
        <v>351</v>
      </c>
      <c r="P378">
        <v>52229277</v>
      </c>
      <c r="Q378" t="s">
        <v>3506</v>
      </c>
      <c r="R378" t="s">
        <v>316</v>
      </c>
      <c r="S378" t="s">
        <v>317</v>
      </c>
      <c r="T378" s="2">
        <v>24130892269</v>
      </c>
      <c r="U378" t="s">
        <v>319</v>
      </c>
      <c r="V378">
        <v>860007335</v>
      </c>
      <c r="W378" t="s">
        <v>381</v>
      </c>
      <c r="X378" s="2">
        <v>2125</v>
      </c>
      <c r="Y378" s="2">
        <v>2125</v>
      </c>
      <c r="Z378" s="2">
        <v>37725</v>
      </c>
      <c r="AA378">
        <v>0</v>
      </c>
      <c r="AB378">
        <v>39925</v>
      </c>
      <c r="AC378">
        <v>64620325</v>
      </c>
      <c r="AD378">
        <v>0</v>
      </c>
      <c r="AE378" s="5">
        <v>45709</v>
      </c>
      <c r="AF378" t="s">
        <v>356</v>
      </c>
      <c r="AG378" t="s">
        <v>3509</v>
      </c>
      <c r="AH378" t="s">
        <v>3343</v>
      </c>
    </row>
    <row r="379" spans="1:34" ht="15" customHeight="1" x14ac:dyDescent="0.2">
      <c r="A379" t="s">
        <v>4455</v>
      </c>
      <c r="B379" t="s">
        <v>470</v>
      </c>
      <c r="C379" s="2">
        <v>37825</v>
      </c>
      <c r="D379" s="5">
        <v>45709</v>
      </c>
      <c r="E379" s="5">
        <v>45709.952777777777</v>
      </c>
      <c r="F379" t="s">
        <v>312</v>
      </c>
      <c r="G379" s="2">
        <v>923238</v>
      </c>
      <c r="H379" t="s">
        <v>29</v>
      </c>
      <c r="I379" t="s">
        <v>30</v>
      </c>
      <c r="J379" t="s">
        <v>31</v>
      </c>
      <c r="K379" s="50">
        <v>45995110</v>
      </c>
      <c r="L379" s="50">
        <v>0</v>
      </c>
      <c r="M379" s="50">
        <v>45995110</v>
      </c>
      <c r="N379" s="50">
        <v>44308623</v>
      </c>
      <c r="O379" t="s">
        <v>351</v>
      </c>
      <c r="P379">
        <v>1024480867</v>
      </c>
      <c r="Q379" t="s">
        <v>3512</v>
      </c>
      <c r="R379" t="s">
        <v>316</v>
      </c>
      <c r="S379" t="s">
        <v>317</v>
      </c>
      <c r="T379" s="2">
        <v>22181553085</v>
      </c>
      <c r="U379" t="s">
        <v>319</v>
      </c>
      <c r="V379">
        <v>890903938</v>
      </c>
      <c r="W379" t="s">
        <v>342</v>
      </c>
      <c r="X379" s="2">
        <v>125</v>
      </c>
      <c r="Y379" s="2">
        <v>125</v>
      </c>
      <c r="Z379" s="2">
        <v>37825</v>
      </c>
      <c r="AA379">
        <v>0</v>
      </c>
      <c r="AB379">
        <v>40025</v>
      </c>
      <c r="AC379">
        <v>64620425</v>
      </c>
      <c r="AD379">
        <v>0</v>
      </c>
      <c r="AE379" s="5">
        <v>45709</v>
      </c>
      <c r="AF379" t="s">
        <v>356</v>
      </c>
      <c r="AG379" t="s">
        <v>3516</v>
      </c>
      <c r="AH379" t="s">
        <v>742</v>
      </c>
    </row>
    <row r="380" spans="1:34" ht="15" customHeight="1" x14ac:dyDescent="0.2">
      <c r="A380" t="s">
        <v>4456</v>
      </c>
      <c r="B380" t="s">
        <v>478</v>
      </c>
      <c r="C380" s="2">
        <v>37925</v>
      </c>
      <c r="D380" s="5">
        <v>45709</v>
      </c>
      <c r="E380" s="5">
        <v>45709.954861111109</v>
      </c>
      <c r="F380" t="s">
        <v>312</v>
      </c>
      <c r="G380" s="2">
        <v>923210</v>
      </c>
      <c r="H380" t="s">
        <v>29</v>
      </c>
      <c r="I380" t="s">
        <v>30</v>
      </c>
      <c r="J380" t="s">
        <v>31</v>
      </c>
      <c r="K380" s="50">
        <v>25750000</v>
      </c>
      <c r="L380" s="50">
        <v>0</v>
      </c>
      <c r="M380" s="50">
        <v>25750000</v>
      </c>
      <c r="N380" s="50">
        <v>24805833</v>
      </c>
      <c r="O380" t="s">
        <v>351</v>
      </c>
      <c r="P380">
        <v>1012341213</v>
      </c>
      <c r="Q380" t="s">
        <v>3519</v>
      </c>
      <c r="R380" t="s">
        <v>316</v>
      </c>
      <c r="S380" t="s">
        <v>317</v>
      </c>
      <c r="T380" s="2">
        <v>693002710</v>
      </c>
      <c r="U380" t="s">
        <v>319</v>
      </c>
      <c r="V380">
        <v>860003020</v>
      </c>
      <c r="W380" t="s">
        <v>393</v>
      </c>
      <c r="X380" s="2">
        <v>1925</v>
      </c>
      <c r="Y380" s="2">
        <v>1925</v>
      </c>
      <c r="Z380" s="2">
        <v>37925</v>
      </c>
      <c r="AA380">
        <v>0</v>
      </c>
      <c r="AB380">
        <v>40125</v>
      </c>
      <c r="AC380">
        <v>64620525</v>
      </c>
      <c r="AD380">
        <v>0</v>
      </c>
      <c r="AE380" s="5">
        <v>45709</v>
      </c>
      <c r="AF380" t="s">
        <v>356</v>
      </c>
      <c r="AG380" t="s">
        <v>3523</v>
      </c>
      <c r="AH380" t="s">
        <v>3524</v>
      </c>
    </row>
    <row r="381" spans="1:34" ht="15" customHeight="1" x14ac:dyDescent="0.2">
      <c r="A381" t="s">
        <v>4457</v>
      </c>
      <c r="B381" t="s">
        <v>479</v>
      </c>
      <c r="C381" s="2">
        <v>38025</v>
      </c>
      <c r="D381" s="5">
        <v>45709</v>
      </c>
      <c r="E381" s="5">
        <v>45709.957638888889</v>
      </c>
      <c r="F381" t="s">
        <v>312</v>
      </c>
      <c r="G381" s="2">
        <v>923211</v>
      </c>
      <c r="H381" t="s">
        <v>29</v>
      </c>
      <c r="I381" t="s">
        <v>30</v>
      </c>
      <c r="J381" t="s">
        <v>31</v>
      </c>
      <c r="K381" s="50">
        <v>45841793</v>
      </c>
      <c r="L381" s="50">
        <v>0</v>
      </c>
      <c r="M381" s="50">
        <v>45841793</v>
      </c>
      <c r="N381" s="50">
        <v>44308623</v>
      </c>
      <c r="O381" t="s">
        <v>351</v>
      </c>
      <c r="P381">
        <v>1022393720</v>
      </c>
      <c r="Q381" t="s">
        <v>3527</v>
      </c>
      <c r="R381" t="s">
        <v>316</v>
      </c>
      <c r="S381" t="s">
        <v>317</v>
      </c>
      <c r="T381" s="2">
        <v>22118738385</v>
      </c>
      <c r="U381" t="s">
        <v>319</v>
      </c>
      <c r="V381">
        <v>890903938</v>
      </c>
      <c r="W381" t="s">
        <v>342</v>
      </c>
      <c r="X381" s="2">
        <v>2125</v>
      </c>
      <c r="Y381" s="2">
        <v>2125</v>
      </c>
      <c r="Z381" s="2">
        <v>38025</v>
      </c>
      <c r="AA381">
        <v>0</v>
      </c>
      <c r="AB381">
        <v>40225</v>
      </c>
      <c r="AC381">
        <v>64620625</v>
      </c>
      <c r="AD381">
        <v>0</v>
      </c>
      <c r="AE381" s="5">
        <v>45709</v>
      </c>
      <c r="AF381" t="s">
        <v>356</v>
      </c>
      <c r="AG381" t="s">
        <v>3531</v>
      </c>
      <c r="AH381" t="s">
        <v>1532</v>
      </c>
    </row>
    <row r="382" spans="1:34" ht="15" customHeight="1" x14ac:dyDescent="0.2">
      <c r="A382" t="s">
        <v>4458</v>
      </c>
      <c r="B382" t="s">
        <v>472</v>
      </c>
      <c r="C382" s="2">
        <v>38125</v>
      </c>
      <c r="D382" s="5">
        <v>45710</v>
      </c>
      <c r="E382" s="5">
        <v>45710.311805555553</v>
      </c>
      <c r="F382" t="s">
        <v>312</v>
      </c>
      <c r="G382" s="2">
        <v>923238</v>
      </c>
      <c r="H382" t="s">
        <v>29</v>
      </c>
      <c r="I382" t="s">
        <v>30</v>
      </c>
      <c r="J382" t="s">
        <v>31</v>
      </c>
      <c r="K382" s="50">
        <v>156195</v>
      </c>
      <c r="L382" s="50">
        <v>0</v>
      </c>
      <c r="M382" s="50">
        <v>156195</v>
      </c>
      <c r="N382" s="50">
        <v>0</v>
      </c>
      <c r="O382" t="s">
        <v>351</v>
      </c>
      <c r="P382">
        <v>1075254883</v>
      </c>
      <c r="Q382" t="s">
        <v>938</v>
      </c>
      <c r="R382" t="s">
        <v>316</v>
      </c>
      <c r="S382" t="s">
        <v>317</v>
      </c>
      <c r="T382" s="2">
        <v>76200118156</v>
      </c>
      <c r="U382" t="s">
        <v>319</v>
      </c>
      <c r="V382">
        <v>860034313</v>
      </c>
      <c r="W382" t="s">
        <v>355</v>
      </c>
      <c r="X382" s="2">
        <v>325</v>
      </c>
      <c r="Y382" s="2">
        <v>325</v>
      </c>
      <c r="Z382" s="2">
        <v>38125</v>
      </c>
      <c r="AA382">
        <v>0</v>
      </c>
      <c r="AB382">
        <v>6125</v>
      </c>
      <c r="AC382">
        <v>47484425</v>
      </c>
      <c r="AD382">
        <v>0</v>
      </c>
      <c r="AE382" s="5">
        <v>45710</v>
      </c>
      <c r="AF382" t="s">
        <v>1929</v>
      </c>
      <c r="AG382" t="s">
        <v>2721</v>
      </c>
      <c r="AH382" t="s">
        <v>2722</v>
      </c>
    </row>
    <row r="383" spans="1:34" ht="15" customHeight="1" x14ac:dyDescent="0.2">
      <c r="A383" t="s">
        <v>4459</v>
      </c>
      <c r="B383" t="s">
        <v>472</v>
      </c>
      <c r="C383" s="2">
        <v>38225</v>
      </c>
      <c r="D383" s="5">
        <v>45710</v>
      </c>
      <c r="E383" s="5">
        <v>45710.315972222219</v>
      </c>
      <c r="F383" t="s">
        <v>312</v>
      </c>
      <c r="G383" s="2">
        <v>923238</v>
      </c>
      <c r="H383" t="s">
        <v>29</v>
      </c>
      <c r="I383" t="s">
        <v>30</v>
      </c>
      <c r="J383" t="s">
        <v>31</v>
      </c>
      <c r="K383" s="50">
        <v>312390</v>
      </c>
      <c r="L383" s="50">
        <v>0</v>
      </c>
      <c r="M383" s="50">
        <v>312390</v>
      </c>
      <c r="N383" s="50">
        <v>0</v>
      </c>
      <c r="O383" t="s">
        <v>351</v>
      </c>
      <c r="P383">
        <v>1012439964</v>
      </c>
      <c r="Q383" t="s">
        <v>1055</v>
      </c>
      <c r="R383" t="s">
        <v>316</v>
      </c>
      <c r="S383" t="s">
        <v>317</v>
      </c>
      <c r="T383" s="2">
        <v>1300008356</v>
      </c>
      <c r="U383" t="s">
        <v>319</v>
      </c>
      <c r="V383">
        <v>890903938</v>
      </c>
      <c r="W383" t="s">
        <v>342</v>
      </c>
      <c r="X383" s="2">
        <v>325</v>
      </c>
      <c r="Y383" s="2">
        <v>325</v>
      </c>
      <c r="Z383" s="2">
        <v>38225</v>
      </c>
      <c r="AA383">
        <v>0</v>
      </c>
      <c r="AB383">
        <v>6225</v>
      </c>
      <c r="AC383">
        <v>47484525</v>
      </c>
      <c r="AD383">
        <v>0</v>
      </c>
      <c r="AE383" s="5">
        <v>45710</v>
      </c>
      <c r="AF383" t="s">
        <v>1929</v>
      </c>
      <c r="AG383" t="s">
        <v>2727</v>
      </c>
      <c r="AH383" t="s">
        <v>2728</v>
      </c>
    </row>
    <row r="384" spans="1:34" ht="15" customHeight="1" x14ac:dyDescent="0.2">
      <c r="A384" t="s">
        <v>4460</v>
      </c>
      <c r="B384" t="s">
        <v>472</v>
      </c>
      <c r="C384" s="2">
        <v>38325</v>
      </c>
      <c r="D384" s="5">
        <v>45710</v>
      </c>
      <c r="E384" s="5">
        <v>45710.318749999999</v>
      </c>
      <c r="F384" t="s">
        <v>312</v>
      </c>
      <c r="G384" s="2">
        <v>923238</v>
      </c>
      <c r="H384" t="s">
        <v>29</v>
      </c>
      <c r="I384" t="s">
        <v>30</v>
      </c>
      <c r="J384" t="s">
        <v>31</v>
      </c>
      <c r="K384" s="50">
        <v>468585</v>
      </c>
      <c r="L384" s="50">
        <v>0</v>
      </c>
      <c r="M384" s="50">
        <v>468585</v>
      </c>
      <c r="N384" s="50">
        <v>0</v>
      </c>
      <c r="O384" t="s">
        <v>351</v>
      </c>
      <c r="P384">
        <v>52505799</v>
      </c>
      <c r="Q384" t="s">
        <v>813</v>
      </c>
      <c r="R384" t="s">
        <v>316</v>
      </c>
      <c r="S384" t="s">
        <v>317</v>
      </c>
      <c r="T384" s="2">
        <v>488446490713</v>
      </c>
      <c r="U384" t="s">
        <v>319</v>
      </c>
      <c r="V384">
        <v>860034313</v>
      </c>
      <c r="W384" t="s">
        <v>355</v>
      </c>
      <c r="X384" s="2">
        <v>325</v>
      </c>
      <c r="Y384" s="2">
        <v>325</v>
      </c>
      <c r="Z384" s="2">
        <v>38325</v>
      </c>
      <c r="AA384">
        <v>0</v>
      </c>
      <c r="AB384">
        <v>6325</v>
      </c>
      <c r="AC384">
        <v>47484625</v>
      </c>
      <c r="AD384">
        <v>0</v>
      </c>
      <c r="AE384" s="5">
        <v>45710</v>
      </c>
      <c r="AF384" t="s">
        <v>1929</v>
      </c>
      <c r="AG384" t="s">
        <v>2733</v>
      </c>
      <c r="AH384" t="s">
        <v>2734</v>
      </c>
    </row>
    <row r="385" spans="1:34" ht="15" customHeight="1" x14ac:dyDescent="0.2">
      <c r="A385" t="s">
        <v>4461</v>
      </c>
      <c r="B385" t="s">
        <v>472</v>
      </c>
      <c r="C385" s="2">
        <v>38425</v>
      </c>
      <c r="D385" s="5">
        <v>45710</v>
      </c>
      <c r="E385" s="5">
        <v>45710.322916666664</v>
      </c>
      <c r="F385" t="s">
        <v>312</v>
      </c>
      <c r="G385" s="2">
        <v>923238</v>
      </c>
      <c r="H385" t="s">
        <v>29</v>
      </c>
      <c r="I385" t="s">
        <v>30</v>
      </c>
      <c r="J385" t="s">
        <v>31</v>
      </c>
      <c r="K385" s="50">
        <v>624780</v>
      </c>
      <c r="L385" s="50">
        <v>0</v>
      </c>
      <c r="M385" s="50">
        <v>624780</v>
      </c>
      <c r="N385" s="50">
        <v>0</v>
      </c>
      <c r="O385" t="s">
        <v>351</v>
      </c>
      <c r="P385">
        <v>79408514</v>
      </c>
      <c r="Q385" t="s">
        <v>792</v>
      </c>
      <c r="R385" t="s">
        <v>316</v>
      </c>
      <c r="S385" t="s">
        <v>317</v>
      </c>
      <c r="T385" s="2">
        <v>116040148863</v>
      </c>
      <c r="U385" t="s">
        <v>319</v>
      </c>
      <c r="V385">
        <v>900047981</v>
      </c>
      <c r="W385" t="s">
        <v>399</v>
      </c>
      <c r="X385" s="2">
        <v>325</v>
      </c>
      <c r="Y385" s="2">
        <v>325</v>
      </c>
      <c r="Z385" s="2">
        <v>38425</v>
      </c>
      <c r="AA385">
        <v>0</v>
      </c>
      <c r="AB385">
        <v>6425</v>
      </c>
      <c r="AC385">
        <v>47484725</v>
      </c>
      <c r="AD385">
        <v>0</v>
      </c>
      <c r="AE385" s="5">
        <v>45710</v>
      </c>
      <c r="AF385" t="s">
        <v>1929</v>
      </c>
      <c r="AG385" t="s">
        <v>2739</v>
      </c>
      <c r="AH385" t="s">
        <v>2740</v>
      </c>
    </row>
    <row r="386" spans="1:34" ht="15" customHeight="1" x14ac:dyDescent="0.2">
      <c r="A386" t="s">
        <v>4462</v>
      </c>
      <c r="B386" t="s">
        <v>472</v>
      </c>
      <c r="C386" s="2">
        <v>38525</v>
      </c>
      <c r="D386" s="5">
        <v>45710</v>
      </c>
      <c r="E386" s="5">
        <v>45710.326388888891</v>
      </c>
      <c r="F386" t="s">
        <v>312</v>
      </c>
      <c r="G386" s="2">
        <v>923238</v>
      </c>
      <c r="H386" t="s">
        <v>29</v>
      </c>
      <c r="I386" t="s">
        <v>30</v>
      </c>
      <c r="J386" t="s">
        <v>31</v>
      </c>
      <c r="K386" s="50">
        <v>232058</v>
      </c>
      <c r="L386" s="50">
        <v>0</v>
      </c>
      <c r="M386" s="50">
        <v>232058</v>
      </c>
      <c r="N386" s="50">
        <v>0</v>
      </c>
      <c r="O386" t="s">
        <v>351</v>
      </c>
      <c r="P386">
        <v>4041331</v>
      </c>
      <c r="Q386" t="s">
        <v>2743</v>
      </c>
      <c r="R386" t="s">
        <v>316</v>
      </c>
      <c r="S386" t="s">
        <v>317</v>
      </c>
      <c r="T386" s="2">
        <v>475700002748</v>
      </c>
      <c r="U386" t="s">
        <v>319</v>
      </c>
      <c r="V386">
        <v>860034313</v>
      </c>
      <c r="W386" t="s">
        <v>355</v>
      </c>
      <c r="X386" s="2">
        <v>325</v>
      </c>
      <c r="Y386" s="2">
        <v>325</v>
      </c>
      <c r="Z386" s="2">
        <v>38525</v>
      </c>
      <c r="AA386">
        <v>0</v>
      </c>
      <c r="AB386">
        <v>6525</v>
      </c>
      <c r="AC386">
        <v>47484825</v>
      </c>
      <c r="AD386">
        <v>0</v>
      </c>
      <c r="AE386" s="5">
        <v>45710</v>
      </c>
      <c r="AF386" t="s">
        <v>1929</v>
      </c>
      <c r="AG386" t="s">
        <v>2747</v>
      </c>
      <c r="AH386" t="s">
        <v>2748</v>
      </c>
    </row>
    <row r="387" spans="1:34" ht="15" customHeight="1" x14ac:dyDescent="0.2">
      <c r="A387" t="s">
        <v>4463</v>
      </c>
      <c r="B387" t="s">
        <v>472</v>
      </c>
      <c r="C387" s="2">
        <v>38625</v>
      </c>
      <c r="D387" s="5">
        <v>45710</v>
      </c>
      <c r="E387" s="5">
        <v>45710.32916666667</v>
      </c>
      <c r="F387" t="s">
        <v>312</v>
      </c>
      <c r="G387" s="2">
        <v>923238</v>
      </c>
      <c r="H387" t="s">
        <v>29</v>
      </c>
      <c r="I387" t="s">
        <v>30</v>
      </c>
      <c r="J387" t="s">
        <v>31</v>
      </c>
      <c r="K387" s="50">
        <v>166195</v>
      </c>
      <c r="L387" s="50">
        <v>0</v>
      </c>
      <c r="M387" s="50">
        <v>166195</v>
      </c>
      <c r="N387" s="50">
        <v>0</v>
      </c>
      <c r="O387" t="s">
        <v>351</v>
      </c>
      <c r="P387">
        <v>13478907</v>
      </c>
      <c r="Q387" t="s">
        <v>948</v>
      </c>
      <c r="R387" t="s">
        <v>316</v>
      </c>
      <c r="S387" t="s">
        <v>317</v>
      </c>
      <c r="T387" s="2">
        <v>31791837408</v>
      </c>
      <c r="U387" t="s">
        <v>319</v>
      </c>
      <c r="V387">
        <v>890903938</v>
      </c>
      <c r="W387" t="s">
        <v>342</v>
      </c>
      <c r="X387" s="2">
        <v>325</v>
      </c>
      <c r="Y387" s="2">
        <v>325</v>
      </c>
      <c r="Z387" s="2">
        <v>38625</v>
      </c>
      <c r="AA387">
        <v>0</v>
      </c>
      <c r="AB387">
        <v>6625</v>
      </c>
      <c r="AC387">
        <v>47484925</v>
      </c>
      <c r="AD387">
        <v>0</v>
      </c>
      <c r="AE387" s="5">
        <v>45710</v>
      </c>
      <c r="AF387" t="s">
        <v>1929</v>
      </c>
      <c r="AG387" t="s">
        <v>2753</v>
      </c>
      <c r="AH387" t="s">
        <v>2754</v>
      </c>
    </row>
    <row r="388" spans="1:34" ht="15" customHeight="1" x14ac:dyDescent="0.2">
      <c r="A388" t="s">
        <v>4464</v>
      </c>
      <c r="B388" t="s">
        <v>472</v>
      </c>
      <c r="C388" s="2">
        <v>38725</v>
      </c>
      <c r="D388" s="5">
        <v>45710</v>
      </c>
      <c r="E388" s="5">
        <v>45710.336111111108</v>
      </c>
      <c r="F388" t="s">
        <v>312</v>
      </c>
      <c r="G388" s="2">
        <v>923238</v>
      </c>
      <c r="H388" t="s">
        <v>29</v>
      </c>
      <c r="I388" t="s">
        <v>30</v>
      </c>
      <c r="J388" t="s">
        <v>31</v>
      </c>
      <c r="K388" s="50">
        <v>528207</v>
      </c>
      <c r="L388" s="50">
        <v>0</v>
      </c>
      <c r="M388" s="50">
        <v>528207</v>
      </c>
      <c r="N388" s="50">
        <v>0</v>
      </c>
      <c r="O388" t="s">
        <v>351</v>
      </c>
      <c r="P388">
        <v>52425990</v>
      </c>
      <c r="Q388" t="s">
        <v>1953</v>
      </c>
      <c r="R388" t="s">
        <v>316</v>
      </c>
      <c r="S388" t="s">
        <v>317</v>
      </c>
      <c r="T388" s="2">
        <v>24523344944</v>
      </c>
      <c r="U388" t="s">
        <v>319</v>
      </c>
      <c r="V388">
        <v>860007335</v>
      </c>
      <c r="W388" t="s">
        <v>381</v>
      </c>
      <c r="X388" s="2">
        <v>325</v>
      </c>
      <c r="Y388" s="2">
        <v>325</v>
      </c>
      <c r="Z388" s="2">
        <v>38725</v>
      </c>
      <c r="AA388">
        <v>0</v>
      </c>
      <c r="AB388">
        <v>6725</v>
      </c>
      <c r="AC388">
        <v>47485025</v>
      </c>
      <c r="AD388">
        <v>0</v>
      </c>
      <c r="AE388" s="5">
        <v>45710</v>
      </c>
      <c r="AF388" t="s">
        <v>1929</v>
      </c>
      <c r="AG388" t="s">
        <v>2759</v>
      </c>
      <c r="AH388" t="s">
        <v>2760</v>
      </c>
    </row>
    <row r="389" spans="1:34" ht="15" customHeight="1" x14ac:dyDescent="0.2">
      <c r="A389" t="s">
        <v>4465</v>
      </c>
      <c r="B389" t="s">
        <v>472</v>
      </c>
      <c r="C389" s="2">
        <v>38825</v>
      </c>
      <c r="D389" s="5">
        <v>45710</v>
      </c>
      <c r="E389" s="5">
        <v>45710.338888888888</v>
      </c>
      <c r="F389" t="s">
        <v>312</v>
      </c>
      <c r="G389" s="2">
        <v>923238</v>
      </c>
      <c r="H389" t="s">
        <v>29</v>
      </c>
      <c r="I389" t="s">
        <v>30</v>
      </c>
      <c r="J389" t="s">
        <v>31</v>
      </c>
      <c r="K389" s="50">
        <v>668651</v>
      </c>
      <c r="L389" s="50">
        <v>0</v>
      </c>
      <c r="M389" s="50">
        <v>668651</v>
      </c>
      <c r="N389" s="50">
        <v>0</v>
      </c>
      <c r="O389" t="s">
        <v>351</v>
      </c>
      <c r="P389">
        <v>80062448</v>
      </c>
      <c r="Q389" t="s">
        <v>1943</v>
      </c>
      <c r="R389" t="s">
        <v>316</v>
      </c>
      <c r="S389" t="s">
        <v>317</v>
      </c>
      <c r="T389" s="2">
        <v>570451570058300</v>
      </c>
      <c r="U389" t="s">
        <v>319</v>
      </c>
      <c r="V389">
        <v>860034313</v>
      </c>
      <c r="W389" t="s">
        <v>355</v>
      </c>
      <c r="X389" s="2">
        <v>325</v>
      </c>
      <c r="Y389" s="2">
        <v>325</v>
      </c>
      <c r="Z389" s="2">
        <v>38825</v>
      </c>
      <c r="AA389">
        <v>0</v>
      </c>
      <c r="AB389">
        <v>6825</v>
      </c>
      <c r="AC389">
        <v>47485125</v>
      </c>
      <c r="AD389">
        <v>0</v>
      </c>
      <c r="AE389" s="5">
        <v>45710</v>
      </c>
      <c r="AF389" t="s">
        <v>1929</v>
      </c>
      <c r="AG389" t="s">
        <v>2765</v>
      </c>
      <c r="AH389" t="s">
        <v>2766</v>
      </c>
    </row>
    <row r="390" spans="1:34" ht="15" customHeight="1" x14ac:dyDescent="0.2">
      <c r="A390" t="s">
        <v>4466</v>
      </c>
      <c r="B390" t="s">
        <v>477</v>
      </c>
      <c r="C390" s="2">
        <v>38925</v>
      </c>
      <c r="D390" s="5">
        <v>45710</v>
      </c>
      <c r="E390" s="5">
        <v>45710.341666666667</v>
      </c>
      <c r="F390" t="s">
        <v>312</v>
      </c>
      <c r="G390" s="2">
        <v>923210</v>
      </c>
      <c r="H390" t="s">
        <v>29</v>
      </c>
      <c r="I390" t="s">
        <v>30</v>
      </c>
      <c r="J390" t="s">
        <v>31</v>
      </c>
      <c r="K390" s="50">
        <v>199914</v>
      </c>
      <c r="L390" s="50">
        <v>0</v>
      </c>
      <c r="M390" s="50">
        <v>199914</v>
      </c>
      <c r="N390" s="50">
        <v>0</v>
      </c>
      <c r="O390" t="s">
        <v>351</v>
      </c>
      <c r="P390">
        <v>20927278</v>
      </c>
      <c r="Q390" t="s">
        <v>2769</v>
      </c>
      <c r="R390" t="s">
        <v>316</v>
      </c>
      <c r="S390" t="s">
        <v>317</v>
      </c>
      <c r="T390" s="2">
        <v>451786714</v>
      </c>
      <c r="U390" t="s">
        <v>319</v>
      </c>
      <c r="V390">
        <v>860035827</v>
      </c>
      <c r="W390" t="s">
        <v>653</v>
      </c>
      <c r="X390" s="2">
        <v>1625</v>
      </c>
      <c r="Y390" s="2">
        <v>1625</v>
      </c>
      <c r="Z390" s="2">
        <v>38925</v>
      </c>
      <c r="AA390">
        <v>0</v>
      </c>
      <c r="AB390">
        <v>6925</v>
      </c>
      <c r="AC390">
        <v>47485225</v>
      </c>
      <c r="AD390">
        <v>0</v>
      </c>
      <c r="AE390" s="5">
        <v>45710</v>
      </c>
      <c r="AF390" t="s">
        <v>1929</v>
      </c>
      <c r="AG390" t="s">
        <v>2773</v>
      </c>
      <c r="AH390" t="s">
        <v>2774</v>
      </c>
    </row>
    <row r="391" spans="1:34" ht="15" customHeight="1" x14ac:dyDescent="0.2">
      <c r="A391" t="s">
        <v>4467</v>
      </c>
      <c r="B391" t="s">
        <v>4468</v>
      </c>
      <c r="C391" s="2">
        <v>39025</v>
      </c>
      <c r="D391" s="5">
        <v>45710</v>
      </c>
      <c r="E391" s="5">
        <v>45710.344444444447</v>
      </c>
      <c r="F391" t="s">
        <v>312</v>
      </c>
      <c r="G391" s="2">
        <v>923210</v>
      </c>
      <c r="H391" t="s">
        <v>57</v>
      </c>
      <c r="I391" t="s">
        <v>58</v>
      </c>
      <c r="J391" t="s">
        <v>31</v>
      </c>
      <c r="K391" s="50">
        <v>139896</v>
      </c>
      <c r="L391" s="50">
        <v>0</v>
      </c>
      <c r="M391" s="50">
        <v>139896</v>
      </c>
      <c r="N391" s="50">
        <v>0</v>
      </c>
      <c r="O391" t="s">
        <v>351</v>
      </c>
      <c r="P391">
        <v>1070825199</v>
      </c>
      <c r="Q391" t="s">
        <v>2777</v>
      </c>
      <c r="R391" t="s">
        <v>316</v>
      </c>
      <c r="S391" t="s">
        <v>317</v>
      </c>
      <c r="T391" s="2">
        <v>16600001742</v>
      </c>
      <c r="U391" t="s">
        <v>319</v>
      </c>
      <c r="V391">
        <v>890903938</v>
      </c>
      <c r="W391" t="s">
        <v>342</v>
      </c>
      <c r="X391" s="2">
        <v>625</v>
      </c>
      <c r="Y391" s="2">
        <v>625</v>
      </c>
      <c r="Z391" s="2">
        <v>39025</v>
      </c>
      <c r="AA391">
        <v>0</v>
      </c>
      <c r="AB391">
        <v>7025</v>
      </c>
      <c r="AC391">
        <v>47485325</v>
      </c>
      <c r="AD391">
        <v>0</v>
      </c>
      <c r="AE391" s="5">
        <v>45710</v>
      </c>
      <c r="AF391" t="s">
        <v>1929</v>
      </c>
      <c r="AG391" t="s">
        <v>2781</v>
      </c>
      <c r="AH391" t="s">
        <v>2782</v>
      </c>
    </row>
    <row r="392" spans="1:34" ht="15" customHeight="1" x14ac:dyDescent="0.2">
      <c r="A392" t="s">
        <v>4469</v>
      </c>
      <c r="B392" t="s">
        <v>472</v>
      </c>
      <c r="C392" s="2">
        <v>39125</v>
      </c>
      <c r="D392" s="5">
        <v>45713</v>
      </c>
      <c r="E392" s="5">
        <v>45713.717361111114</v>
      </c>
      <c r="F392" t="s">
        <v>312</v>
      </c>
      <c r="G392" s="2">
        <v>923238</v>
      </c>
      <c r="H392" t="s">
        <v>29</v>
      </c>
      <c r="I392" t="s">
        <v>30</v>
      </c>
      <c r="J392" t="s">
        <v>31</v>
      </c>
      <c r="K392" s="50">
        <v>668651</v>
      </c>
      <c r="L392" s="50">
        <v>0</v>
      </c>
      <c r="M392" s="50">
        <v>668651</v>
      </c>
      <c r="N392" s="50">
        <v>0</v>
      </c>
      <c r="O392" t="s">
        <v>351</v>
      </c>
      <c r="P392">
        <v>11315001</v>
      </c>
      <c r="Q392" t="s">
        <v>2037</v>
      </c>
      <c r="R392" t="s">
        <v>316</v>
      </c>
      <c r="S392" t="s">
        <v>317</v>
      </c>
      <c r="T392" s="2">
        <v>20505880851</v>
      </c>
      <c r="U392" t="s">
        <v>319</v>
      </c>
      <c r="V392">
        <v>890903938</v>
      </c>
      <c r="W392" t="s">
        <v>342</v>
      </c>
      <c r="X392" s="2">
        <v>325</v>
      </c>
      <c r="Y392" s="2">
        <v>325</v>
      </c>
      <c r="Z392" s="2">
        <v>39125</v>
      </c>
      <c r="AA392">
        <v>4325</v>
      </c>
      <c r="AB392">
        <v>7425</v>
      </c>
      <c r="AC392">
        <v>50237825</v>
      </c>
      <c r="AD392">
        <v>0</v>
      </c>
      <c r="AE392" s="5">
        <v>45713</v>
      </c>
      <c r="AF392" t="s">
        <v>1929</v>
      </c>
      <c r="AG392" t="s">
        <v>2788</v>
      </c>
      <c r="AH392" t="s">
        <v>2789</v>
      </c>
    </row>
    <row r="393" spans="1:34" ht="15" customHeight="1" x14ac:dyDescent="0.2">
      <c r="A393" t="s">
        <v>4470</v>
      </c>
      <c r="B393" t="s">
        <v>477</v>
      </c>
      <c r="C393" s="2">
        <v>39225</v>
      </c>
      <c r="D393" s="5">
        <v>45714</v>
      </c>
      <c r="E393" s="5">
        <v>45714.38958333333</v>
      </c>
      <c r="F393" t="s">
        <v>312</v>
      </c>
      <c r="G393" s="2">
        <v>923210</v>
      </c>
      <c r="H393" t="s">
        <v>29</v>
      </c>
      <c r="I393" t="s">
        <v>30</v>
      </c>
      <c r="J393" t="s">
        <v>31</v>
      </c>
      <c r="K393" s="50">
        <v>298512</v>
      </c>
      <c r="L393" s="50">
        <v>0</v>
      </c>
      <c r="M393" s="50">
        <v>298512</v>
      </c>
      <c r="N393" s="50">
        <v>0</v>
      </c>
      <c r="O393" t="s">
        <v>351</v>
      </c>
      <c r="P393">
        <v>1023890091</v>
      </c>
      <c r="Q393" t="s">
        <v>4007</v>
      </c>
      <c r="R393" t="s">
        <v>316</v>
      </c>
      <c r="S393" t="s">
        <v>317</v>
      </c>
      <c r="T393" s="2">
        <v>20380382203</v>
      </c>
      <c r="U393" t="s">
        <v>319</v>
      </c>
      <c r="V393">
        <v>890903938</v>
      </c>
      <c r="W393" t="s">
        <v>342</v>
      </c>
      <c r="X393" s="2">
        <v>1625</v>
      </c>
      <c r="Y393" s="2">
        <v>1625</v>
      </c>
      <c r="Z393" s="2">
        <v>39225</v>
      </c>
      <c r="AA393">
        <v>0</v>
      </c>
      <c r="AB393">
        <v>52725</v>
      </c>
      <c r="AC393">
        <v>0</v>
      </c>
      <c r="AD393">
        <v>0</v>
      </c>
      <c r="AE393" s="5">
        <v>45714</v>
      </c>
      <c r="AF393" t="s">
        <v>1929</v>
      </c>
      <c r="AG393" t="s">
        <v>4009</v>
      </c>
      <c r="AH393" t="s">
        <v>4010</v>
      </c>
    </row>
    <row r="394" spans="1:34" ht="15" customHeight="1" x14ac:dyDescent="0.2">
      <c r="A394" t="s">
        <v>4471</v>
      </c>
      <c r="B394" t="s">
        <v>477</v>
      </c>
      <c r="C394" s="2">
        <v>39325</v>
      </c>
      <c r="D394" s="5">
        <v>45716</v>
      </c>
      <c r="E394" s="5">
        <v>45716.388888888891</v>
      </c>
      <c r="F394" t="s">
        <v>312</v>
      </c>
      <c r="G394" s="2">
        <v>923210</v>
      </c>
      <c r="H394" t="s">
        <v>29</v>
      </c>
      <c r="I394" t="s">
        <v>30</v>
      </c>
      <c r="J394" t="s">
        <v>31</v>
      </c>
      <c r="K394" s="50">
        <v>252632</v>
      </c>
      <c r="L394" s="50">
        <v>0</v>
      </c>
      <c r="M394" s="50">
        <v>252632</v>
      </c>
      <c r="N394" s="50">
        <v>0</v>
      </c>
      <c r="O394" t="s">
        <v>351</v>
      </c>
      <c r="P394">
        <v>11315001</v>
      </c>
      <c r="Q394" t="s">
        <v>2037</v>
      </c>
      <c r="R394" t="s">
        <v>316</v>
      </c>
      <c r="S394" t="s">
        <v>317</v>
      </c>
      <c r="T394" s="2">
        <v>20505880851</v>
      </c>
      <c r="U394" t="s">
        <v>319</v>
      </c>
      <c r="V394">
        <v>890903938</v>
      </c>
      <c r="W394" t="s">
        <v>342</v>
      </c>
      <c r="X394" s="2">
        <v>1625</v>
      </c>
      <c r="Y394" s="2">
        <v>1625</v>
      </c>
      <c r="Z394" s="2">
        <v>39325</v>
      </c>
      <c r="AA394">
        <v>0</v>
      </c>
      <c r="AB394">
        <v>51525</v>
      </c>
      <c r="AC394">
        <v>0</v>
      </c>
      <c r="AD394">
        <v>0</v>
      </c>
      <c r="AE394" s="5">
        <v>45716</v>
      </c>
      <c r="AF394" t="s">
        <v>1929</v>
      </c>
      <c r="AG394" t="s">
        <v>4012</v>
      </c>
      <c r="AH394" t="s">
        <v>4013</v>
      </c>
    </row>
    <row r="395" spans="1:34" ht="15" customHeight="1" x14ac:dyDescent="0.2">
      <c r="A395" t="s">
        <v>4472</v>
      </c>
      <c r="B395" t="s">
        <v>4473</v>
      </c>
      <c r="C395" s="2">
        <v>39425</v>
      </c>
      <c r="D395" s="5">
        <v>45716</v>
      </c>
      <c r="E395" s="5">
        <v>45716.45208333333</v>
      </c>
      <c r="F395" t="s">
        <v>312</v>
      </c>
      <c r="G395" s="2">
        <v>923218</v>
      </c>
      <c r="H395" t="s">
        <v>119</v>
      </c>
      <c r="I395" t="s">
        <v>120</v>
      </c>
      <c r="J395" t="s">
        <v>47</v>
      </c>
      <c r="K395" s="50">
        <v>854100</v>
      </c>
      <c r="L395" s="50">
        <v>0</v>
      </c>
      <c r="M395" s="50">
        <v>854100</v>
      </c>
      <c r="N395" s="50">
        <v>0</v>
      </c>
      <c r="O395" t="s">
        <v>3589</v>
      </c>
      <c r="P395">
        <v>1074812614</v>
      </c>
      <c r="Q395" t="s">
        <v>3590</v>
      </c>
      <c r="R395" t="s">
        <v>316</v>
      </c>
      <c r="S395" t="s">
        <v>317</v>
      </c>
      <c r="T395" s="2">
        <v>24133360165</v>
      </c>
      <c r="U395" t="s">
        <v>319</v>
      </c>
      <c r="V395">
        <v>860007335</v>
      </c>
      <c r="W395" t="s">
        <v>381</v>
      </c>
      <c r="X395" s="2">
        <v>2325</v>
      </c>
      <c r="Y395" s="2">
        <v>2325</v>
      </c>
      <c r="Z395" s="2">
        <v>39425</v>
      </c>
      <c r="AA395">
        <v>0</v>
      </c>
      <c r="AB395">
        <v>41725</v>
      </c>
      <c r="AC395">
        <v>68529225</v>
      </c>
      <c r="AD395">
        <v>0</v>
      </c>
      <c r="AE395" s="5">
        <v>45716</v>
      </c>
      <c r="AF395" t="s">
        <v>3595</v>
      </c>
      <c r="AG395" t="s">
        <v>3596</v>
      </c>
      <c r="AH395" t="s">
        <v>3597</v>
      </c>
    </row>
    <row r="396" spans="1:34" ht="15" customHeight="1" x14ac:dyDescent="0.2">
      <c r="A396" t="s">
        <v>4474</v>
      </c>
      <c r="B396" t="s">
        <v>4473</v>
      </c>
      <c r="C396" s="2">
        <v>39525</v>
      </c>
      <c r="D396" s="5">
        <v>45716</v>
      </c>
      <c r="E396" s="5">
        <v>45716.454861111109</v>
      </c>
      <c r="F396" t="s">
        <v>312</v>
      </c>
      <c r="G396" s="2">
        <v>923218</v>
      </c>
      <c r="H396" t="s">
        <v>119</v>
      </c>
      <c r="I396" t="s">
        <v>120</v>
      </c>
      <c r="J396" t="s">
        <v>47</v>
      </c>
      <c r="K396" s="50">
        <v>854100</v>
      </c>
      <c r="L396" s="50">
        <v>0</v>
      </c>
      <c r="M396" s="50">
        <v>854100</v>
      </c>
      <c r="N396" s="50">
        <v>0</v>
      </c>
      <c r="O396" t="s">
        <v>351</v>
      </c>
      <c r="P396">
        <v>79859066</v>
      </c>
      <c r="Q396" t="s">
        <v>3599</v>
      </c>
      <c r="R396" t="s">
        <v>316</v>
      </c>
      <c r="S396" t="s">
        <v>317</v>
      </c>
      <c r="T396" s="2">
        <v>24045319758</v>
      </c>
      <c r="U396" t="s">
        <v>319</v>
      </c>
      <c r="V396">
        <v>860007335</v>
      </c>
      <c r="W396" t="s">
        <v>381</v>
      </c>
      <c r="X396" s="2">
        <v>2325</v>
      </c>
      <c r="Y396" s="2">
        <v>2325</v>
      </c>
      <c r="Z396" s="2">
        <v>39525</v>
      </c>
      <c r="AA396">
        <v>0</v>
      </c>
      <c r="AB396">
        <v>41825</v>
      </c>
      <c r="AC396">
        <v>68529325</v>
      </c>
      <c r="AD396">
        <v>0</v>
      </c>
      <c r="AE396" s="5">
        <v>45716</v>
      </c>
      <c r="AF396" t="s">
        <v>3595</v>
      </c>
      <c r="AG396" t="s">
        <v>3596</v>
      </c>
      <c r="AH396" t="s">
        <v>3597</v>
      </c>
    </row>
    <row r="397" spans="1:34" ht="15" customHeight="1" x14ac:dyDescent="0.2">
      <c r="A397" t="s">
        <v>4475</v>
      </c>
      <c r="B397" t="s">
        <v>472</v>
      </c>
      <c r="C397" s="2">
        <v>39625</v>
      </c>
      <c r="D397" s="5">
        <v>45716</v>
      </c>
      <c r="E397" s="5">
        <v>45716.737500000003</v>
      </c>
      <c r="F397" t="s">
        <v>312</v>
      </c>
      <c r="G397" s="2">
        <v>923238</v>
      </c>
      <c r="H397" t="s">
        <v>29</v>
      </c>
      <c r="I397" t="s">
        <v>30</v>
      </c>
      <c r="J397" t="s">
        <v>31</v>
      </c>
      <c r="K397" s="50">
        <v>739364</v>
      </c>
      <c r="L397" s="50">
        <v>0</v>
      </c>
      <c r="M397" s="50">
        <v>739364</v>
      </c>
      <c r="N397" s="50">
        <v>0</v>
      </c>
      <c r="O397" t="s">
        <v>351</v>
      </c>
      <c r="P397">
        <v>4041331</v>
      </c>
      <c r="Q397" t="s">
        <v>2743</v>
      </c>
      <c r="R397" t="s">
        <v>316</v>
      </c>
      <c r="S397" t="s">
        <v>317</v>
      </c>
      <c r="T397" s="2">
        <v>475700002748</v>
      </c>
      <c r="U397" t="s">
        <v>319</v>
      </c>
      <c r="V397">
        <v>860034313</v>
      </c>
      <c r="W397" t="s">
        <v>355</v>
      </c>
      <c r="X397" s="2">
        <v>325</v>
      </c>
      <c r="Y397" s="2">
        <v>325</v>
      </c>
      <c r="Z397" s="2">
        <v>39625</v>
      </c>
      <c r="AA397">
        <v>0</v>
      </c>
      <c r="AB397">
        <v>51425</v>
      </c>
      <c r="AC397">
        <v>0</v>
      </c>
      <c r="AD397">
        <v>0</v>
      </c>
      <c r="AE397" s="5">
        <v>45716</v>
      </c>
      <c r="AF397" t="s">
        <v>1929</v>
      </c>
      <c r="AG397" t="s">
        <v>4017</v>
      </c>
      <c r="AH397" t="s">
        <v>4018</v>
      </c>
    </row>
    <row r="398" spans="1:34" ht="15" customHeight="1" x14ac:dyDescent="0.2">
      <c r="A398" t="s">
        <v>4476</v>
      </c>
      <c r="B398" t="s">
        <v>472</v>
      </c>
      <c r="C398" s="2">
        <v>39725</v>
      </c>
      <c r="D398" s="5">
        <v>45716</v>
      </c>
      <c r="E398" s="5">
        <v>45716.740972222222</v>
      </c>
      <c r="F398" t="s">
        <v>312</v>
      </c>
      <c r="G398" s="2">
        <v>923238</v>
      </c>
      <c r="H398" t="s">
        <v>29</v>
      </c>
      <c r="I398" t="s">
        <v>30</v>
      </c>
      <c r="J398" t="s">
        <v>31</v>
      </c>
      <c r="K398" s="50">
        <v>780975</v>
      </c>
      <c r="L398" s="50">
        <v>0</v>
      </c>
      <c r="M398" s="50">
        <v>780975</v>
      </c>
      <c r="N398" s="50">
        <v>0</v>
      </c>
      <c r="O398" t="s">
        <v>351</v>
      </c>
      <c r="P398">
        <v>1075254883</v>
      </c>
      <c r="Q398" t="s">
        <v>938</v>
      </c>
      <c r="R398" t="s">
        <v>316</v>
      </c>
      <c r="S398" t="s">
        <v>317</v>
      </c>
      <c r="T398" s="2">
        <v>76200118156</v>
      </c>
      <c r="U398" t="s">
        <v>319</v>
      </c>
      <c r="V398">
        <v>860034313</v>
      </c>
      <c r="W398" t="s">
        <v>355</v>
      </c>
      <c r="X398" s="2">
        <v>325</v>
      </c>
      <c r="Y398" s="2">
        <v>325</v>
      </c>
      <c r="Z398" s="2">
        <v>39725</v>
      </c>
      <c r="AA398">
        <v>0</v>
      </c>
      <c r="AB398">
        <v>51325</v>
      </c>
      <c r="AC398">
        <v>0</v>
      </c>
      <c r="AD398">
        <v>0</v>
      </c>
      <c r="AE398" s="5">
        <v>45716</v>
      </c>
      <c r="AF398" t="s">
        <v>1929</v>
      </c>
      <c r="AG398" t="s">
        <v>4020</v>
      </c>
      <c r="AH398" t="s">
        <v>4021</v>
      </c>
    </row>
    <row r="399" spans="1:34" ht="15" customHeight="1" x14ac:dyDescent="0.2">
      <c r="A399" t="s">
        <v>4477</v>
      </c>
      <c r="B399" t="s">
        <v>474</v>
      </c>
      <c r="C399" s="2">
        <v>39825</v>
      </c>
      <c r="D399" s="5">
        <v>45716</v>
      </c>
      <c r="E399" s="5">
        <v>45716.746527777781</v>
      </c>
      <c r="F399" t="s">
        <v>312</v>
      </c>
      <c r="G399" s="2">
        <v>923211</v>
      </c>
      <c r="H399" t="s">
        <v>29</v>
      </c>
      <c r="I399" t="s">
        <v>30</v>
      </c>
      <c r="J399" t="s">
        <v>31</v>
      </c>
      <c r="K399" s="50">
        <v>166195</v>
      </c>
      <c r="L399" s="50">
        <v>0</v>
      </c>
      <c r="M399" s="50">
        <v>166195</v>
      </c>
      <c r="N399" s="50">
        <v>0</v>
      </c>
      <c r="O399" t="s">
        <v>351</v>
      </c>
      <c r="P399">
        <v>11313776</v>
      </c>
      <c r="Q399" t="s">
        <v>676</v>
      </c>
      <c r="R399" t="s">
        <v>316</v>
      </c>
      <c r="S399" t="s">
        <v>317</v>
      </c>
      <c r="T399" s="2">
        <v>52564652261</v>
      </c>
      <c r="U399" t="s">
        <v>319</v>
      </c>
      <c r="V399">
        <v>890903938</v>
      </c>
      <c r="W399" t="s">
        <v>342</v>
      </c>
      <c r="X399" s="2">
        <v>925</v>
      </c>
      <c r="Y399" s="2">
        <v>925</v>
      </c>
      <c r="Z399" s="2">
        <v>39825</v>
      </c>
      <c r="AA399">
        <v>0</v>
      </c>
      <c r="AB399">
        <v>46525</v>
      </c>
      <c r="AC399">
        <v>0</v>
      </c>
      <c r="AD399">
        <v>0</v>
      </c>
      <c r="AE399" s="5">
        <v>45716</v>
      </c>
      <c r="AF399" t="s">
        <v>1929</v>
      </c>
      <c r="AG399" t="s">
        <v>4023</v>
      </c>
      <c r="AH399" t="s">
        <v>4024</v>
      </c>
    </row>
    <row r="400" spans="1:34" ht="15" customHeight="1" x14ac:dyDescent="0.2">
      <c r="A400" t="s">
        <v>4478</v>
      </c>
      <c r="B400" t="s">
        <v>474</v>
      </c>
      <c r="C400" s="2">
        <v>39925</v>
      </c>
      <c r="D400" s="5">
        <v>45716</v>
      </c>
      <c r="E400" s="5">
        <v>45716.748611111114</v>
      </c>
      <c r="F400" t="s">
        <v>312</v>
      </c>
      <c r="G400" s="2">
        <v>923211</v>
      </c>
      <c r="H400" t="s">
        <v>29</v>
      </c>
      <c r="I400" t="s">
        <v>30</v>
      </c>
      <c r="J400" t="s">
        <v>31</v>
      </c>
      <c r="K400" s="50">
        <v>164513</v>
      </c>
      <c r="L400" s="50">
        <v>0</v>
      </c>
      <c r="M400" s="50">
        <v>164513</v>
      </c>
      <c r="N400" s="50">
        <v>0</v>
      </c>
      <c r="O400" t="s">
        <v>351</v>
      </c>
      <c r="P400">
        <v>11223758</v>
      </c>
      <c r="Q400" t="s">
        <v>671</v>
      </c>
      <c r="R400" t="s">
        <v>316</v>
      </c>
      <c r="S400" t="s">
        <v>317</v>
      </c>
      <c r="T400" s="2">
        <v>26470274475</v>
      </c>
      <c r="U400" t="s">
        <v>319</v>
      </c>
      <c r="V400">
        <v>890903938</v>
      </c>
      <c r="W400" t="s">
        <v>342</v>
      </c>
      <c r="X400" s="2">
        <v>925</v>
      </c>
      <c r="Y400" s="2">
        <v>925</v>
      </c>
      <c r="Z400" s="2">
        <v>39925</v>
      </c>
      <c r="AA400">
        <v>0</v>
      </c>
      <c r="AB400">
        <v>46325</v>
      </c>
      <c r="AC400">
        <v>0</v>
      </c>
      <c r="AD400">
        <v>0</v>
      </c>
      <c r="AE400" s="5">
        <v>45716</v>
      </c>
      <c r="AF400" t="s">
        <v>1929</v>
      </c>
      <c r="AG400" t="s">
        <v>4026</v>
      </c>
      <c r="AH400" t="s">
        <v>4024</v>
      </c>
    </row>
    <row r="401" spans="1:34" ht="15" customHeight="1" x14ac:dyDescent="0.2">
      <c r="A401" t="s">
        <v>4479</v>
      </c>
      <c r="B401" t="s">
        <v>474</v>
      </c>
      <c r="C401" s="2">
        <v>40025</v>
      </c>
      <c r="D401" s="5">
        <v>45716</v>
      </c>
      <c r="E401" s="5">
        <v>45716.75277777778</v>
      </c>
      <c r="F401" t="s">
        <v>312</v>
      </c>
      <c r="G401" s="2">
        <v>923211</v>
      </c>
      <c r="H401" t="s">
        <v>29</v>
      </c>
      <c r="I401" t="s">
        <v>30</v>
      </c>
      <c r="J401" t="s">
        <v>31</v>
      </c>
      <c r="K401" s="50">
        <v>232058</v>
      </c>
      <c r="L401" s="50">
        <v>0</v>
      </c>
      <c r="M401" s="50">
        <v>232058</v>
      </c>
      <c r="N401" s="50">
        <v>0</v>
      </c>
      <c r="O401" t="s">
        <v>351</v>
      </c>
      <c r="P401">
        <v>79359242</v>
      </c>
      <c r="Q401" t="s">
        <v>1959</v>
      </c>
      <c r="R401" t="s">
        <v>316</v>
      </c>
      <c r="S401" t="s">
        <v>317</v>
      </c>
      <c r="T401" s="2">
        <v>272175241</v>
      </c>
      <c r="U401" t="s">
        <v>319</v>
      </c>
      <c r="V401">
        <v>860002964</v>
      </c>
      <c r="W401" t="s">
        <v>419</v>
      </c>
      <c r="X401" s="2">
        <v>925</v>
      </c>
      <c r="Y401" s="2">
        <v>925</v>
      </c>
      <c r="Z401" s="2">
        <v>40025</v>
      </c>
      <c r="AA401">
        <v>0</v>
      </c>
      <c r="AB401">
        <v>52325</v>
      </c>
      <c r="AC401">
        <v>0</v>
      </c>
      <c r="AD401">
        <v>0</v>
      </c>
      <c r="AE401" s="5">
        <v>45716</v>
      </c>
      <c r="AF401" t="s">
        <v>1929</v>
      </c>
      <c r="AG401" t="s">
        <v>4028</v>
      </c>
      <c r="AH401" t="s">
        <v>4029</v>
      </c>
    </row>
    <row r="402" spans="1:34" ht="15" customHeight="1" x14ac:dyDescent="0.2">
      <c r="A402" t="s">
        <v>4480</v>
      </c>
      <c r="B402" t="s">
        <v>472</v>
      </c>
      <c r="C402" s="2">
        <v>40125</v>
      </c>
      <c r="D402" s="5">
        <v>45716</v>
      </c>
      <c r="E402" s="5">
        <v>45716.756249999999</v>
      </c>
      <c r="F402" t="s">
        <v>312</v>
      </c>
      <c r="G402" s="2">
        <v>923238</v>
      </c>
      <c r="H402" t="s">
        <v>29</v>
      </c>
      <c r="I402" t="s">
        <v>30</v>
      </c>
      <c r="J402" t="s">
        <v>31</v>
      </c>
      <c r="K402" s="50">
        <v>904365</v>
      </c>
      <c r="L402" s="50">
        <v>0</v>
      </c>
      <c r="M402" s="50">
        <v>904365</v>
      </c>
      <c r="N402" s="50">
        <v>0</v>
      </c>
      <c r="O402" t="s">
        <v>351</v>
      </c>
      <c r="P402">
        <v>52505799</v>
      </c>
      <c r="Q402" t="s">
        <v>813</v>
      </c>
      <c r="R402" t="s">
        <v>316</v>
      </c>
      <c r="S402" t="s">
        <v>317</v>
      </c>
      <c r="T402" s="2">
        <v>488446490713</v>
      </c>
      <c r="U402" t="s">
        <v>319</v>
      </c>
      <c r="V402">
        <v>860034313</v>
      </c>
      <c r="W402" t="s">
        <v>355</v>
      </c>
      <c r="X402" s="2">
        <v>325</v>
      </c>
      <c r="Y402" s="2">
        <v>325</v>
      </c>
      <c r="Z402" s="2">
        <v>40125</v>
      </c>
      <c r="AA402">
        <v>0</v>
      </c>
      <c r="AB402">
        <v>47125</v>
      </c>
      <c r="AC402">
        <v>0</v>
      </c>
      <c r="AD402">
        <v>0</v>
      </c>
      <c r="AE402" s="5">
        <v>45716</v>
      </c>
      <c r="AF402" t="s">
        <v>1929</v>
      </c>
      <c r="AG402" t="s">
        <v>4031</v>
      </c>
      <c r="AH402" t="s">
        <v>4032</v>
      </c>
    </row>
    <row r="403" spans="1:34" ht="15" customHeight="1" x14ac:dyDescent="0.2">
      <c r="A403" t="s">
        <v>4481</v>
      </c>
      <c r="B403" t="s">
        <v>472</v>
      </c>
      <c r="C403" s="2">
        <v>40225</v>
      </c>
      <c r="D403" s="5">
        <v>45716</v>
      </c>
      <c r="E403" s="5">
        <v>45716.759027777778</v>
      </c>
      <c r="F403" t="s">
        <v>312</v>
      </c>
      <c r="G403" s="2">
        <v>923238</v>
      </c>
      <c r="H403" t="s">
        <v>29</v>
      </c>
      <c r="I403" t="s">
        <v>30</v>
      </c>
      <c r="J403" t="s">
        <v>31</v>
      </c>
      <c r="K403" s="50">
        <v>664780</v>
      </c>
      <c r="L403" s="50">
        <v>0</v>
      </c>
      <c r="M403" s="50">
        <v>664780</v>
      </c>
      <c r="N403" s="50">
        <v>0</v>
      </c>
      <c r="O403" t="s">
        <v>351</v>
      </c>
      <c r="P403">
        <v>13478907</v>
      </c>
      <c r="Q403" t="s">
        <v>948</v>
      </c>
      <c r="R403" t="s">
        <v>316</v>
      </c>
      <c r="S403" t="s">
        <v>317</v>
      </c>
      <c r="T403" s="2">
        <v>31791837408</v>
      </c>
      <c r="U403" t="s">
        <v>319</v>
      </c>
      <c r="V403">
        <v>890903938</v>
      </c>
      <c r="W403" t="s">
        <v>342</v>
      </c>
      <c r="X403" s="2">
        <v>325</v>
      </c>
      <c r="Y403" s="2">
        <v>325</v>
      </c>
      <c r="Z403" s="2">
        <v>40225</v>
      </c>
      <c r="AA403">
        <v>0</v>
      </c>
      <c r="AB403">
        <v>46725</v>
      </c>
      <c r="AC403">
        <v>0</v>
      </c>
      <c r="AD403">
        <v>0</v>
      </c>
      <c r="AE403" s="5">
        <v>45716</v>
      </c>
      <c r="AF403" t="s">
        <v>1929</v>
      </c>
      <c r="AG403" t="s">
        <v>4034</v>
      </c>
      <c r="AH403" t="s">
        <v>4035</v>
      </c>
    </row>
    <row r="404" spans="1:34" ht="15" customHeight="1" x14ac:dyDescent="0.2">
      <c r="A404" t="s">
        <v>4482</v>
      </c>
      <c r="B404" t="s">
        <v>472</v>
      </c>
      <c r="C404" s="2">
        <v>40325</v>
      </c>
      <c r="D404" s="5">
        <v>45719</v>
      </c>
      <c r="E404" s="5">
        <v>45719.352083333331</v>
      </c>
      <c r="F404" t="s">
        <v>312</v>
      </c>
      <c r="G404" s="2">
        <v>923238</v>
      </c>
      <c r="H404" t="s">
        <v>29</v>
      </c>
      <c r="I404" t="s">
        <v>30</v>
      </c>
      <c r="J404" t="s">
        <v>31</v>
      </c>
      <c r="K404" s="50">
        <v>628651</v>
      </c>
      <c r="L404" s="50">
        <v>0</v>
      </c>
      <c r="M404" s="50">
        <v>628651</v>
      </c>
      <c r="N404" s="50">
        <v>0</v>
      </c>
      <c r="O404" t="s">
        <v>351</v>
      </c>
      <c r="P404">
        <v>11315001</v>
      </c>
      <c r="Q404" t="s">
        <v>2037</v>
      </c>
      <c r="R404" t="s">
        <v>316</v>
      </c>
      <c r="S404" t="s">
        <v>317</v>
      </c>
      <c r="T404" s="2">
        <v>20505880851</v>
      </c>
      <c r="U404" t="s">
        <v>319</v>
      </c>
      <c r="V404">
        <v>890903938</v>
      </c>
      <c r="W404" t="s">
        <v>342</v>
      </c>
      <c r="X404" s="2">
        <v>325</v>
      </c>
      <c r="Y404" s="2">
        <v>325</v>
      </c>
      <c r="Z404" s="2">
        <v>40325</v>
      </c>
      <c r="AA404">
        <v>0</v>
      </c>
      <c r="AB404">
        <v>51625</v>
      </c>
      <c r="AC404">
        <v>0</v>
      </c>
      <c r="AD404">
        <v>0</v>
      </c>
      <c r="AE404" s="5">
        <v>45719</v>
      </c>
      <c r="AF404" t="s">
        <v>1929</v>
      </c>
      <c r="AG404" t="s">
        <v>4038</v>
      </c>
      <c r="AH404" t="s">
        <v>4039</v>
      </c>
    </row>
    <row r="405" spans="1:34" ht="15" customHeight="1" x14ac:dyDescent="0.2">
      <c r="A405" t="s">
        <v>4483</v>
      </c>
      <c r="B405" t="s">
        <v>472</v>
      </c>
      <c r="C405" s="2">
        <v>40425</v>
      </c>
      <c r="D405" s="5">
        <v>45719</v>
      </c>
      <c r="E405" s="5">
        <v>45719.368055555555</v>
      </c>
      <c r="F405" t="s">
        <v>312</v>
      </c>
      <c r="G405" s="2">
        <v>923238</v>
      </c>
      <c r="H405" t="s">
        <v>29</v>
      </c>
      <c r="I405" t="s">
        <v>30</v>
      </c>
      <c r="J405" t="s">
        <v>31</v>
      </c>
      <c r="K405" s="50">
        <v>322390</v>
      </c>
      <c r="L405" s="50">
        <v>0</v>
      </c>
      <c r="M405" s="50">
        <v>322390</v>
      </c>
      <c r="N405" s="50">
        <v>0</v>
      </c>
      <c r="O405" t="s">
        <v>351</v>
      </c>
      <c r="P405">
        <v>79863951</v>
      </c>
      <c r="Q405" t="s">
        <v>1715</v>
      </c>
      <c r="R405" t="s">
        <v>316</v>
      </c>
      <c r="S405" t="s">
        <v>317</v>
      </c>
      <c r="T405" s="2">
        <v>76669971547</v>
      </c>
      <c r="U405" t="s">
        <v>319</v>
      </c>
      <c r="V405">
        <v>890903938</v>
      </c>
      <c r="W405" t="s">
        <v>342</v>
      </c>
      <c r="X405" s="2">
        <v>325</v>
      </c>
      <c r="Y405" s="2">
        <v>325</v>
      </c>
      <c r="Z405" s="2">
        <v>40425</v>
      </c>
      <c r="AA405">
        <v>0</v>
      </c>
      <c r="AB405">
        <v>48525</v>
      </c>
      <c r="AC405">
        <v>0</v>
      </c>
      <c r="AD405">
        <v>0</v>
      </c>
      <c r="AE405" s="5">
        <v>45719</v>
      </c>
      <c r="AF405" t="s">
        <v>1929</v>
      </c>
      <c r="AG405" t="s">
        <v>4041</v>
      </c>
      <c r="AH405" t="s">
        <v>4042</v>
      </c>
    </row>
    <row r="406" spans="1:34" ht="15" customHeight="1" x14ac:dyDescent="0.2">
      <c r="A406" t="s">
        <v>4484</v>
      </c>
      <c r="B406" t="s">
        <v>472</v>
      </c>
      <c r="C406" s="2">
        <v>40525</v>
      </c>
      <c r="D406" s="5">
        <v>45719</v>
      </c>
      <c r="E406" s="5">
        <v>45719.377083333333</v>
      </c>
      <c r="F406" t="s">
        <v>312</v>
      </c>
      <c r="G406" s="2">
        <v>923238</v>
      </c>
      <c r="H406" t="s">
        <v>29</v>
      </c>
      <c r="I406" t="s">
        <v>30</v>
      </c>
      <c r="J406" t="s">
        <v>31</v>
      </c>
      <c r="K406" s="50">
        <v>332390</v>
      </c>
      <c r="L406" s="50">
        <v>0</v>
      </c>
      <c r="M406" s="50">
        <v>332390</v>
      </c>
      <c r="N406" s="50">
        <v>0</v>
      </c>
      <c r="O406" t="s">
        <v>351</v>
      </c>
      <c r="P406">
        <v>3170948</v>
      </c>
      <c r="Q406" t="s">
        <v>1764</v>
      </c>
      <c r="R406" t="s">
        <v>316</v>
      </c>
      <c r="S406" t="s">
        <v>317</v>
      </c>
      <c r="T406" s="2">
        <v>488400443682</v>
      </c>
      <c r="U406" t="s">
        <v>319</v>
      </c>
      <c r="V406">
        <v>860034313</v>
      </c>
      <c r="W406" t="s">
        <v>355</v>
      </c>
      <c r="X406" s="2">
        <v>325</v>
      </c>
      <c r="Y406" s="2">
        <v>325</v>
      </c>
      <c r="Z406" s="2">
        <v>40525</v>
      </c>
      <c r="AA406">
        <v>0</v>
      </c>
      <c r="AB406">
        <v>45925</v>
      </c>
      <c r="AC406">
        <v>0</v>
      </c>
      <c r="AD406">
        <v>0</v>
      </c>
      <c r="AE406" s="5">
        <v>45719</v>
      </c>
      <c r="AF406" t="s">
        <v>1929</v>
      </c>
      <c r="AG406" t="s">
        <v>4044</v>
      </c>
      <c r="AH406" t="s">
        <v>4045</v>
      </c>
    </row>
    <row r="407" spans="1:34" ht="15" customHeight="1" x14ac:dyDescent="0.2">
      <c r="A407" t="s">
        <v>4485</v>
      </c>
      <c r="B407" t="s">
        <v>472</v>
      </c>
      <c r="C407" s="2">
        <v>40625</v>
      </c>
      <c r="D407" s="5">
        <v>45719</v>
      </c>
      <c r="E407" s="5">
        <v>45719.39166666667</v>
      </c>
      <c r="F407" t="s">
        <v>312</v>
      </c>
      <c r="G407" s="2">
        <v>923238</v>
      </c>
      <c r="H407" t="s">
        <v>29</v>
      </c>
      <c r="I407" t="s">
        <v>30</v>
      </c>
      <c r="J407" t="s">
        <v>31</v>
      </c>
      <c r="K407" s="50">
        <v>322390</v>
      </c>
      <c r="L407" s="50">
        <v>0</v>
      </c>
      <c r="M407" s="50">
        <v>322390</v>
      </c>
      <c r="N407" s="50">
        <v>0</v>
      </c>
      <c r="O407" t="s">
        <v>351</v>
      </c>
      <c r="P407">
        <v>80232876</v>
      </c>
      <c r="Q407" t="s">
        <v>1730</v>
      </c>
      <c r="R407" t="s">
        <v>316</v>
      </c>
      <c r="S407" t="s">
        <v>317</v>
      </c>
      <c r="T407" s="2">
        <v>34143658998</v>
      </c>
      <c r="U407" t="s">
        <v>319</v>
      </c>
      <c r="V407">
        <v>890903938</v>
      </c>
      <c r="W407" t="s">
        <v>342</v>
      </c>
      <c r="X407" s="2">
        <v>325</v>
      </c>
      <c r="Y407" s="2">
        <v>325</v>
      </c>
      <c r="Z407" s="2">
        <v>40625</v>
      </c>
      <c r="AA407">
        <v>0</v>
      </c>
      <c r="AB407">
        <v>49025</v>
      </c>
      <c r="AC407">
        <v>0</v>
      </c>
      <c r="AD407">
        <v>0</v>
      </c>
      <c r="AE407" s="5">
        <v>45719</v>
      </c>
      <c r="AF407" t="s">
        <v>1929</v>
      </c>
      <c r="AG407" t="s">
        <v>4047</v>
      </c>
      <c r="AH407" t="s">
        <v>4048</v>
      </c>
    </row>
    <row r="408" spans="1:34" ht="15" customHeight="1" x14ac:dyDescent="0.2">
      <c r="A408" t="s">
        <v>4486</v>
      </c>
      <c r="B408" t="s">
        <v>472</v>
      </c>
      <c r="C408" s="2">
        <v>40725</v>
      </c>
      <c r="D408" s="5">
        <v>45719</v>
      </c>
      <c r="E408" s="5">
        <v>45719.397916666669</v>
      </c>
      <c r="F408" t="s">
        <v>312</v>
      </c>
      <c r="G408" s="2">
        <v>923238</v>
      </c>
      <c r="H408" t="s">
        <v>29</v>
      </c>
      <c r="I408" t="s">
        <v>30</v>
      </c>
      <c r="J408" t="s">
        <v>31</v>
      </c>
      <c r="K408" s="50">
        <v>312390</v>
      </c>
      <c r="L408" s="50">
        <v>0</v>
      </c>
      <c r="M408" s="50">
        <v>312390</v>
      </c>
      <c r="N408" s="50">
        <v>0</v>
      </c>
      <c r="O408" t="s">
        <v>351</v>
      </c>
      <c r="P408">
        <v>79977580</v>
      </c>
      <c r="Q408" t="s">
        <v>1740</v>
      </c>
      <c r="R408" t="s">
        <v>316</v>
      </c>
      <c r="S408" t="s">
        <v>317</v>
      </c>
      <c r="T408" s="2">
        <v>24043558014</v>
      </c>
      <c r="U408" t="s">
        <v>319</v>
      </c>
      <c r="V408">
        <v>860007335</v>
      </c>
      <c r="W408" t="s">
        <v>381</v>
      </c>
      <c r="X408" s="2">
        <v>325</v>
      </c>
      <c r="Y408" s="2">
        <v>325</v>
      </c>
      <c r="Z408" s="2">
        <v>40725</v>
      </c>
      <c r="AA408">
        <v>0</v>
      </c>
      <c r="AB408">
        <v>48825</v>
      </c>
      <c r="AC408">
        <v>0</v>
      </c>
      <c r="AD408">
        <v>0</v>
      </c>
      <c r="AE408" s="5">
        <v>45719</v>
      </c>
      <c r="AF408" t="s">
        <v>1929</v>
      </c>
      <c r="AG408" t="s">
        <v>4050</v>
      </c>
      <c r="AH408" t="s">
        <v>4051</v>
      </c>
    </row>
    <row r="409" spans="1:34" ht="15" customHeight="1" x14ac:dyDescent="0.2">
      <c r="A409" t="s">
        <v>4487</v>
      </c>
      <c r="B409" t="s">
        <v>472</v>
      </c>
      <c r="C409" s="2">
        <v>40825</v>
      </c>
      <c r="D409" s="5">
        <v>45719</v>
      </c>
      <c r="E409" s="5">
        <v>45719.406944444447</v>
      </c>
      <c r="F409" t="s">
        <v>312</v>
      </c>
      <c r="G409" s="2">
        <v>923238</v>
      </c>
      <c r="H409" t="s">
        <v>29</v>
      </c>
      <c r="I409" t="s">
        <v>30</v>
      </c>
      <c r="J409" t="s">
        <v>31</v>
      </c>
      <c r="K409" s="50">
        <v>644780</v>
      </c>
      <c r="L409" s="50">
        <v>0</v>
      </c>
      <c r="M409" s="50">
        <v>644780</v>
      </c>
      <c r="N409" s="50">
        <v>0</v>
      </c>
      <c r="O409" t="s">
        <v>351</v>
      </c>
      <c r="P409">
        <v>1052381667</v>
      </c>
      <c r="Q409" t="s">
        <v>1702</v>
      </c>
      <c r="R409" t="s">
        <v>316</v>
      </c>
      <c r="S409" t="s">
        <v>317</v>
      </c>
      <c r="T409" s="2">
        <v>500802182095</v>
      </c>
      <c r="U409" t="s">
        <v>319</v>
      </c>
      <c r="V409">
        <v>860007738</v>
      </c>
      <c r="W409" t="s">
        <v>784</v>
      </c>
      <c r="X409" s="2">
        <v>325</v>
      </c>
      <c r="Y409" s="2">
        <v>325</v>
      </c>
      <c r="Z409" s="2">
        <v>40825</v>
      </c>
      <c r="AA409">
        <v>0</v>
      </c>
      <c r="AB409">
        <v>51125</v>
      </c>
      <c r="AC409">
        <v>0</v>
      </c>
      <c r="AD409">
        <v>0</v>
      </c>
      <c r="AE409" s="5">
        <v>45719</v>
      </c>
      <c r="AF409" t="s">
        <v>1929</v>
      </c>
      <c r="AG409" t="s">
        <v>4053</v>
      </c>
      <c r="AH409" t="s">
        <v>4054</v>
      </c>
    </row>
    <row r="410" spans="1:34" ht="15" customHeight="1" x14ac:dyDescent="0.2">
      <c r="A410" t="s">
        <v>4488</v>
      </c>
      <c r="B410" t="s">
        <v>472</v>
      </c>
      <c r="C410" s="2">
        <v>40925</v>
      </c>
      <c r="D410" s="5">
        <v>45719</v>
      </c>
      <c r="E410" s="5">
        <v>45719.431250000001</v>
      </c>
      <c r="F410" t="s">
        <v>312</v>
      </c>
      <c r="G410" s="2">
        <v>923238</v>
      </c>
      <c r="H410" t="s">
        <v>29</v>
      </c>
      <c r="I410" t="s">
        <v>30</v>
      </c>
      <c r="J410" t="s">
        <v>31</v>
      </c>
      <c r="K410" s="50">
        <v>322390</v>
      </c>
      <c r="L410" s="50">
        <v>0</v>
      </c>
      <c r="M410" s="50">
        <v>322390</v>
      </c>
      <c r="N410" s="50">
        <v>0</v>
      </c>
      <c r="O410" t="s">
        <v>351</v>
      </c>
      <c r="P410">
        <v>88260450</v>
      </c>
      <c r="Q410" t="s">
        <v>1759</v>
      </c>
      <c r="R410" t="s">
        <v>316</v>
      </c>
      <c r="S410" t="s">
        <v>317</v>
      </c>
      <c r="T410" s="2">
        <v>24119909829</v>
      </c>
      <c r="U410" t="s">
        <v>319</v>
      </c>
      <c r="V410">
        <v>860007335</v>
      </c>
      <c r="W410" t="s">
        <v>381</v>
      </c>
      <c r="X410" s="2">
        <v>325</v>
      </c>
      <c r="Y410" s="2">
        <v>325</v>
      </c>
      <c r="Z410" s="2">
        <v>40925</v>
      </c>
      <c r="AA410">
        <v>0</v>
      </c>
      <c r="AB410">
        <v>49625</v>
      </c>
      <c r="AC410">
        <v>0</v>
      </c>
      <c r="AD410">
        <v>0</v>
      </c>
      <c r="AE410" s="5">
        <v>45719</v>
      </c>
      <c r="AF410" t="s">
        <v>1929</v>
      </c>
      <c r="AG410" t="s">
        <v>4056</v>
      </c>
      <c r="AH410" t="s">
        <v>4057</v>
      </c>
    </row>
    <row r="411" spans="1:34" ht="15" customHeight="1" x14ac:dyDescent="0.2">
      <c r="A411" t="s">
        <v>4489</v>
      </c>
      <c r="B411" t="s">
        <v>472</v>
      </c>
      <c r="C411" s="2">
        <v>41025</v>
      </c>
      <c r="D411" s="5">
        <v>45719</v>
      </c>
      <c r="E411" s="5">
        <v>45719.4375</v>
      </c>
      <c r="F411" t="s">
        <v>312</v>
      </c>
      <c r="G411" s="2">
        <v>923238</v>
      </c>
      <c r="H411" t="s">
        <v>29</v>
      </c>
      <c r="I411" t="s">
        <v>30</v>
      </c>
      <c r="J411" t="s">
        <v>31</v>
      </c>
      <c r="K411" s="50">
        <v>396520</v>
      </c>
      <c r="L411" s="50">
        <v>0</v>
      </c>
      <c r="M411" s="50">
        <v>396520</v>
      </c>
      <c r="N411" s="50">
        <v>0</v>
      </c>
      <c r="O411" t="s">
        <v>351</v>
      </c>
      <c r="P411">
        <v>55177634</v>
      </c>
      <c r="Q411" t="s">
        <v>1754</v>
      </c>
      <c r="R411" t="s">
        <v>316</v>
      </c>
      <c r="S411" t="s">
        <v>317</v>
      </c>
      <c r="T411" s="2">
        <v>488417436331</v>
      </c>
      <c r="U411" t="s">
        <v>319</v>
      </c>
      <c r="V411">
        <v>860034313</v>
      </c>
      <c r="W411" t="s">
        <v>355</v>
      </c>
      <c r="X411" s="2">
        <v>325</v>
      </c>
      <c r="Y411" s="2">
        <v>325</v>
      </c>
      <c r="Z411" s="2">
        <v>41025</v>
      </c>
      <c r="AA411">
        <v>0</v>
      </c>
      <c r="AB411">
        <v>47425</v>
      </c>
      <c r="AC411">
        <v>0</v>
      </c>
      <c r="AD411">
        <v>0</v>
      </c>
      <c r="AE411" s="5">
        <v>45719</v>
      </c>
      <c r="AF411" t="s">
        <v>1929</v>
      </c>
      <c r="AG411" t="s">
        <v>4059</v>
      </c>
      <c r="AH411" t="s">
        <v>4060</v>
      </c>
    </row>
    <row r="412" spans="1:34" ht="15" customHeight="1" x14ac:dyDescent="0.2">
      <c r="A412" t="s">
        <v>4490</v>
      </c>
      <c r="B412" t="s">
        <v>472</v>
      </c>
      <c r="C412" s="2">
        <v>41125</v>
      </c>
      <c r="D412" s="5">
        <v>45719</v>
      </c>
      <c r="E412" s="5">
        <v>45719.443749999999</v>
      </c>
      <c r="F412" t="s">
        <v>312</v>
      </c>
      <c r="G412" s="2">
        <v>923238</v>
      </c>
      <c r="H412" t="s">
        <v>29</v>
      </c>
      <c r="I412" t="s">
        <v>30</v>
      </c>
      <c r="J412" t="s">
        <v>31</v>
      </c>
      <c r="K412" s="50">
        <v>624780</v>
      </c>
      <c r="L412" s="50">
        <v>0</v>
      </c>
      <c r="M412" s="50">
        <v>624780</v>
      </c>
      <c r="N412" s="50">
        <v>0</v>
      </c>
      <c r="O412" t="s">
        <v>351</v>
      </c>
      <c r="P412">
        <v>39671472</v>
      </c>
      <c r="Q412" t="s">
        <v>1749</v>
      </c>
      <c r="R412" t="s">
        <v>316</v>
      </c>
      <c r="S412" t="s">
        <v>317</v>
      </c>
      <c r="T412" s="2">
        <v>22100000259</v>
      </c>
      <c r="U412" t="s">
        <v>319</v>
      </c>
      <c r="V412">
        <v>890903938</v>
      </c>
      <c r="W412" t="s">
        <v>342</v>
      </c>
      <c r="X412" s="2">
        <v>325</v>
      </c>
      <c r="Y412" s="2">
        <v>325</v>
      </c>
      <c r="Z412" s="2">
        <v>41125</v>
      </c>
      <c r="AA412">
        <v>0</v>
      </c>
      <c r="AB412">
        <v>46925</v>
      </c>
      <c r="AC412">
        <v>0</v>
      </c>
      <c r="AD412">
        <v>0</v>
      </c>
      <c r="AE412" s="5">
        <v>45719</v>
      </c>
      <c r="AF412" t="s">
        <v>1929</v>
      </c>
      <c r="AG412" t="s">
        <v>4062</v>
      </c>
      <c r="AH412" t="s">
        <v>4063</v>
      </c>
    </row>
    <row r="413" spans="1:34" ht="15" customHeight="1" x14ac:dyDescent="0.2">
      <c r="A413" t="s">
        <v>4491</v>
      </c>
      <c r="B413" t="s">
        <v>472</v>
      </c>
      <c r="C413" s="2">
        <v>41225</v>
      </c>
      <c r="D413" s="5">
        <v>45719</v>
      </c>
      <c r="E413" s="5">
        <v>45719.451388888891</v>
      </c>
      <c r="F413" t="s">
        <v>312</v>
      </c>
      <c r="G413" s="2">
        <v>923238</v>
      </c>
      <c r="H413" t="s">
        <v>29</v>
      </c>
      <c r="I413" t="s">
        <v>30</v>
      </c>
      <c r="J413" t="s">
        <v>31</v>
      </c>
      <c r="K413" s="50">
        <v>624780</v>
      </c>
      <c r="L413" s="50">
        <v>0</v>
      </c>
      <c r="M413" s="50">
        <v>624780</v>
      </c>
      <c r="N413" s="50">
        <v>0</v>
      </c>
      <c r="O413" t="s">
        <v>351</v>
      </c>
      <c r="P413">
        <v>82395365</v>
      </c>
      <c r="Q413" t="s">
        <v>1692</v>
      </c>
      <c r="R413" t="s">
        <v>316</v>
      </c>
      <c r="S413" t="s">
        <v>317</v>
      </c>
      <c r="T413" s="2">
        <v>378341564</v>
      </c>
      <c r="U413" t="s">
        <v>319</v>
      </c>
      <c r="V413">
        <v>860003020</v>
      </c>
      <c r="W413" t="s">
        <v>393</v>
      </c>
      <c r="X413" s="2">
        <v>325</v>
      </c>
      <c r="Y413" s="2">
        <v>325</v>
      </c>
      <c r="Z413" s="2">
        <v>41225</v>
      </c>
      <c r="AA413">
        <v>0</v>
      </c>
      <c r="AB413">
        <v>49325</v>
      </c>
      <c r="AC413">
        <v>0</v>
      </c>
      <c r="AD413">
        <v>0</v>
      </c>
      <c r="AE413" s="5">
        <v>45719</v>
      </c>
      <c r="AF413" t="s">
        <v>1929</v>
      </c>
      <c r="AG413" t="s">
        <v>4065</v>
      </c>
      <c r="AH413" t="s">
        <v>4066</v>
      </c>
    </row>
    <row r="414" spans="1:34" ht="15" customHeight="1" x14ac:dyDescent="0.2">
      <c r="A414" t="s">
        <v>4492</v>
      </c>
      <c r="B414" t="s">
        <v>472</v>
      </c>
      <c r="C414" s="2">
        <v>41325</v>
      </c>
      <c r="D414" s="5">
        <v>45719</v>
      </c>
      <c r="E414" s="5">
        <v>45719.45416666667</v>
      </c>
      <c r="F414" t="s">
        <v>312</v>
      </c>
      <c r="G414" s="2">
        <v>923238</v>
      </c>
      <c r="H414" t="s">
        <v>29</v>
      </c>
      <c r="I414" t="s">
        <v>30</v>
      </c>
      <c r="J414" t="s">
        <v>31</v>
      </c>
      <c r="K414" s="50">
        <v>644780</v>
      </c>
      <c r="L414" s="50">
        <v>0</v>
      </c>
      <c r="M414" s="50">
        <v>644780</v>
      </c>
      <c r="N414" s="50">
        <v>0</v>
      </c>
      <c r="O414" t="s">
        <v>351</v>
      </c>
      <c r="P414">
        <v>11257178</v>
      </c>
      <c r="Q414" t="s">
        <v>1687</v>
      </c>
      <c r="R414" t="s">
        <v>316</v>
      </c>
      <c r="S414" t="s">
        <v>317</v>
      </c>
      <c r="T414" s="2">
        <v>26430709061</v>
      </c>
      <c r="U414" t="s">
        <v>319</v>
      </c>
      <c r="V414">
        <v>890903938</v>
      </c>
      <c r="W414" t="s">
        <v>342</v>
      </c>
      <c r="X414" s="2">
        <v>325</v>
      </c>
      <c r="Y414" s="2">
        <v>325</v>
      </c>
      <c r="Z414" s="2">
        <v>41325</v>
      </c>
      <c r="AA414">
        <v>0</v>
      </c>
      <c r="AB414">
        <v>46425</v>
      </c>
      <c r="AC414">
        <v>0</v>
      </c>
      <c r="AD414">
        <v>0</v>
      </c>
      <c r="AE414" s="5">
        <v>45719</v>
      </c>
      <c r="AF414" t="s">
        <v>1929</v>
      </c>
      <c r="AG414" t="s">
        <v>4068</v>
      </c>
      <c r="AH414" t="s">
        <v>4069</v>
      </c>
    </row>
    <row r="415" spans="1:34" ht="15" customHeight="1" x14ac:dyDescent="0.2">
      <c r="A415" t="s">
        <v>4493</v>
      </c>
      <c r="B415" t="s">
        <v>472</v>
      </c>
      <c r="C415" s="2">
        <v>41425</v>
      </c>
      <c r="D415" s="5">
        <v>45719</v>
      </c>
      <c r="E415" s="5">
        <v>45719.456944444442</v>
      </c>
      <c r="F415" t="s">
        <v>312</v>
      </c>
      <c r="G415" s="2">
        <v>923238</v>
      </c>
      <c r="H415" t="s">
        <v>29</v>
      </c>
      <c r="I415" t="s">
        <v>30</v>
      </c>
      <c r="J415" t="s">
        <v>31</v>
      </c>
      <c r="K415" s="50">
        <v>1104235</v>
      </c>
      <c r="L415" s="50">
        <v>0</v>
      </c>
      <c r="M415" s="50">
        <v>1104235</v>
      </c>
      <c r="N415" s="50">
        <v>0</v>
      </c>
      <c r="O415" t="s">
        <v>351</v>
      </c>
      <c r="P415">
        <v>80724086</v>
      </c>
      <c r="Q415" t="s">
        <v>1926</v>
      </c>
      <c r="R415" t="s">
        <v>316</v>
      </c>
      <c r="S415" t="s">
        <v>317</v>
      </c>
      <c r="T415" s="2">
        <v>22127248099</v>
      </c>
      <c r="U415" t="s">
        <v>319</v>
      </c>
      <c r="V415">
        <v>890903938</v>
      </c>
      <c r="W415" t="s">
        <v>342</v>
      </c>
      <c r="X415" s="2">
        <v>325</v>
      </c>
      <c r="Y415" s="2">
        <v>325</v>
      </c>
      <c r="Z415" s="2">
        <v>41425</v>
      </c>
      <c r="AA415">
        <v>0</v>
      </c>
      <c r="AB415">
        <v>52525</v>
      </c>
      <c r="AC415">
        <v>0</v>
      </c>
      <c r="AD415">
        <v>0</v>
      </c>
      <c r="AE415" s="5">
        <v>45719</v>
      </c>
      <c r="AF415" t="s">
        <v>1929</v>
      </c>
      <c r="AG415" t="s">
        <v>4071</v>
      </c>
      <c r="AH415" t="s">
        <v>4072</v>
      </c>
    </row>
    <row r="416" spans="1:34" ht="15" customHeight="1" x14ac:dyDescent="0.2">
      <c r="A416" t="s">
        <v>4494</v>
      </c>
      <c r="B416" t="s">
        <v>489</v>
      </c>
      <c r="C416" s="2">
        <v>41525</v>
      </c>
      <c r="D416" s="5">
        <v>45719</v>
      </c>
      <c r="E416" s="5">
        <v>45719.463194444441</v>
      </c>
      <c r="F416" t="s">
        <v>312</v>
      </c>
      <c r="G416" s="2">
        <v>923290</v>
      </c>
      <c r="H416" t="s">
        <v>29</v>
      </c>
      <c r="I416" t="s">
        <v>30</v>
      </c>
      <c r="J416" t="s">
        <v>31</v>
      </c>
      <c r="K416" s="50">
        <v>957170</v>
      </c>
      <c r="L416" s="50">
        <v>0</v>
      </c>
      <c r="M416" s="50">
        <v>957170</v>
      </c>
      <c r="N416" s="50">
        <v>0</v>
      </c>
      <c r="O416" t="s">
        <v>351</v>
      </c>
      <c r="P416">
        <v>1012449137</v>
      </c>
      <c r="Q416" t="s">
        <v>390</v>
      </c>
      <c r="R416" t="s">
        <v>316</v>
      </c>
      <c r="S416" t="s">
        <v>317</v>
      </c>
      <c r="T416" s="2">
        <v>883150385</v>
      </c>
      <c r="U416" t="s">
        <v>319</v>
      </c>
      <c r="V416">
        <v>860003020</v>
      </c>
      <c r="W416" t="s">
        <v>393</v>
      </c>
      <c r="X416" s="2">
        <v>4925</v>
      </c>
      <c r="Y416" s="2">
        <v>4925</v>
      </c>
      <c r="Z416" s="2">
        <v>41525</v>
      </c>
      <c r="AA416">
        <v>0</v>
      </c>
      <c r="AB416">
        <v>50325</v>
      </c>
      <c r="AC416">
        <v>0</v>
      </c>
      <c r="AD416">
        <v>0</v>
      </c>
      <c r="AE416" s="5">
        <v>45719</v>
      </c>
      <c r="AF416" t="s">
        <v>1929</v>
      </c>
      <c r="AG416" t="s">
        <v>4074</v>
      </c>
      <c r="AH416" t="s">
        <v>4075</v>
      </c>
    </row>
    <row r="417" spans="1:34" ht="15" customHeight="1" x14ac:dyDescent="0.2">
      <c r="A417" t="s">
        <v>4495</v>
      </c>
      <c r="B417" t="s">
        <v>472</v>
      </c>
      <c r="C417" s="2">
        <v>41625</v>
      </c>
      <c r="D417" s="5">
        <v>45719</v>
      </c>
      <c r="E417" s="5">
        <v>45719.688888888886</v>
      </c>
      <c r="F417" t="s">
        <v>312</v>
      </c>
      <c r="G417" s="2">
        <v>923238</v>
      </c>
      <c r="H417" t="s">
        <v>29</v>
      </c>
      <c r="I417" t="s">
        <v>30</v>
      </c>
      <c r="J417" t="s">
        <v>31</v>
      </c>
      <c r="K417" s="50">
        <v>1006792</v>
      </c>
      <c r="L417" s="50">
        <v>0</v>
      </c>
      <c r="M417" s="50">
        <v>1006792</v>
      </c>
      <c r="N417" s="50">
        <v>0</v>
      </c>
      <c r="O417" t="s">
        <v>351</v>
      </c>
      <c r="P417">
        <v>52425990</v>
      </c>
      <c r="Q417" t="s">
        <v>1953</v>
      </c>
      <c r="R417" t="s">
        <v>316</v>
      </c>
      <c r="S417" t="s">
        <v>317</v>
      </c>
      <c r="T417" s="2">
        <v>24523344944</v>
      </c>
      <c r="U417" t="s">
        <v>319</v>
      </c>
      <c r="V417">
        <v>860007335</v>
      </c>
      <c r="W417" t="s">
        <v>381</v>
      </c>
      <c r="X417" s="2">
        <v>325</v>
      </c>
      <c r="Y417" s="2">
        <v>325</v>
      </c>
      <c r="Z417" s="2">
        <v>41625</v>
      </c>
      <c r="AA417">
        <v>0</v>
      </c>
      <c r="AB417">
        <v>52125</v>
      </c>
      <c r="AC417">
        <v>0</v>
      </c>
      <c r="AD417">
        <v>0</v>
      </c>
      <c r="AE417" s="5">
        <v>45719</v>
      </c>
      <c r="AF417" t="s">
        <v>1929</v>
      </c>
      <c r="AG417" t="s">
        <v>4077</v>
      </c>
      <c r="AH417" t="s">
        <v>4078</v>
      </c>
    </row>
    <row r="418" spans="1:34" ht="15" customHeight="1" x14ac:dyDescent="0.2">
      <c r="A418" t="s">
        <v>4496</v>
      </c>
      <c r="B418" t="s">
        <v>472</v>
      </c>
      <c r="C418" s="2">
        <v>41725</v>
      </c>
      <c r="D418" s="5">
        <v>45719</v>
      </c>
      <c r="E418" s="5">
        <v>45719.698611111111</v>
      </c>
      <c r="F418" t="s">
        <v>312</v>
      </c>
      <c r="G418" s="2">
        <v>923238</v>
      </c>
      <c r="H418" t="s">
        <v>29</v>
      </c>
      <c r="I418" t="s">
        <v>30</v>
      </c>
      <c r="J418" t="s">
        <v>31</v>
      </c>
      <c r="K418" s="50">
        <v>937170</v>
      </c>
      <c r="L418" s="50">
        <v>0</v>
      </c>
      <c r="M418" s="50">
        <v>937170</v>
      </c>
      <c r="N418" s="50">
        <v>0</v>
      </c>
      <c r="O418" t="s">
        <v>351</v>
      </c>
      <c r="P418">
        <v>1001277409</v>
      </c>
      <c r="Q418" t="s">
        <v>3478</v>
      </c>
      <c r="R418" t="s">
        <v>316</v>
      </c>
      <c r="S418" t="s">
        <v>317</v>
      </c>
      <c r="T418" s="2">
        <v>87858556</v>
      </c>
      <c r="U418" t="s">
        <v>319</v>
      </c>
      <c r="V418">
        <v>860035827</v>
      </c>
      <c r="W418" t="s">
        <v>653</v>
      </c>
      <c r="X418" s="2">
        <v>325</v>
      </c>
      <c r="Y418" s="2">
        <v>325</v>
      </c>
      <c r="Z418" s="2">
        <v>41725</v>
      </c>
      <c r="AA418">
        <v>0</v>
      </c>
      <c r="AB418">
        <v>49925</v>
      </c>
      <c r="AC418">
        <v>0</v>
      </c>
      <c r="AD418">
        <v>0</v>
      </c>
      <c r="AE418" s="5">
        <v>45719</v>
      </c>
      <c r="AF418" t="s">
        <v>1929</v>
      </c>
      <c r="AG418" t="s">
        <v>4080</v>
      </c>
      <c r="AH418" t="s">
        <v>4081</v>
      </c>
    </row>
    <row r="419" spans="1:34" ht="15" customHeight="1" x14ac:dyDescent="0.2">
      <c r="A419" t="s">
        <v>4497</v>
      </c>
      <c r="B419" t="s">
        <v>472</v>
      </c>
      <c r="C419" s="2">
        <v>41825</v>
      </c>
      <c r="D419" s="5">
        <v>45719</v>
      </c>
      <c r="E419" s="5">
        <v>45719.70208333333</v>
      </c>
      <c r="F419" t="s">
        <v>312</v>
      </c>
      <c r="G419" s="2">
        <v>923238</v>
      </c>
      <c r="H419" t="s">
        <v>29</v>
      </c>
      <c r="I419" t="s">
        <v>30</v>
      </c>
      <c r="J419" t="s">
        <v>31</v>
      </c>
      <c r="K419" s="50">
        <v>1249560</v>
      </c>
      <c r="L419" s="50">
        <v>0</v>
      </c>
      <c r="M419" s="50">
        <v>1249560</v>
      </c>
      <c r="N419" s="50">
        <v>0</v>
      </c>
      <c r="O419" t="s">
        <v>351</v>
      </c>
      <c r="P419">
        <v>79408514</v>
      </c>
      <c r="Q419" t="s">
        <v>792</v>
      </c>
      <c r="R419" t="s">
        <v>316</v>
      </c>
      <c r="S419" t="s">
        <v>317</v>
      </c>
      <c r="T419" s="2">
        <v>116040148863</v>
      </c>
      <c r="U419" t="s">
        <v>319</v>
      </c>
      <c r="V419">
        <v>900047981</v>
      </c>
      <c r="W419" t="s">
        <v>399</v>
      </c>
      <c r="X419" s="2">
        <v>325</v>
      </c>
      <c r="Y419" s="2">
        <v>325</v>
      </c>
      <c r="Z419" s="2">
        <v>41825</v>
      </c>
      <c r="AA419">
        <v>0</v>
      </c>
      <c r="AB419">
        <v>48025</v>
      </c>
      <c r="AC419">
        <v>0</v>
      </c>
      <c r="AD419">
        <v>0</v>
      </c>
      <c r="AE419" s="5">
        <v>45719</v>
      </c>
      <c r="AF419" t="s">
        <v>1929</v>
      </c>
      <c r="AG419" t="s">
        <v>4083</v>
      </c>
      <c r="AH419" t="s">
        <v>4084</v>
      </c>
    </row>
    <row r="420" spans="1:34" ht="15" customHeight="1" x14ac:dyDescent="0.2">
      <c r="A420" t="s">
        <v>4498</v>
      </c>
      <c r="B420" t="s">
        <v>477</v>
      </c>
      <c r="C420" s="2">
        <v>41925</v>
      </c>
      <c r="D420" s="5">
        <v>45719</v>
      </c>
      <c r="E420" s="5">
        <v>45719.72152777778</v>
      </c>
      <c r="F420" t="s">
        <v>312</v>
      </c>
      <c r="G420" s="2">
        <v>923210</v>
      </c>
      <c r="H420" t="s">
        <v>29</v>
      </c>
      <c r="I420" t="s">
        <v>30</v>
      </c>
      <c r="J420" t="s">
        <v>31</v>
      </c>
      <c r="K420" s="50">
        <v>35200</v>
      </c>
      <c r="L420" s="50">
        <v>0</v>
      </c>
      <c r="M420" s="50">
        <v>35200</v>
      </c>
      <c r="N420" s="50">
        <v>0</v>
      </c>
      <c r="O420" t="s">
        <v>351</v>
      </c>
      <c r="P420">
        <v>79205725</v>
      </c>
      <c r="Q420" t="s">
        <v>1877</v>
      </c>
      <c r="R420" t="s">
        <v>316</v>
      </c>
      <c r="S420" t="s">
        <v>317</v>
      </c>
      <c r="T420" s="2">
        <v>161545264</v>
      </c>
      <c r="U420" t="s">
        <v>319</v>
      </c>
      <c r="V420">
        <v>860002964</v>
      </c>
      <c r="W420" t="s">
        <v>419</v>
      </c>
      <c r="X420" s="2">
        <v>1625</v>
      </c>
      <c r="Y420" s="2">
        <v>1625</v>
      </c>
      <c r="Z420" s="2">
        <v>41925</v>
      </c>
      <c r="AA420">
        <v>0</v>
      </c>
      <c r="AB420">
        <v>47725</v>
      </c>
      <c r="AC420">
        <v>0</v>
      </c>
      <c r="AD420">
        <v>0</v>
      </c>
      <c r="AE420" s="5">
        <v>45719</v>
      </c>
      <c r="AF420" t="s">
        <v>1929</v>
      </c>
      <c r="AG420" t="s">
        <v>4086</v>
      </c>
      <c r="AH420" t="s">
        <v>4087</v>
      </c>
    </row>
    <row r="421" spans="1:34" ht="15" customHeight="1" x14ac:dyDescent="0.2">
      <c r="A421" t="s">
        <v>4499</v>
      </c>
      <c r="B421" t="s">
        <v>474</v>
      </c>
      <c r="C421" s="2">
        <v>42025</v>
      </c>
      <c r="D421" s="5">
        <v>45719</v>
      </c>
      <c r="E421" s="5">
        <v>45719.724305555559</v>
      </c>
      <c r="F421" t="s">
        <v>312</v>
      </c>
      <c r="G421" s="2">
        <v>923211</v>
      </c>
      <c r="H421" t="s">
        <v>29</v>
      </c>
      <c r="I421" t="s">
        <v>30</v>
      </c>
      <c r="J421" t="s">
        <v>31</v>
      </c>
      <c r="K421" s="50">
        <v>312390</v>
      </c>
      <c r="L421" s="50">
        <v>0</v>
      </c>
      <c r="M421" s="50">
        <v>312390</v>
      </c>
      <c r="N421" s="50">
        <v>0</v>
      </c>
      <c r="O421" t="s">
        <v>351</v>
      </c>
      <c r="P421">
        <v>79876770</v>
      </c>
      <c r="Q421" t="s">
        <v>1682</v>
      </c>
      <c r="R421" t="s">
        <v>316</v>
      </c>
      <c r="S421" t="s">
        <v>317</v>
      </c>
      <c r="T421" s="2">
        <v>24088387222</v>
      </c>
      <c r="U421" t="s">
        <v>319</v>
      </c>
      <c r="V421">
        <v>860007335</v>
      </c>
      <c r="W421" t="s">
        <v>381</v>
      </c>
      <c r="X421" s="2">
        <v>925</v>
      </c>
      <c r="Y421" s="2">
        <v>925</v>
      </c>
      <c r="Z421" s="2">
        <v>42025</v>
      </c>
      <c r="AA421">
        <v>0</v>
      </c>
      <c r="AB421">
        <v>48725</v>
      </c>
      <c r="AC421">
        <v>0</v>
      </c>
      <c r="AD421">
        <v>0</v>
      </c>
      <c r="AE421" s="5">
        <v>45719</v>
      </c>
      <c r="AF421" t="s">
        <v>1929</v>
      </c>
      <c r="AG421" t="s">
        <v>4089</v>
      </c>
      <c r="AH421" t="s">
        <v>4090</v>
      </c>
    </row>
    <row r="422" spans="1:34" ht="15" customHeight="1" x14ac:dyDescent="0.2">
      <c r="A422" t="s">
        <v>4500</v>
      </c>
      <c r="B422" t="s">
        <v>479</v>
      </c>
      <c r="C422" s="2">
        <v>42125</v>
      </c>
      <c r="D422" s="5">
        <v>45719</v>
      </c>
      <c r="E422" s="5">
        <v>45719.918055555558</v>
      </c>
      <c r="F422" t="s">
        <v>27</v>
      </c>
      <c r="G422" s="2">
        <v>923211</v>
      </c>
      <c r="H422" t="s">
        <v>29</v>
      </c>
      <c r="I422" t="s">
        <v>30</v>
      </c>
      <c r="J422" t="s">
        <v>31</v>
      </c>
      <c r="K422" s="50">
        <v>44001989</v>
      </c>
      <c r="L422" s="50">
        <v>0</v>
      </c>
      <c r="M422" s="50">
        <v>44001989</v>
      </c>
      <c r="N422" s="50">
        <v>44001989</v>
      </c>
      <c r="O422" t="s">
        <v>351</v>
      </c>
      <c r="P422">
        <v>1033678111</v>
      </c>
      <c r="Q422" t="s">
        <v>4092</v>
      </c>
      <c r="R422" t="s">
        <v>316</v>
      </c>
      <c r="S422" t="s">
        <v>317</v>
      </c>
      <c r="T422" s="2">
        <v>52557458824</v>
      </c>
      <c r="U422" t="s">
        <v>319</v>
      </c>
      <c r="V422">
        <v>890903938</v>
      </c>
      <c r="W422" t="s">
        <v>342</v>
      </c>
      <c r="X422" s="2">
        <v>2125</v>
      </c>
      <c r="Y422" s="2">
        <v>2125</v>
      </c>
      <c r="Z422" s="2">
        <v>42125</v>
      </c>
      <c r="AA422">
        <v>0</v>
      </c>
      <c r="AB422">
        <v>0</v>
      </c>
      <c r="AC422">
        <v>0</v>
      </c>
      <c r="AD422">
        <v>0</v>
      </c>
      <c r="AE422" s="5">
        <v>45719</v>
      </c>
      <c r="AF422" t="s">
        <v>356</v>
      </c>
      <c r="AG422" t="s">
        <v>4094</v>
      </c>
      <c r="AH422" t="s">
        <v>1532</v>
      </c>
    </row>
    <row r="423" spans="1:34" ht="15" customHeight="1" x14ac:dyDescent="0.2">
      <c r="A423" t="s">
        <v>4501</v>
      </c>
      <c r="B423" t="s">
        <v>479</v>
      </c>
      <c r="C423" s="2">
        <v>42225</v>
      </c>
      <c r="D423" s="5">
        <v>45719</v>
      </c>
      <c r="E423" s="5">
        <v>45719.927777777775</v>
      </c>
      <c r="F423" t="s">
        <v>27</v>
      </c>
      <c r="G423" s="2">
        <v>923211</v>
      </c>
      <c r="H423" t="s">
        <v>29</v>
      </c>
      <c r="I423" t="s">
        <v>30</v>
      </c>
      <c r="J423" t="s">
        <v>31</v>
      </c>
      <c r="K423" s="50">
        <v>44001989</v>
      </c>
      <c r="L423" s="50">
        <v>0</v>
      </c>
      <c r="M423" s="50">
        <v>44001989</v>
      </c>
      <c r="N423" s="50">
        <v>44001989</v>
      </c>
      <c r="O423" t="s">
        <v>351</v>
      </c>
      <c r="P423">
        <v>1000318956</v>
      </c>
      <c r="Q423" t="s">
        <v>4096</v>
      </c>
      <c r="R423" t="s">
        <v>316</v>
      </c>
      <c r="S423" t="s">
        <v>317</v>
      </c>
      <c r="T423" s="2">
        <v>8206040</v>
      </c>
      <c r="U423" t="s">
        <v>319</v>
      </c>
      <c r="V423">
        <v>890903937</v>
      </c>
      <c r="W423" t="s">
        <v>1046</v>
      </c>
      <c r="X423" s="2">
        <v>2125</v>
      </c>
      <c r="Y423" s="2">
        <v>2125</v>
      </c>
      <c r="Z423" s="2">
        <v>42225</v>
      </c>
      <c r="AA423">
        <v>0</v>
      </c>
      <c r="AB423">
        <v>0</v>
      </c>
      <c r="AC423">
        <v>0</v>
      </c>
      <c r="AD423">
        <v>0</v>
      </c>
      <c r="AE423" s="5">
        <v>45719</v>
      </c>
      <c r="AF423" t="s">
        <v>356</v>
      </c>
      <c r="AG423" t="s">
        <v>4098</v>
      </c>
      <c r="AH423" t="s">
        <v>1158</v>
      </c>
    </row>
    <row r="424" spans="1:34" ht="15" customHeight="1" x14ac:dyDescent="0.2">
      <c r="A424" t="s">
        <v>4502</v>
      </c>
      <c r="B424" t="s">
        <v>479</v>
      </c>
      <c r="C424" s="2">
        <v>42325</v>
      </c>
      <c r="D424" s="5">
        <v>45719</v>
      </c>
      <c r="E424" s="5">
        <v>45719.931250000001</v>
      </c>
      <c r="F424" t="s">
        <v>27</v>
      </c>
      <c r="G424" s="2">
        <v>923211</v>
      </c>
      <c r="H424" t="s">
        <v>29</v>
      </c>
      <c r="I424" t="s">
        <v>30</v>
      </c>
      <c r="J424" t="s">
        <v>31</v>
      </c>
      <c r="K424" s="50">
        <v>44001989</v>
      </c>
      <c r="L424" s="50">
        <v>0</v>
      </c>
      <c r="M424" s="50">
        <v>44001989</v>
      </c>
      <c r="N424" s="50">
        <v>44001989</v>
      </c>
      <c r="O424" t="s">
        <v>351</v>
      </c>
      <c r="P424">
        <v>79212098</v>
      </c>
      <c r="Q424" t="s">
        <v>4100</v>
      </c>
      <c r="R424" t="s">
        <v>316</v>
      </c>
      <c r="S424" t="s">
        <v>317</v>
      </c>
      <c r="T424" s="2">
        <v>688911168</v>
      </c>
      <c r="U424" t="s">
        <v>319</v>
      </c>
      <c r="V424">
        <v>860035827</v>
      </c>
      <c r="W424" t="s">
        <v>653</v>
      </c>
      <c r="X424" s="2">
        <v>2125</v>
      </c>
      <c r="Y424" s="2">
        <v>2125</v>
      </c>
      <c r="Z424" s="2">
        <v>42325</v>
      </c>
      <c r="AA424">
        <v>0</v>
      </c>
      <c r="AB424">
        <v>0</v>
      </c>
      <c r="AC424">
        <v>0</v>
      </c>
      <c r="AD424">
        <v>0</v>
      </c>
      <c r="AE424" s="5">
        <v>45719</v>
      </c>
      <c r="AF424" t="s">
        <v>356</v>
      </c>
      <c r="AG424" t="s">
        <v>4102</v>
      </c>
      <c r="AH424" t="s">
        <v>1158</v>
      </c>
    </row>
    <row r="425" spans="1:34" ht="15" customHeight="1" x14ac:dyDescent="0.2">
      <c r="A425" t="s">
        <v>4503</v>
      </c>
      <c r="B425" t="s">
        <v>470</v>
      </c>
      <c r="C425" s="2">
        <v>42425</v>
      </c>
      <c r="D425" s="5">
        <v>45719</v>
      </c>
      <c r="E425" s="5">
        <v>45719.93472222222</v>
      </c>
      <c r="F425" t="s">
        <v>27</v>
      </c>
      <c r="G425" s="2">
        <v>923238</v>
      </c>
      <c r="H425" t="s">
        <v>29</v>
      </c>
      <c r="I425" t="s">
        <v>30</v>
      </c>
      <c r="J425" t="s">
        <v>31</v>
      </c>
      <c r="K425" s="50">
        <v>44001989</v>
      </c>
      <c r="L425" s="50">
        <v>0</v>
      </c>
      <c r="M425" s="50">
        <v>44001989</v>
      </c>
      <c r="N425" s="50">
        <v>44001989</v>
      </c>
      <c r="O425" t="s">
        <v>351</v>
      </c>
      <c r="P425">
        <v>93376330</v>
      </c>
      <c r="Q425" t="s">
        <v>4104</v>
      </c>
      <c r="R425" t="s">
        <v>316</v>
      </c>
      <c r="S425" t="s">
        <v>317</v>
      </c>
      <c r="T425" s="2">
        <v>24020584678</v>
      </c>
      <c r="U425" t="s">
        <v>319</v>
      </c>
      <c r="V425">
        <v>860007335</v>
      </c>
      <c r="W425" t="s">
        <v>381</v>
      </c>
      <c r="X425" s="2">
        <v>125</v>
      </c>
      <c r="Y425" s="2">
        <v>125</v>
      </c>
      <c r="Z425" s="2">
        <v>42425</v>
      </c>
      <c r="AA425">
        <v>0</v>
      </c>
      <c r="AB425">
        <v>0</v>
      </c>
      <c r="AC425">
        <v>0</v>
      </c>
      <c r="AD425">
        <v>0</v>
      </c>
      <c r="AE425" s="5">
        <v>45719</v>
      </c>
      <c r="AF425" t="s">
        <v>356</v>
      </c>
      <c r="AG425" t="s">
        <v>4106</v>
      </c>
      <c r="AH425" t="s">
        <v>742</v>
      </c>
    </row>
    <row r="426" spans="1:34" ht="15" customHeight="1" x14ac:dyDescent="0.2">
      <c r="A426" t="s">
        <v>4504</v>
      </c>
      <c r="B426" t="s">
        <v>479</v>
      </c>
      <c r="C426" s="2">
        <v>42525</v>
      </c>
      <c r="D426" s="5">
        <v>45719</v>
      </c>
      <c r="E426" s="5">
        <v>45719.94027777778</v>
      </c>
      <c r="F426" t="s">
        <v>27</v>
      </c>
      <c r="G426" s="2">
        <v>923211</v>
      </c>
      <c r="H426" t="s">
        <v>29</v>
      </c>
      <c r="I426" t="s">
        <v>30</v>
      </c>
      <c r="J426" t="s">
        <v>31</v>
      </c>
      <c r="K426" s="50">
        <v>44001989</v>
      </c>
      <c r="L426" s="50">
        <v>0</v>
      </c>
      <c r="M426" s="50">
        <v>44001989</v>
      </c>
      <c r="N426" s="50">
        <v>44001989</v>
      </c>
      <c r="O426" t="s">
        <v>351</v>
      </c>
      <c r="P426">
        <v>1024583521</v>
      </c>
      <c r="Q426" t="s">
        <v>4108</v>
      </c>
      <c r="R426" t="s">
        <v>316</v>
      </c>
      <c r="S426" t="s">
        <v>317</v>
      </c>
      <c r="T426" s="2">
        <v>91200682551</v>
      </c>
      <c r="U426" t="s">
        <v>319</v>
      </c>
      <c r="V426">
        <v>890903938</v>
      </c>
      <c r="W426" t="s">
        <v>342</v>
      </c>
      <c r="X426" s="2">
        <v>2125</v>
      </c>
      <c r="Y426" s="2">
        <v>2125</v>
      </c>
      <c r="Z426" s="2">
        <v>42525</v>
      </c>
      <c r="AA426">
        <v>0</v>
      </c>
      <c r="AB426">
        <v>0</v>
      </c>
      <c r="AC426">
        <v>0</v>
      </c>
      <c r="AD426">
        <v>0</v>
      </c>
      <c r="AE426" s="5">
        <v>45719</v>
      </c>
      <c r="AF426" t="s">
        <v>356</v>
      </c>
      <c r="AG426" t="s">
        <v>4110</v>
      </c>
      <c r="AH426" t="s">
        <v>4111</v>
      </c>
    </row>
    <row r="427" spans="1:34" ht="15" customHeight="1" x14ac:dyDescent="0.2">
      <c r="A427" t="s">
        <v>4505</v>
      </c>
      <c r="B427" t="s">
        <v>479</v>
      </c>
      <c r="C427" s="2">
        <v>42625</v>
      </c>
      <c r="D427" s="5">
        <v>45719</v>
      </c>
      <c r="E427" s="5">
        <v>45719.944444444445</v>
      </c>
      <c r="F427" t="s">
        <v>27</v>
      </c>
      <c r="G427" s="2">
        <v>923211</v>
      </c>
      <c r="H427" t="s">
        <v>29</v>
      </c>
      <c r="I427" t="s">
        <v>30</v>
      </c>
      <c r="J427" t="s">
        <v>31</v>
      </c>
      <c r="K427" s="50">
        <v>44001989</v>
      </c>
      <c r="L427" s="50">
        <v>0</v>
      </c>
      <c r="M427" s="50">
        <v>44001989</v>
      </c>
      <c r="N427" s="50">
        <v>44001989</v>
      </c>
      <c r="O427" t="s">
        <v>351</v>
      </c>
      <c r="P427">
        <v>73195945</v>
      </c>
      <c r="Q427" t="s">
        <v>4113</v>
      </c>
      <c r="R427" t="s">
        <v>316</v>
      </c>
      <c r="S427" t="s">
        <v>317</v>
      </c>
      <c r="T427" s="2">
        <v>78954662755</v>
      </c>
      <c r="U427" t="s">
        <v>319</v>
      </c>
      <c r="V427">
        <v>890903938</v>
      </c>
      <c r="W427" t="s">
        <v>342</v>
      </c>
      <c r="X427" s="2">
        <v>2125</v>
      </c>
      <c r="Y427" s="2">
        <v>2125</v>
      </c>
      <c r="Z427" s="2">
        <v>42625</v>
      </c>
      <c r="AA427">
        <v>0</v>
      </c>
      <c r="AB427">
        <v>0</v>
      </c>
      <c r="AC427">
        <v>0</v>
      </c>
      <c r="AD427">
        <v>0</v>
      </c>
      <c r="AE427" s="5">
        <v>45719</v>
      </c>
      <c r="AF427" t="s">
        <v>356</v>
      </c>
      <c r="AG427" t="s">
        <v>4115</v>
      </c>
      <c r="AH427" t="s">
        <v>1158</v>
      </c>
    </row>
    <row r="428" spans="1:34" ht="15" customHeight="1" x14ac:dyDescent="0.2">
      <c r="A428" t="s">
        <v>4506</v>
      </c>
      <c r="B428" t="s">
        <v>479</v>
      </c>
      <c r="C428" s="2">
        <v>42725</v>
      </c>
      <c r="D428" s="5">
        <v>45719</v>
      </c>
      <c r="E428" s="5">
        <v>45719.948611111111</v>
      </c>
      <c r="F428" t="s">
        <v>27</v>
      </c>
      <c r="G428" s="2">
        <v>923211</v>
      </c>
      <c r="H428" t="s">
        <v>29</v>
      </c>
      <c r="I428" t="s">
        <v>30</v>
      </c>
      <c r="J428" t="s">
        <v>31</v>
      </c>
      <c r="K428" s="50">
        <v>44001989</v>
      </c>
      <c r="L428" s="50">
        <v>0</v>
      </c>
      <c r="M428" s="50">
        <v>44001989</v>
      </c>
      <c r="N428" s="50">
        <v>44001989</v>
      </c>
      <c r="O428" t="s">
        <v>351</v>
      </c>
      <c r="P428">
        <v>19332877</v>
      </c>
      <c r="Q428" t="s">
        <v>4117</v>
      </c>
      <c r="R428" t="s">
        <v>635</v>
      </c>
      <c r="S428">
        <v>0</v>
      </c>
      <c r="T428" s="2">
        <v>0</v>
      </c>
      <c r="U428">
        <v>0</v>
      </c>
      <c r="V428">
        <v>0</v>
      </c>
      <c r="W428">
        <v>0</v>
      </c>
      <c r="X428" s="2">
        <v>2125</v>
      </c>
      <c r="Y428" s="2">
        <v>2125</v>
      </c>
      <c r="Z428" s="2">
        <v>42725</v>
      </c>
      <c r="AA428">
        <v>0</v>
      </c>
      <c r="AB428">
        <v>0</v>
      </c>
      <c r="AC428">
        <v>0</v>
      </c>
      <c r="AD428">
        <v>0</v>
      </c>
      <c r="AE428" s="5">
        <v>45719</v>
      </c>
      <c r="AF428" t="s">
        <v>356</v>
      </c>
      <c r="AG428" t="s">
        <v>4118</v>
      </c>
      <c r="AH428" t="s">
        <v>1158</v>
      </c>
    </row>
    <row r="429" spans="1:34" ht="15" customHeight="1" x14ac:dyDescent="0.2">
      <c r="A429" t="s">
        <v>4507</v>
      </c>
      <c r="B429" t="s">
        <v>4508</v>
      </c>
      <c r="C429" s="2">
        <v>42825</v>
      </c>
      <c r="D429" s="5">
        <v>45719</v>
      </c>
      <c r="E429" s="5">
        <v>45719.953472222223</v>
      </c>
      <c r="F429" t="s">
        <v>27</v>
      </c>
      <c r="G429" s="2">
        <v>923284</v>
      </c>
      <c r="H429" t="s">
        <v>159</v>
      </c>
      <c r="I429" t="s">
        <v>160</v>
      </c>
      <c r="J429" t="s">
        <v>31</v>
      </c>
      <c r="K429" s="50">
        <v>40333333</v>
      </c>
      <c r="L429" s="50">
        <v>0</v>
      </c>
      <c r="M429" s="50">
        <v>40333333</v>
      </c>
      <c r="N429" s="50">
        <v>40333333</v>
      </c>
      <c r="O429" t="s">
        <v>351</v>
      </c>
      <c r="P429">
        <v>35251138</v>
      </c>
      <c r="Q429" t="s">
        <v>4120</v>
      </c>
      <c r="R429" t="s">
        <v>316</v>
      </c>
      <c r="S429" t="s">
        <v>317</v>
      </c>
      <c r="T429" s="2">
        <v>380472894</v>
      </c>
      <c r="U429" t="s">
        <v>319</v>
      </c>
      <c r="V429">
        <v>860002964</v>
      </c>
      <c r="W429" t="s">
        <v>419</v>
      </c>
      <c r="X429" s="2">
        <v>3325</v>
      </c>
      <c r="Y429" s="2">
        <v>3325</v>
      </c>
      <c r="Z429" s="2">
        <v>42825</v>
      </c>
      <c r="AA429">
        <v>0</v>
      </c>
      <c r="AB429">
        <v>0</v>
      </c>
      <c r="AC429">
        <v>0</v>
      </c>
      <c r="AD429">
        <v>0</v>
      </c>
      <c r="AE429" s="5">
        <v>45719</v>
      </c>
      <c r="AF429" t="s">
        <v>356</v>
      </c>
      <c r="AG429" t="s">
        <v>4122</v>
      </c>
      <c r="AH429" t="s">
        <v>4123</v>
      </c>
    </row>
    <row r="430" spans="1:34" ht="15" customHeight="1" x14ac:dyDescent="0.2">
      <c r="A430" t="s">
        <v>4509</v>
      </c>
      <c r="B430" t="s">
        <v>485</v>
      </c>
      <c r="C430" s="2">
        <v>42925</v>
      </c>
      <c r="D430" s="5">
        <v>45719</v>
      </c>
      <c r="E430" s="5">
        <v>45719.954861111109</v>
      </c>
      <c r="F430" t="s">
        <v>27</v>
      </c>
      <c r="G430" s="2">
        <v>923245</v>
      </c>
      <c r="H430" t="s">
        <v>29</v>
      </c>
      <c r="I430" t="s">
        <v>30</v>
      </c>
      <c r="J430" t="s">
        <v>31</v>
      </c>
      <c r="K430" s="50">
        <v>44001989</v>
      </c>
      <c r="L430" s="50">
        <v>0</v>
      </c>
      <c r="M430" s="50">
        <v>44001989</v>
      </c>
      <c r="N430" s="50">
        <v>44001989</v>
      </c>
      <c r="O430" t="s">
        <v>351</v>
      </c>
      <c r="P430">
        <v>80235361</v>
      </c>
      <c r="Q430" t="s">
        <v>4125</v>
      </c>
      <c r="R430" t="s">
        <v>316</v>
      </c>
      <c r="S430" t="s">
        <v>317</v>
      </c>
      <c r="T430" s="2">
        <v>76322124615</v>
      </c>
      <c r="U430" t="s">
        <v>319</v>
      </c>
      <c r="V430">
        <v>890903938</v>
      </c>
      <c r="W430" t="s">
        <v>342</v>
      </c>
      <c r="X430" s="2">
        <v>3825</v>
      </c>
      <c r="Y430" s="2">
        <v>3825</v>
      </c>
      <c r="Z430" s="2">
        <v>42925</v>
      </c>
      <c r="AA430">
        <v>0</v>
      </c>
      <c r="AB430">
        <v>0</v>
      </c>
      <c r="AC430">
        <v>0</v>
      </c>
      <c r="AD430">
        <v>0</v>
      </c>
      <c r="AE430" s="5">
        <v>45719</v>
      </c>
      <c r="AF430" t="s">
        <v>356</v>
      </c>
      <c r="AG430" t="s">
        <v>4127</v>
      </c>
      <c r="AH430" t="s">
        <v>1332</v>
      </c>
    </row>
    <row r="431" spans="1:34" ht="15" customHeight="1" x14ac:dyDescent="0.2">
      <c r="A431" t="s">
        <v>4510</v>
      </c>
      <c r="B431" t="s">
        <v>485</v>
      </c>
      <c r="C431" s="2">
        <v>43025</v>
      </c>
      <c r="D431" s="5">
        <v>45719</v>
      </c>
      <c r="E431" s="5">
        <v>45719.956250000003</v>
      </c>
      <c r="F431" t="s">
        <v>27</v>
      </c>
      <c r="G431" s="2">
        <v>923245</v>
      </c>
      <c r="H431" t="s">
        <v>29</v>
      </c>
      <c r="I431" t="s">
        <v>30</v>
      </c>
      <c r="J431" t="s">
        <v>31</v>
      </c>
      <c r="K431" s="50">
        <v>44001989</v>
      </c>
      <c r="L431" s="50">
        <v>0</v>
      </c>
      <c r="M431" s="50">
        <v>44001989</v>
      </c>
      <c r="N431" s="50">
        <v>44001989</v>
      </c>
      <c r="O431" t="s">
        <v>351</v>
      </c>
      <c r="P431">
        <v>1070591576</v>
      </c>
      <c r="Q431" t="s">
        <v>4129</v>
      </c>
      <c r="R431" t="s">
        <v>316</v>
      </c>
      <c r="S431" t="s">
        <v>317</v>
      </c>
      <c r="T431" s="2">
        <v>431220011152</v>
      </c>
      <c r="U431" t="s">
        <v>319</v>
      </c>
      <c r="V431">
        <v>800037800</v>
      </c>
      <c r="W431" t="s">
        <v>660</v>
      </c>
      <c r="X431" s="2">
        <v>3825</v>
      </c>
      <c r="Y431" s="2">
        <v>3825</v>
      </c>
      <c r="Z431" s="2">
        <v>43025</v>
      </c>
      <c r="AA431">
        <v>0</v>
      </c>
      <c r="AB431">
        <v>0</v>
      </c>
      <c r="AC431">
        <v>0</v>
      </c>
      <c r="AD431">
        <v>0</v>
      </c>
      <c r="AE431" s="5">
        <v>45719</v>
      </c>
      <c r="AF431" t="s">
        <v>356</v>
      </c>
      <c r="AG431" t="s">
        <v>4131</v>
      </c>
      <c r="AH431" t="s">
        <v>1332</v>
      </c>
    </row>
    <row r="432" spans="1:34" ht="15" customHeight="1" x14ac:dyDescent="0.2">
      <c r="A432" t="s">
        <v>4511</v>
      </c>
      <c r="B432" t="s">
        <v>485</v>
      </c>
      <c r="C432" s="2">
        <v>43125</v>
      </c>
      <c r="D432" s="5">
        <v>45719</v>
      </c>
      <c r="E432" s="5">
        <v>45719.957638888889</v>
      </c>
      <c r="F432" t="s">
        <v>27</v>
      </c>
      <c r="G432" s="2">
        <v>923245</v>
      </c>
      <c r="H432" t="s">
        <v>29</v>
      </c>
      <c r="I432" t="s">
        <v>30</v>
      </c>
      <c r="J432" t="s">
        <v>31</v>
      </c>
      <c r="K432" s="50">
        <v>44001989</v>
      </c>
      <c r="L432" s="50">
        <v>0</v>
      </c>
      <c r="M432" s="50">
        <v>44001989</v>
      </c>
      <c r="N432" s="50">
        <v>44001989</v>
      </c>
      <c r="O432" t="s">
        <v>351</v>
      </c>
      <c r="P432">
        <v>80792215</v>
      </c>
      <c r="Q432" t="s">
        <v>4133</v>
      </c>
      <c r="R432" t="s">
        <v>316</v>
      </c>
      <c r="S432" t="s">
        <v>317</v>
      </c>
      <c r="T432" s="2">
        <v>11351333822</v>
      </c>
      <c r="U432" t="s">
        <v>319</v>
      </c>
      <c r="V432">
        <v>890903938</v>
      </c>
      <c r="W432" t="s">
        <v>342</v>
      </c>
      <c r="X432" s="2">
        <v>3825</v>
      </c>
      <c r="Y432" s="2">
        <v>3825</v>
      </c>
      <c r="Z432" s="2">
        <v>43125</v>
      </c>
      <c r="AA432">
        <v>0</v>
      </c>
      <c r="AB432">
        <v>0</v>
      </c>
      <c r="AC432">
        <v>0</v>
      </c>
      <c r="AD432">
        <v>0</v>
      </c>
      <c r="AE432" s="5">
        <v>45719</v>
      </c>
      <c r="AF432" t="s">
        <v>356</v>
      </c>
      <c r="AG432" t="s">
        <v>4135</v>
      </c>
      <c r="AH432" t="s">
        <v>3377</v>
      </c>
    </row>
    <row r="433" spans="1:34" ht="15" customHeight="1" x14ac:dyDescent="0.2">
      <c r="A433" t="s">
        <v>4512</v>
      </c>
      <c r="B433" t="s">
        <v>485</v>
      </c>
      <c r="C433" s="2">
        <v>43225</v>
      </c>
      <c r="D433" s="5">
        <v>45720</v>
      </c>
      <c r="E433" s="5">
        <v>45720.34652777778</v>
      </c>
      <c r="F433" t="s">
        <v>27</v>
      </c>
      <c r="G433" s="2">
        <v>923245</v>
      </c>
      <c r="H433" t="s">
        <v>29</v>
      </c>
      <c r="I433" t="s">
        <v>30</v>
      </c>
      <c r="J433" t="s">
        <v>31</v>
      </c>
      <c r="K433" s="50">
        <v>44001989</v>
      </c>
      <c r="L433" s="50">
        <v>0</v>
      </c>
      <c r="M433" s="50">
        <v>44001989</v>
      </c>
      <c r="N433" s="50">
        <v>44001989</v>
      </c>
      <c r="O433" t="s">
        <v>351</v>
      </c>
      <c r="P433">
        <v>1070612521</v>
      </c>
      <c r="Q433" t="s">
        <v>4138</v>
      </c>
      <c r="R433" t="s">
        <v>316</v>
      </c>
      <c r="S433" t="s">
        <v>317</v>
      </c>
      <c r="T433" s="2">
        <v>466970080498</v>
      </c>
      <c r="U433" t="s">
        <v>319</v>
      </c>
      <c r="V433">
        <v>860034313</v>
      </c>
      <c r="W433" t="s">
        <v>355</v>
      </c>
      <c r="X433" s="2">
        <v>3825</v>
      </c>
      <c r="Y433" s="2">
        <v>3825</v>
      </c>
      <c r="Z433" s="2">
        <v>43225</v>
      </c>
      <c r="AA433">
        <v>0</v>
      </c>
      <c r="AB433">
        <v>0</v>
      </c>
      <c r="AC433">
        <v>0</v>
      </c>
      <c r="AD433">
        <v>0</v>
      </c>
      <c r="AE433" s="5">
        <v>45720</v>
      </c>
      <c r="AF433" t="s">
        <v>356</v>
      </c>
      <c r="AG433" t="s">
        <v>4140</v>
      </c>
      <c r="AH433" t="s">
        <v>3377</v>
      </c>
    </row>
    <row r="434" spans="1:34" ht="15" customHeight="1" x14ac:dyDescent="0.2">
      <c r="A434" t="s">
        <v>4513</v>
      </c>
      <c r="B434" t="s">
        <v>482</v>
      </c>
      <c r="C434" s="2">
        <v>43325</v>
      </c>
      <c r="D434" s="5">
        <v>45720</v>
      </c>
      <c r="E434" s="5">
        <v>45720.429861111108</v>
      </c>
      <c r="F434" t="s">
        <v>312</v>
      </c>
      <c r="G434" s="2">
        <v>923228</v>
      </c>
      <c r="H434" t="s">
        <v>159</v>
      </c>
      <c r="I434" t="s">
        <v>160</v>
      </c>
      <c r="J434" t="s">
        <v>31</v>
      </c>
      <c r="K434" s="50">
        <v>228260</v>
      </c>
      <c r="L434" s="50">
        <v>0</v>
      </c>
      <c r="M434" s="50">
        <v>228260</v>
      </c>
      <c r="N434" s="50">
        <v>0</v>
      </c>
      <c r="O434" t="s">
        <v>351</v>
      </c>
      <c r="P434">
        <v>3171437</v>
      </c>
      <c r="Q434" t="s">
        <v>2076</v>
      </c>
      <c r="R434" t="s">
        <v>316</v>
      </c>
      <c r="S434" t="s">
        <v>317</v>
      </c>
      <c r="T434" s="2">
        <v>378001287</v>
      </c>
      <c r="U434" t="s">
        <v>319</v>
      </c>
      <c r="V434">
        <v>860003020</v>
      </c>
      <c r="W434" t="s">
        <v>393</v>
      </c>
      <c r="X434" s="2">
        <v>3425</v>
      </c>
      <c r="Y434" s="2">
        <v>3425</v>
      </c>
      <c r="Z434" s="2">
        <v>43325</v>
      </c>
      <c r="AA434">
        <v>0</v>
      </c>
      <c r="AB434">
        <v>46125</v>
      </c>
      <c r="AC434">
        <v>0</v>
      </c>
      <c r="AD434">
        <v>0</v>
      </c>
      <c r="AE434" s="5">
        <v>45720</v>
      </c>
      <c r="AF434" t="s">
        <v>1929</v>
      </c>
      <c r="AG434" t="s">
        <v>4142</v>
      </c>
      <c r="AH434" t="s">
        <v>4143</v>
      </c>
    </row>
    <row r="435" spans="1:34" ht="15" customHeight="1" x14ac:dyDescent="0.2">
      <c r="A435" t="s">
        <v>4514</v>
      </c>
      <c r="B435" t="s">
        <v>482</v>
      </c>
      <c r="C435" s="2">
        <v>43425</v>
      </c>
      <c r="D435" s="5">
        <v>45720</v>
      </c>
      <c r="E435" s="5">
        <v>45720.438194444447</v>
      </c>
      <c r="F435" t="s">
        <v>312</v>
      </c>
      <c r="G435" s="2">
        <v>923228</v>
      </c>
      <c r="H435" t="s">
        <v>159</v>
      </c>
      <c r="I435" t="s">
        <v>160</v>
      </c>
      <c r="J435" t="s">
        <v>31</v>
      </c>
      <c r="K435" s="50">
        <v>156195</v>
      </c>
      <c r="L435" s="50">
        <v>0</v>
      </c>
      <c r="M435" s="50">
        <v>156195</v>
      </c>
      <c r="N435" s="50">
        <v>0</v>
      </c>
      <c r="O435" t="s">
        <v>351</v>
      </c>
      <c r="P435">
        <v>1022371659</v>
      </c>
      <c r="Q435" t="s">
        <v>2065</v>
      </c>
      <c r="R435" t="s">
        <v>316</v>
      </c>
      <c r="S435" t="s">
        <v>317</v>
      </c>
      <c r="T435" s="2">
        <v>1900270156</v>
      </c>
      <c r="U435" t="s">
        <v>319</v>
      </c>
      <c r="V435">
        <v>860034313</v>
      </c>
      <c r="W435" t="s">
        <v>355</v>
      </c>
      <c r="X435" s="2">
        <v>3425</v>
      </c>
      <c r="Y435" s="2">
        <v>3425</v>
      </c>
      <c r="Z435" s="2">
        <v>43425</v>
      </c>
      <c r="AA435">
        <v>0</v>
      </c>
      <c r="AB435">
        <v>50725</v>
      </c>
      <c r="AC435">
        <v>0</v>
      </c>
      <c r="AD435">
        <v>0</v>
      </c>
      <c r="AE435" s="5">
        <v>45720</v>
      </c>
      <c r="AF435" t="s">
        <v>1929</v>
      </c>
      <c r="AG435" t="s">
        <v>4145</v>
      </c>
      <c r="AH435" t="s">
        <v>4146</v>
      </c>
    </row>
    <row r="436" spans="1:34" ht="15" customHeight="1" x14ac:dyDescent="0.2">
      <c r="A436" t="s">
        <v>4515</v>
      </c>
      <c r="B436" t="s">
        <v>4508</v>
      </c>
      <c r="C436" s="2">
        <v>43525</v>
      </c>
      <c r="D436" s="5">
        <v>45720</v>
      </c>
      <c r="E436" s="5">
        <v>45720.953472222223</v>
      </c>
      <c r="F436" t="s">
        <v>27</v>
      </c>
      <c r="G436" s="2">
        <v>923284</v>
      </c>
      <c r="H436" t="s">
        <v>159</v>
      </c>
      <c r="I436" t="s">
        <v>160</v>
      </c>
      <c r="J436" t="s">
        <v>31</v>
      </c>
      <c r="K436" s="50">
        <v>46302667</v>
      </c>
      <c r="L436" s="50">
        <v>0</v>
      </c>
      <c r="M436" s="50">
        <v>46302667</v>
      </c>
      <c r="N436" s="50">
        <v>46302667</v>
      </c>
      <c r="O436" t="s">
        <v>351</v>
      </c>
      <c r="P436">
        <v>28551210</v>
      </c>
      <c r="Q436" t="s">
        <v>4148</v>
      </c>
      <c r="R436" t="s">
        <v>316</v>
      </c>
      <c r="S436" t="s">
        <v>317</v>
      </c>
      <c r="T436" s="2">
        <v>1004507912</v>
      </c>
      <c r="U436" t="s">
        <v>319</v>
      </c>
      <c r="V436">
        <v>860034594</v>
      </c>
      <c r="W436" t="s">
        <v>374</v>
      </c>
      <c r="X436" s="2">
        <v>3325</v>
      </c>
      <c r="Y436" s="2">
        <v>3325</v>
      </c>
      <c r="Z436" s="2">
        <v>43525</v>
      </c>
      <c r="AA436">
        <v>0</v>
      </c>
      <c r="AB436">
        <v>0</v>
      </c>
      <c r="AC436">
        <v>0</v>
      </c>
      <c r="AD436">
        <v>0</v>
      </c>
      <c r="AE436" s="5">
        <v>45720</v>
      </c>
      <c r="AF436" t="s">
        <v>356</v>
      </c>
      <c r="AG436" t="s">
        <v>4150</v>
      </c>
      <c r="AH436" t="s">
        <v>4123</v>
      </c>
    </row>
    <row r="437" spans="1:34" ht="15" customHeight="1" x14ac:dyDescent="0.2">
      <c r="A437" t="s">
        <v>4516</v>
      </c>
      <c r="B437" t="s">
        <v>478</v>
      </c>
      <c r="C437" s="2">
        <v>43625</v>
      </c>
      <c r="D437" s="5">
        <v>45720</v>
      </c>
      <c r="E437" s="5">
        <v>45720.954861111109</v>
      </c>
      <c r="F437" t="s">
        <v>27</v>
      </c>
      <c r="G437" s="2">
        <v>923210</v>
      </c>
      <c r="H437" t="s">
        <v>29</v>
      </c>
      <c r="I437" t="s">
        <v>30</v>
      </c>
      <c r="J437" t="s">
        <v>31</v>
      </c>
      <c r="K437" s="50">
        <v>11924928</v>
      </c>
      <c r="L437" s="50">
        <v>0</v>
      </c>
      <c r="M437" s="50">
        <v>11924928</v>
      </c>
      <c r="N437" s="50">
        <v>11924928</v>
      </c>
      <c r="O437" t="s">
        <v>351</v>
      </c>
      <c r="P437">
        <v>53102000</v>
      </c>
      <c r="Q437" t="s">
        <v>4152</v>
      </c>
      <c r="R437" t="s">
        <v>316</v>
      </c>
      <c r="S437" t="s">
        <v>317</v>
      </c>
      <c r="T437" s="2">
        <v>488433888317</v>
      </c>
      <c r="U437" t="s">
        <v>319</v>
      </c>
      <c r="V437">
        <v>860034313</v>
      </c>
      <c r="W437" t="s">
        <v>355</v>
      </c>
      <c r="X437" s="2">
        <v>1925</v>
      </c>
      <c r="Y437" s="2">
        <v>1925</v>
      </c>
      <c r="Z437" s="2">
        <v>43625</v>
      </c>
      <c r="AA437">
        <v>0</v>
      </c>
      <c r="AB437">
        <v>0</v>
      </c>
      <c r="AC437">
        <v>0</v>
      </c>
      <c r="AD437">
        <v>0</v>
      </c>
      <c r="AE437" s="5">
        <v>45720</v>
      </c>
      <c r="AF437" t="s">
        <v>356</v>
      </c>
      <c r="AG437" t="s">
        <v>4154</v>
      </c>
      <c r="AH437" t="s">
        <v>4155</v>
      </c>
    </row>
    <row r="438" spans="1:34" ht="15" customHeight="1" x14ac:dyDescent="0.2">
      <c r="A438" t="s">
        <v>4517</v>
      </c>
      <c r="B438" t="s">
        <v>484</v>
      </c>
      <c r="C438" s="2">
        <v>43725</v>
      </c>
      <c r="D438" s="5">
        <v>45720</v>
      </c>
      <c r="E438" s="5">
        <v>45720.956944444442</v>
      </c>
      <c r="F438" t="s">
        <v>27</v>
      </c>
      <c r="G438" s="2">
        <v>923242</v>
      </c>
      <c r="H438" t="s">
        <v>29</v>
      </c>
      <c r="I438" t="s">
        <v>30</v>
      </c>
      <c r="J438" t="s">
        <v>31</v>
      </c>
      <c r="K438" s="50">
        <v>34023546</v>
      </c>
      <c r="L438" s="50">
        <v>0</v>
      </c>
      <c r="M438" s="50">
        <v>34023546</v>
      </c>
      <c r="N438" s="50">
        <v>34023546</v>
      </c>
      <c r="O438" t="s">
        <v>351</v>
      </c>
      <c r="P438">
        <v>79217571</v>
      </c>
      <c r="Q438" t="s">
        <v>4157</v>
      </c>
      <c r="R438" t="s">
        <v>316</v>
      </c>
      <c r="S438" t="s">
        <v>317</v>
      </c>
      <c r="T438" s="2">
        <v>91204353714</v>
      </c>
      <c r="U438" t="s">
        <v>319</v>
      </c>
      <c r="V438">
        <v>890903938</v>
      </c>
      <c r="W438" t="s">
        <v>342</v>
      </c>
      <c r="X438" s="2">
        <v>3625</v>
      </c>
      <c r="Y438" s="2">
        <v>3625</v>
      </c>
      <c r="Z438" s="2">
        <v>43725</v>
      </c>
      <c r="AA438">
        <v>0</v>
      </c>
      <c r="AB438">
        <v>0</v>
      </c>
      <c r="AC438">
        <v>0</v>
      </c>
      <c r="AD438">
        <v>0</v>
      </c>
      <c r="AE438" s="5">
        <v>45720</v>
      </c>
      <c r="AF438" t="s">
        <v>356</v>
      </c>
      <c r="AG438" t="s">
        <v>4159</v>
      </c>
      <c r="AH438" t="s">
        <v>4160</v>
      </c>
    </row>
    <row r="439" spans="1:34" ht="15" customHeight="1" x14ac:dyDescent="0.2">
      <c r="A439" t="s">
        <v>4518</v>
      </c>
      <c r="B439" t="s">
        <v>4519</v>
      </c>
      <c r="C439" s="2">
        <v>43825</v>
      </c>
      <c r="D439" s="5">
        <v>45721</v>
      </c>
      <c r="E439" s="5">
        <v>45721.455555555556</v>
      </c>
      <c r="F439" t="s">
        <v>312</v>
      </c>
      <c r="G439" s="2">
        <v>923284</v>
      </c>
      <c r="H439" t="s">
        <v>159</v>
      </c>
      <c r="I439" t="s">
        <v>160</v>
      </c>
      <c r="J439" t="s">
        <v>31</v>
      </c>
      <c r="K439" s="50">
        <v>312390</v>
      </c>
      <c r="L439" s="50">
        <v>0</v>
      </c>
      <c r="M439" s="50">
        <v>312390</v>
      </c>
      <c r="N439" s="50">
        <v>0</v>
      </c>
      <c r="O439" t="s">
        <v>351</v>
      </c>
      <c r="P439">
        <v>80500306</v>
      </c>
      <c r="Q439" t="s">
        <v>2109</v>
      </c>
      <c r="R439" t="s">
        <v>316</v>
      </c>
      <c r="S439" t="s">
        <v>317</v>
      </c>
      <c r="T439" s="2">
        <v>378467807</v>
      </c>
      <c r="U439" t="s">
        <v>319</v>
      </c>
      <c r="V439">
        <v>860003020</v>
      </c>
      <c r="W439" t="s">
        <v>393</v>
      </c>
      <c r="X439" s="2">
        <v>3425</v>
      </c>
      <c r="Y439" s="2">
        <v>3425</v>
      </c>
      <c r="Z439" s="2">
        <v>43825</v>
      </c>
      <c r="AA439">
        <v>0</v>
      </c>
      <c r="AB439">
        <v>49225</v>
      </c>
      <c r="AC439">
        <v>0</v>
      </c>
      <c r="AD439">
        <v>0</v>
      </c>
      <c r="AE439" s="5">
        <v>45721</v>
      </c>
      <c r="AF439" t="s">
        <v>1929</v>
      </c>
      <c r="AG439" t="s">
        <v>4162</v>
      </c>
      <c r="AH439" t="s">
        <v>4163</v>
      </c>
    </row>
    <row r="440" spans="1:34" ht="15" customHeight="1" x14ac:dyDescent="0.2">
      <c r="A440" t="s">
        <v>4520</v>
      </c>
      <c r="B440" t="s">
        <v>472</v>
      </c>
      <c r="C440" s="2">
        <v>43925</v>
      </c>
      <c r="D440" s="5">
        <v>45721</v>
      </c>
      <c r="E440" s="5">
        <v>45721.503472222219</v>
      </c>
      <c r="F440" t="s">
        <v>312</v>
      </c>
      <c r="G440" s="2">
        <v>923238</v>
      </c>
      <c r="H440" t="s">
        <v>29</v>
      </c>
      <c r="I440" t="s">
        <v>30</v>
      </c>
      <c r="J440" t="s">
        <v>31</v>
      </c>
      <c r="K440" s="50">
        <v>519029</v>
      </c>
      <c r="L440" s="50">
        <v>0</v>
      </c>
      <c r="M440" s="50">
        <v>519029</v>
      </c>
      <c r="N440" s="50">
        <v>0</v>
      </c>
      <c r="O440" t="s">
        <v>351</v>
      </c>
      <c r="P440">
        <v>11315001</v>
      </c>
      <c r="Q440" t="s">
        <v>2037</v>
      </c>
      <c r="R440" t="s">
        <v>316</v>
      </c>
      <c r="S440" t="s">
        <v>317</v>
      </c>
      <c r="T440" s="2">
        <v>20505880851</v>
      </c>
      <c r="U440" t="s">
        <v>319</v>
      </c>
      <c r="V440">
        <v>890903938</v>
      </c>
      <c r="W440" t="s">
        <v>342</v>
      </c>
      <c r="X440" s="2">
        <v>325</v>
      </c>
      <c r="Y440" s="2">
        <v>325</v>
      </c>
      <c r="Z440" s="2">
        <v>43925</v>
      </c>
      <c r="AA440">
        <v>0</v>
      </c>
      <c r="AB440">
        <v>51725</v>
      </c>
      <c r="AC440">
        <v>0</v>
      </c>
      <c r="AD440">
        <v>0</v>
      </c>
      <c r="AE440" s="5">
        <v>45721</v>
      </c>
      <c r="AF440" t="s">
        <v>1929</v>
      </c>
      <c r="AG440" t="s">
        <v>4165</v>
      </c>
      <c r="AH440" t="s">
        <v>4166</v>
      </c>
    </row>
    <row r="441" spans="1:34" ht="15" customHeight="1" x14ac:dyDescent="0.2">
      <c r="A441" t="s">
        <v>4521</v>
      </c>
      <c r="B441" t="s">
        <v>474</v>
      </c>
      <c r="C441" s="2">
        <v>44025</v>
      </c>
      <c r="D441" s="5">
        <v>45721</v>
      </c>
      <c r="E441" s="5">
        <v>45721.521527777775</v>
      </c>
      <c r="F441" t="s">
        <v>312</v>
      </c>
      <c r="G441" s="2">
        <v>923211</v>
      </c>
      <c r="H441" t="s">
        <v>29</v>
      </c>
      <c r="I441" t="s">
        <v>30</v>
      </c>
      <c r="J441" t="s">
        <v>31</v>
      </c>
      <c r="K441" s="50">
        <v>166195</v>
      </c>
      <c r="L441" s="50">
        <v>0</v>
      </c>
      <c r="M441" s="50">
        <v>166195</v>
      </c>
      <c r="N441" s="50">
        <v>0</v>
      </c>
      <c r="O441" t="s">
        <v>351</v>
      </c>
      <c r="P441">
        <v>79536962</v>
      </c>
      <c r="Q441" t="s">
        <v>1287</v>
      </c>
      <c r="R441" t="s">
        <v>316</v>
      </c>
      <c r="S441" t="s">
        <v>317</v>
      </c>
      <c r="T441" s="2">
        <v>5570251263</v>
      </c>
      <c r="U441" t="s">
        <v>319</v>
      </c>
      <c r="V441">
        <v>860034313</v>
      </c>
      <c r="W441" t="s">
        <v>355</v>
      </c>
      <c r="X441" s="2">
        <v>925</v>
      </c>
      <c r="Y441" s="2">
        <v>925</v>
      </c>
      <c r="Z441" s="2">
        <v>44025</v>
      </c>
      <c r="AA441">
        <v>0</v>
      </c>
      <c r="AB441">
        <v>48125</v>
      </c>
      <c r="AC441">
        <v>0</v>
      </c>
      <c r="AD441">
        <v>0</v>
      </c>
      <c r="AE441" s="5">
        <v>45721</v>
      </c>
      <c r="AF441" t="s">
        <v>1929</v>
      </c>
      <c r="AG441" t="s">
        <v>4168</v>
      </c>
      <c r="AH441" t="s">
        <v>4169</v>
      </c>
    </row>
    <row r="442" spans="1:34" ht="15" customHeight="1" x14ac:dyDescent="0.2">
      <c r="A442" t="s">
        <v>4522</v>
      </c>
      <c r="B442" t="s">
        <v>474</v>
      </c>
      <c r="C442" s="2">
        <v>44125</v>
      </c>
      <c r="D442" s="5">
        <v>45721</v>
      </c>
      <c r="E442" s="5">
        <v>45721.530555555553</v>
      </c>
      <c r="F442" t="s">
        <v>312</v>
      </c>
      <c r="G442" s="2">
        <v>923211</v>
      </c>
      <c r="H442" t="s">
        <v>29</v>
      </c>
      <c r="I442" t="s">
        <v>30</v>
      </c>
      <c r="J442" t="s">
        <v>31</v>
      </c>
      <c r="K442" s="50">
        <v>312390</v>
      </c>
      <c r="L442" s="50">
        <v>0</v>
      </c>
      <c r="M442" s="50">
        <v>312390</v>
      </c>
      <c r="N442" s="50">
        <v>0</v>
      </c>
      <c r="O442" t="s">
        <v>351</v>
      </c>
      <c r="P442">
        <v>53931238</v>
      </c>
      <c r="Q442" t="s">
        <v>1203</v>
      </c>
      <c r="R442" t="s">
        <v>316</v>
      </c>
      <c r="S442" t="s">
        <v>317</v>
      </c>
      <c r="T442" s="2">
        <v>406170019987</v>
      </c>
      <c r="U442" t="s">
        <v>319</v>
      </c>
      <c r="V442">
        <v>860034313</v>
      </c>
      <c r="W442" t="s">
        <v>355</v>
      </c>
      <c r="X442" s="2">
        <v>925</v>
      </c>
      <c r="Y442" s="2">
        <v>925</v>
      </c>
      <c r="Z442" s="2">
        <v>44125</v>
      </c>
      <c r="AA442">
        <v>0</v>
      </c>
      <c r="AB442">
        <v>47325</v>
      </c>
      <c r="AC442">
        <v>0</v>
      </c>
      <c r="AD442">
        <v>0</v>
      </c>
      <c r="AE442" s="5">
        <v>45721</v>
      </c>
      <c r="AF442" t="s">
        <v>1929</v>
      </c>
      <c r="AG442" t="s">
        <v>4171</v>
      </c>
      <c r="AH442" t="s">
        <v>4172</v>
      </c>
    </row>
    <row r="443" spans="1:34" ht="15" customHeight="1" x14ac:dyDescent="0.2">
      <c r="A443" t="s">
        <v>4523</v>
      </c>
      <c r="B443" t="s">
        <v>477</v>
      </c>
      <c r="C443" s="2">
        <v>44225</v>
      </c>
      <c r="D443" s="5">
        <v>45721</v>
      </c>
      <c r="E443" s="5">
        <v>45721.637499999997</v>
      </c>
      <c r="F443" t="s">
        <v>312</v>
      </c>
      <c r="G443" s="2">
        <v>923210</v>
      </c>
      <c r="H443" t="s">
        <v>29</v>
      </c>
      <c r="I443" t="s">
        <v>30</v>
      </c>
      <c r="J443" t="s">
        <v>31</v>
      </c>
      <c r="K443" s="50">
        <v>70400</v>
      </c>
      <c r="L443" s="50">
        <v>0</v>
      </c>
      <c r="M443" s="50">
        <v>70400</v>
      </c>
      <c r="N443" s="50">
        <v>0</v>
      </c>
      <c r="O443" t="s">
        <v>351</v>
      </c>
      <c r="P443">
        <v>79205725</v>
      </c>
      <c r="Q443" t="s">
        <v>1877</v>
      </c>
      <c r="R443" t="s">
        <v>316</v>
      </c>
      <c r="S443" t="s">
        <v>317</v>
      </c>
      <c r="T443" s="2">
        <v>161545264</v>
      </c>
      <c r="U443" t="s">
        <v>319</v>
      </c>
      <c r="V443">
        <v>860002964</v>
      </c>
      <c r="W443" t="s">
        <v>419</v>
      </c>
      <c r="X443" s="2">
        <v>1625</v>
      </c>
      <c r="Y443" s="2">
        <v>1625</v>
      </c>
      <c r="Z443" s="2">
        <v>44225</v>
      </c>
      <c r="AA443">
        <v>0</v>
      </c>
      <c r="AB443">
        <v>47825</v>
      </c>
      <c r="AC443">
        <v>0</v>
      </c>
      <c r="AD443">
        <v>0</v>
      </c>
      <c r="AE443" s="5">
        <v>45721</v>
      </c>
      <c r="AF443" t="s">
        <v>1929</v>
      </c>
      <c r="AG443" t="s">
        <v>4174</v>
      </c>
      <c r="AH443" t="s">
        <v>4175</v>
      </c>
    </row>
    <row r="444" spans="1:34" ht="15" customHeight="1" x14ac:dyDescent="0.2">
      <c r="A444" t="s">
        <v>4524</v>
      </c>
      <c r="B444" t="s">
        <v>476</v>
      </c>
      <c r="C444" s="2">
        <v>44325</v>
      </c>
      <c r="D444" s="5">
        <v>45721</v>
      </c>
      <c r="E444" s="5">
        <v>45721.729166666664</v>
      </c>
      <c r="F444" t="s">
        <v>312</v>
      </c>
      <c r="G444" s="2">
        <v>923210</v>
      </c>
      <c r="H444" t="s">
        <v>29</v>
      </c>
      <c r="I444" t="s">
        <v>30</v>
      </c>
      <c r="J444" t="s">
        <v>47</v>
      </c>
      <c r="K444" s="50">
        <v>3063140</v>
      </c>
      <c r="L444" s="50">
        <v>0</v>
      </c>
      <c r="M444" s="50">
        <v>3063140</v>
      </c>
      <c r="N444" s="50">
        <v>0</v>
      </c>
      <c r="O444" t="s">
        <v>314</v>
      </c>
      <c r="P444">
        <v>860063875</v>
      </c>
      <c r="Q444" t="s">
        <v>315</v>
      </c>
      <c r="R444" t="s">
        <v>316</v>
      </c>
      <c r="S444" t="s">
        <v>317</v>
      </c>
      <c r="T444" s="2">
        <v>90060000410</v>
      </c>
      <c r="U444" t="s">
        <v>319</v>
      </c>
      <c r="V444">
        <v>860050750</v>
      </c>
      <c r="W444" t="s">
        <v>321</v>
      </c>
      <c r="X444" s="2">
        <v>1225</v>
      </c>
      <c r="Y444" s="2">
        <v>1225</v>
      </c>
      <c r="Z444" s="2">
        <v>44325</v>
      </c>
      <c r="AA444">
        <v>4725</v>
      </c>
      <c r="AB444">
        <v>41625</v>
      </c>
      <c r="AC444">
        <v>66482925</v>
      </c>
      <c r="AD444">
        <v>0</v>
      </c>
      <c r="AE444" s="5">
        <v>45721</v>
      </c>
      <c r="AF444" t="s">
        <v>323</v>
      </c>
      <c r="AG444" t="s">
        <v>3577</v>
      </c>
      <c r="AH444" t="s">
        <v>3578</v>
      </c>
    </row>
    <row r="445" spans="1:34" ht="15" customHeight="1" x14ac:dyDescent="0.2">
      <c r="A445" t="s">
        <v>4525</v>
      </c>
      <c r="B445" t="s">
        <v>472</v>
      </c>
      <c r="C445" s="2">
        <v>44425</v>
      </c>
      <c r="D445" s="5">
        <v>45722</v>
      </c>
      <c r="E445" s="5">
        <v>45722.399305555555</v>
      </c>
      <c r="F445" t="s">
        <v>312</v>
      </c>
      <c r="G445" s="2">
        <v>923238</v>
      </c>
      <c r="H445" t="s">
        <v>29</v>
      </c>
      <c r="I445" t="s">
        <v>30</v>
      </c>
      <c r="J445" t="s">
        <v>31</v>
      </c>
      <c r="K445" s="50">
        <v>312390</v>
      </c>
      <c r="L445" s="50">
        <v>0</v>
      </c>
      <c r="M445" s="50">
        <v>312390</v>
      </c>
      <c r="N445" s="50">
        <v>0</v>
      </c>
      <c r="O445" t="s">
        <v>351</v>
      </c>
      <c r="P445">
        <v>1012439964</v>
      </c>
      <c r="Q445" t="s">
        <v>1055</v>
      </c>
      <c r="R445" t="s">
        <v>316</v>
      </c>
      <c r="S445" t="s">
        <v>317</v>
      </c>
      <c r="T445" s="2">
        <v>1300008356</v>
      </c>
      <c r="U445" t="s">
        <v>319</v>
      </c>
      <c r="V445">
        <v>890903938</v>
      </c>
      <c r="W445" t="s">
        <v>342</v>
      </c>
      <c r="X445" s="2">
        <v>325</v>
      </c>
      <c r="Y445" s="2">
        <v>325</v>
      </c>
      <c r="Z445" s="2">
        <v>44425</v>
      </c>
      <c r="AA445">
        <v>0</v>
      </c>
      <c r="AB445">
        <v>50225</v>
      </c>
      <c r="AC445">
        <v>0</v>
      </c>
      <c r="AD445">
        <v>0</v>
      </c>
      <c r="AE445" s="5">
        <v>45722</v>
      </c>
      <c r="AF445" t="s">
        <v>1929</v>
      </c>
      <c r="AG445" t="s">
        <v>4178</v>
      </c>
      <c r="AH445" t="s">
        <v>4179</v>
      </c>
    </row>
    <row r="446" spans="1:34" ht="15" customHeight="1" x14ac:dyDescent="0.2">
      <c r="A446" t="s">
        <v>4526</v>
      </c>
      <c r="B446" t="s">
        <v>4468</v>
      </c>
      <c r="C446" s="2">
        <v>44525</v>
      </c>
      <c r="D446" s="5">
        <v>45722</v>
      </c>
      <c r="E446" s="5">
        <v>45722.407638888886</v>
      </c>
      <c r="F446" t="s">
        <v>312</v>
      </c>
      <c r="G446" s="2">
        <v>923210</v>
      </c>
      <c r="H446" t="s">
        <v>57</v>
      </c>
      <c r="I446" t="s">
        <v>58</v>
      </c>
      <c r="J446" t="s">
        <v>31</v>
      </c>
      <c r="K446" s="50">
        <v>429688</v>
      </c>
      <c r="L446" s="50">
        <v>0</v>
      </c>
      <c r="M446" s="50">
        <v>429688</v>
      </c>
      <c r="N446" s="50">
        <v>0</v>
      </c>
      <c r="O446" t="s">
        <v>351</v>
      </c>
      <c r="P446">
        <v>1070825199</v>
      </c>
      <c r="Q446" t="s">
        <v>2777</v>
      </c>
      <c r="R446" t="s">
        <v>316</v>
      </c>
      <c r="S446" t="s">
        <v>317</v>
      </c>
      <c r="T446" s="2">
        <v>16600001742</v>
      </c>
      <c r="U446" t="s">
        <v>319</v>
      </c>
      <c r="V446">
        <v>890903938</v>
      </c>
      <c r="W446" t="s">
        <v>342</v>
      </c>
      <c r="X446" s="2">
        <v>625</v>
      </c>
      <c r="Y446" s="2">
        <v>625</v>
      </c>
      <c r="Z446" s="2">
        <v>44525</v>
      </c>
      <c r="AA446">
        <v>0</v>
      </c>
      <c r="AB446">
        <v>51225</v>
      </c>
      <c r="AC446">
        <v>0</v>
      </c>
      <c r="AD446">
        <v>0</v>
      </c>
      <c r="AE446" s="5">
        <v>45722</v>
      </c>
      <c r="AF446" t="s">
        <v>1929</v>
      </c>
      <c r="AG446" t="s">
        <v>4181</v>
      </c>
      <c r="AH446" t="s">
        <v>4182</v>
      </c>
    </row>
    <row r="447" spans="1:34" ht="15" customHeight="1" x14ac:dyDescent="0.2">
      <c r="A447" t="s">
        <v>4527</v>
      </c>
      <c r="B447" t="s">
        <v>4445</v>
      </c>
      <c r="C447" s="2">
        <v>44625</v>
      </c>
      <c r="D447" s="5">
        <v>45722</v>
      </c>
      <c r="E447" s="5">
        <v>45722.464583333334</v>
      </c>
      <c r="F447" t="s">
        <v>27</v>
      </c>
      <c r="G447" s="2">
        <v>923218</v>
      </c>
      <c r="H447" t="s">
        <v>29</v>
      </c>
      <c r="I447" t="s">
        <v>30</v>
      </c>
      <c r="J447" t="s">
        <v>47</v>
      </c>
      <c r="K447" s="50">
        <v>44001989</v>
      </c>
      <c r="L447" s="50">
        <v>0</v>
      </c>
      <c r="M447" s="50">
        <v>44001989</v>
      </c>
      <c r="N447" s="50">
        <v>44001989</v>
      </c>
      <c r="O447" t="s">
        <v>351</v>
      </c>
      <c r="P447">
        <v>8002148</v>
      </c>
      <c r="Q447" t="s">
        <v>4184</v>
      </c>
      <c r="R447" t="s">
        <v>316</v>
      </c>
      <c r="S447" t="s">
        <v>317</v>
      </c>
      <c r="T447" s="2">
        <v>431102038763</v>
      </c>
      <c r="U447" t="s">
        <v>319</v>
      </c>
      <c r="V447">
        <v>800037800</v>
      </c>
      <c r="W447" t="s">
        <v>660</v>
      </c>
      <c r="X447" s="2">
        <v>2825</v>
      </c>
      <c r="Y447" s="2">
        <v>2825</v>
      </c>
      <c r="Z447" s="2">
        <v>44625</v>
      </c>
      <c r="AA447">
        <v>0</v>
      </c>
      <c r="AB447">
        <v>0</v>
      </c>
      <c r="AC447">
        <v>0</v>
      </c>
      <c r="AD447">
        <v>0</v>
      </c>
      <c r="AE447" s="5">
        <v>45722</v>
      </c>
      <c r="AF447" t="s">
        <v>356</v>
      </c>
      <c r="AG447" t="s">
        <v>4186</v>
      </c>
      <c r="AH447" t="s">
        <v>724</v>
      </c>
    </row>
    <row r="448" spans="1:34" ht="15" customHeight="1" x14ac:dyDescent="0.2">
      <c r="A448" t="s">
        <v>4528</v>
      </c>
      <c r="B448" t="s">
        <v>474</v>
      </c>
      <c r="C448" s="2">
        <v>44725</v>
      </c>
      <c r="D448" s="5">
        <v>45722</v>
      </c>
      <c r="E448" s="5">
        <v>45722.656944444447</v>
      </c>
      <c r="F448" t="s">
        <v>312</v>
      </c>
      <c r="G448" s="2">
        <v>923211</v>
      </c>
      <c r="H448" t="s">
        <v>29</v>
      </c>
      <c r="I448" t="s">
        <v>30</v>
      </c>
      <c r="J448" t="s">
        <v>31</v>
      </c>
      <c r="K448" s="50">
        <v>478585</v>
      </c>
      <c r="L448" s="50">
        <v>0</v>
      </c>
      <c r="M448" s="50">
        <v>478585</v>
      </c>
      <c r="N448" s="50">
        <v>0</v>
      </c>
      <c r="O448" t="s">
        <v>351</v>
      </c>
      <c r="P448">
        <v>1026307427</v>
      </c>
      <c r="Q448" t="s">
        <v>2147</v>
      </c>
      <c r="R448" t="s">
        <v>316</v>
      </c>
      <c r="S448" t="s">
        <v>317</v>
      </c>
      <c r="T448" s="2">
        <v>261373302</v>
      </c>
      <c r="U448" t="s">
        <v>319</v>
      </c>
      <c r="V448">
        <v>860002964</v>
      </c>
      <c r="W448" t="s">
        <v>419</v>
      </c>
      <c r="X448" s="2">
        <v>925</v>
      </c>
      <c r="Y448" s="2">
        <v>925</v>
      </c>
      <c r="Z448" s="2">
        <v>44725</v>
      </c>
      <c r="AA448">
        <v>0</v>
      </c>
      <c r="AB448">
        <v>50825</v>
      </c>
      <c r="AC448">
        <v>0</v>
      </c>
      <c r="AD448">
        <v>0</v>
      </c>
      <c r="AE448" s="5">
        <v>45722</v>
      </c>
      <c r="AF448" t="s">
        <v>1929</v>
      </c>
      <c r="AG448" t="s">
        <v>4188</v>
      </c>
      <c r="AH448" t="s">
        <v>4189</v>
      </c>
    </row>
    <row r="449" spans="1:34" ht="15" customHeight="1" x14ac:dyDescent="0.2">
      <c r="A449" t="s">
        <v>4529</v>
      </c>
      <c r="B449" t="s">
        <v>474</v>
      </c>
      <c r="C449" s="2">
        <v>44825</v>
      </c>
      <c r="D449" s="5">
        <v>45722</v>
      </c>
      <c r="E449" s="5">
        <v>45722.689583333333</v>
      </c>
      <c r="F449" t="s">
        <v>312</v>
      </c>
      <c r="G449" s="2">
        <v>923211</v>
      </c>
      <c r="H449" t="s">
        <v>29</v>
      </c>
      <c r="I449" t="s">
        <v>30</v>
      </c>
      <c r="J449" t="s">
        <v>31</v>
      </c>
      <c r="K449" s="50">
        <v>664780</v>
      </c>
      <c r="L449" s="50">
        <v>0</v>
      </c>
      <c r="M449" s="50">
        <v>664780</v>
      </c>
      <c r="N449" s="50">
        <v>0</v>
      </c>
      <c r="O449" t="s">
        <v>351</v>
      </c>
      <c r="P449">
        <v>1010215433</v>
      </c>
      <c r="Q449" t="s">
        <v>1228</v>
      </c>
      <c r="R449" t="s">
        <v>316</v>
      </c>
      <c r="S449" t="s">
        <v>317</v>
      </c>
      <c r="T449" s="2">
        <v>466600048121</v>
      </c>
      <c r="U449" t="s">
        <v>319</v>
      </c>
      <c r="V449">
        <v>860034313</v>
      </c>
      <c r="W449" t="s">
        <v>355</v>
      </c>
      <c r="X449" s="2">
        <v>925</v>
      </c>
      <c r="Y449" s="2">
        <v>925</v>
      </c>
      <c r="Z449" s="2">
        <v>44825</v>
      </c>
      <c r="AA449">
        <v>0</v>
      </c>
      <c r="AB449">
        <v>50025</v>
      </c>
      <c r="AC449">
        <v>0</v>
      </c>
      <c r="AD449">
        <v>0</v>
      </c>
      <c r="AE449" s="5">
        <v>45722</v>
      </c>
      <c r="AF449" t="s">
        <v>1929</v>
      </c>
      <c r="AG449" t="s">
        <v>4191</v>
      </c>
      <c r="AH449" t="s">
        <v>4192</v>
      </c>
    </row>
    <row r="450" spans="1:34" ht="15" customHeight="1" x14ac:dyDescent="0.2">
      <c r="A450" t="s">
        <v>4530</v>
      </c>
      <c r="B450" t="s">
        <v>474</v>
      </c>
      <c r="C450" s="2">
        <v>44925</v>
      </c>
      <c r="D450" s="5">
        <v>45722</v>
      </c>
      <c r="E450" s="5">
        <v>45722.695833333331</v>
      </c>
      <c r="F450" t="s">
        <v>312</v>
      </c>
      <c r="G450" s="2">
        <v>923211</v>
      </c>
      <c r="H450" t="s">
        <v>29</v>
      </c>
      <c r="I450" t="s">
        <v>30</v>
      </c>
      <c r="J450" t="s">
        <v>31</v>
      </c>
      <c r="K450" s="50">
        <v>478585</v>
      </c>
      <c r="L450" s="50">
        <v>0</v>
      </c>
      <c r="M450" s="50">
        <v>478585</v>
      </c>
      <c r="N450" s="50">
        <v>0</v>
      </c>
      <c r="O450" t="s">
        <v>351</v>
      </c>
      <c r="P450">
        <v>11313776</v>
      </c>
      <c r="Q450" t="s">
        <v>676</v>
      </c>
      <c r="R450" t="s">
        <v>316</v>
      </c>
      <c r="S450" t="s">
        <v>317</v>
      </c>
      <c r="T450" s="2">
        <v>52564652261</v>
      </c>
      <c r="U450" t="s">
        <v>319</v>
      </c>
      <c r="V450">
        <v>890903938</v>
      </c>
      <c r="W450" t="s">
        <v>342</v>
      </c>
      <c r="X450" s="2">
        <v>925</v>
      </c>
      <c r="Y450" s="2">
        <v>925</v>
      </c>
      <c r="Z450" s="2">
        <v>44925</v>
      </c>
      <c r="AA450">
        <v>0</v>
      </c>
      <c r="AB450">
        <v>46625</v>
      </c>
      <c r="AC450">
        <v>0</v>
      </c>
      <c r="AD450">
        <v>0</v>
      </c>
      <c r="AE450" s="5">
        <v>45722</v>
      </c>
      <c r="AF450" t="s">
        <v>1929</v>
      </c>
      <c r="AG450" t="s">
        <v>4194</v>
      </c>
      <c r="AH450" t="s">
        <v>4195</v>
      </c>
    </row>
    <row r="451" spans="1:34" ht="15" customHeight="1" x14ac:dyDescent="0.2">
      <c r="A451" t="s">
        <v>4531</v>
      </c>
      <c r="B451" t="s">
        <v>474</v>
      </c>
      <c r="C451" s="2">
        <v>45025</v>
      </c>
      <c r="D451" s="5">
        <v>45722</v>
      </c>
      <c r="E451" s="5">
        <v>45722.7</v>
      </c>
      <c r="F451" t="s">
        <v>312</v>
      </c>
      <c r="G451" s="2">
        <v>923211</v>
      </c>
      <c r="H451" t="s">
        <v>29</v>
      </c>
      <c r="I451" t="s">
        <v>30</v>
      </c>
      <c r="J451" t="s">
        <v>31</v>
      </c>
      <c r="K451" s="50">
        <v>312390</v>
      </c>
      <c r="L451" s="50">
        <v>0</v>
      </c>
      <c r="M451" s="50">
        <v>312390</v>
      </c>
      <c r="N451" s="50">
        <v>0</v>
      </c>
      <c r="O451" t="s">
        <v>351</v>
      </c>
      <c r="P451">
        <v>82395377</v>
      </c>
      <c r="Q451" t="s">
        <v>1647</v>
      </c>
      <c r="R451" t="s">
        <v>316</v>
      </c>
      <c r="S451" t="s">
        <v>317</v>
      </c>
      <c r="T451" s="2">
        <v>466870056648</v>
      </c>
      <c r="U451" t="s">
        <v>319</v>
      </c>
      <c r="V451">
        <v>860034313</v>
      </c>
      <c r="W451" t="s">
        <v>355</v>
      </c>
      <c r="X451" s="2">
        <v>925</v>
      </c>
      <c r="Y451" s="2">
        <v>925</v>
      </c>
      <c r="Z451" s="2">
        <v>45025</v>
      </c>
      <c r="AA451">
        <v>0</v>
      </c>
      <c r="AB451">
        <v>49425</v>
      </c>
      <c r="AC451">
        <v>0</v>
      </c>
      <c r="AD451">
        <v>0</v>
      </c>
      <c r="AE451" s="5">
        <v>45722</v>
      </c>
      <c r="AF451" t="s">
        <v>1929</v>
      </c>
      <c r="AG451" t="s">
        <v>4197</v>
      </c>
      <c r="AH451" t="s">
        <v>4198</v>
      </c>
    </row>
    <row r="452" spans="1:34" ht="15" customHeight="1" x14ac:dyDescent="0.2">
      <c r="A452" t="s">
        <v>4532</v>
      </c>
      <c r="B452" t="s">
        <v>474</v>
      </c>
      <c r="C452" s="2">
        <v>45125</v>
      </c>
      <c r="D452" s="5">
        <v>45722</v>
      </c>
      <c r="E452" s="5">
        <v>45722.702777777777</v>
      </c>
      <c r="F452" t="s">
        <v>312</v>
      </c>
      <c r="G452" s="2">
        <v>923211</v>
      </c>
      <c r="H452" t="s">
        <v>29</v>
      </c>
      <c r="I452" t="s">
        <v>30</v>
      </c>
      <c r="J452" t="s">
        <v>31</v>
      </c>
      <c r="K452" s="50">
        <v>312390</v>
      </c>
      <c r="L452" s="50">
        <v>0</v>
      </c>
      <c r="M452" s="50">
        <v>312390</v>
      </c>
      <c r="N452" s="50">
        <v>0</v>
      </c>
      <c r="O452" t="s">
        <v>351</v>
      </c>
      <c r="P452">
        <v>19281696</v>
      </c>
      <c r="Q452" t="s">
        <v>1672</v>
      </c>
      <c r="R452" t="s">
        <v>316</v>
      </c>
      <c r="S452" t="s">
        <v>317</v>
      </c>
      <c r="T452" s="2">
        <v>26458194113</v>
      </c>
      <c r="U452" t="s">
        <v>319</v>
      </c>
      <c r="V452">
        <v>890903938</v>
      </c>
      <c r="W452" t="s">
        <v>342</v>
      </c>
      <c r="X452" s="2">
        <v>925</v>
      </c>
      <c r="Y452" s="2">
        <v>925</v>
      </c>
      <c r="Z452" s="2">
        <v>45125</v>
      </c>
      <c r="AA452">
        <v>0</v>
      </c>
      <c r="AB452">
        <v>46825</v>
      </c>
      <c r="AC452">
        <v>0</v>
      </c>
      <c r="AD452">
        <v>0</v>
      </c>
      <c r="AE452" s="5">
        <v>45722</v>
      </c>
      <c r="AF452" t="s">
        <v>1929</v>
      </c>
      <c r="AG452" t="s">
        <v>4200</v>
      </c>
      <c r="AH452" t="s">
        <v>4201</v>
      </c>
    </row>
    <row r="453" spans="1:34" ht="15" customHeight="1" x14ac:dyDescent="0.2">
      <c r="A453" t="s">
        <v>4533</v>
      </c>
      <c r="B453" t="s">
        <v>480</v>
      </c>
      <c r="C453" s="2">
        <v>45225</v>
      </c>
      <c r="D453" s="5">
        <v>45722</v>
      </c>
      <c r="E453" s="5">
        <v>45722.706944444442</v>
      </c>
      <c r="F453" t="s">
        <v>27</v>
      </c>
      <c r="G453" s="2">
        <v>923227</v>
      </c>
      <c r="H453" t="s">
        <v>142</v>
      </c>
      <c r="I453" t="s">
        <v>143</v>
      </c>
      <c r="J453" t="s">
        <v>31</v>
      </c>
      <c r="K453" s="50">
        <v>28914675</v>
      </c>
      <c r="L453" s="50">
        <v>0</v>
      </c>
      <c r="M453" s="50">
        <v>28914675</v>
      </c>
      <c r="N453" s="50">
        <v>28914675</v>
      </c>
      <c r="O453" t="s">
        <v>351</v>
      </c>
      <c r="P453">
        <v>11206540</v>
      </c>
      <c r="Q453" t="s">
        <v>4203</v>
      </c>
      <c r="R453" t="s">
        <v>316</v>
      </c>
      <c r="S453" t="s">
        <v>317</v>
      </c>
      <c r="T453" s="2">
        <v>348294109</v>
      </c>
      <c r="U453" t="s">
        <v>319</v>
      </c>
      <c r="V453">
        <v>860002964</v>
      </c>
      <c r="W453" t="s">
        <v>419</v>
      </c>
      <c r="X453" s="2">
        <v>3225</v>
      </c>
      <c r="Y453" s="2">
        <v>3225</v>
      </c>
      <c r="Z453" s="2">
        <v>45225</v>
      </c>
      <c r="AA453">
        <v>0</v>
      </c>
      <c r="AB453">
        <v>0</v>
      </c>
      <c r="AC453">
        <v>0</v>
      </c>
      <c r="AD453">
        <v>0</v>
      </c>
      <c r="AE453" s="5">
        <v>45722</v>
      </c>
      <c r="AF453" t="s">
        <v>362</v>
      </c>
      <c r="AG453" t="s">
        <v>4205</v>
      </c>
      <c r="AH453" t="s">
        <v>410</v>
      </c>
    </row>
    <row r="454" spans="1:34" ht="15" customHeight="1" x14ac:dyDescent="0.2">
      <c r="A454" t="s">
        <v>4534</v>
      </c>
      <c r="B454" t="s">
        <v>4473</v>
      </c>
      <c r="C454" s="2">
        <v>45325</v>
      </c>
      <c r="D454" s="5">
        <v>45726</v>
      </c>
      <c r="E454" s="5">
        <v>45726.404166666667</v>
      </c>
      <c r="F454" t="s">
        <v>312</v>
      </c>
      <c r="G454" s="2">
        <v>923218</v>
      </c>
      <c r="H454" t="s">
        <v>119</v>
      </c>
      <c r="I454" t="s">
        <v>120</v>
      </c>
      <c r="J454" t="s">
        <v>47</v>
      </c>
      <c r="K454" s="50">
        <v>854100</v>
      </c>
      <c r="L454" s="50">
        <v>0</v>
      </c>
      <c r="M454" s="50">
        <v>854100</v>
      </c>
      <c r="N454" s="50">
        <v>0</v>
      </c>
      <c r="O454" t="s">
        <v>3589</v>
      </c>
      <c r="P454">
        <v>1074812614</v>
      </c>
      <c r="Q454" t="s">
        <v>3590</v>
      </c>
      <c r="R454" t="s">
        <v>316</v>
      </c>
      <c r="S454" t="s">
        <v>317</v>
      </c>
      <c r="T454" s="2">
        <v>24133360165</v>
      </c>
      <c r="U454" t="s">
        <v>319</v>
      </c>
      <c r="V454">
        <v>860007335</v>
      </c>
      <c r="W454" t="s">
        <v>381</v>
      </c>
      <c r="X454" s="2">
        <v>2325</v>
      </c>
      <c r="Y454" s="2">
        <v>2325</v>
      </c>
      <c r="Z454" s="2">
        <v>45325</v>
      </c>
      <c r="AA454">
        <v>0</v>
      </c>
      <c r="AB454">
        <v>41925</v>
      </c>
      <c r="AC454">
        <v>68529425</v>
      </c>
      <c r="AD454">
        <v>0</v>
      </c>
      <c r="AE454" s="5">
        <v>45726</v>
      </c>
      <c r="AF454" t="s">
        <v>3595</v>
      </c>
      <c r="AG454" t="s">
        <v>3605</v>
      </c>
      <c r="AH454" t="s">
        <v>3606</v>
      </c>
    </row>
    <row r="455" spans="1:34" ht="15" customHeight="1" x14ac:dyDescent="0.2">
      <c r="A455" t="s">
        <v>4535</v>
      </c>
      <c r="B455" t="s">
        <v>4473</v>
      </c>
      <c r="C455" s="2">
        <v>45425</v>
      </c>
      <c r="D455" s="5">
        <v>45726</v>
      </c>
      <c r="E455" s="5">
        <v>45726.40625</v>
      </c>
      <c r="F455" t="s">
        <v>312</v>
      </c>
      <c r="G455" s="2">
        <v>923218</v>
      </c>
      <c r="H455" t="s">
        <v>119</v>
      </c>
      <c r="I455" t="s">
        <v>120</v>
      </c>
      <c r="J455" t="s">
        <v>47</v>
      </c>
      <c r="K455" s="50">
        <v>854100</v>
      </c>
      <c r="L455" s="50">
        <v>0</v>
      </c>
      <c r="M455" s="50">
        <v>854100</v>
      </c>
      <c r="N455" s="50">
        <v>0</v>
      </c>
      <c r="O455" t="s">
        <v>351</v>
      </c>
      <c r="P455">
        <v>79859066</v>
      </c>
      <c r="Q455" t="s">
        <v>3599</v>
      </c>
      <c r="R455" t="s">
        <v>316</v>
      </c>
      <c r="S455" t="s">
        <v>317</v>
      </c>
      <c r="T455" s="2">
        <v>24045319758</v>
      </c>
      <c r="U455" t="s">
        <v>319</v>
      </c>
      <c r="V455">
        <v>860007335</v>
      </c>
      <c r="W455" t="s">
        <v>381</v>
      </c>
      <c r="X455" s="2">
        <v>2325</v>
      </c>
      <c r="Y455" s="2">
        <v>2325</v>
      </c>
      <c r="Z455" s="2">
        <v>45425</v>
      </c>
      <c r="AA455">
        <v>0</v>
      </c>
      <c r="AB455">
        <v>42025</v>
      </c>
      <c r="AC455">
        <v>68529525</v>
      </c>
      <c r="AD455">
        <v>0</v>
      </c>
      <c r="AE455" s="5">
        <v>45726</v>
      </c>
      <c r="AF455" t="s">
        <v>3595</v>
      </c>
      <c r="AG455" t="s">
        <v>3605</v>
      </c>
      <c r="AH455" t="s">
        <v>3606</v>
      </c>
    </row>
    <row r="456" spans="1:34" ht="15" customHeight="1" x14ac:dyDescent="0.2">
      <c r="A456" t="s">
        <v>4536</v>
      </c>
      <c r="B456" t="s">
        <v>4473</v>
      </c>
      <c r="C456" s="2">
        <v>45525</v>
      </c>
      <c r="D456" s="5">
        <v>45726</v>
      </c>
      <c r="E456" s="5">
        <v>45726.408333333333</v>
      </c>
      <c r="F456" t="s">
        <v>312</v>
      </c>
      <c r="G456" s="2">
        <v>923218</v>
      </c>
      <c r="H456" t="s">
        <v>119</v>
      </c>
      <c r="I456" t="s">
        <v>120</v>
      </c>
      <c r="J456" t="s">
        <v>47</v>
      </c>
      <c r="K456" s="50">
        <v>854100</v>
      </c>
      <c r="L456" s="50">
        <v>0</v>
      </c>
      <c r="M456" s="50">
        <v>854100</v>
      </c>
      <c r="N456" s="50">
        <v>0</v>
      </c>
      <c r="O456" t="s">
        <v>351</v>
      </c>
      <c r="P456">
        <v>53009124</v>
      </c>
      <c r="Q456" t="s">
        <v>3611</v>
      </c>
      <c r="R456" t="s">
        <v>316</v>
      </c>
      <c r="S456" t="s">
        <v>317</v>
      </c>
      <c r="T456" s="2">
        <v>488435957631</v>
      </c>
      <c r="U456" t="s">
        <v>319</v>
      </c>
      <c r="V456">
        <v>860034313</v>
      </c>
      <c r="W456" t="s">
        <v>355</v>
      </c>
      <c r="X456" s="2">
        <v>2325</v>
      </c>
      <c r="Y456" s="2">
        <v>2325</v>
      </c>
      <c r="Z456" s="2">
        <v>45525</v>
      </c>
      <c r="AA456">
        <v>0</v>
      </c>
      <c r="AB456">
        <v>42125</v>
      </c>
      <c r="AC456">
        <v>68529625</v>
      </c>
      <c r="AD456">
        <v>0</v>
      </c>
      <c r="AE456" s="5">
        <v>45726</v>
      </c>
      <c r="AF456" t="s">
        <v>3595</v>
      </c>
      <c r="AG456" t="s">
        <v>3605</v>
      </c>
      <c r="AH456" t="s">
        <v>3606</v>
      </c>
    </row>
    <row r="457" spans="1:34" ht="15" customHeight="1" x14ac:dyDescent="0.2">
      <c r="A457" t="s">
        <v>4537</v>
      </c>
      <c r="B457" t="s">
        <v>4473</v>
      </c>
      <c r="C457" s="2">
        <v>45625</v>
      </c>
      <c r="D457" s="5">
        <v>45726</v>
      </c>
      <c r="E457" s="5">
        <v>45726.418055555558</v>
      </c>
      <c r="F457" t="s">
        <v>312</v>
      </c>
      <c r="G457" s="2">
        <v>923218</v>
      </c>
      <c r="H457" t="s">
        <v>119</v>
      </c>
      <c r="I457" t="s">
        <v>120</v>
      </c>
      <c r="J457" t="s">
        <v>47</v>
      </c>
      <c r="K457" s="50">
        <v>854100</v>
      </c>
      <c r="L457" s="50">
        <v>0</v>
      </c>
      <c r="M457" s="50">
        <v>854100</v>
      </c>
      <c r="N457" s="50">
        <v>0</v>
      </c>
      <c r="O457" t="s">
        <v>351</v>
      </c>
      <c r="P457">
        <v>52875741</v>
      </c>
      <c r="Q457" t="s">
        <v>3616</v>
      </c>
      <c r="R457" t="s">
        <v>316</v>
      </c>
      <c r="S457" t="s">
        <v>317</v>
      </c>
      <c r="T457" s="2">
        <v>488446727510</v>
      </c>
      <c r="U457" t="s">
        <v>319</v>
      </c>
      <c r="V457">
        <v>860034313</v>
      </c>
      <c r="W457" t="s">
        <v>355</v>
      </c>
      <c r="X457" s="2">
        <v>2325</v>
      </c>
      <c r="Y457" s="2">
        <v>2325</v>
      </c>
      <c r="Z457" s="2">
        <v>45625</v>
      </c>
      <c r="AA457">
        <v>0</v>
      </c>
      <c r="AB457">
        <v>42225</v>
      </c>
      <c r="AC457">
        <v>68529725</v>
      </c>
      <c r="AD457">
        <v>0</v>
      </c>
      <c r="AE457" s="5">
        <v>45726</v>
      </c>
      <c r="AF457" t="s">
        <v>3595</v>
      </c>
      <c r="AG457" t="s">
        <v>3605</v>
      </c>
      <c r="AH457" t="s">
        <v>3606</v>
      </c>
    </row>
    <row r="458" spans="1:34" ht="15" customHeight="1" x14ac:dyDescent="0.2">
      <c r="A458" t="s">
        <v>4538</v>
      </c>
      <c r="B458" t="s">
        <v>4473</v>
      </c>
      <c r="C458" s="2">
        <v>45725</v>
      </c>
      <c r="D458" s="5">
        <v>45726</v>
      </c>
      <c r="E458" s="5">
        <v>45726.420138888891</v>
      </c>
      <c r="F458" t="s">
        <v>312</v>
      </c>
      <c r="G458" s="2">
        <v>923218</v>
      </c>
      <c r="H458" t="s">
        <v>119</v>
      </c>
      <c r="I458" t="s">
        <v>120</v>
      </c>
      <c r="J458" t="s">
        <v>47</v>
      </c>
      <c r="K458" s="50">
        <v>854100</v>
      </c>
      <c r="L458" s="50">
        <v>0</v>
      </c>
      <c r="M458" s="50">
        <v>854100</v>
      </c>
      <c r="N458" s="50">
        <v>0</v>
      </c>
      <c r="O458" t="s">
        <v>351</v>
      </c>
      <c r="P458">
        <v>39671704</v>
      </c>
      <c r="Q458" t="s">
        <v>3621</v>
      </c>
      <c r="R458" t="s">
        <v>316</v>
      </c>
      <c r="S458" t="s">
        <v>317</v>
      </c>
      <c r="T458" s="2">
        <v>488446692508</v>
      </c>
      <c r="U458" t="s">
        <v>319</v>
      </c>
      <c r="V458">
        <v>860034313</v>
      </c>
      <c r="W458" t="s">
        <v>355</v>
      </c>
      <c r="X458" s="2">
        <v>2325</v>
      </c>
      <c r="Y458" s="2">
        <v>2325</v>
      </c>
      <c r="Z458" s="2">
        <v>45725</v>
      </c>
      <c r="AA458">
        <v>0</v>
      </c>
      <c r="AB458">
        <v>42325</v>
      </c>
      <c r="AC458">
        <v>68529825</v>
      </c>
      <c r="AD458">
        <v>0</v>
      </c>
      <c r="AE458" s="5">
        <v>45726</v>
      </c>
      <c r="AF458" t="s">
        <v>3595</v>
      </c>
      <c r="AG458" t="s">
        <v>3605</v>
      </c>
      <c r="AH458" t="s">
        <v>3606</v>
      </c>
    </row>
    <row r="459" spans="1:34" ht="15" customHeight="1" x14ac:dyDescent="0.2">
      <c r="A459" t="s">
        <v>4539</v>
      </c>
      <c r="B459" t="s">
        <v>4473</v>
      </c>
      <c r="C459" s="2">
        <v>45825</v>
      </c>
      <c r="D459" s="5">
        <v>45726</v>
      </c>
      <c r="E459" s="5">
        <v>45726.422222222223</v>
      </c>
      <c r="F459" t="s">
        <v>312</v>
      </c>
      <c r="G459" s="2">
        <v>923218</v>
      </c>
      <c r="H459" t="s">
        <v>119</v>
      </c>
      <c r="I459" t="s">
        <v>120</v>
      </c>
      <c r="J459" t="s">
        <v>47</v>
      </c>
      <c r="K459" s="50">
        <v>854100</v>
      </c>
      <c r="L459" s="50">
        <v>0</v>
      </c>
      <c r="M459" s="50">
        <v>854100</v>
      </c>
      <c r="N459" s="50">
        <v>0</v>
      </c>
      <c r="O459" t="s">
        <v>351</v>
      </c>
      <c r="P459">
        <v>1072194174</v>
      </c>
      <c r="Q459" t="s">
        <v>3625</v>
      </c>
      <c r="R459" t="s">
        <v>316</v>
      </c>
      <c r="S459" t="s">
        <v>317</v>
      </c>
      <c r="T459" s="2">
        <v>488446692847</v>
      </c>
      <c r="U459" t="s">
        <v>319</v>
      </c>
      <c r="V459">
        <v>860034313</v>
      </c>
      <c r="W459" t="s">
        <v>355</v>
      </c>
      <c r="X459" s="2">
        <v>2325</v>
      </c>
      <c r="Y459" s="2">
        <v>2325</v>
      </c>
      <c r="Z459" s="2">
        <v>45825</v>
      </c>
      <c r="AA459">
        <v>0</v>
      </c>
      <c r="AB459">
        <v>42425</v>
      </c>
      <c r="AC459">
        <v>68529925</v>
      </c>
      <c r="AD459">
        <v>0</v>
      </c>
      <c r="AE459" s="5">
        <v>45726</v>
      </c>
      <c r="AF459" t="s">
        <v>3595</v>
      </c>
      <c r="AG459" t="s">
        <v>3605</v>
      </c>
      <c r="AH459" t="s">
        <v>3606</v>
      </c>
    </row>
    <row r="460" spans="1:34" ht="15" customHeight="1" x14ac:dyDescent="0.2">
      <c r="A460" t="s">
        <v>4540</v>
      </c>
      <c r="B460" t="s">
        <v>4473</v>
      </c>
      <c r="C460" s="2">
        <v>45925</v>
      </c>
      <c r="D460" s="5">
        <v>45726</v>
      </c>
      <c r="E460" s="5">
        <v>45726.431944444441</v>
      </c>
      <c r="F460" t="s">
        <v>312</v>
      </c>
      <c r="G460" s="2">
        <v>923218</v>
      </c>
      <c r="H460" t="s">
        <v>119</v>
      </c>
      <c r="I460" t="s">
        <v>120</v>
      </c>
      <c r="J460" t="s">
        <v>47</v>
      </c>
      <c r="K460" s="50">
        <v>854100</v>
      </c>
      <c r="L460" s="50">
        <v>0</v>
      </c>
      <c r="M460" s="50">
        <v>854100</v>
      </c>
      <c r="N460" s="50">
        <v>0</v>
      </c>
      <c r="O460" t="s">
        <v>351</v>
      </c>
      <c r="P460">
        <v>1020798098</v>
      </c>
      <c r="Q460" t="s">
        <v>3629</v>
      </c>
      <c r="R460" t="s">
        <v>316</v>
      </c>
      <c r="S460" t="s">
        <v>317</v>
      </c>
      <c r="T460" s="2">
        <v>93240918844</v>
      </c>
      <c r="U460" t="s">
        <v>319</v>
      </c>
      <c r="V460">
        <v>890903938</v>
      </c>
      <c r="W460" t="s">
        <v>342</v>
      </c>
      <c r="X460" s="2">
        <v>2325</v>
      </c>
      <c r="Y460" s="2">
        <v>2325</v>
      </c>
      <c r="Z460" s="2">
        <v>45925</v>
      </c>
      <c r="AA460">
        <v>0</v>
      </c>
      <c r="AB460">
        <v>42525</v>
      </c>
      <c r="AC460">
        <v>68530025</v>
      </c>
      <c r="AD460">
        <v>0</v>
      </c>
      <c r="AE460" s="5">
        <v>45726</v>
      </c>
      <c r="AF460" t="s">
        <v>3595</v>
      </c>
      <c r="AG460" t="s">
        <v>3605</v>
      </c>
      <c r="AH460" t="s">
        <v>3606</v>
      </c>
    </row>
    <row r="461" spans="1:34" ht="15" customHeight="1" x14ac:dyDescent="0.2">
      <c r="A461" t="s">
        <v>4541</v>
      </c>
      <c r="B461" t="s">
        <v>4473</v>
      </c>
      <c r="C461" s="2">
        <v>46025</v>
      </c>
      <c r="D461" s="5">
        <v>45726</v>
      </c>
      <c r="E461" s="5">
        <v>45726.434027777781</v>
      </c>
      <c r="F461" t="s">
        <v>312</v>
      </c>
      <c r="G461" s="2">
        <v>923218</v>
      </c>
      <c r="H461" t="s">
        <v>119</v>
      </c>
      <c r="I461" t="s">
        <v>120</v>
      </c>
      <c r="J461" t="s">
        <v>47</v>
      </c>
      <c r="K461" s="50">
        <v>854100</v>
      </c>
      <c r="L461" s="50">
        <v>0</v>
      </c>
      <c r="M461" s="50">
        <v>854100</v>
      </c>
      <c r="N461" s="50">
        <v>0</v>
      </c>
      <c r="O461" t="s">
        <v>351</v>
      </c>
      <c r="P461">
        <v>1024521632</v>
      </c>
      <c r="Q461" t="s">
        <v>3634</v>
      </c>
      <c r="R461" t="s">
        <v>316</v>
      </c>
      <c r="S461" t="s">
        <v>317</v>
      </c>
      <c r="T461" s="2">
        <v>456870025545</v>
      </c>
      <c r="U461" t="s">
        <v>319</v>
      </c>
      <c r="V461">
        <v>860034313</v>
      </c>
      <c r="W461" t="s">
        <v>355</v>
      </c>
      <c r="X461" s="2">
        <v>2325</v>
      </c>
      <c r="Y461" s="2">
        <v>2325</v>
      </c>
      <c r="Z461" s="2">
        <v>46025</v>
      </c>
      <c r="AA461">
        <v>0</v>
      </c>
      <c r="AB461">
        <v>42625</v>
      </c>
      <c r="AC461">
        <v>68530125</v>
      </c>
      <c r="AD461">
        <v>0</v>
      </c>
      <c r="AE461" s="5">
        <v>45726</v>
      </c>
      <c r="AF461" t="s">
        <v>3595</v>
      </c>
      <c r="AG461" t="s">
        <v>3605</v>
      </c>
      <c r="AH461" t="s">
        <v>3606</v>
      </c>
    </row>
    <row r="462" spans="1:34" ht="15" customHeight="1" x14ac:dyDescent="0.2">
      <c r="A462" t="s">
        <v>4542</v>
      </c>
      <c r="B462" t="s">
        <v>4473</v>
      </c>
      <c r="C462" s="2">
        <v>46125</v>
      </c>
      <c r="D462" s="5">
        <v>45726</v>
      </c>
      <c r="E462" s="5">
        <v>45726.443749999999</v>
      </c>
      <c r="F462" t="s">
        <v>312</v>
      </c>
      <c r="G462" s="2">
        <v>923218</v>
      </c>
      <c r="H462" t="s">
        <v>119</v>
      </c>
      <c r="I462" t="s">
        <v>120</v>
      </c>
      <c r="J462" t="s">
        <v>47</v>
      </c>
      <c r="K462" s="50">
        <v>854100</v>
      </c>
      <c r="L462" s="50">
        <v>0</v>
      </c>
      <c r="M462" s="50">
        <v>854100</v>
      </c>
      <c r="N462" s="50">
        <v>0</v>
      </c>
      <c r="O462" t="s">
        <v>351</v>
      </c>
      <c r="P462">
        <v>40770881</v>
      </c>
      <c r="Q462" t="s">
        <v>3639</v>
      </c>
      <c r="R462" t="s">
        <v>316</v>
      </c>
      <c r="S462" t="s">
        <v>317</v>
      </c>
      <c r="T462" s="2">
        <v>87070415463</v>
      </c>
      <c r="U462" t="s">
        <v>319</v>
      </c>
      <c r="V462">
        <v>890903938</v>
      </c>
      <c r="W462" t="s">
        <v>342</v>
      </c>
      <c r="X462" s="2">
        <v>2325</v>
      </c>
      <c r="Y462" s="2">
        <v>2325</v>
      </c>
      <c r="Z462" s="2">
        <v>46125</v>
      </c>
      <c r="AA462">
        <v>0</v>
      </c>
      <c r="AB462">
        <v>42725</v>
      </c>
      <c r="AC462">
        <v>68530225</v>
      </c>
      <c r="AD462">
        <v>0</v>
      </c>
      <c r="AE462" s="5">
        <v>45726</v>
      </c>
      <c r="AF462" t="s">
        <v>3595</v>
      </c>
      <c r="AG462" t="s">
        <v>3605</v>
      </c>
      <c r="AH462" t="s">
        <v>3606</v>
      </c>
    </row>
    <row r="463" spans="1:34" ht="15" customHeight="1" x14ac:dyDescent="0.2">
      <c r="A463" t="s">
        <v>4543</v>
      </c>
      <c r="B463" t="s">
        <v>4473</v>
      </c>
      <c r="C463" s="2">
        <v>46225</v>
      </c>
      <c r="D463" s="5">
        <v>45726</v>
      </c>
      <c r="E463" s="5">
        <v>45726.445138888892</v>
      </c>
      <c r="F463" t="s">
        <v>312</v>
      </c>
      <c r="G463" s="2">
        <v>923218</v>
      </c>
      <c r="H463" t="s">
        <v>119</v>
      </c>
      <c r="I463" t="s">
        <v>120</v>
      </c>
      <c r="J463" t="s">
        <v>47</v>
      </c>
      <c r="K463" s="50">
        <v>854100</v>
      </c>
      <c r="L463" s="50">
        <v>0</v>
      </c>
      <c r="M463" s="50">
        <v>854100</v>
      </c>
      <c r="N463" s="50">
        <v>0</v>
      </c>
      <c r="O463" t="s">
        <v>351</v>
      </c>
      <c r="P463">
        <v>51720650</v>
      </c>
      <c r="Q463" t="s">
        <v>3644</v>
      </c>
      <c r="R463" t="s">
        <v>316</v>
      </c>
      <c r="S463" t="s">
        <v>317</v>
      </c>
      <c r="T463" s="2">
        <v>488446692177</v>
      </c>
      <c r="U463" t="s">
        <v>319</v>
      </c>
      <c r="V463">
        <v>860034313</v>
      </c>
      <c r="W463" t="s">
        <v>355</v>
      </c>
      <c r="X463" s="2">
        <v>2325</v>
      </c>
      <c r="Y463" s="2">
        <v>2325</v>
      </c>
      <c r="Z463" s="2">
        <v>46225</v>
      </c>
      <c r="AA463">
        <v>0</v>
      </c>
      <c r="AB463">
        <v>42825</v>
      </c>
      <c r="AC463">
        <v>68530325</v>
      </c>
      <c r="AD463">
        <v>0</v>
      </c>
      <c r="AE463" s="5">
        <v>45726</v>
      </c>
      <c r="AF463" t="s">
        <v>3595</v>
      </c>
      <c r="AG463" t="s">
        <v>3605</v>
      </c>
      <c r="AH463" t="s">
        <v>3606</v>
      </c>
    </row>
    <row r="464" spans="1:34" ht="15" customHeight="1" x14ac:dyDescent="0.2">
      <c r="A464" t="s">
        <v>4544</v>
      </c>
      <c r="B464" t="s">
        <v>4473</v>
      </c>
      <c r="C464" s="2">
        <v>46325</v>
      </c>
      <c r="D464" s="5">
        <v>45726</v>
      </c>
      <c r="E464" s="5">
        <v>45726.447222222225</v>
      </c>
      <c r="F464" t="s">
        <v>312</v>
      </c>
      <c r="G464" s="2">
        <v>923218</v>
      </c>
      <c r="H464" t="s">
        <v>119</v>
      </c>
      <c r="I464" t="s">
        <v>120</v>
      </c>
      <c r="J464" t="s">
        <v>47</v>
      </c>
      <c r="K464" s="50">
        <v>854100</v>
      </c>
      <c r="L464" s="50">
        <v>0</v>
      </c>
      <c r="M464" s="50">
        <v>854100</v>
      </c>
      <c r="N464" s="50">
        <v>0</v>
      </c>
      <c r="O464" t="s">
        <v>3589</v>
      </c>
      <c r="P464">
        <v>1072190235</v>
      </c>
      <c r="Q464" t="s">
        <v>3649</v>
      </c>
      <c r="R464" t="s">
        <v>316</v>
      </c>
      <c r="S464" t="s">
        <v>317</v>
      </c>
      <c r="T464" s="2">
        <v>94570418364</v>
      </c>
      <c r="U464" t="s">
        <v>319</v>
      </c>
      <c r="V464">
        <v>890903938</v>
      </c>
      <c r="W464" t="s">
        <v>342</v>
      </c>
      <c r="X464" s="2">
        <v>2325</v>
      </c>
      <c r="Y464" s="2">
        <v>2325</v>
      </c>
      <c r="Z464" s="2">
        <v>46325</v>
      </c>
      <c r="AA464">
        <v>0</v>
      </c>
      <c r="AB464">
        <v>42925</v>
      </c>
      <c r="AC464">
        <v>68530425</v>
      </c>
      <c r="AD464">
        <v>0</v>
      </c>
      <c r="AE464" s="5">
        <v>45726</v>
      </c>
      <c r="AF464" t="s">
        <v>3595</v>
      </c>
      <c r="AG464" t="s">
        <v>3605</v>
      </c>
      <c r="AH464" t="s">
        <v>3606</v>
      </c>
    </row>
    <row r="465" spans="1:34" ht="15" customHeight="1" x14ac:dyDescent="0.2">
      <c r="A465" t="s">
        <v>4545</v>
      </c>
      <c r="B465" t="s">
        <v>4473</v>
      </c>
      <c r="C465" s="2">
        <v>46425</v>
      </c>
      <c r="D465" s="5">
        <v>45726</v>
      </c>
      <c r="E465" s="5">
        <v>45726.448611111111</v>
      </c>
      <c r="F465" t="s">
        <v>312</v>
      </c>
      <c r="G465" s="2">
        <v>923218</v>
      </c>
      <c r="H465" t="s">
        <v>119</v>
      </c>
      <c r="I465" t="s">
        <v>120</v>
      </c>
      <c r="J465" t="s">
        <v>47</v>
      </c>
      <c r="K465" s="50">
        <v>854100</v>
      </c>
      <c r="L465" s="50">
        <v>0</v>
      </c>
      <c r="M465" s="50">
        <v>854100</v>
      </c>
      <c r="N465" s="50">
        <v>0</v>
      </c>
      <c r="O465" t="s">
        <v>351</v>
      </c>
      <c r="P465">
        <v>53041854</v>
      </c>
      <c r="Q465" t="s">
        <v>3654</v>
      </c>
      <c r="R465" t="s">
        <v>316</v>
      </c>
      <c r="S465" t="s">
        <v>317</v>
      </c>
      <c r="T465" s="2">
        <v>8200708934</v>
      </c>
      <c r="U465" t="s">
        <v>319</v>
      </c>
      <c r="V465">
        <v>860034313</v>
      </c>
      <c r="W465" t="s">
        <v>355</v>
      </c>
      <c r="X465" s="2">
        <v>2325</v>
      </c>
      <c r="Y465" s="2">
        <v>2325</v>
      </c>
      <c r="Z465" s="2">
        <v>46425</v>
      </c>
      <c r="AA465">
        <v>0</v>
      </c>
      <c r="AB465">
        <v>43025</v>
      </c>
      <c r="AC465">
        <v>68530525</v>
      </c>
      <c r="AD465">
        <v>0</v>
      </c>
      <c r="AE465" s="5">
        <v>45726</v>
      </c>
      <c r="AF465" t="s">
        <v>3595</v>
      </c>
      <c r="AG465" t="s">
        <v>3605</v>
      </c>
      <c r="AH465" t="s">
        <v>3606</v>
      </c>
    </row>
    <row r="466" spans="1:34" ht="15" customHeight="1" x14ac:dyDescent="0.2">
      <c r="A466" t="s">
        <v>4546</v>
      </c>
      <c r="B466" t="s">
        <v>4473</v>
      </c>
      <c r="C466" s="2">
        <v>46525</v>
      </c>
      <c r="D466" s="5">
        <v>45726</v>
      </c>
      <c r="E466" s="5">
        <v>45726.53125</v>
      </c>
      <c r="F466" t="s">
        <v>312</v>
      </c>
      <c r="G466" s="2">
        <v>923218</v>
      </c>
      <c r="H466" t="s">
        <v>119</v>
      </c>
      <c r="I466" t="s">
        <v>120</v>
      </c>
      <c r="J466" t="s">
        <v>47</v>
      </c>
      <c r="K466" s="50">
        <v>854100</v>
      </c>
      <c r="L466" s="50">
        <v>0</v>
      </c>
      <c r="M466" s="50">
        <v>854100</v>
      </c>
      <c r="N466" s="50">
        <v>0</v>
      </c>
      <c r="O466" t="s">
        <v>351</v>
      </c>
      <c r="P466">
        <v>79757881</v>
      </c>
      <c r="Q466" t="s">
        <v>3659</v>
      </c>
      <c r="R466" t="s">
        <v>316</v>
      </c>
      <c r="S466" t="s">
        <v>317</v>
      </c>
      <c r="T466" s="2">
        <v>488446694660</v>
      </c>
      <c r="U466" t="s">
        <v>319</v>
      </c>
      <c r="V466">
        <v>860034313</v>
      </c>
      <c r="W466" t="s">
        <v>355</v>
      </c>
      <c r="X466" s="2">
        <v>2325</v>
      </c>
      <c r="Y466" s="2">
        <v>2325</v>
      </c>
      <c r="Z466" s="2">
        <v>46525</v>
      </c>
      <c r="AA466">
        <v>0</v>
      </c>
      <c r="AB466">
        <v>43125</v>
      </c>
      <c r="AC466">
        <v>68530625</v>
      </c>
      <c r="AD466">
        <v>0</v>
      </c>
      <c r="AE466" s="5">
        <v>45726</v>
      </c>
      <c r="AF466" t="s">
        <v>3595</v>
      </c>
      <c r="AG466" t="s">
        <v>3605</v>
      </c>
      <c r="AH466" t="s">
        <v>3606</v>
      </c>
    </row>
    <row r="467" spans="1:34" ht="15" customHeight="1" x14ac:dyDescent="0.2">
      <c r="A467" t="s">
        <v>4547</v>
      </c>
      <c r="B467" t="s">
        <v>4473</v>
      </c>
      <c r="C467" s="2">
        <v>46625</v>
      </c>
      <c r="D467" s="5">
        <v>45726</v>
      </c>
      <c r="E467" s="5">
        <v>45726.534722222219</v>
      </c>
      <c r="F467" t="s">
        <v>312</v>
      </c>
      <c r="G467" s="2">
        <v>923218</v>
      </c>
      <c r="H467" t="s">
        <v>119</v>
      </c>
      <c r="I467" t="s">
        <v>120</v>
      </c>
      <c r="J467" t="s">
        <v>47</v>
      </c>
      <c r="K467" s="50">
        <v>854100</v>
      </c>
      <c r="L467" s="50">
        <v>0</v>
      </c>
      <c r="M467" s="50">
        <v>854100</v>
      </c>
      <c r="N467" s="50">
        <v>0</v>
      </c>
      <c r="O467" t="s">
        <v>351</v>
      </c>
      <c r="P467">
        <v>1007664842</v>
      </c>
      <c r="Q467" t="s">
        <v>3664</v>
      </c>
      <c r="R467" t="s">
        <v>316</v>
      </c>
      <c r="S467" t="s">
        <v>317</v>
      </c>
      <c r="T467" s="2">
        <v>488446692748</v>
      </c>
      <c r="U467" t="s">
        <v>319</v>
      </c>
      <c r="V467">
        <v>860034313</v>
      </c>
      <c r="W467" t="s">
        <v>355</v>
      </c>
      <c r="X467" s="2">
        <v>2325</v>
      </c>
      <c r="Y467" s="2">
        <v>2325</v>
      </c>
      <c r="Z467" s="2">
        <v>46625</v>
      </c>
      <c r="AA467">
        <v>0</v>
      </c>
      <c r="AB467">
        <v>43225</v>
      </c>
      <c r="AC467">
        <v>68530725</v>
      </c>
      <c r="AD467">
        <v>0</v>
      </c>
      <c r="AE467" s="5">
        <v>45726</v>
      </c>
      <c r="AF467" t="s">
        <v>3595</v>
      </c>
      <c r="AG467" t="s">
        <v>3605</v>
      </c>
      <c r="AH467" t="s">
        <v>3606</v>
      </c>
    </row>
    <row r="468" spans="1:34" ht="15" customHeight="1" x14ac:dyDescent="0.2">
      <c r="A468" t="s">
        <v>4548</v>
      </c>
      <c r="B468" t="s">
        <v>4473</v>
      </c>
      <c r="C468" s="2">
        <v>46725</v>
      </c>
      <c r="D468" s="5">
        <v>45726</v>
      </c>
      <c r="E468" s="5">
        <v>45726.538888888892</v>
      </c>
      <c r="F468" t="s">
        <v>312</v>
      </c>
      <c r="G468" s="2">
        <v>923218</v>
      </c>
      <c r="H468" t="s">
        <v>119</v>
      </c>
      <c r="I468" t="s">
        <v>120</v>
      </c>
      <c r="J468" t="s">
        <v>47</v>
      </c>
      <c r="K468" s="50">
        <v>854100</v>
      </c>
      <c r="L468" s="50">
        <v>0</v>
      </c>
      <c r="M468" s="50">
        <v>854100</v>
      </c>
      <c r="N468" s="50">
        <v>0</v>
      </c>
      <c r="O468" t="s">
        <v>351</v>
      </c>
      <c r="P468">
        <v>1003642581</v>
      </c>
      <c r="Q468" t="s">
        <v>3669</v>
      </c>
      <c r="R468" t="s">
        <v>316</v>
      </c>
      <c r="S468" t="s">
        <v>317</v>
      </c>
      <c r="T468" s="2">
        <v>488435591521</v>
      </c>
      <c r="U468" t="s">
        <v>319</v>
      </c>
      <c r="V468">
        <v>860034313</v>
      </c>
      <c r="W468" t="s">
        <v>355</v>
      </c>
      <c r="X468" s="2">
        <v>2325</v>
      </c>
      <c r="Y468" s="2">
        <v>2325</v>
      </c>
      <c r="Z468" s="2">
        <v>46725</v>
      </c>
      <c r="AA468">
        <v>0</v>
      </c>
      <c r="AB468">
        <v>43325</v>
      </c>
      <c r="AC468">
        <v>68530825</v>
      </c>
      <c r="AD468">
        <v>0</v>
      </c>
      <c r="AE468" s="5">
        <v>45726</v>
      </c>
      <c r="AF468" t="s">
        <v>3595</v>
      </c>
      <c r="AG468" t="s">
        <v>3605</v>
      </c>
      <c r="AH468" t="s">
        <v>3606</v>
      </c>
    </row>
    <row r="469" spans="1:34" ht="15" customHeight="1" x14ac:dyDescent="0.2">
      <c r="A469" t="s">
        <v>4549</v>
      </c>
      <c r="B469" t="s">
        <v>4473</v>
      </c>
      <c r="C469" s="2">
        <v>46825</v>
      </c>
      <c r="D469" s="5">
        <v>45726</v>
      </c>
      <c r="E469" s="5">
        <v>45726.540972222225</v>
      </c>
      <c r="F469" t="s">
        <v>312</v>
      </c>
      <c r="G469" s="2">
        <v>923218</v>
      </c>
      <c r="H469" t="s">
        <v>119</v>
      </c>
      <c r="I469" t="s">
        <v>120</v>
      </c>
      <c r="J469" t="s">
        <v>47</v>
      </c>
      <c r="K469" s="50">
        <v>854100</v>
      </c>
      <c r="L469" s="50">
        <v>0</v>
      </c>
      <c r="M469" s="50">
        <v>854100</v>
      </c>
      <c r="N469" s="50">
        <v>0</v>
      </c>
      <c r="O469" t="s">
        <v>351</v>
      </c>
      <c r="P469">
        <v>53891808</v>
      </c>
      <c r="Q469" t="s">
        <v>3674</v>
      </c>
      <c r="R469" t="s">
        <v>316</v>
      </c>
      <c r="S469" t="s">
        <v>317</v>
      </c>
      <c r="T469" s="2">
        <v>94500001668</v>
      </c>
      <c r="U469" t="s">
        <v>319</v>
      </c>
      <c r="V469">
        <v>890903938</v>
      </c>
      <c r="W469" t="s">
        <v>342</v>
      </c>
      <c r="X469" s="2">
        <v>2325</v>
      </c>
      <c r="Y469" s="2">
        <v>2325</v>
      </c>
      <c r="Z469" s="2">
        <v>46825</v>
      </c>
      <c r="AA469">
        <v>0</v>
      </c>
      <c r="AB469">
        <v>43425</v>
      </c>
      <c r="AC469">
        <v>68530925</v>
      </c>
      <c r="AD469">
        <v>0</v>
      </c>
      <c r="AE469" s="5">
        <v>45726</v>
      </c>
      <c r="AF469" t="s">
        <v>3595</v>
      </c>
      <c r="AG469" t="s">
        <v>3605</v>
      </c>
      <c r="AH469" t="s">
        <v>3606</v>
      </c>
    </row>
    <row r="470" spans="1:34" ht="15" customHeight="1" x14ac:dyDescent="0.2">
      <c r="A470" t="s">
        <v>4550</v>
      </c>
      <c r="B470" t="s">
        <v>4473</v>
      </c>
      <c r="C470" s="2">
        <v>46925</v>
      </c>
      <c r="D470" s="5">
        <v>45726</v>
      </c>
      <c r="E470" s="5">
        <v>45726.543055555558</v>
      </c>
      <c r="F470" t="s">
        <v>312</v>
      </c>
      <c r="G470" s="2">
        <v>923218</v>
      </c>
      <c r="H470" t="s">
        <v>119</v>
      </c>
      <c r="I470" t="s">
        <v>120</v>
      </c>
      <c r="J470" t="s">
        <v>47</v>
      </c>
      <c r="K470" s="50">
        <v>854100</v>
      </c>
      <c r="L470" s="50">
        <v>0</v>
      </c>
      <c r="M470" s="50">
        <v>854100</v>
      </c>
      <c r="N470" s="50">
        <v>0</v>
      </c>
      <c r="O470" t="s">
        <v>351</v>
      </c>
      <c r="P470">
        <v>1013681696</v>
      </c>
      <c r="Q470" t="s">
        <v>3679</v>
      </c>
      <c r="R470" t="s">
        <v>316</v>
      </c>
      <c r="S470" t="s">
        <v>317</v>
      </c>
      <c r="T470" s="2">
        <v>87047468935</v>
      </c>
      <c r="U470" t="s">
        <v>319</v>
      </c>
      <c r="V470">
        <v>890903938</v>
      </c>
      <c r="W470" t="s">
        <v>342</v>
      </c>
      <c r="X470" s="2">
        <v>2325</v>
      </c>
      <c r="Y470" s="2">
        <v>2325</v>
      </c>
      <c r="Z470" s="2">
        <v>46925</v>
      </c>
      <c r="AA470">
        <v>0</v>
      </c>
      <c r="AB470">
        <v>43525</v>
      </c>
      <c r="AC470">
        <v>68531025</v>
      </c>
      <c r="AD470">
        <v>0</v>
      </c>
      <c r="AE470" s="5">
        <v>45726</v>
      </c>
      <c r="AF470" t="s">
        <v>3595</v>
      </c>
      <c r="AG470" t="s">
        <v>3605</v>
      </c>
      <c r="AH470" t="s">
        <v>3606</v>
      </c>
    </row>
    <row r="471" spans="1:34" ht="15" customHeight="1" x14ac:dyDescent="0.2">
      <c r="A471" t="s">
        <v>4551</v>
      </c>
      <c r="B471" t="s">
        <v>4473</v>
      </c>
      <c r="C471" s="2">
        <v>47025</v>
      </c>
      <c r="D471" s="5">
        <v>45726</v>
      </c>
      <c r="E471" s="5">
        <v>45726.545138888891</v>
      </c>
      <c r="F471" t="s">
        <v>312</v>
      </c>
      <c r="G471" s="2">
        <v>923218</v>
      </c>
      <c r="H471" t="s">
        <v>119</v>
      </c>
      <c r="I471" t="s">
        <v>120</v>
      </c>
      <c r="J471" t="s">
        <v>47</v>
      </c>
      <c r="K471" s="50">
        <v>854100</v>
      </c>
      <c r="L471" s="50">
        <v>0</v>
      </c>
      <c r="M471" s="50">
        <v>854100</v>
      </c>
      <c r="N471" s="50">
        <v>0</v>
      </c>
      <c r="O471" t="s">
        <v>351</v>
      </c>
      <c r="P471">
        <v>39725500</v>
      </c>
      <c r="Q471" t="s">
        <v>3684</v>
      </c>
      <c r="R471" t="s">
        <v>316</v>
      </c>
      <c r="S471" t="s">
        <v>317</v>
      </c>
      <c r="T471" s="2">
        <v>4623752599</v>
      </c>
      <c r="U471" t="s">
        <v>319</v>
      </c>
      <c r="V471">
        <v>890903938</v>
      </c>
      <c r="W471" t="s">
        <v>342</v>
      </c>
      <c r="X471" s="2">
        <v>2325</v>
      </c>
      <c r="Y471" s="2">
        <v>2325</v>
      </c>
      <c r="Z471" s="2">
        <v>47025</v>
      </c>
      <c r="AA471">
        <v>0</v>
      </c>
      <c r="AB471">
        <v>43625</v>
      </c>
      <c r="AC471">
        <v>68531125</v>
      </c>
      <c r="AD471">
        <v>0</v>
      </c>
      <c r="AE471" s="5">
        <v>45726</v>
      </c>
      <c r="AF471" t="s">
        <v>3595</v>
      </c>
      <c r="AG471" t="s">
        <v>3605</v>
      </c>
      <c r="AH471" t="s">
        <v>3606</v>
      </c>
    </row>
    <row r="472" spans="1:34" ht="15" customHeight="1" x14ac:dyDescent="0.2">
      <c r="A472" t="s">
        <v>4552</v>
      </c>
      <c r="B472" t="s">
        <v>4473</v>
      </c>
      <c r="C472" s="2">
        <v>47125</v>
      </c>
      <c r="D472" s="5">
        <v>45726</v>
      </c>
      <c r="E472" s="5">
        <v>45726.546527777777</v>
      </c>
      <c r="F472" t="s">
        <v>312</v>
      </c>
      <c r="G472" s="2">
        <v>923218</v>
      </c>
      <c r="H472" t="s">
        <v>119</v>
      </c>
      <c r="I472" t="s">
        <v>120</v>
      </c>
      <c r="J472" t="s">
        <v>47</v>
      </c>
      <c r="K472" s="50">
        <v>854100</v>
      </c>
      <c r="L472" s="50">
        <v>0</v>
      </c>
      <c r="M472" s="50">
        <v>854100</v>
      </c>
      <c r="N472" s="50">
        <v>0</v>
      </c>
      <c r="O472" t="s">
        <v>351</v>
      </c>
      <c r="P472">
        <v>52527470</v>
      </c>
      <c r="Q472" t="s">
        <v>3689</v>
      </c>
      <c r="R472" t="s">
        <v>316</v>
      </c>
      <c r="S472" t="s">
        <v>317</v>
      </c>
      <c r="T472" s="2">
        <v>87044310746</v>
      </c>
      <c r="U472" t="s">
        <v>319</v>
      </c>
      <c r="V472">
        <v>890903938</v>
      </c>
      <c r="W472" t="s">
        <v>342</v>
      </c>
      <c r="X472" s="2">
        <v>2325</v>
      </c>
      <c r="Y472" s="2">
        <v>2325</v>
      </c>
      <c r="Z472" s="2">
        <v>47125</v>
      </c>
      <c r="AA472">
        <v>0</v>
      </c>
      <c r="AB472">
        <v>43725</v>
      </c>
      <c r="AC472">
        <v>68531225</v>
      </c>
      <c r="AD472">
        <v>0</v>
      </c>
      <c r="AE472" s="5">
        <v>45726</v>
      </c>
      <c r="AF472" t="s">
        <v>3595</v>
      </c>
      <c r="AG472" t="s">
        <v>3605</v>
      </c>
      <c r="AH472" t="s">
        <v>3606</v>
      </c>
    </row>
    <row r="473" spans="1:34" ht="15" customHeight="1" x14ac:dyDescent="0.2">
      <c r="A473" t="s">
        <v>4553</v>
      </c>
      <c r="B473" t="s">
        <v>4473</v>
      </c>
      <c r="C473" s="2">
        <v>47225</v>
      </c>
      <c r="D473" s="5">
        <v>45726</v>
      </c>
      <c r="E473" s="5">
        <v>45726.548611111109</v>
      </c>
      <c r="F473" t="s">
        <v>312</v>
      </c>
      <c r="G473" s="2">
        <v>923218</v>
      </c>
      <c r="H473" t="s">
        <v>119</v>
      </c>
      <c r="I473" t="s">
        <v>120</v>
      </c>
      <c r="J473" t="s">
        <v>47</v>
      </c>
      <c r="K473" s="50">
        <v>854100</v>
      </c>
      <c r="L473" s="50">
        <v>0</v>
      </c>
      <c r="M473" s="50">
        <v>854100</v>
      </c>
      <c r="N473" s="50">
        <v>0</v>
      </c>
      <c r="O473" t="s">
        <v>351</v>
      </c>
      <c r="P473">
        <v>1024514769</v>
      </c>
      <c r="Q473" t="s">
        <v>3694</v>
      </c>
      <c r="R473" t="s">
        <v>316</v>
      </c>
      <c r="S473" t="s">
        <v>317</v>
      </c>
      <c r="T473" s="2">
        <v>488446692235</v>
      </c>
      <c r="U473" t="s">
        <v>319</v>
      </c>
      <c r="V473">
        <v>860034313</v>
      </c>
      <c r="W473" t="s">
        <v>355</v>
      </c>
      <c r="X473" s="2">
        <v>2325</v>
      </c>
      <c r="Y473" s="2">
        <v>2325</v>
      </c>
      <c r="Z473" s="2">
        <v>47225</v>
      </c>
      <c r="AA473">
        <v>0</v>
      </c>
      <c r="AB473">
        <v>43825</v>
      </c>
      <c r="AC473">
        <v>68531325</v>
      </c>
      <c r="AD473">
        <v>0</v>
      </c>
      <c r="AE473" s="5">
        <v>45726</v>
      </c>
      <c r="AF473" t="s">
        <v>3595</v>
      </c>
      <c r="AG473" t="s">
        <v>3605</v>
      </c>
      <c r="AH473" t="s">
        <v>3606</v>
      </c>
    </row>
    <row r="474" spans="1:34" ht="15" customHeight="1" x14ac:dyDescent="0.2">
      <c r="A474" t="s">
        <v>4554</v>
      </c>
      <c r="B474" t="s">
        <v>4473</v>
      </c>
      <c r="C474" s="2">
        <v>47325</v>
      </c>
      <c r="D474" s="5">
        <v>45726</v>
      </c>
      <c r="E474" s="5">
        <v>45726.55</v>
      </c>
      <c r="F474" t="s">
        <v>312</v>
      </c>
      <c r="G474" s="2">
        <v>923218</v>
      </c>
      <c r="H474" t="s">
        <v>119</v>
      </c>
      <c r="I474" t="s">
        <v>120</v>
      </c>
      <c r="J474" t="s">
        <v>47</v>
      </c>
      <c r="K474" s="50">
        <v>854100</v>
      </c>
      <c r="L474" s="50">
        <v>0</v>
      </c>
      <c r="M474" s="50">
        <v>854100</v>
      </c>
      <c r="N474" s="50">
        <v>0</v>
      </c>
      <c r="O474" t="s">
        <v>351</v>
      </c>
      <c r="P474">
        <v>3179291</v>
      </c>
      <c r="Q474" t="s">
        <v>3699</v>
      </c>
      <c r="R474" t="s">
        <v>316</v>
      </c>
      <c r="S474" t="s">
        <v>317</v>
      </c>
      <c r="T474" s="2">
        <v>87061839982</v>
      </c>
      <c r="U474" t="s">
        <v>319</v>
      </c>
      <c r="V474">
        <v>890903938</v>
      </c>
      <c r="W474" t="s">
        <v>342</v>
      </c>
      <c r="X474" s="2">
        <v>2325</v>
      </c>
      <c r="Y474" s="2">
        <v>2325</v>
      </c>
      <c r="Z474" s="2">
        <v>47325</v>
      </c>
      <c r="AA474">
        <v>0</v>
      </c>
      <c r="AB474">
        <v>43925</v>
      </c>
      <c r="AC474">
        <v>68531425</v>
      </c>
      <c r="AD474">
        <v>0</v>
      </c>
      <c r="AE474" s="5">
        <v>45726</v>
      </c>
      <c r="AF474" t="s">
        <v>3595</v>
      </c>
      <c r="AG474" t="s">
        <v>3605</v>
      </c>
      <c r="AH474" t="s">
        <v>3606</v>
      </c>
    </row>
    <row r="475" spans="1:34" ht="15" customHeight="1" x14ac:dyDescent="0.2">
      <c r="A475" t="s">
        <v>4555</v>
      </c>
      <c r="B475" t="s">
        <v>4473</v>
      </c>
      <c r="C475" s="2">
        <v>47425</v>
      </c>
      <c r="D475" s="5">
        <v>45726</v>
      </c>
      <c r="E475" s="5">
        <v>45726.551388888889</v>
      </c>
      <c r="F475" t="s">
        <v>312</v>
      </c>
      <c r="G475" s="2">
        <v>923218</v>
      </c>
      <c r="H475" t="s">
        <v>119</v>
      </c>
      <c r="I475" t="s">
        <v>120</v>
      </c>
      <c r="J475" t="s">
        <v>47</v>
      </c>
      <c r="K475" s="50">
        <v>854100</v>
      </c>
      <c r="L475" s="50">
        <v>0</v>
      </c>
      <c r="M475" s="50">
        <v>854100</v>
      </c>
      <c r="N475" s="50">
        <v>0</v>
      </c>
      <c r="O475" t="s">
        <v>351</v>
      </c>
      <c r="P475">
        <v>1007388734</v>
      </c>
      <c r="Q475" t="s">
        <v>3704</v>
      </c>
      <c r="R475" t="s">
        <v>316</v>
      </c>
      <c r="S475" t="s">
        <v>317</v>
      </c>
      <c r="T475" s="2">
        <v>545869484</v>
      </c>
      <c r="U475" t="s">
        <v>319</v>
      </c>
      <c r="V475">
        <v>860035827</v>
      </c>
      <c r="W475" t="s">
        <v>653</v>
      </c>
      <c r="X475" s="2">
        <v>2325</v>
      </c>
      <c r="Y475" s="2">
        <v>2325</v>
      </c>
      <c r="Z475" s="2">
        <v>47425</v>
      </c>
      <c r="AA475">
        <v>0</v>
      </c>
      <c r="AB475">
        <v>44025</v>
      </c>
      <c r="AC475">
        <v>68531525</v>
      </c>
      <c r="AD475">
        <v>0</v>
      </c>
      <c r="AE475" s="5">
        <v>45726</v>
      </c>
      <c r="AF475" t="s">
        <v>3595</v>
      </c>
      <c r="AG475" t="s">
        <v>3605</v>
      </c>
      <c r="AH475" t="s">
        <v>3606</v>
      </c>
    </row>
    <row r="476" spans="1:34" ht="15" customHeight="1" x14ac:dyDescent="0.2">
      <c r="A476" t="s">
        <v>4556</v>
      </c>
      <c r="B476" t="s">
        <v>4473</v>
      </c>
      <c r="C476" s="2">
        <v>47525</v>
      </c>
      <c r="D476" s="5">
        <v>45726</v>
      </c>
      <c r="E476" s="5">
        <v>45726.553472222222</v>
      </c>
      <c r="F476" t="s">
        <v>312</v>
      </c>
      <c r="G476" s="2">
        <v>923218</v>
      </c>
      <c r="H476" t="s">
        <v>119</v>
      </c>
      <c r="I476" t="s">
        <v>120</v>
      </c>
      <c r="J476" t="s">
        <v>47</v>
      </c>
      <c r="K476" s="50">
        <v>854100</v>
      </c>
      <c r="L476" s="50">
        <v>0</v>
      </c>
      <c r="M476" s="50">
        <v>854100</v>
      </c>
      <c r="N476" s="50">
        <v>0</v>
      </c>
      <c r="O476" t="s">
        <v>351</v>
      </c>
      <c r="P476">
        <v>1072188338</v>
      </c>
      <c r="Q476" t="s">
        <v>3709</v>
      </c>
      <c r="R476" t="s">
        <v>316</v>
      </c>
      <c r="S476" t="s">
        <v>317</v>
      </c>
      <c r="T476" s="2">
        <v>466600055076</v>
      </c>
      <c r="U476" t="s">
        <v>319</v>
      </c>
      <c r="V476">
        <v>860034313</v>
      </c>
      <c r="W476" t="s">
        <v>355</v>
      </c>
      <c r="X476" s="2">
        <v>2325</v>
      </c>
      <c r="Y476" s="2">
        <v>2325</v>
      </c>
      <c r="Z476" s="2">
        <v>47525</v>
      </c>
      <c r="AA476">
        <v>0</v>
      </c>
      <c r="AB476">
        <v>44125</v>
      </c>
      <c r="AC476">
        <v>68531625</v>
      </c>
      <c r="AD476">
        <v>0</v>
      </c>
      <c r="AE476" s="5">
        <v>45726</v>
      </c>
      <c r="AF476" t="s">
        <v>3595</v>
      </c>
      <c r="AG476" t="s">
        <v>3605</v>
      </c>
      <c r="AH476" t="s">
        <v>3606</v>
      </c>
    </row>
    <row r="477" spans="1:34" ht="15" customHeight="1" x14ac:dyDescent="0.2">
      <c r="A477" t="s">
        <v>4557</v>
      </c>
      <c r="B477" t="s">
        <v>4473</v>
      </c>
      <c r="C477" s="2">
        <v>47625</v>
      </c>
      <c r="D477" s="5">
        <v>45726</v>
      </c>
      <c r="E477" s="5">
        <v>45726.555555555555</v>
      </c>
      <c r="F477" t="s">
        <v>312</v>
      </c>
      <c r="G477" s="2">
        <v>923218</v>
      </c>
      <c r="H477" t="s">
        <v>119</v>
      </c>
      <c r="I477" t="s">
        <v>120</v>
      </c>
      <c r="J477" t="s">
        <v>47</v>
      </c>
      <c r="K477" s="50">
        <v>854100</v>
      </c>
      <c r="L477" s="50">
        <v>0</v>
      </c>
      <c r="M477" s="50">
        <v>854100</v>
      </c>
      <c r="N477" s="50">
        <v>0</v>
      </c>
      <c r="O477" t="s">
        <v>3714</v>
      </c>
      <c r="P477">
        <v>5935943</v>
      </c>
      <c r="Q477" t="s">
        <v>3715</v>
      </c>
      <c r="R477" t="s">
        <v>316</v>
      </c>
      <c r="S477" t="s">
        <v>317</v>
      </c>
      <c r="T477" s="2">
        <v>87072717151</v>
      </c>
      <c r="U477" t="s">
        <v>319</v>
      </c>
      <c r="V477">
        <v>890903938</v>
      </c>
      <c r="W477" t="s">
        <v>342</v>
      </c>
      <c r="X477" s="2">
        <v>2325</v>
      </c>
      <c r="Y477" s="2">
        <v>2325</v>
      </c>
      <c r="Z477" s="2">
        <v>47625</v>
      </c>
      <c r="AA477">
        <v>0</v>
      </c>
      <c r="AB477">
        <v>44225</v>
      </c>
      <c r="AC477">
        <v>68531725</v>
      </c>
      <c r="AD477">
        <v>0</v>
      </c>
      <c r="AE477" s="5">
        <v>45726</v>
      </c>
      <c r="AF477" t="s">
        <v>3595</v>
      </c>
      <c r="AG477" t="s">
        <v>3605</v>
      </c>
      <c r="AH477" t="s">
        <v>3606</v>
      </c>
    </row>
    <row r="478" spans="1:34" ht="15" customHeight="1" x14ac:dyDescent="0.2">
      <c r="A478" t="s">
        <v>4558</v>
      </c>
      <c r="B478" t="s">
        <v>4473</v>
      </c>
      <c r="C478" s="2">
        <v>47725</v>
      </c>
      <c r="D478" s="5">
        <v>45726</v>
      </c>
      <c r="E478" s="5">
        <v>45726.556944444441</v>
      </c>
      <c r="F478" t="s">
        <v>312</v>
      </c>
      <c r="G478" s="2">
        <v>923218</v>
      </c>
      <c r="H478" t="s">
        <v>119</v>
      </c>
      <c r="I478" t="s">
        <v>120</v>
      </c>
      <c r="J478" t="s">
        <v>47</v>
      </c>
      <c r="K478" s="50">
        <v>854100</v>
      </c>
      <c r="L478" s="50">
        <v>0</v>
      </c>
      <c r="M478" s="50">
        <v>854100</v>
      </c>
      <c r="N478" s="50">
        <v>0</v>
      </c>
      <c r="O478" t="s">
        <v>351</v>
      </c>
      <c r="P478">
        <v>1003642059</v>
      </c>
      <c r="Q478" t="s">
        <v>3720</v>
      </c>
      <c r="R478" t="s">
        <v>316</v>
      </c>
      <c r="S478" t="s">
        <v>317</v>
      </c>
      <c r="T478" s="2">
        <v>87049806539</v>
      </c>
      <c r="U478" t="s">
        <v>319</v>
      </c>
      <c r="V478">
        <v>890903938</v>
      </c>
      <c r="W478" t="s">
        <v>342</v>
      </c>
      <c r="X478" s="2">
        <v>2325</v>
      </c>
      <c r="Y478" s="2">
        <v>2325</v>
      </c>
      <c r="Z478" s="2">
        <v>47725</v>
      </c>
      <c r="AA478">
        <v>0</v>
      </c>
      <c r="AB478">
        <v>44325</v>
      </c>
      <c r="AC478">
        <v>68531825</v>
      </c>
      <c r="AD478">
        <v>0</v>
      </c>
      <c r="AE478" s="5">
        <v>45726</v>
      </c>
      <c r="AF478" t="s">
        <v>3595</v>
      </c>
      <c r="AG478" t="s">
        <v>3605</v>
      </c>
      <c r="AH478" t="s">
        <v>3606</v>
      </c>
    </row>
    <row r="479" spans="1:34" ht="15" customHeight="1" x14ac:dyDescent="0.2">
      <c r="A479" t="s">
        <v>4559</v>
      </c>
      <c r="B479" t="s">
        <v>4473</v>
      </c>
      <c r="C479" s="2">
        <v>47825</v>
      </c>
      <c r="D479" s="5">
        <v>45726</v>
      </c>
      <c r="E479" s="5">
        <v>45726.559027777781</v>
      </c>
      <c r="F479" t="s">
        <v>312</v>
      </c>
      <c r="G479" s="2">
        <v>923218</v>
      </c>
      <c r="H479" t="s">
        <v>119</v>
      </c>
      <c r="I479" t="s">
        <v>120</v>
      </c>
      <c r="J479" t="s">
        <v>47</v>
      </c>
      <c r="K479" s="50">
        <v>854100</v>
      </c>
      <c r="L479" s="50">
        <v>0</v>
      </c>
      <c r="M479" s="50">
        <v>854100</v>
      </c>
      <c r="N479" s="50">
        <v>0</v>
      </c>
      <c r="O479" t="s">
        <v>351</v>
      </c>
      <c r="P479">
        <v>1012339622</v>
      </c>
      <c r="Q479" t="s">
        <v>3724</v>
      </c>
      <c r="R479" t="s">
        <v>316</v>
      </c>
      <c r="S479" t="s">
        <v>317</v>
      </c>
      <c r="T479" s="2">
        <v>87072707411</v>
      </c>
      <c r="U479" t="s">
        <v>319</v>
      </c>
      <c r="V479">
        <v>890903938</v>
      </c>
      <c r="W479" t="s">
        <v>342</v>
      </c>
      <c r="X479" s="2">
        <v>2325</v>
      </c>
      <c r="Y479" s="2">
        <v>2325</v>
      </c>
      <c r="Z479" s="2">
        <v>47825</v>
      </c>
      <c r="AA479">
        <v>0</v>
      </c>
      <c r="AB479">
        <v>44425</v>
      </c>
      <c r="AC479">
        <v>68532025</v>
      </c>
      <c r="AD479">
        <v>0</v>
      </c>
      <c r="AE479" s="5">
        <v>45726</v>
      </c>
      <c r="AF479" t="s">
        <v>3595</v>
      </c>
      <c r="AG479" t="s">
        <v>3605</v>
      </c>
      <c r="AH479" t="s">
        <v>3606</v>
      </c>
    </row>
    <row r="480" spans="1:34" ht="15" customHeight="1" x14ac:dyDescent="0.2">
      <c r="A480" t="s">
        <v>4560</v>
      </c>
      <c r="B480" t="s">
        <v>4473</v>
      </c>
      <c r="C480" s="2">
        <v>47925</v>
      </c>
      <c r="D480" s="5">
        <v>45726</v>
      </c>
      <c r="E480" s="5">
        <v>45726.561805555553</v>
      </c>
      <c r="F480" t="s">
        <v>312</v>
      </c>
      <c r="G480" s="2">
        <v>923218</v>
      </c>
      <c r="H480" t="s">
        <v>119</v>
      </c>
      <c r="I480" t="s">
        <v>120</v>
      </c>
      <c r="J480" t="s">
        <v>47</v>
      </c>
      <c r="K480" s="50">
        <v>854100</v>
      </c>
      <c r="L480" s="50">
        <v>0</v>
      </c>
      <c r="M480" s="50">
        <v>854100</v>
      </c>
      <c r="N480" s="50">
        <v>0</v>
      </c>
      <c r="O480" t="s">
        <v>3589</v>
      </c>
      <c r="P480">
        <v>1043139348</v>
      </c>
      <c r="Q480" t="s">
        <v>3729</v>
      </c>
      <c r="R480" t="s">
        <v>316</v>
      </c>
      <c r="S480" t="s">
        <v>317</v>
      </c>
      <c r="T480" s="2">
        <v>87052354222</v>
      </c>
      <c r="U480" t="s">
        <v>319</v>
      </c>
      <c r="V480">
        <v>890903938</v>
      </c>
      <c r="W480" t="s">
        <v>342</v>
      </c>
      <c r="X480" s="2">
        <v>2325</v>
      </c>
      <c r="Y480" s="2">
        <v>2325</v>
      </c>
      <c r="Z480" s="2">
        <v>47925</v>
      </c>
      <c r="AA480">
        <v>0</v>
      </c>
      <c r="AB480">
        <v>44525</v>
      </c>
      <c r="AC480">
        <v>68532225</v>
      </c>
      <c r="AD480">
        <v>0</v>
      </c>
      <c r="AE480" s="5">
        <v>45726</v>
      </c>
      <c r="AF480" t="s">
        <v>3595</v>
      </c>
      <c r="AG480" t="s">
        <v>3605</v>
      </c>
      <c r="AH480" t="s">
        <v>3606</v>
      </c>
    </row>
    <row r="481" spans="1:34" ht="15" customHeight="1" x14ac:dyDescent="0.2">
      <c r="A481" t="s">
        <v>4561</v>
      </c>
      <c r="B481" t="s">
        <v>4473</v>
      </c>
      <c r="C481" s="2">
        <v>48025</v>
      </c>
      <c r="D481" s="5">
        <v>45726</v>
      </c>
      <c r="E481" s="5">
        <v>45726.563194444447</v>
      </c>
      <c r="F481" t="s">
        <v>312</v>
      </c>
      <c r="G481" s="2">
        <v>923218</v>
      </c>
      <c r="H481" t="s">
        <v>119</v>
      </c>
      <c r="I481" t="s">
        <v>120</v>
      </c>
      <c r="J481" t="s">
        <v>47</v>
      </c>
      <c r="K481" s="50">
        <v>854100</v>
      </c>
      <c r="L481" s="50">
        <v>0</v>
      </c>
      <c r="M481" s="50">
        <v>854100</v>
      </c>
      <c r="N481" s="50">
        <v>0</v>
      </c>
      <c r="O481" t="s">
        <v>3589</v>
      </c>
      <c r="P481">
        <v>1049022400</v>
      </c>
      <c r="Q481" t="s">
        <v>3734</v>
      </c>
      <c r="R481" t="s">
        <v>316</v>
      </c>
      <c r="S481" t="s">
        <v>317</v>
      </c>
      <c r="T481" s="2">
        <v>94574632328</v>
      </c>
      <c r="U481" t="s">
        <v>319</v>
      </c>
      <c r="V481">
        <v>890903938</v>
      </c>
      <c r="W481" t="s">
        <v>342</v>
      </c>
      <c r="X481" s="2">
        <v>2325</v>
      </c>
      <c r="Y481" s="2">
        <v>2325</v>
      </c>
      <c r="Z481" s="2">
        <v>48025</v>
      </c>
      <c r="AA481">
        <v>0</v>
      </c>
      <c r="AB481">
        <v>44625</v>
      </c>
      <c r="AC481">
        <v>68532325</v>
      </c>
      <c r="AD481">
        <v>0</v>
      </c>
      <c r="AE481" s="5">
        <v>45726</v>
      </c>
      <c r="AF481" t="s">
        <v>3595</v>
      </c>
      <c r="AG481" t="s">
        <v>3605</v>
      </c>
      <c r="AH481" t="s">
        <v>3606</v>
      </c>
    </row>
    <row r="482" spans="1:34" ht="15" customHeight="1" x14ac:dyDescent="0.2">
      <c r="A482" t="s">
        <v>4562</v>
      </c>
      <c r="B482" t="s">
        <v>4473</v>
      </c>
      <c r="C482" s="2">
        <v>48125</v>
      </c>
      <c r="D482" s="5">
        <v>45726</v>
      </c>
      <c r="E482" s="5">
        <v>45726.564583333333</v>
      </c>
      <c r="F482" t="s">
        <v>312</v>
      </c>
      <c r="G482" s="2">
        <v>923218</v>
      </c>
      <c r="H482" t="s">
        <v>119</v>
      </c>
      <c r="I482" t="s">
        <v>120</v>
      </c>
      <c r="J482" t="s">
        <v>47</v>
      </c>
      <c r="K482" s="50">
        <v>854100</v>
      </c>
      <c r="L482" s="50">
        <v>0</v>
      </c>
      <c r="M482" s="50">
        <v>854100</v>
      </c>
      <c r="N482" s="50">
        <v>0</v>
      </c>
      <c r="O482" t="s">
        <v>351</v>
      </c>
      <c r="P482">
        <v>1030596508</v>
      </c>
      <c r="Q482" t="s">
        <v>3739</v>
      </c>
      <c r="R482" t="s">
        <v>316</v>
      </c>
      <c r="S482" t="s">
        <v>317</v>
      </c>
      <c r="T482" s="2">
        <v>500806394296</v>
      </c>
      <c r="U482" t="s">
        <v>319</v>
      </c>
      <c r="V482">
        <v>860007738</v>
      </c>
      <c r="W482" t="s">
        <v>784</v>
      </c>
      <c r="X482" s="2">
        <v>2325</v>
      </c>
      <c r="Y482" s="2">
        <v>2325</v>
      </c>
      <c r="Z482" s="2">
        <v>48125</v>
      </c>
      <c r="AA482">
        <v>0</v>
      </c>
      <c r="AB482">
        <v>44725</v>
      </c>
      <c r="AC482">
        <v>68532425</v>
      </c>
      <c r="AD482">
        <v>0</v>
      </c>
      <c r="AE482" s="5">
        <v>45726</v>
      </c>
      <c r="AF482" t="s">
        <v>3595</v>
      </c>
      <c r="AG482" t="s">
        <v>3605</v>
      </c>
      <c r="AH482" t="s">
        <v>3606</v>
      </c>
    </row>
    <row r="483" spans="1:34" ht="15" customHeight="1" x14ac:dyDescent="0.2">
      <c r="A483" t="s">
        <v>4563</v>
      </c>
      <c r="B483" t="s">
        <v>4473</v>
      </c>
      <c r="C483" s="2">
        <v>48225</v>
      </c>
      <c r="D483" s="5">
        <v>45726</v>
      </c>
      <c r="E483" s="5">
        <v>45726.565972222219</v>
      </c>
      <c r="F483" t="s">
        <v>312</v>
      </c>
      <c r="G483" s="2">
        <v>923218</v>
      </c>
      <c r="H483" t="s">
        <v>119</v>
      </c>
      <c r="I483" t="s">
        <v>120</v>
      </c>
      <c r="J483" t="s">
        <v>47</v>
      </c>
      <c r="K483" s="50">
        <v>854100</v>
      </c>
      <c r="L483" s="50">
        <v>0</v>
      </c>
      <c r="M483" s="50">
        <v>854100</v>
      </c>
      <c r="N483" s="50">
        <v>0</v>
      </c>
      <c r="O483" t="s">
        <v>3589</v>
      </c>
      <c r="P483">
        <v>1116782386</v>
      </c>
      <c r="Q483" t="s">
        <v>3744</v>
      </c>
      <c r="R483" t="s">
        <v>316</v>
      </c>
      <c r="S483" t="s">
        <v>317</v>
      </c>
      <c r="T483" s="2">
        <v>87054803438</v>
      </c>
      <c r="U483" t="s">
        <v>319</v>
      </c>
      <c r="V483">
        <v>890903938</v>
      </c>
      <c r="W483" t="s">
        <v>342</v>
      </c>
      <c r="X483" s="2">
        <v>2325</v>
      </c>
      <c r="Y483" s="2">
        <v>2325</v>
      </c>
      <c r="Z483" s="2">
        <v>48225</v>
      </c>
      <c r="AA483">
        <v>0</v>
      </c>
      <c r="AB483">
        <v>44825</v>
      </c>
      <c r="AC483">
        <v>68532625</v>
      </c>
      <c r="AD483">
        <v>0</v>
      </c>
      <c r="AE483" s="5">
        <v>45726</v>
      </c>
      <c r="AF483" t="s">
        <v>3595</v>
      </c>
      <c r="AG483" t="s">
        <v>3605</v>
      </c>
      <c r="AH483" t="s">
        <v>3606</v>
      </c>
    </row>
    <row r="484" spans="1:34" ht="15" customHeight="1" x14ac:dyDescent="0.2">
      <c r="A484" t="s">
        <v>4564</v>
      </c>
      <c r="B484" t="s">
        <v>4473</v>
      </c>
      <c r="C484" s="2">
        <v>48325</v>
      </c>
      <c r="D484" s="5">
        <v>45726</v>
      </c>
      <c r="E484" s="5">
        <v>45726.568055555559</v>
      </c>
      <c r="F484" t="s">
        <v>312</v>
      </c>
      <c r="G484" s="2">
        <v>923218</v>
      </c>
      <c r="H484" t="s">
        <v>119</v>
      </c>
      <c r="I484" t="s">
        <v>120</v>
      </c>
      <c r="J484" t="s">
        <v>47</v>
      </c>
      <c r="K484" s="50">
        <v>854100</v>
      </c>
      <c r="L484" s="50">
        <v>0</v>
      </c>
      <c r="M484" s="50">
        <v>854100</v>
      </c>
      <c r="N484" s="50">
        <v>0</v>
      </c>
      <c r="O484" t="s">
        <v>3589</v>
      </c>
      <c r="P484">
        <v>1025534807</v>
      </c>
      <c r="Q484" t="s">
        <v>3749</v>
      </c>
      <c r="R484" t="s">
        <v>316</v>
      </c>
      <c r="S484" t="s">
        <v>317</v>
      </c>
      <c r="T484" s="2">
        <v>94574629106</v>
      </c>
      <c r="U484" t="s">
        <v>319</v>
      </c>
      <c r="V484">
        <v>890903938</v>
      </c>
      <c r="W484" t="s">
        <v>342</v>
      </c>
      <c r="X484" s="2">
        <v>2325</v>
      </c>
      <c r="Y484" s="2">
        <v>2325</v>
      </c>
      <c r="Z484" s="2">
        <v>48325</v>
      </c>
      <c r="AA484">
        <v>0</v>
      </c>
      <c r="AB484">
        <v>44925</v>
      </c>
      <c r="AC484">
        <v>68532725</v>
      </c>
      <c r="AD484">
        <v>0</v>
      </c>
      <c r="AE484" s="5">
        <v>45726</v>
      </c>
      <c r="AF484" t="s">
        <v>3595</v>
      </c>
      <c r="AG484" t="s">
        <v>3605</v>
      </c>
      <c r="AH484" t="s">
        <v>3606</v>
      </c>
    </row>
    <row r="485" spans="1:34" ht="15" customHeight="1" x14ac:dyDescent="0.2">
      <c r="A485" t="s">
        <v>4565</v>
      </c>
      <c r="B485" t="s">
        <v>4473</v>
      </c>
      <c r="C485" s="2">
        <v>48425</v>
      </c>
      <c r="D485" s="5">
        <v>45726</v>
      </c>
      <c r="E485" s="5">
        <v>45726.568749999999</v>
      </c>
      <c r="F485" t="s">
        <v>312</v>
      </c>
      <c r="G485" s="2">
        <v>923218</v>
      </c>
      <c r="H485" t="s">
        <v>119</v>
      </c>
      <c r="I485" t="s">
        <v>120</v>
      </c>
      <c r="J485" t="s">
        <v>47</v>
      </c>
      <c r="K485" s="50">
        <v>854100</v>
      </c>
      <c r="L485" s="50">
        <v>0</v>
      </c>
      <c r="M485" s="50">
        <v>854100</v>
      </c>
      <c r="N485" s="50">
        <v>0</v>
      </c>
      <c r="O485" t="s">
        <v>351</v>
      </c>
      <c r="P485">
        <v>52095819</v>
      </c>
      <c r="Q485" t="s">
        <v>3754</v>
      </c>
      <c r="R485" t="s">
        <v>316</v>
      </c>
      <c r="S485" t="s">
        <v>317</v>
      </c>
      <c r="T485" s="2">
        <v>87061723716</v>
      </c>
      <c r="U485" t="s">
        <v>319</v>
      </c>
      <c r="V485">
        <v>890903938</v>
      </c>
      <c r="W485" t="s">
        <v>342</v>
      </c>
      <c r="X485" s="2">
        <v>2325</v>
      </c>
      <c r="Y485" s="2">
        <v>2325</v>
      </c>
      <c r="Z485" s="2">
        <v>48425</v>
      </c>
      <c r="AA485">
        <v>0</v>
      </c>
      <c r="AB485">
        <v>45025</v>
      </c>
      <c r="AC485">
        <v>68532825</v>
      </c>
      <c r="AD485">
        <v>0</v>
      </c>
      <c r="AE485" s="5">
        <v>45726</v>
      </c>
      <c r="AF485" t="s">
        <v>3595</v>
      </c>
      <c r="AG485" t="s">
        <v>3605</v>
      </c>
      <c r="AH485" t="s">
        <v>3606</v>
      </c>
    </row>
    <row r="486" spans="1:34" ht="15" customHeight="1" x14ac:dyDescent="0.2">
      <c r="A486" t="s">
        <v>4566</v>
      </c>
      <c r="B486" t="s">
        <v>4473</v>
      </c>
      <c r="C486" s="2">
        <v>48525</v>
      </c>
      <c r="D486" s="5">
        <v>45726</v>
      </c>
      <c r="E486" s="5">
        <v>45726.570833333331</v>
      </c>
      <c r="F486" t="s">
        <v>312</v>
      </c>
      <c r="G486" s="2">
        <v>923218</v>
      </c>
      <c r="H486" t="s">
        <v>119</v>
      </c>
      <c r="I486" t="s">
        <v>120</v>
      </c>
      <c r="J486" t="s">
        <v>47</v>
      </c>
      <c r="K486" s="50">
        <v>854100</v>
      </c>
      <c r="L486" s="50">
        <v>0</v>
      </c>
      <c r="M486" s="50">
        <v>854100</v>
      </c>
      <c r="N486" s="50">
        <v>0</v>
      </c>
      <c r="O486" t="s">
        <v>3589</v>
      </c>
      <c r="P486">
        <v>1024494407</v>
      </c>
      <c r="Q486" t="s">
        <v>3759</v>
      </c>
      <c r="R486" t="s">
        <v>316</v>
      </c>
      <c r="S486" t="s">
        <v>317</v>
      </c>
      <c r="T486" s="2">
        <v>466600063484</v>
      </c>
      <c r="U486" t="s">
        <v>319</v>
      </c>
      <c r="V486">
        <v>860034313</v>
      </c>
      <c r="W486" t="s">
        <v>355</v>
      </c>
      <c r="X486" s="2">
        <v>2325</v>
      </c>
      <c r="Y486" s="2">
        <v>2325</v>
      </c>
      <c r="Z486" s="2">
        <v>48525</v>
      </c>
      <c r="AA486">
        <v>0</v>
      </c>
      <c r="AB486">
        <v>45125</v>
      </c>
      <c r="AC486">
        <v>68532925</v>
      </c>
      <c r="AD486">
        <v>0</v>
      </c>
      <c r="AE486" s="5">
        <v>45726</v>
      </c>
      <c r="AF486" t="s">
        <v>3595</v>
      </c>
      <c r="AG486" t="s">
        <v>3605</v>
      </c>
      <c r="AH486" t="s">
        <v>3606</v>
      </c>
    </row>
    <row r="487" spans="1:34" ht="15" customHeight="1" x14ac:dyDescent="0.2">
      <c r="A487" t="s">
        <v>4567</v>
      </c>
      <c r="B487" t="s">
        <v>4473</v>
      </c>
      <c r="C487" s="2">
        <v>48625</v>
      </c>
      <c r="D487" s="5">
        <v>45726</v>
      </c>
      <c r="E487" s="5">
        <v>45726.572916666664</v>
      </c>
      <c r="F487" t="s">
        <v>312</v>
      </c>
      <c r="G487" s="2">
        <v>923218</v>
      </c>
      <c r="H487" t="s">
        <v>119</v>
      </c>
      <c r="I487" t="s">
        <v>120</v>
      </c>
      <c r="J487" t="s">
        <v>47</v>
      </c>
      <c r="K487" s="50">
        <v>854100</v>
      </c>
      <c r="L487" s="50">
        <v>0</v>
      </c>
      <c r="M487" s="50">
        <v>854100</v>
      </c>
      <c r="N487" s="50">
        <v>0</v>
      </c>
      <c r="O487" t="s">
        <v>351</v>
      </c>
      <c r="P487">
        <v>39671337</v>
      </c>
      <c r="Q487" t="s">
        <v>3764</v>
      </c>
      <c r="R487" t="s">
        <v>316</v>
      </c>
      <c r="S487" t="s">
        <v>317</v>
      </c>
      <c r="T487" s="2">
        <v>87048255204</v>
      </c>
      <c r="U487" t="s">
        <v>319</v>
      </c>
      <c r="V487">
        <v>890903938</v>
      </c>
      <c r="W487" t="s">
        <v>342</v>
      </c>
      <c r="X487" s="2">
        <v>2325</v>
      </c>
      <c r="Y487" s="2">
        <v>2325</v>
      </c>
      <c r="Z487" s="2">
        <v>48625</v>
      </c>
      <c r="AA487">
        <v>0</v>
      </c>
      <c r="AB487">
        <v>45225</v>
      </c>
      <c r="AC487">
        <v>68533025</v>
      </c>
      <c r="AD487">
        <v>0</v>
      </c>
      <c r="AE487" s="5">
        <v>45726</v>
      </c>
      <c r="AF487" t="s">
        <v>3595</v>
      </c>
      <c r="AG487" t="s">
        <v>3605</v>
      </c>
      <c r="AH487" t="s">
        <v>3606</v>
      </c>
    </row>
    <row r="488" spans="1:34" ht="15" customHeight="1" x14ac:dyDescent="0.2">
      <c r="A488" t="s">
        <v>4568</v>
      </c>
      <c r="B488" t="s">
        <v>4473</v>
      </c>
      <c r="C488" s="2">
        <v>48725</v>
      </c>
      <c r="D488" s="5">
        <v>45726</v>
      </c>
      <c r="E488" s="5">
        <v>45726.574305555558</v>
      </c>
      <c r="F488" t="s">
        <v>312</v>
      </c>
      <c r="G488" s="2">
        <v>923218</v>
      </c>
      <c r="H488" t="s">
        <v>119</v>
      </c>
      <c r="I488" t="s">
        <v>120</v>
      </c>
      <c r="J488" t="s">
        <v>47</v>
      </c>
      <c r="K488" s="50">
        <v>854100</v>
      </c>
      <c r="L488" s="50">
        <v>0</v>
      </c>
      <c r="M488" s="50">
        <v>854100</v>
      </c>
      <c r="N488" s="50">
        <v>0</v>
      </c>
      <c r="O488" t="s">
        <v>351</v>
      </c>
      <c r="P488">
        <v>1072189988</v>
      </c>
      <c r="Q488" t="s">
        <v>3769</v>
      </c>
      <c r="R488" t="s">
        <v>316</v>
      </c>
      <c r="S488" t="s">
        <v>317</v>
      </c>
      <c r="T488" s="2">
        <v>87072722852</v>
      </c>
      <c r="U488" t="s">
        <v>319</v>
      </c>
      <c r="V488">
        <v>890903938</v>
      </c>
      <c r="W488" t="s">
        <v>342</v>
      </c>
      <c r="X488" s="2">
        <v>2325</v>
      </c>
      <c r="Y488" s="2">
        <v>2325</v>
      </c>
      <c r="Z488" s="2">
        <v>48725</v>
      </c>
      <c r="AA488">
        <v>0</v>
      </c>
      <c r="AB488">
        <v>45325</v>
      </c>
      <c r="AC488">
        <v>68533125</v>
      </c>
      <c r="AD488">
        <v>0</v>
      </c>
      <c r="AE488" s="5">
        <v>45726</v>
      </c>
      <c r="AF488" t="s">
        <v>3595</v>
      </c>
      <c r="AG488" t="s">
        <v>3605</v>
      </c>
      <c r="AH488" t="s">
        <v>3606</v>
      </c>
    </row>
    <row r="489" spans="1:34" ht="15" customHeight="1" x14ac:dyDescent="0.2">
      <c r="A489" t="s">
        <v>4569</v>
      </c>
      <c r="B489" t="s">
        <v>4473</v>
      </c>
      <c r="C489" s="2">
        <v>48825</v>
      </c>
      <c r="D489" s="5">
        <v>45726</v>
      </c>
      <c r="E489" s="5">
        <v>45726.57708333333</v>
      </c>
      <c r="F489" t="s">
        <v>312</v>
      </c>
      <c r="G489" s="2">
        <v>923218</v>
      </c>
      <c r="H489" t="s">
        <v>119</v>
      </c>
      <c r="I489" t="s">
        <v>120</v>
      </c>
      <c r="J489" t="s">
        <v>47</v>
      </c>
      <c r="K489" s="50">
        <v>854100</v>
      </c>
      <c r="L489" s="50">
        <v>0</v>
      </c>
      <c r="M489" s="50">
        <v>854100</v>
      </c>
      <c r="N489" s="50">
        <v>0</v>
      </c>
      <c r="O489" t="s">
        <v>351</v>
      </c>
      <c r="P489">
        <v>79183716</v>
      </c>
      <c r="Q489" t="s">
        <v>3773</v>
      </c>
      <c r="R489" t="s">
        <v>316</v>
      </c>
      <c r="S489" t="s">
        <v>317</v>
      </c>
      <c r="T489" s="2">
        <v>87072717626</v>
      </c>
      <c r="U489" t="s">
        <v>319</v>
      </c>
      <c r="V489">
        <v>890903938</v>
      </c>
      <c r="W489" t="s">
        <v>342</v>
      </c>
      <c r="X489" s="2">
        <v>2325</v>
      </c>
      <c r="Y489" s="2">
        <v>2325</v>
      </c>
      <c r="Z489" s="2">
        <v>48825</v>
      </c>
      <c r="AA489">
        <v>0</v>
      </c>
      <c r="AB489">
        <v>45425</v>
      </c>
      <c r="AC489">
        <v>68533225</v>
      </c>
      <c r="AD489">
        <v>0</v>
      </c>
      <c r="AE489" s="5">
        <v>45726</v>
      </c>
      <c r="AF489" t="s">
        <v>3595</v>
      </c>
      <c r="AG489" t="s">
        <v>3605</v>
      </c>
      <c r="AH489" t="s">
        <v>3606</v>
      </c>
    </row>
    <row r="490" spans="1:34" ht="15" customHeight="1" x14ac:dyDescent="0.2">
      <c r="A490" t="s">
        <v>4570</v>
      </c>
      <c r="B490" t="s">
        <v>476</v>
      </c>
      <c r="C490" s="2">
        <v>48925</v>
      </c>
      <c r="D490" s="5">
        <v>45726</v>
      </c>
      <c r="E490" s="5">
        <v>45726.595833333333</v>
      </c>
      <c r="F490" t="s">
        <v>312</v>
      </c>
      <c r="G490" s="2">
        <v>923210</v>
      </c>
      <c r="H490" t="s">
        <v>29</v>
      </c>
      <c r="I490" t="s">
        <v>30</v>
      </c>
      <c r="J490" t="s">
        <v>47</v>
      </c>
      <c r="K490" s="50">
        <v>122500</v>
      </c>
      <c r="L490" s="50">
        <v>0</v>
      </c>
      <c r="M490" s="50">
        <v>122500</v>
      </c>
      <c r="N490" s="50">
        <v>0</v>
      </c>
      <c r="O490" t="s">
        <v>314</v>
      </c>
      <c r="P490">
        <v>900171710</v>
      </c>
      <c r="Q490" t="s">
        <v>634</v>
      </c>
      <c r="R490" t="s">
        <v>635</v>
      </c>
      <c r="S490">
        <v>0</v>
      </c>
      <c r="T490" s="2">
        <v>0</v>
      </c>
      <c r="U490">
        <v>0</v>
      </c>
      <c r="V490">
        <v>0</v>
      </c>
      <c r="W490">
        <v>0</v>
      </c>
      <c r="X490" s="2">
        <v>1225</v>
      </c>
      <c r="Y490" s="2">
        <v>1225</v>
      </c>
      <c r="Z490" s="2">
        <v>48925</v>
      </c>
      <c r="AA490" t="s">
        <v>4649</v>
      </c>
      <c r="AB490" t="s">
        <v>4650</v>
      </c>
      <c r="AC490">
        <v>70407125</v>
      </c>
      <c r="AD490">
        <v>0</v>
      </c>
      <c r="AE490" s="5">
        <v>45726</v>
      </c>
      <c r="AF490" t="s">
        <v>323</v>
      </c>
      <c r="AG490">
        <v>1543885</v>
      </c>
      <c r="AH490" t="s">
        <v>4245</v>
      </c>
    </row>
    <row r="491" spans="1:34" ht="15" customHeight="1" x14ac:dyDescent="0.2">
      <c r="A491" t="s">
        <v>4571</v>
      </c>
      <c r="B491" t="s">
        <v>476</v>
      </c>
      <c r="C491" s="2">
        <v>49025</v>
      </c>
      <c r="D491" s="5">
        <v>45726</v>
      </c>
      <c r="E491" s="5">
        <v>45726.615277777775</v>
      </c>
      <c r="F491" t="s">
        <v>312</v>
      </c>
      <c r="G491" s="2">
        <v>923210</v>
      </c>
      <c r="H491" t="s">
        <v>29</v>
      </c>
      <c r="I491" t="s">
        <v>30</v>
      </c>
      <c r="J491" t="s">
        <v>47</v>
      </c>
      <c r="K491" s="50">
        <v>1330860</v>
      </c>
      <c r="L491" s="50">
        <v>0</v>
      </c>
      <c r="M491" s="50">
        <v>1330860</v>
      </c>
      <c r="N491" s="50">
        <v>0</v>
      </c>
      <c r="O491" t="s">
        <v>314</v>
      </c>
      <c r="P491">
        <v>860063875</v>
      </c>
      <c r="Q491" t="s">
        <v>315</v>
      </c>
      <c r="R491" t="s">
        <v>316</v>
      </c>
      <c r="S491" t="s">
        <v>317</v>
      </c>
      <c r="T491" s="2">
        <v>90060000410</v>
      </c>
      <c r="U491" t="s">
        <v>319</v>
      </c>
      <c r="V491">
        <v>860050750</v>
      </c>
      <c r="W491" t="s">
        <v>321</v>
      </c>
      <c r="X491" s="2">
        <v>1225</v>
      </c>
      <c r="Y491" s="2">
        <v>1225</v>
      </c>
      <c r="Z491" s="2">
        <v>49025</v>
      </c>
      <c r="AA491">
        <v>4825</v>
      </c>
      <c r="AB491">
        <v>45525</v>
      </c>
      <c r="AC491">
        <v>68787025</v>
      </c>
      <c r="AD491">
        <v>0</v>
      </c>
      <c r="AE491" s="5">
        <v>45726</v>
      </c>
      <c r="AF491" t="s">
        <v>323</v>
      </c>
      <c r="AG491" t="s">
        <v>347</v>
      </c>
      <c r="AH491" t="s">
        <v>3780</v>
      </c>
    </row>
    <row r="492" spans="1:34" ht="15" customHeight="1" x14ac:dyDescent="0.2">
      <c r="A492" t="s">
        <v>4572</v>
      </c>
      <c r="B492" t="s">
        <v>474</v>
      </c>
      <c r="C492" s="2">
        <v>49125</v>
      </c>
      <c r="D492" s="5">
        <v>45726</v>
      </c>
      <c r="E492" s="5">
        <v>45726.633333333331</v>
      </c>
      <c r="F492" t="s">
        <v>312</v>
      </c>
      <c r="G492" s="2">
        <v>923211</v>
      </c>
      <c r="H492" t="s">
        <v>29</v>
      </c>
      <c r="I492" t="s">
        <v>30</v>
      </c>
      <c r="J492" t="s">
        <v>31</v>
      </c>
      <c r="K492" s="50">
        <v>312390</v>
      </c>
      <c r="L492" s="50">
        <v>0</v>
      </c>
      <c r="M492" s="50">
        <v>312390</v>
      </c>
      <c r="N492" s="50">
        <v>0</v>
      </c>
      <c r="O492" t="s">
        <v>351</v>
      </c>
      <c r="P492">
        <v>79051081</v>
      </c>
      <c r="Q492" t="s">
        <v>1677</v>
      </c>
      <c r="R492" t="s">
        <v>316</v>
      </c>
      <c r="S492" t="s">
        <v>317</v>
      </c>
      <c r="T492" s="2">
        <v>94576831441</v>
      </c>
      <c r="U492" t="s">
        <v>319</v>
      </c>
      <c r="V492">
        <v>890903938</v>
      </c>
      <c r="W492" t="s">
        <v>342</v>
      </c>
      <c r="X492" s="2">
        <v>925</v>
      </c>
      <c r="Y492" s="2">
        <v>925</v>
      </c>
      <c r="Z492" s="2">
        <v>49125</v>
      </c>
      <c r="AA492">
        <v>0</v>
      </c>
      <c r="AB492">
        <v>47525</v>
      </c>
      <c r="AC492">
        <v>0</v>
      </c>
      <c r="AD492">
        <v>0</v>
      </c>
      <c r="AE492" s="5">
        <v>45726</v>
      </c>
      <c r="AF492" t="s">
        <v>1929</v>
      </c>
      <c r="AG492" t="s">
        <v>4249</v>
      </c>
      <c r="AH492" t="s">
        <v>4250</v>
      </c>
    </row>
    <row r="493" spans="1:34" ht="15" customHeight="1" x14ac:dyDescent="0.2">
      <c r="A493" t="s">
        <v>4573</v>
      </c>
      <c r="B493" t="s">
        <v>474</v>
      </c>
      <c r="C493" s="2">
        <v>49225</v>
      </c>
      <c r="D493" s="5">
        <v>45726</v>
      </c>
      <c r="E493" s="5">
        <v>45726.635416666664</v>
      </c>
      <c r="F493" t="s">
        <v>312</v>
      </c>
      <c r="G493" s="2">
        <v>923211</v>
      </c>
      <c r="H493" t="s">
        <v>29</v>
      </c>
      <c r="I493" t="s">
        <v>30</v>
      </c>
      <c r="J493" t="s">
        <v>31</v>
      </c>
      <c r="K493" s="50">
        <v>312390</v>
      </c>
      <c r="L493" s="50">
        <v>0</v>
      </c>
      <c r="M493" s="50">
        <v>312390</v>
      </c>
      <c r="N493" s="50">
        <v>0</v>
      </c>
      <c r="O493" t="s">
        <v>351</v>
      </c>
      <c r="P493">
        <v>1013659725</v>
      </c>
      <c r="Q493" t="s">
        <v>1555</v>
      </c>
      <c r="R493" t="s">
        <v>316</v>
      </c>
      <c r="S493" t="s">
        <v>317</v>
      </c>
      <c r="T493" s="2">
        <v>24071291626</v>
      </c>
      <c r="U493" t="s">
        <v>319</v>
      </c>
      <c r="V493">
        <v>860007335</v>
      </c>
      <c r="W493" t="s">
        <v>381</v>
      </c>
      <c r="X493" s="2">
        <v>925</v>
      </c>
      <c r="Y493" s="2">
        <v>925</v>
      </c>
      <c r="Z493" s="2">
        <v>49225</v>
      </c>
      <c r="AA493">
        <v>0</v>
      </c>
      <c r="AB493">
        <v>50525</v>
      </c>
      <c r="AC493">
        <v>0</v>
      </c>
      <c r="AD493">
        <v>0</v>
      </c>
      <c r="AE493" s="5">
        <v>45726</v>
      </c>
      <c r="AF493" t="s">
        <v>1929</v>
      </c>
      <c r="AG493" t="s">
        <v>4253</v>
      </c>
      <c r="AH493" t="s">
        <v>4254</v>
      </c>
    </row>
    <row r="494" spans="1:34" ht="15" customHeight="1" x14ac:dyDescent="0.2">
      <c r="A494" t="s">
        <v>4574</v>
      </c>
      <c r="B494" t="s">
        <v>474</v>
      </c>
      <c r="C494" s="2">
        <v>49325</v>
      </c>
      <c r="D494" s="5">
        <v>45726</v>
      </c>
      <c r="E494" s="5">
        <v>45726.638194444444</v>
      </c>
      <c r="F494" t="s">
        <v>312</v>
      </c>
      <c r="G494" s="2">
        <v>923211</v>
      </c>
      <c r="H494" t="s">
        <v>29</v>
      </c>
      <c r="I494" t="s">
        <v>30</v>
      </c>
      <c r="J494" t="s">
        <v>31</v>
      </c>
      <c r="K494" s="50">
        <v>312390</v>
      </c>
      <c r="L494" s="50">
        <v>0</v>
      </c>
      <c r="M494" s="50">
        <v>312390</v>
      </c>
      <c r="N494" s="50">
        <v>0</v>
      </c>
      <c r="O494" t="s">
        <v>351</v>
      </c>
      <c r="P494">
        <v>93127405</v>
      </c>
      <c r="Q494" t="s">
        <v>657</v>
      </c>
      <c r="R494" t="s">
        <v>316</v>
      </c>
      <c r="S494" t="s">
        <v>317</v>
      </c>
      <c r="T494" s="2">
        <v>402300056981</v>
      </c>
      <c r="U494" t="s">
        <v>319</v>
      </c>
      <c r="V494">
        <v>800037800</v>
      </c>
      <c r="W494" t="s">
        <v>660</v>
      </c>
      <c r="X494" s="2">
        <v>925</v>
      </c>
      <c r="Y494" s="2">
        <v>925</v>
      </c>
      <c r="Z494" s="2">
        <v>49325</v>
      </c>
      <c r="AA494">
        <v>0</v>
      </c>
      <c r="AB494">
        <v>49825</v>
      </c>
      <c r="AC494">
        <v>0</v>
      </c>
      <c r="AD494">
        <v>0</v>
      </c>
      <c r="AE494" s="5">
        <v>45726</v>
      </c>
      <c r="AF494" t="s">
        <v>1929</v>
      </c>
      <c r="AG494" t="s">
        <v>4257</v>
      </c>
      <c r="AH494" t="s">
        <v>4258</v>
      </c>
    </row>
    <row r="495" spans="1:34" ht="15" customHeight="1" x14ac:dyDescent="0.2">
      <c r="A495" t="s">
        <v>4575</v>
      </c>
      <c r="B495" t="s">
        <v>474</v>
      </c>
      <c r="C495" s="2">
        <v>49425</v>
      </c>
      <c r="D495" s="5">
        <v>45726</v>
      </c>
      <c r="E495" s="5">
        <v>45726.64166666667</v>
      </c>
      <c r="F495" t="s">
        <v>312</v>
      </c>
      <c r="G495" s="2">
        <v>923211</v>
      </c>
      <c r="H495" t="s">
        <v>29</v>
      </c>
      <c r="I495" t="s">
        <v>30</v>
      </c>
      <c r="J495" t="s">
        <v>31</v>
      </c>
      <c r="K495" s="50">
        <v>468585</v>
      </c>
      <c r="L495" s="50">
        <v>0</v>
      </c>
      <c r="M495" s="50">
        <v>468585</v>
      </c>
      <c r="N495" s="50">
        <v>0</v>
      </c>
      <c r="O495" t="s">
        <v>351</v>
      </c>
      <c r="P495">
        <v>79137299</v>
      </c>
      <c r="Q495" t="s">
        <v>1283</v>
      </c>
      <c r="R495" t="s">
        <v>316</v>
      </c>
      <c r="S495" t="s">
        <v>317</v>
      </c>
      <c r="T495" s="2">
        <v>24131820111</v>
      </c>
      <c r="U495" t="s">
        <v>319</v>
      </c>
      <c r="V495">
        <v>860007335</v>
      </c>
      <c r="W495" t="s">
        <v>381</v>
      </c>
      <c r="X495" s="2">
        <v>925</v>
      </c>
      <c r="Y495" s="2">
        <v>925</v>
      </c>
      <c r="Z495" s="2">
        <v>49425</v>
      </c>
      <c r="AA495">
        <v>0</v>
      </c>
      <c r="AB495">
        <v>47625</v>
      </c>
      <c r="AC495">
        <v>0</v>
      </c>
      <c r="AD495">
        <v>0</v>
      </c>
      <c r="AE495" s="5">
        <v>45726</v>
      </c>
      <c r="AF495" t="s">
        <v>1929</v>
      </c>
      <c r="AG495" t="s">
        <v>4261</v>
      </c>
      <c r="AH495" t="s">
        <v>4262</v>
      </c>
    </row>
    <row r="496" spans="1:34" ht="15" customHeight="1" x14ac:dyDescent="0.2">
      <c r="A496" t="s">
        <v>4576</v>
      </c>
      <c r="B496" t="s">
        <v>476</v>
      </c>
      <c r="C496" s="2">
        <v>49525</v>
      </c>
      <c r="D496" s="5">
        <v>45727</v>
      </c>
      <c r="E496" s="5">
        <v>45727.390277777777</v>
      </c>
      <c r="F496" t="s">
        <v>312</v>
      </c>
      <c r="G496" s="2">
        <v>923210</v>
      </c>
      <c r="H496" t="s">
        <v>29</v>
      </c>
      <c r="I496" t="s">
        <v>30</v>
      </c>
      <c r="J496" t="s">
        <v>47</v>
      </c>
      <c r="K496" s="50">
        <v>611970</v>
      </c>
      <c r="L496" s="50">
        <v>0</v>
      </c>
      <c r="M496" s="50">
        <v>611970</v>
      </c>
      <c r="N496" s="50">
        <v>0</v>
      </c>
      <c r="O496" t="s">
        <v>314</v>
      </c>
      <c r="P496">
        <v>860063875</v>
      </c>
      <c r="Q496" t="s">
        <v>315</v>
      </c>
      <c r="R496" t="s">
        <v>316</v>
      </c>
      <c r="S496" t="s">
        <v>317</v>
      </c>
      <c r="T496" s="2">
        <v>90060000410</v>
      </c>
      <c r="U496" t="s">
        <v>319</v>
      </c>
      <c r="V496">
        <v>860050750</v>
      </c>
      <c r="W496" t="s">
        <v>321</v>
      </c>
      <c r="X496" s="2">
        <v>1225</v>
      </c>
      <c r="Y496" s="2">
        <v>1225</v>
      </c>
      <c r="Z496" s="2">
        <v>49525</v>
      </c>
      <c r="AA496">
        <v>4925</v>
      </c>
      <c r="AB496">
        <v>45625</v>
      </c>
      <c r="AC496">
        <v>68819625</v>
      </c>
      <c r="AD496">
        <v>0</v>
      </c>
      <c r="AE496" s="5">
        <v>45727</v>
      </c>
      <c r="AF496" t="s">
        <v>323</v>
      </c>
      <c r="AG496" t="s">
        <v>3785</v>
      </c>
      <c r="AH496" t="s">
        <v>3786</v>
      </c>
    </row>
    <row r="497" spans="1:34" ht="15" customHeight="1" x14ac:dyDescent="0.2">
      <c r="A497" t="s">
        <v>4577</v>
      </c>
      <c r="B497" t="s">
        <v>4578</v>
      </c>
      <c r="C497" s="2">
        <v>49625</v>
      </c>
      <c r="D497" s="5">
        <v>45727</v>
      </c>
      <c r="E497" s="5">
        <v>45727.40902777778</v>
      </c>
      <c r="F497" t="s">
        <v>27</v>
      </c>
      <c r="G497" s="2">
        <v>923210</v>
      </c>
      <c r="H497" t="s">
        <v>84</v>
      </c>
      <c r="I497" t="s">
        <v>85</v>
      </c>
      <c r="J497" t="s">
        <v>47</v>
      </c>
      <c r="K497" s="50">
        <v>3306600</v>
      </c>
      <c r="L497" s="50">
        <v>0</v>
      </c>
      <c r="M497" s="50">
        <v>3306600</v>
      </c>
      <c r="N497" s="50">
        <v>3306600</v>
      </c>
      <c r="O497" t="s">
        <v>314</v>
      </c>
      <c r="P497">
        <v>800094755</v>
      </c>
      <c r="Q497" t="s">
        <v>4265</v>
      </c>
      <c r="R497" t="s">
        <v>635</v>
      </c>
      <c r="S497">
        <v>0</v>
      </c>
      <c r="T497" s="2">
        <v>0</v>
      </c>
      <c r="U497">
        <v>0</v>
      </c>
      <c r="V497">
        <v>0</v>
      </c>
      <c r="W497">
        <v>0</v>
      </c>
      <c r="X497" s="2">
        <v>1325</v>
      </c>
      <c r="Y497" s="2">
        <v>1325</v>
      </c>
      <c r="Z497" s="2">
        <v>49625</v>
      </c>
      <c r="AA497">
        <v>0</v>
      </c>
      <c r="AB497">
        <v>0</v>
      </c>
      <c r="AC497">
        <v>0</v>
      </c>
      <c r="AD497">
        <v>0</v>
      </c>
      <c r="AE497" s="5">
        <v>45727</v>
      </c>
      <c r="AF497" t="s">
        <v>323</v>
      </c>
      <c r="AG497">
        <v>22281514</v>
      </c>
      <c r="AH497" t="s">
        <v>4268</v>
      </c>
    </row>
    <row r="498" spans="1:34" ht="15" customHeight="1" x14ac:dyDescent="0.2">
      <c r="A498" t="s">
        <v>4579</v>
      </c>
      <c r="B498" t="s">
        <v>4578</v>
      </c>
      <c r="C498" s="2">
        <v>49725</v>
      </c>
      <c r="D498" s="5">
        <v>45727</v>
      </c>
      <c r="E498" s="5">
        <v>45727.410416666666</v>
      </c>
      <c r="F498" t="s">
        <v>27</v>
      </c>
      <c r="G498" s="2">
        <v>923210</v>
      </c>
      <c r="H498" t="s">
        <v>84</v>
      </c>
      <c r="I498" t="s">
        <v>85</v>
      </c>
      <c r="J498" t="s">
        <v>47</v>
      </c>
      <c r="K498" s="50">
        <v>22551100</v>
      </c>
      <c r="L498" s="50">
        <v>0</v>
      </c>
      <c r="M498" s="50">
        <v>22551100</v>
      </c>
      <c r="N498" s="50">
        <v>22551100</v>
      </c>
      <c r="O498" t="s">
        <v>314</v>
      </c>
      <c r="P498">
        <v>800094755</v>
      </c>
      <c r="Q498" t="s">
        <v>4265</v>
      </c>
      <c r="R498" t="s">
        <v>635</v>
      </c>
      <c r="S498">
        <v>0</v>
      </c>
      <c r="T498" s="2">
        <v>0</v>
      </c>
      <c r="U498">
        <v>0</v>
      </c>
      <c r="V498">
        <v>0</v>
      </c>
      <c r="W498">
        <v>0</v>
      </c>
      <c r="X498" s="2">
        <v>1325</v>
      </c>
      <c r="Y498" s="2">
        <v>1325</v>
      </c>
      <c r="Z498" s="2">
        <v>49725</v>
      </c>
      <c r="AA498">
        <v>0</v>
      </c>
      <c r="AB498">
        <v>0</v>
      </c>
      <c r="AC498">
        <v>0</v>
      </c>
      <c r="AD498">
        <v>0</v>
      </c>
      <c r="AE498" s="5">
        <v>45727</v>
      </c>
      <c r="AF498" t="s">
        <v>323</v>
      </c>
      <c r="AG498">
        <v>21863232</v>
      </c>
      <c r="AH498" t="s">
        <v>4272</v>
      </c>
    </row>
    <row r="499" spans="1:34" ht="15" customHeight="1" x14ac:dyDescent="0.2">
      <c r="A499" t="s">
        <v>4580</v>
      </c>
      <c r="B499" t="s">
        <v>472</v>
      </c>
      <c r="C499" s="2">
        <v>49825</v>
      </c>
      <c r="D499" s="5">
        <v>45727</v>
      </c>
      <c r="E499" s="5">
        <v>45727.581250000003</v>
      </c>
      <c r="F499" t="s">
        <v>312</v>
      </c>
      <c r="G499" s="2">
        <v>923238</v>
      </c>
      <c r="H499" t="s">
        <v>29</v>
      </c>
      <c r="I499" t="s">
        <v>30</v>
      </c>
      <c r="J499" t="s">
        <v>31</v>
      </c>
      <c r="K499" s="50">
        <v>332390</v>
      </c>
      <c r="L499" s="50">
        <v>0</v>
      </c>
      <c r="M499" s="50">
        <v>332390</v>
      </c>
      <c r="N499" s="50">
        <v>0</v>
      </c>
      <c r="O499" t="s">
        <v>351</v>
      </c>
      <c r="P499">
        <v>3170948</v>
      </c>
      <c r="Q499" t="s">
        <v>1764</v>
      </c>
      <c r="R499" t="s">
        <v>316</v>
      </c>
      <c r="S499" t="s">
        <v>317</v>
      </c>
      <c r="T499" s="2">
        <v>488400443682</v>
      </c>
      <c r="U499" t="s">
        <v>319</v>
      </c>
      <c r="V499">
        <v>860034313</v>
      </c>
      <c r="W499" t="s">
        <v>355</v>
      </c>
      <c r="X499" s="2">
        <v>325</v>
      </c>
      <c r="Y499" s="2">
        <v>325</v>
      </c>
      <c r="Z499" s="2">
        <v>49825</v>
      </c>
      <c r="AA499">
        <v>0</v>
      </c>
      <c r="AB499">
        <v>46025</v>
      </c>
      <c r="AC499">
        <v>0</v>
      </c>
      <c r="AD499">
        <v>0</v>
      </c>
      <c r="AE499" s="5">
        <v>45727</v>
      </c>
      <c r="AF499" t="s">
        <v>1929</v>
      </c>
      <c r="AG499" t="s">
        <v>4275</v>
      </c>
      <c r="AH499" t="s">
        <v>4276</v>
      </c>
    </row>
    <row r="500" spans="1:34" ht="15" customHeight="1" x14ac:dyDescent="0.2">
      <c r="A500" t="s">
        <v>4581</v>
      </c>
      <c r="B500" t="s">
        <v>472</v>
      </c>
      <c r="C500" s="2">
        <v>49925</v>
      </c>
      <c r="D500" s="5">
        <v>45727</v>
      </c>
      <c r="E500" s="5">
        <v>45727.583333333336</v>
      </c>
      <c r="F500" t="s">
        <v>312</v>
      </c>
      <c r="G500" s="2">
        <v>923238</v>
      </c>
      <c r="H500" t="s">
        <v>29</v>
      </c>
      <c r="I500" t="s">
        <v>30</v>
      </c>
      <c r="J500" t="s">
        <v>31</v>
      </c>
      <c r="K500" s="50">
        <v>332390</v>
      </c>
      <c r="L500" s="50">
        <v>0</v>
      </c>
      <c r="M500" s="50">
        <v>332390</v>
      </c>
      <c r="N500" s="50">
        <v>0</v>
      </c>
      <c r="O500" t="s">
        <v>351</v>
      </c>
      <c r="P500">
        <v>1030530318</v>
      </c>
      <c r="Q500" t="s">
        <v>1774</v>
      </c>
      <c r="R500" t="s">
        <v>316</v>
      </c>
      <c r="S500" t="s">
        <v>317</v>
      </c>
      <c r="T500" s="2">
        <v>24115083509</v>
      </c>
      <c r="U500" t="s">
        <v>319</v>
      </c>
      <c r="V500">
        <v>860007335</v>
      </c>
      <c r="W500" t="s">
        <v>381</v>
      </c>
      <c r="X500" s="2">
        <v>325</v>
      </c>
      <c r="Y500" s="2">
        <v>325</v>
      </c>
      <c r="Z500" s="2">
        <v>49925</v>
      </c>
      <c r="AA500">
        <v>0</v>
      </c>
      <c r="AB500">
        <v>50925</v>
      </c>
      <c r="AC500">
        <v>0</v>
      </c>
      <c r="AD500">
        <v>0</v>
      </c>
      <c r="AE500" s="5">
        <v>45727</v>
      </c>
      <c r="AF500" t="s">
        <v>1929</v>
      </c>
      <c r="AG500" t="s">
        <v>4279</v>
      </c>
      <c r="AH500" t="s">
        <v>4280</v>
      </c>
    </row>
    <row r="501" spans="1:34" ht="15" customHeight="1" x14ac:dyDescent="0.2">
      <c r="A501" t="s">
        <v>4582</v>
      </c>
      <c r="B501" t="s">
        <v>477</v>
      </c>
      <c r="C501" s="2">
        <v>50025</v>
      </c>
      <c r="D501" s="5">
        <v>45727</v>
      </c>
      <c r="E501" s="5">
        <v>45727.586111111108</v>
      </c>
      <c r="F501" t="s">
        <v>312</v>
      </c>
      <c r="G501" s="2">
        <v>923210</v>
      </c>
      <c r="H501" t="s">
        <v>29</v>
      </c>
      <c r="I501" t="s">
        <v>30</v>
      </c>
      <c r="J501" t="s">
        <v>31</v>
      </c>
      <c r="K501" s="50">
        <v>319414</v>
      </c>
      <c r="L501" s="50">
        <v>0</v>
      </c>
      <c r="M501" s="50">
        <v>319414</v>
      </c>
      <c r="N501" s="50">
        <v>0</v>
      </c>
      <c r="O501" t="s">
        <v>351</v>
      </c>
      <c r="P501">
        <v>52729006</v>
      </c>
      <c r="Q501" t="s">
        <v>4282</v>
      </c>
      <c r="R501" t="s">
        <v>316</v>
      </c>
      <c r="S501" t="s">
        <v>317</v>
      </c>
      <c r="T501" s="2">
        <v>61873580266</v>
      </c>
      <c r="U501" t="s">
        <v>319</v>
      </c>
      <c r="V501">
        <v>890903938</v>
      </c>
      <c r="W501" t="s">
        <v>342</v>
      </c>
      <c r="X501" s="2">
        <v>1625</v>
      </c>
      <c r="Y501" s="2">
        <v>1625</v>
      </c>
      <c r="Z501" s="2">
        <v>50025</v>
      </c>
      <c r="AA501">
        <v>0</v>
      </c>
      <c r="AB501">
        <v>52225</v>
      </c>
      <c r="AC501">
        <v>0</v>
      </c>
      <c r="AD501">
        <v>0</v>
      </c>
      <c r="AE501" s="5">
        <v>45727</v>
      </c>
      <c r="AF501" t="s">
        <v>1929</v>
      </c>
      <c r="AG501" t="s">
        <v>4285</v>
      </c>
      <c r="AH501" t="s">
        <v>4286</v>
      </c>
    </row>
    <row r="502" spans="1:34" ht="15" customHeight="1" x14ac:dyDescent="0.2">
      <c r="A502" t="s">
        <v>4583</v>
      </c>
      <c r="B502" t="s">
        <v>474</v>
      </c>
      <c r="C502" s="2">
        <v>50125</v>
      </c>
      <c r="D502" s="5">
        <v>45727</v>
      </c>
      <c r="E502" s="5">
        <v>45727.588888888888</v>
      </c>
      <c r="F502" t="s">
        <v>312</v>
      </c>
      <c r="G502" s="2">
        <v>923211</v>
      </c>
      <c r="H502" t="s">
        <v>29</v>
      </c>
      <c r="I502" t="s">
        <v>30</v>
      </c>
      <c r="J502" t="s">
        <v>31</v>
      </c>
      <c r="K502" s="50">
        <v>312390</v>
      </c>
      <c r="L502" s="50">
        <v>0</v>
      </c>
      <c r="M502" s="50">
        <v>312390</v>
      </c>
      <c r="N502" s="50">
        <v>0</v>
      </c>
      <c r="O502" t="s">
        <v>351</v>
      </c>
      <c r="P502">
        <v>79207422</v>
      </c>
      <c r="Q502" t="s">
        <v>1254</v>
      </c>
      <c r="R502" t="s">
        <v>316</v>
      </c>
      <c r="S502" t="s">
        <v>317</v>
      </c>
      <c r="T502" s="2">
        <v>2300102304</v>
      </c>
      <c r="U502" t="s">
        <v>319</v>
      </c>
      <c r="V502">
        <v>860034313</v>
      </c>
      <c r="W502" t="s">
        <v>355</v>
      </c>
      <c r="X502" s="2">
        <v>925</v>
      </c>
      <c r="Y502" s="2">
        <v>925</v>
      </c>
      <c r="Z502" s="2">
        <v>50125</v>
      </c>
      <c r="AA502">
        <v>0</v>
      </c>
      <c r="AB502">
        <v>47925</v>
      </c>
      <c r="AC502">
        <v>0</v>
      </c>
      <c r="AD502">
        <v>0</v>
      </c>
      <c r="AE502" s="5">
        <v>45727</v>
      </c>
      <c r="AF502" t="s">
        <v>1929</v>
      </c>
      <c r="AG502" t="s">
        <v>4289</v>
      </c>
      <c r="AH502" t="s">
        <v>4290</v>
      </c>
    </row>
    <row r="503" spans="1:34" ht="15" customHeight="1" x14ac:dyDescent="0.2">
      <c r="A503" t="s">
        <v>4584</v>
      </c>
      <c r="B503" t="s">
        <v>477</v>
      </c>
      <c r="C503" s="2">
        <v>50225</v>
      </c>
      <c r="D503" s="5">
        <v>45727</v>
      </c>
      <c r="E503" s="5">
        <v>45727.59375</v>
      </c>
      <c r="F503" t="s">
        <v>312</v>
      </c>
      <c r="G503" s="2">
        <v>923210</v>
      </c>
      <c r="H503" t="s">
        <v>29</v>
      </c>
      <c r="I503" t="s">
        <v>30</v>
      </c>
      <c r="J503" t="s">
        <v>31</v>
      </c>
      <c r="K503" s="50">
        <v>384493</v>
      </c>
      <c r="L503" s="50">
        <v>0</v>
      </c>
      <c r="M503" s="50">
        <v>384493</v>
      </c>
      <c r="N503" s="50">
        <v>0</v>
      </c>
      <c r="O503" t="s">
        <v>351</v>
      </c>
      <c r="P503">
        <v>79646140</v>
      </c>
      <c r="Q503" t="s">
        <v>4292</v>
      </c>
      <c r="R503" t="s">
        <v>316</v>
      </c>
      <c r="S503" t="s">
        <v>317</v>
      </c>
      <c r="T503" s="2">
        <v>5370253071</v>
      </c>
      <c r="U503" t="s">
        <v>319</v>
      </c>
      <c r="V503">
        <v>860034313</v>
      </c>
      <c r="W503" t="s">
        <v>355</v>
      </c>
      <c r="X503" s="2">
        <v>1625</v>
      </c>
      <c r="Y503" s="2">
        <v>1625</v>
      </c>
      <c r="Z503" s="2">
        <v>50225</v>
      </c>
      <c r="AA503">
        <v>0</v>
      </c>
      <c r="AB503">
        <v>52425</v>
      </c>
      <c r="AC503">
        <v>0</v>
      </c>
      <c r="AD503">
        <v>0</v>
      </c>
      <c r="AE503" s="5">
        <v>45727</v>
      </c>
      <c r="AF503" t="s">
        <v>1929</v>
      </c>
      <c r="AG503" t="s">
        <v>4295</v>
      </c>
      <c r="AH503" t="s">
        <v>4296</v>
      </c>
    </row>
    <row r="504" spans="1:34" ht="15" customHeight="1" x14ac:dyDescent="0.2">
      <c r="A504" t="s">
        <v>4585</v>
      </c>
      <c r="B504" t="s">
        <v>487</v>
      </c>
      <c r="C504" s="2">
        <v>50325</v>
      </c>
      <c r="D504" s="5">
        <v>45727</v>
      </c>
      <c r="E504" s="5">
        <v>45727.59652777778</v>
      </c>
      <c r="F504" t="s">
        <v>312</v>
      </c>
      <c r="G504" s="2">
        <v>923285</v>
      </c>
      <c r="H504" t="s">
        <v>29</v>
      </c>
      <c r="I504" t="s">
        <v>30</v>
      </c>
      <c r="J504" t="s">
        <v>31</v>
      </c>
      <c r="K504" s="50">
        <v>1289560</v>
      </c>
      <c r="L504" s="50">
        <v>0</v>
      </c>
      <c r="M504" s="50">
        <v>1289560</v>
      </c>
      <c r="N504" s="50">
        <v>0</v>
      </c>
      <c r="O504" t="s">
        <v>351</v>
      </c>
      <c r="P504">
        <v>51628565</v>
      </c>
      <c r="Q504" t="s">
        <v>1373</v>
      </c>
      <c r="R504" t="s">
        <v>316</v>
      </c>
      <c r="S504" t="s">
        <v>317</v>
      </c>
      <c r="T504" s="2">
        <v>472185420</v>
      </c>
      <c r="U504" t="s">
        <v>319</v>
      </c>
      <c r="V504">
        <v>860003020</v>
      </c>
      <c r="W504" t="s">
        <v>393</v>
      </c>
      <c r="X504" s="2">
        <v>4425</v>
      </c>
      <c r="Y504" s="2">
        <v>4425</v>
      </c>
      <c r="Z504" s="2">
        <v>50325</v>
      </c>
      <c r="AA504">
        <v>0</v>
      </c>
      <c r="AB504">
        <v>47025</v>
      </c>
      <c r="AC504">
        <v>0</v>
      </c>
      <c r="AD504">
        <v>0</v>
      </c>
      <c r="AE504" s="5">
        <v>45727</v>
      </c>
      <c r="AF504" t="s">
        <v>1929</v>
      </c>
      <c r="AG504" t="s">
        <v>4299</v>
      </c>
      <c r="AH504" t="s">
        <v>4300</v>
      </c>
    </row>
    <row r="505" spans="1:34" ht="15" customHeight="1" x14ac:dyDescent="0.2">
      <c r="A505" t="s">
        <v>4586</v>
      </c>
      <c r="B505" t="s">
        <v>478</v>
      </c>
      <c r="C505" s="2">
        <v>50425</v>
      </c>
      <c r="D505" s="5">
        <v>45727</v>
      </c>
      <c r="E505" s="5">
        <v>45727.620833333334</v>
      </c>
      <c r="F505" t="s">
        <v>27</v>
      </c>
      <c r="G505" s="2">
        <v>923210</v>
      </c>
      <c r="H505" t="s">
        <v>29</v>
      </c>
      <c r="I505" t="s">
        <v>30</v>
      </c>
      <c r="J505" t="s">
        <v>31</v>
      </c>
      <c r="K505" s="50">
        <v>19708303</v>
      </c>
      <c r="L505" s="50">
        <v>0</v>
      </c>
      <c r="M505" s="50">
        <v>19708303</v>
      </c>
      <c r="N505" s="50">
        <v>19708303</v>
      </c>
      <c r="O505" t="s">
        <v>351</v>
      </c>
      <c r="P505">
        <v>1000470652</v>
      </c>
      <c r="Q505" t="s">
        <v>4302</v>
      </c>
      <c r="R505" t="s">
        <v>316</v>
      </c>
      <c r="S505" t="s">
        <v>317</v>
      </c>
      <c r="T505" s="2">
        <v>12736955</v>
      </c>
      <c r="U505" t="s">
        <v>319</v>
      </c>
      <c r="V505">
        <v>860002964</v>
      </c>
      <c r="W505" t="s">
        <v>419</v>
      </c>
      <c r="X505" s="2">
        <v>1925</v>
      </c>
      <c r="Y505" s="2">
        <v>1925</v>
      </c>
      <c r="Z505" s="2">
        <v>50425</v>
      </c>
      <c r="AA505">
        <v>0</v>
      </c>
      <c r="AB505">
        <v>0</v>
      </c>
      <c r="AC505">
        <v>0</v>
      </c>
      <c r="AD505">
        <v>0</v>
      </c>
      <c r="AE505" s="5">
        <v>45727</v>
      </c>
      <c r="AF505" t="s">
        <v>362</v>
      </c>
      <c r="AG505" t="s">
        <v>4305</v>
      </c>
      <c r="AH505" t="s">
        <v>4306</v>
      </c>
    </row>
    <row r="506" spans="1:34" ht="15" customHeight="1" x14ac:dyDescent="0.2">
      <c r="A506" t="s">
        <v>4587</v>
      </c>
      <c r="B506" t="s">
        <v>474</v>
      </c>
      <c r="C506" s="2">
        <v>50525</v>
      </c>
      <c r="D506" s="5">
        <v>45727</v>
      </c>
      <c r="E506" s="5">
        <v>45727.724305555559</v>
      </c>
      <c r="F506" t="s">
        <v>312</v>
      </c>
      <c r="G506" s="2">
        <v>923211</v>
      </c>
      <c r="H506" t="s">
        <v>29</v>
      </c>
      <c r="I506" t="s">
        <v>30</v>
      </c>
      <c r="J506" t="s">
        <v>31</v>
      </c>
      <c r="K506" s="50">
        <v>498585</v>
      </c>
      <c r="L506" s="50">
        <v>0</v>
      </c>
      <c r="M506" s="50">
        <v>498585</v>
      </c>
      <c r="N506" s="50">
        <v>0</v>
      </c>
      <c r="O506" t="s">
        <v>351</v>
      </c>
      <c r="P506">
        <v>10261633</v>
      </c>
      <c r="Q506" t="s">
        <v>641</v>
      </c>
      <c r="R506" t="s">
        <v>316</v>
      </c>
      <c r="S506" t="s">
        <v>317</v>
      </c>
      <c r="T506" s="2">
        <v>24061350744</v>
      </c>
      <c r="U506" t="s">
        <v>319</v>
      </c>
      <c r="V506">
        <v>860007335</v>
      </c>
      <c r="W506" t="s">
        <v>381</v>
      </c>
      <c r="X506" s="2">
        <v>925</v>
      </c>
      <c r="Y506" s="2">
        <v>925</v>
      </c>
      <c r="Z506" s="2">
        <v>50525</v>
      </c>
      <c r="AA506">
        <v>0</v>
      </c>
      <c r="AB506">
        <v>46225</v>
      </c>
      <c r="AC506">
        <v>0</v>
      </c>
      <c r="AD506">
        <v>0</v>
      </c>
      <c r="AE506" s="5">
        <v>45727</v>
      </c>
      <c r="AF506" t="s">
        <v>1929</v>
      </c>
      <c r="AG506" t="s">
        <v>4309</v>
      </c>
      <c r="AH506" t="s">
        <v>4310</v>
      </c>
    </row>
    <row r="507" spans="1:34" ht="15" customHeight="1" x14ac:dyDescent="0.2">
      <c r="A507" t="s">
        <v>4588</v>
      </c>
      <c r="B507" t="s">
        <v>4519</v>
      </c>
      <c r="C507" s="2">
        <v>50625</v>
      </c>
      <c r="D507" s="5">
        <v>45728</v>
      </c>
      <c r="E507" s="5">
        <v>45728.38958333333</v>
      </c>
      <c r="F507" t="s">
        <v>312</v>
      </c>
      <c r="G507" s="2">
        <v>923284</v>
      </c>
      <c r="H507" t="s">
        <v>159</v>
      </c>
      <c r="I507" t="s">
        <v>160</v>
      </c>
      <c r="J507" t="s">
        <v>31</v>
      </c>
      <c r="K507" s="50">
        <v>404493</v>
      </c>
      <c r="L507" s="50">
        <v>0</v>
      </c>
      <c r="M507" s="50">
        <v>404493</v>
      </c>
      <c r="N507" s="50">
        <v>0</v>
      </c>
      <c r="O507" t="s">
        <v>351</v>
      </c>
      <c r="P507">
        <v>40783907</v>
      </c>
      <c r="Q507" t="s">
        <v>2044</v>
      </c>
      <c r="R507" t="s">
        <v>316</v>
      </c>
      <c r="S507" t="s">
        <v>317</v>
      </c>
      <c r="T507" s="2">
        <v>378001057</v>
      </c>
      <c r="U507" t="s">
        <v>319</v>
      </c>
      <c r="V507">
        <v>860003020</v>
      </c>
      <c r="W507" t="s">
        <v>393</v>
      </c>
      <c r="X507" s="2">
        <v>3425</v>
      </c>
      <c r="Y507" s="2">
        <v>3425</v>
      </c>
      <c r="Z507" s="2">
        <v>50625</v>
      </c>
      <c r="AA507">
        <v>0</v>
      </c>
      <c r="AB507">
        <v>51925</v>
      </c>
      <c r="AC507">
        <v>0</v>
      </c>
      <c r="AD507">
        <v>0</v>
      </c>
      <c r="AE507" s="5">
        <v>45728</v>
      </c>
      <c r="AF507" t="s">
        <v>1929</v>
      </c>
      <c r="AG507" t="s">
        <v>4313</v>
      </c>
      <c r="AH507" t="s">
        <v>4314</v>
      </c>
    </row>
    <row r="508" spans="1:34" ht="15" customHeight="1" x14ac:dyDescent="0.2">
      <c r="A508" t="s">
        <v>4589</v>
      </c>
      <c r="B508" t="s">
        <v>4590</v>
      </c>
      <c r="C508" s="2">
        <v>50725</v>
      </c>
      <c r="D508" s="5">
        <v>45728</v>
      </c>
      <c r="E508" s="5">
        <v>45728.470833333333</v>
      </c>
      <c r="F508" t="s">
        <v>27</v>
      </c>
      <c r="G508" s="2">
        <v>923242</v>
      </c>
      <c r="H508" t="s">
        <v>29</v>
      </c>
      <c r="I508" t="s">
        <v>30</v>
      </c>
      <c r="J508" t="s">
        <v>47</v>
      </c>
      <c r="K508" s="50">
        <v>31125244</v>
      </c>
      <c r="L508" s="50">
        <v>0</v>
      </c>
      <c r="M508" s="50">
        <v>31125244</v>
      </c>
      <c r="N508" s="50">
        <v>31125244</v>
      </c>
      <c r="O508" t="s">
        <v>351</v>
      </c>
      <c r="P508">
        <v>1070623987</v>
      </c>
      <c r="Q508" t="s">
        <v>2054</v>
      </c>
      <c r="R508" t="s">
        <v>316</v>
      </c>
      <c r="S508" t="s">
        <v>317</v>
      </c>
      <c r="T508" s="2">
        <v>24118937427</v>
      </c>
      <c r="U508" t="s">
        <v>319</v>
      </c>
      <c r="V508">
        <v>860007335</v>
      </c>
      <c r="W508" t="s">
        <v>381</v>
      </c>
      <c r="X508" s="2">
        <v>3625</v>
      </c>
      <c r="Y508" s="2">
        <v>3625</v>
      </c>
      <c r="Z508" s="2">
        <v>50725</v>
      </c>
      <c r="AA508">
        <v>0</v>
      </c>
      <c r="AB508">
        <v>0</v>
      </c>
      <c r="AC508">
        <v>0</v>
      </c>
      <c r="AD508">
        <v>0</v>
      </c>
      <c r="AE508" s="5">
        <v>45728</v>
      </c>
      <c r="AF508" t="s">
        <v>362</v>
      </c>
      <c r="AG508" t="s">
        <v>4317</v>
      </c>
      <c r="AH508" t="s">
        <v>4318</v>
      </c>
    </row>
    <row r="509" spans="1:34" ht="15" customHeight="1" x14ac:dyDescent="0.2">
      <c r="A509" t="s">
        <v>4591</v>
      </c>
      <c r="B509" t="s">
        <v>487</v>
      </c>
      <c r="C509" s="2">
        <v>50825</v>
      </c>
      <c r="D509" s="5">
        <v>45728</v>
      </c>
      <c r="E509" s="5">
        <v>45728.739583333336</v>
      </c>
      <c r="F509" t="s">
        <v>312</v>
      </c>
      <c r="G509" s="2">
        <v>923285</v>
      </c>
      <c r="H509" t="s">
        <v>29</v>
      </c>
      <c r="I509" t="s">
        <v>30</v>
      </c>
      <c r="J509" t="s">
        <v>31</v>
      </c>
      <c r="K509" s="50">
        <v>957170</v>
      </c>
      <c r="L509" s="50">
        <v>0</v>
      </c>
      <c r="M509" s="50">
        <v>957170</v>
      </c>
      <c r="N509" s="50">
        <v>0</v>
      </c>
      <c r="O509" t="s">
        <v>351</v>
      </c>
      <c r="P509">
        <v>1018436224</v>
      </c>
      <c r="Q509" t="s">
        <v>739</v>
      </c>
      <c r="R509" t="s">
        <v>316</v>
      </c>
      <c r="S509" t="s">
        <v>317</v>
      </c>
      <c r="T509" s="2">
        <v>22100018156</v>
      </c>
      <c r="U509" t="s">
        <v>319</v>
      </c>
      <c r="V509">
        <v>890903938</v>
      </c>
      <c r="W509" t="s">
        <v>342</v>
      </c>
      <c r="X509" s="2">
        <v>4425</v>
      </c>
      <c r="Y509" s="2">
        <v>4425</v>
      </c>
      <c r="Z509" s="2">
        <v>50825</v>
      </c>
      <c r="AA509">
        <v>0</v>
      </c>
      <c r="AB509">
        <v>50625</v>
      </c>
      <c r="AC509">
        <v>0</v>
      </c>
      <c r="AD509">
        <v>0</v>
      </c>
      <c r="AE509" s="5">
        <v>45728</v>
      </c>
      <c r="AF509" t="s">
        <v>1929</v>
      </c>
      <c r="AG509" t="s">
        <v>4321</v>
      </c>
      <c r="AH509" t="s">
        <v>4322</v>
      </c>
    </row>
    <row r="510" spans="1:34" ht="15" customHeight="1" x14ac:dyDescent="0.2">
      <c r="A510" t="s">
        <v>4592</v>
      </c>
      <c r="B510" t="s">
        <v>479</v>
      </c>
      <c r="C510" s="2">
        <v>50925</v>
      </c>
      <c r="D510" s="5">
        <v>45728</v>
      </c>
      <c r="E510" s="5">
        <v>45728.757638888892</v>
      </c>
      <c r="F510" t="s">
        <v>27</v>
      </c>
      <c r="G510" s="2">
        <v>923211</v>
      </c>
      <c r="H510" t="s">
        <v>29</v>
      </c>
      <c r="I510" t="s">
        <v>30</v>
      </c>
      <c r="J510" t="s">
        <v>31</v>
      </c>
      <c r="K510" s="50">
        <v>42622135</v>
      </c>
      <c r="L510" s="50">
        <v>0</v>
      </c>
      <c r="M510" s="50">
        <v>42622135</v>
      </c>
      <c r="N510" s="50">
        <v>42622135</v>
      </c>
      <c r="O510" t="s">
        <v>351</v>
      </c>
      <c r="P510">
        <v>1105785890</v>
      </c>
      <c r="Q510" t="s">
        <v>4324</v>
      </c>
      <c r="R510" t="s">
        <v>316</v>
      </c>
      <c r="S510" t="s">
        <v>317</v>
      </c>
      <c r="T510" s="2">
        <v>70401054</v>
      </c>
      <c r="U510" t="s">
        <v>4652</v>
      </c>
      <c r="V510">
        <v>860007335</v>
      </c>
      <c r="W510" t="s">
        <v>381</v>
      </c>
      <c r="X510" s="2">
        <v>2125</v>
      </c>
      <c r="Y510" s="2">
        <v>2125</v>
      </c>
      <c r="Z510" s="2">
        <v>50925</v>
      </c>
      <c r="AA510">
        <v>0</v>
      </c>
      <c r="AB510">
        <v>0</v>
      </c>
      <c r="AC510">
        <v>0</v>
      </c>
      <c r="AD510">
        <v>0</v>
      </c>
      <c r="AE510" s="5">
        <v>45728</v>
      </c>
      <c r="AF510" t="s">
        <v>356</v>
      </c>
      <c r="AG510" t="s">
        <v>4327</v>
      </c>
      <c r="AH510" t="s">
        <v>4328</v>
      </c>
    </row>
    <row r="511" spans="1:34" ht="15" customHeight="1" x14ac:dyDescent="0.2">
      <c r="A511" t="s">
        <v>4593</v>
      </c>
      <c r="B511" t="s">
        <v>473</v>
      </c>
      <c r="C511" s="2">
        <v>51025</v>
      </c>
      <c r="D511" s="5">
        <v>45728</v>
      </c>
      <c r="E511" s="5">
        <v>45728.761111111111</v>
      </c>
      <c r="F511" t="s">
        <v>27</v>
      </c>
      <c r="G511" s="2">
        <v>923210</v>
      </c>
      <c r="H511" t="s">
        <v>57</v>
      </c>
      <c r="I511" t="s">
        <v>58</v>
      </c>
      <c r="J511" t="s">
        <v>31</v>
      </c>
      <c r="K511" s="50">
        <v>32951081</v>
      </c>
      <c r="L511" s="50">
        <v>0</v>
      </c>
      <c r="M511" s="50">
        <v>32951081</v>
      </c>
      <c r="N511" s="50">
        <v>32951081</v>
      </c>
      <c r="O511" t="s">
        <v>351</v>
      </c>
      <c r="P511">
        <v>3020028</v>
      </c>
      <c r="Q511" t="s">
        <v>4330</v>
      </c>
      <c r="R511" t="s">
        <v>316</v>
      </c>
      <c r="S511" t="s">
        <v>317</v>
      </c>
      <c r="T511" s="2">
        <v>24099595225</v>
      </c>
      <c r="U511" t="s">
        <v>319</v>
      </c>
      <c r="V511">
        <v>860007335</v>
      </c>
      <c r="W511" t="s">
        <v>381</v>
      </c>
      <c r="X511" s="2">
        <v>825</v>
      </c>
      <c r="Y511" s="2">
        <v>825</v>
      </c>
      <c r="Z511" s="2">
        <v>51025</v>
      </c>
      <c r="AA511">
        <v>0</v>
      </c>
      <c r="AB511">
        <v>0</v>
      </c>
      <c r="AC511">
        <v>0</v>
      </c>
      <c r="AD511">
        <v>0</v>
      </c>
      <c r="AE511" s="5">
        <v>45728</v>
      </c>
      <c r="AF511" t="s">
        <v>356</v>
      </c>
      <c r="AG511" t="s">
        <v>4333</v>
      </c>
      <c r="AH511" t="s">
        <v>4334</v>
      </c>
    </row>
    <row r="512" spans="1:34" ht="15" customHeight="1" x14ac:dyDescent="0.2">
      <c r="A512" t="s">
        <v>4594</v>
      </c>
      <c r="B512" t="s">
        <v>485</v>
      </c>
      <c r="C512" s="2">
        <v>51125</v>
      </c>
      <c r="D512" s="5">
        <v>45728</v>
      </c>
      <c r="E512" s="5">
        <v>45728.770833333336</v>
      </c>
      <c r="F512" t="s">
        <v>27</v>
      </c>
      <c r="G512" s="2">
        <v>923245</v>
      </c>
      <c r="H512" t="s">
        <v>29</v>
      </c>
      <c r="I512" t="s">
        <v>30</v>
      </c>
      <c r="J512" t="s">
        <v>31</v>
      </c>
      <c r="K512" s="50">
        <v>42622135</v>
      </c>
      <c r="L512" s="50">
        <v>0</v>
      </c>
      <c r="M512" s="50">
        <v>42622135</v>
      </c>
      <c r="N512" s="50">
        <v>42622135</v>
      </c>
      <c r="O512" t="s">
        <v>351</v>
      </c>
      <c r="P512">
        <v>1010226206</v>
      </c>
      <c r="Q512" t="s">
        <v>4336</v>
      </c>
      <c r="R512" t="s">
        <v>316</v>
      </c>
      <c r="S512" t="s">
        <v>317</v>
      </c>
      <c r="T512" s="2">
        <v>488423912291</v>
      </c>
      <c r="U512" t="s">
        <v>319</v>
      </c>
      <c r="V512">
        <v>860034313</v>
      </c>
      <c r="W512" t="s">
        <v>355</v>
      </c>
      <c r="X512" s="2">
        <v>3825</v>
      </c>
      <c r="Y512" s="2">
        <v>3825</v>
      </c>
      <c r="Z512" s="2">
        <v>51125</v>
      </c>
      <c r="AA512">
        <v>0</v>
      </c>
      <c r="AB512">
        <v>0</v>
      </c>
      <c r="AC512">
        <v>0</v>
      </c>
      <c r="AD512">
        <v>0</v>
      </c>
      <c r="AE512" s="5">
        <v>45728</v>
      </c>
      <c r="AF512" t="s">
        <v>356</v>
      </c>
      <c r="AG512" t="s">
        <v>4339</v>
      </c>
      <c r="AH512" t="s">
        <v>4340</v>
      </c>
    </row>
    <row r="513" spans="1:34" ht="15" customHeight="1" x14ac:dyDescent="0.2">
      <c r="A513" t="s">
        <v>4595</v>
      </c>
      <c r="B513" t="s">
        <v>485</v>
      </c>
      <c r="C513" s="2">
        <v>51225</v>
      </c>
      <c r="D513" s="5">
        <v>45728</v>
      </c>
      <c r="E513" s="5">
        <v>45728.773611111108</v>
      </c>
      <c r="F513" t="s">
        <v>27</v>
      </c>
      <c r="G513" s="2">
        <v>923245</v>
      </c>
      <c r="H513" t="s">
        <v>29</v>
      </c>
      <c r="I513" t="s">
        <v>30</v>
      </c>
      <c r="J513" t="s">
        <v>31</v>
      </c>
      <c r="K513" s="50">
        <v>32951081</v>
      </c>
      <c r="L513" s="50">
        <v>0</v>
      </c>
      <c r="M513" s="50">
        <v>32951081</v>
      </c>
      <c r="N513" s="50">
        <v>32951081</v>
      </c>
      <c r="O513" t="s">
        <v>351</v>
      </c>
      <c r="P513">
        <v>1012405211</v>
      </c>
      <c r="Q513" t="s">
        <v>4342</v>
      </c>
      <c r="R513" t="s">
        <v>316</v>
      </c>
      <c r="S513" t="s">
        <v>317</v>
      </c>
      <c r="T513" s="2">
        <v>24144025392</v>
      </c>
      <c r="U513" t="s">
        <v>319</v>
      </c>
      <c r="V513">
        <v>860007335</v>
      </c>
      <c r="W513" t="s">
        <v>381</v>
      </c>
      <c r="X513" s="2">
        <v>3825</v>
      </c>
      <c r="Y513" s="2">
        <v>3825</v>
      </c>
      <c r="Z513" s="2">
        <v>51225</v>
      </c>
      <c r="AA513">
        <v>0</v>
      </c>
      <c r="AB513">
        <v>0</v>
      </c>
      <c r="AC513">
        <v>0</v>
      </c>
      <c r="AD513">
        <v>0</v>
      </c>
      <c r="AE513" s="5">
        <v>45728</v>
      </c>
      <c r="AF513" t="s">
        <v>356</v>
      </c>
      <c r="AG513" t="s">
        <v>4345</v>
      </c>
      <c r="AH513" t="s">
        <v>4334</v>
      </c>
    </row>
    <row r="514" spans="1:34" ht="15" customHeight="1" x14ac:dyDescent="0.2">
      <c r="A514" t="s">
        <v>4596</v>
      </c>
      <c r="B514" t="s">
        <v>485</v>
      </c>
      <c r="C514" s="2">
        <v>51325</v>
      </c>
      <c r="D514" s="5">
        <v>45728</v>
      </c>
      <c r="E514" s="5">
        <v>45728.775694444441</v>
      </c>
      <c r="F514" t="s">
        <v>27</v>
      </c>
      <c r="G514" s="2">
        <v>923245</v>
      </c>
      <c r="H514" t="s">
        <v>29</v>
      </c>
      <c r="I514" t="s">
        <v>30</v>
      </c>
      <c r="J514" t="s">
        <v>31</v>
      </c>
      <c r="K514" s="50">
        <v>42622135</v>
      </c>
      <c r="L514" s="50">
        <v>0</v>
      </c>
      <c r="M514" s="50">
        <v>42622135</v>
      </c>
      <c r="N514" s="50">
        <v>42622135</v>
      </c>
      <c r="O514" t="s">
        <v>351</v>
      </c>
      <c r="P514">
        <v>79864725</v>
      </c>
      <c r="Q514" t="s">
        <v>4347</v>
      </c>
      <c r="R514" t="s">
        <v>316</v>
      </c>
      <c r="S514" t="s">
        <v>317</v>
      </c>
      <c r="T514" s="2">
        <v>24120858705</v>
      </c>
      <c r="U514" t="s">
        <v>319</v>
      </c>
      <c r="V514">
        <v>860007335</v>
      </c>
      <c r="W514" t="s">
        <v>381</v>
      </c>
      <c r="X514" s="2">
        <v>3825</v>
      </c>
      <c r="Y514" s="2">
        <v>3825</v>
      </c>
      <c r="Z514" s="2">
        <v>51325</v>
      </c>
      <c r="AA514">
        <v>0</v>
      </c>
      <c r="AB514">
        <v>0</v>
      </c>
      <c r="AC514">
        <v>0</v>
      </c>
      <c r="AD514">
        <v>0</v>
      </c>
      <c r="AE514" s="5">
        <v>45728</v>
      </c>
      <c r="AF514" t="s">
        <v>356</v>
      </c>
      <c r="AG514" t="s">
        <v>4350</v>
      </c>
      <c r="AH514" t="s">
        <v>4351</v>
      </c>
    </row>
    <row r="515" spans="1:34" ht="15" customHeight="1" x14ac:dyDescent="0.2">
      <c r="A515" t="s">
        <v>4597</v>
      </c>
      <c r="B515" t="s">
        <v>485</v>
      </c>
      <c r="C515" s="2">
        <v>51425</v>
      </c>
      <c r="D515" s="5">
        <v>45728</v>
      </c>
      <c r="E515" s="5">
        <v>45728.777777777781</v>
      </c>
      <c r="F515" t="s">
        <v>27</v>
      </c>
      <c r="G515" s="2">
        <v>923245</v>
      </c>
      <c r="H515" t="s">
        <v>29</v>
      </c>
      <c r="I515" t="s">
        <v>30</v>
      </c>
      <c r="J515" t="s">
        <v>31</v>
      </c>
      <c r="K515" s="50">
        <v>42622135</v>
      </c>
      <c r="L515" s="50">
        <v>0</v>
      </c>
      <c r="M515" s="50">
        <v>42622135</v>
      </c>
      <c r="N515" s="50">
        <v>42622135</v>
      </c>
      <c r="O515" t="s">
        <v>351</v>
      </c>
      <c r="P515">
        <v>53122604</v>
      </c>
      <c r="Q515" t="s">
        <v>4353</v>
      </c>
      <c r="R515" t="s">
        <v>316</v>
      </c>
      <c r="S515" t="s">
        <v>317</v>
      </c>
      <c r="T515" s="2">
        <v>488408900642</v>
      </c>
      <c r="U515" t="s">
        <v>319</v>
      </c>
      <c r="V515">
        <v>860034313</v>
      </c>
      <c r="W515" t="s">
        <v>355</v>
      </c>
      <c r="X515" s="2">
        <v>3825</v>
      </c>
      <c r="Y515" s="2">
        <v>3825</v>
      </c>
      <c r="Z515" s="2">
        <v>51425</v>
      </c>
      <c r="AA515">
        <v>0</v>
      </c>
      <c r="AB515">
        <v>0</v>
      </c>
      <c r="AC515">
        <v>0</v>
      </c>
      <c r="AD515">
        <v>0</v>
      </c>
      <c r="AE515" s="5">
        <v>45728</v>
      </c>
      <c r="AF515" t="s">
        <v>356</v>
      </c>
      <c r="AG515" t="s">
        <v>4356</v>
      </c>
      <c r="AH515" t="s">
        <v>724</v>
      </c>
    </row>
    <row r="516" spans="1:34" ht="15" customHeight="1" x14ac:dyDescent="0.2">
      <c r="A516" t="s">
        <v>4598</v>
      </c>
      <c r="B516" t="s">
        <v>479</v>
      </c>
      <c r="C516" s="2">
        <v>51525</v>
      </c>
      <c r="D516" s="5">
        <v>45728</v>
      </c>
      <c r="E516" s="5">
        <v>45728.822916666664</v>
      </c>
      <c r="F516" t="s">
        <v>27</v>
      </c>
      <c r="G516" s="2">
        <v>923211</v>
      </c>
      <c r="H516" t="s">
        <v>29</v>
      </c>
      <c r="I516" t="s">
        <v>30</v>
      </c>
      <c r="J516" t="s">
        <v>31</v>
      </c>
      <c r="K516" s="50">
        <v>42622135</v>
      </c>
      <c r="L516" s="50">
        <v>0</v>
      </c>
      <c r="M516" s="50">
        <v>42622135</v>
      </c>
      <c r="N516" s="50">
        <v>42622135</v>
      </c>
      <c r="O516" t="s">
        <v>351</v>
      </c>
      <c r="P516">
        <v>1057872129</v>
      </c>
      <c r="Q516" t="s">
        <v>4358</v>
      </c>
      <c r="R516" t="s">
        <v>316</v>
      </c>
      <c r="S516" t="s">
        <v>317</v>
      </c>
      <c r="T516" s="2">
        <v>62900000591</v>
      </c>
      <c r="U516" t="s">
        <v>319</v>
      </c>
      <c r="V516">
        <v>890903938</v>
      </c>
      <c r="W516" t="s">
        <v>342</v>
      </c>
      <c r="X516" s="2">
        <v>2125</v>
      </c>
      <c r="Y516" s="2">
        <v>2125</v>
      </c>
      <c r="Z516" s="2">
        <v>51525</v>
      </c>
      <c r="AA516">
        <v>0</v>
      </c>
      <c r="AB516">
        <v>0</v>
      </c>
      <c r="AC516">
        <v>0</v>
      </c>
      <c r="AD516">
        <v>0</v>
      </c>
      <c r="AE516" s="5">
        <v>45728</v>
      </c>
      <c r="AF516" t="s">
        <v>356</v>
      </c>
      <c r="AG516" t="s">
        <v>4361</v>
      </c>
      <c r="AH516" t="s">
        <v>4362</v>
      </c>
    </row>
    <row r="517" spans="1:34" ht="15" customHeight="1" x14ac:dyDescent="0.2">
      <c r="A517" t="s">
        <v>4599</v>
      </c>
      <c r="B517" t="s">
        <v>479</v>
      </c>
      <c r="C517" s="2">
        <v>51625</v>
      </c>
      <c r="D517" s="5">
        <v>45728</v>
      </c>
      <c r="E517" s="5">
        <v>45728.825694444444</v>
      </c>
      <c r="F517" t="s">
        <v>27</v>
      </c>
      <c r="G517" s="2">
        <v>923211</v>
      </c>
      <c r="H517" t="s">
        <v>29</v>
      </c>
      <c r="I517" t="s">
        <v>30</v>
      </c>
      <c r="J517" t="s">
        <v>31</v>
      </c>
      <c r="K517" s="50">
        <v>42622135</v>
      </c>
      <c r="L517" s="50">
        <v>0</v>
      </c>
      <c r="M517" s="50">
        <v>42622135</v>
      </c>
      <c r="N517" s="50">
        <v>42622135</v>
      </c>
      <c r="O517" t="s">
        <v>351</v>
      </c>
      <c r="P517">
        <v>1069722597</v>
      </c>
      <c r="Q517" t="s">
        <v>4364</v>
      </c>
      <c r="R517" t="s">
        <v>316</v>
      </c>
      <c r="S517" t="s">
        <v>317</v>
      </c>
      <c r="T517" s="2">
        <v>488438199603</v>
      </c>
      <c r="U517" t="s">
        <v>319</v>
      </c>
      <c r="V517">
        <v>860034313</v>
      </c>
      <c r="W517" t="s">
        <v>355</v>
      </c>
      <c r="X517" s="2">
        <v>2125</v>
      </c>
      <c r="Y517" s="2">
        <v>2125</v>
      </c>
      <c r="Z517" s="2">
        <v>51625</v>
      </c>
      <c r="AA517">
        <v>0</v>
      </c>
      <c r="AB517">
        <v>0</v>
      </c>
      <c r="AC517">
        <v>0</v>
      </c>
      <c r="AD517">
        <v>0</v>
      </c>
      <c r="AE517" s="5">
        <v>45728</v>
      </c>
      <c r="AF517" t="s">
        <v>356</v>
      </c>
      <c r="AG517" t="s">
        <v>4367</v>
      </c>
      <c r="AH517" t="s">
        <v>4328</v>
      </c>
    </row>
    <row r="518" spans="1:34" ht="15" customHeight="1" x14ac:dyDescent="0.2">
      <c r="A518" t="s">
        <v>4600</v>
      </c>
      <c r="B518" t="s">
        <v>479</v>
      </c>
      <c r="C518" s="2">
        <v>51725</v>
      </c>
      <c r="D518" s="5">
        <v>45728</v>
      </c>
      <c r="E518" s="5">
        <v>45728.833333333336</v>
      </c>
      <c r="F518" t="s">
        <v>27</v>
      </c>
      <c r="G518" s="2">
        <v>923211</v>
      </c>
      <c r="H518" t="s">
        <v>29</v>
      </c>
      <c r="I518" t="s">
        <v>30</v>
      </c>
      <c r="J518" t="s">
        <v>31</v>
      </c>
      <c r="K518" s="50">
        <v>42622135</v>
      </c>
      <c r="L518" s="50">
        <v>0</v>
      </c>
      <c r="M518" s="50">
        <v>42622135</v>
      </c>
      <c r="N518" s="50">
        <v>42622135</v>
      </c>
      <c r="O518" t="s">
        <v>351</v>
      </c>
      <c r="P518">
        <v>1001344581</v>
      </c>
      <c r="Q518" t="s">
        <v>4369</v>
      </c>
      <c r="R518" t="s">
        <v>316</v>
      </c>
      <c r="S518" t="s">
        <v>317</v>
      </c>
      <c r="T518" s="2">
        <v>133396836</v>
      </c>
      <c r="U518" t="s">
        <v>319</v>
      </c>
      <c r="V518">
        <v>901526741</v>
      </c>
      <c r="W518" t="s">
        <v>4372</v>
      </c>
      <c r="X518" s="2">
        <v>2125</v>
      </c>
      <c r="Y518" s="2">
        <v>2125</v>
      </c>
      <c r="Z518" s="2">
        <v>51725</v>
      </c>
      <c r="AA518">
        <v>0</v>
      </c>
      <c r="AB518">
        <v>0</v>
      </c>
      <c r="AC518">
        <v>0</v>
      </c>
      <c r="AD518">
        <v>0</v>
      </c>
      <c r="AE518" s="5">
        <v>45728</v>
      </c>
      <c r="AF518" t="s">
        <v>356</v>
      </c>
      <c r="AG518" t="s">
        <v>4374</v>
      </c>
      <c r="AH518" t="s">
        <v>644</v>
      </c>
    </row>
    <row r="519" spans="1:34" ht="15" customHeight="1" x14ac:dyDescent="0.2">
      <c r="A519" t="s">
        <v>4601</v>
      </c>
      <c r="B519" t="s">
        <v>479</v>
      </c>
      <c r="C519" s="2">
        <v>51825</v>
      </c>
      <c r="D519" s="5">
        <v>45728</v>
      </c>
      <c r="E519" s="5">
        <v>45728.835416666669</v>
      </c>
      <c r="F519" t="s">
        <v>27</v>
      </c>
      <c r="G519" s="2">
        <v>923211</v>
      </c>
      <c r="H519" t="s">
        <v>29</v>
      </c>
      <c r="I519" t="s">
        <v>30</v>
      </c>
      <c r="J519" t="s">
        <v>31</v>
      </c>
      <c r="K519" s="50">
        <v>42622135</v>
      </c>
      <c r="L519" s="50">
        <v>0</v>
      </c>
      <c r="M519" s="50">
        <v>42622135</v>
      </c>
      <c r="N519" s="50">
        <v>42622135</v>
      </c>
      <c r="O519" t="s">
        <v>351</v>
      </c>
      <c r="P519">
        <v>79211118</v>
      </c>
      <c r="Q519" t="s">
        <v>4376</v>
      </c>
      <c r="R519" t="s">
        <v>316</v>
      </c>
      <c r="S519" t="s">
        <v>317</v>
      </c>
      <c r="T519" s="2">
        <v>22100006525</v>
      </c>
      <c r="U519" t="s">
        <v>319</v>
      </c>
      <c r="V519">
        <v>890903938</v>
      </c>
      <c r="W519" t="s">
        <v>342</v>
      </c>
      <c r="X519" s="2">
        <v>2125</v>
      </c>
      <c r="Y519" s="2">
        <v>2125</v>
      </c>
      <c r="Z519" s="2">
        <v>51825</v>
      </c>
      <c r="AA519">
        <v>0</v>
      </c>
      <c r="AB519">
        <v>0</v>
      </c>
      <c r="AC519">
        <v>0</v>
      </c>
      <c r="AD519">
        <v>0</v>
      </c>
      <c r="AE519" s="5">
        <v>45728</v>
      </c>
      <c r="AF519" t="s">
        <v>356</v>
      </c>
      <c r="AG519" t="s">
        <v>4379</v>
      </c>
      <c r="AH519" t="s">
        <v>644</v>
      </c>
    </row>
    <row r="520" spans="1:34" ht="15" customHeight="1" x14ac:dyDescent="0.2">
      <c r="A520" t="s">
        <v>4602</v>
      </c>
      <c r="B520" t="s">
        <v>479</v>
      </c>
      <c r="C520" s="2">
        <v>51925</v>
      </c>
      <c r="D520" s="5">
        <v>45728</v>
      </c>
      <c r="E520" s="5">
        <v>45728.837500000001</v>
      </c>
      <c r="F520" t="s">
        <v>27</v>
      </c>
      <c r="G520" s="2">
        <v>923211</v>
      </c>
      <c r="H520" t="s">
        <v>29</v>
      </c>
      <c r="I520" t="s">
        <v>30</v>
      </c>
      <c r="J520" t="s">
        <v>31</v>
      </c>
      <c r="K520" s="50">
        <v>42622135</v>
      </c>
      <c r="L520" s="50">
        <v>0</v>
      </c>
      <c r="M520" s="50">
        <v>42622135</v>
      </c>
      <c r="N520" s="50">
        <v>42622135</v>
      </c>
      <c r="O520" t="s">
        <v>351</v>
      </c>
      <c r="P520">
        <v>80134583</v>
      </c>
      <c r="Q520" t="s">
        <v>4381</v>
      </c>
      <c r="R520" t="s">
        <v>316</v>
      </c>
      <c r="S520" t="s">
        <v>317</v>
      </c>
      <c r="T520" s="2">
        <v>488402000183</v>
      </c>
      <c r="U520" t="s">
        <v>319</v>
      </c>
      <c r="V520">
        <v>860034313</v>
      </c>
      <c r="W520" t="s">
        <v>355</v>
      </c>
      <c r="X520" s="2">
        <v>2125</v>
      </c>
      <c r="Y520" s="2">
        <v>2125</v>
      </c>
      <c r="Z520" s="2">
        <v>51925</v>
      </c>
      <c r="AA520">
        <v>0</v>
      </c>
      <c r="AB520">
        <v>0</v>
      </c>
      <c r="AC520">
        <v>0</v>
      </c>
      <c r="AD520">
        <v>0</v>
      </c>
      <c r="AE520" s="5">
        <v>45728</v>
      </c>
      <c r="AF520" t="s">
        <v>356</v>
      </c>
      <c r="AG520" t="s">
        <v>4384</v>
      </c>
      <c r="AH520" t="s">
        <v>655</v>
      </c>
    </row>
    <row r="521" spans="1:34" ht="15" customHeight="1" x14ac:dyDescent="0.2">
      <c r="A521" t="s">
        <v>4603</v>
      </c>
      <c r="B521" t="s">
        <v>479</v>
      </c>
      <c r="C521" s="2">
        <v>52025</v>
      </c>
      <c r="D521" s="5">
        <v>45728</v>
      </c>
      <c r="E521" s="5">
        <v>45728.854861111111</v>
      </c>
      <c r="F521" t="s">
        <v>27</v>
      </c>
      <c r="G521" s="2">
        <v>923211</v>
      </c>
      <c r="H521" t="s">
        <v>29</v>
      </c>
      <c r="I521" t="s">
        <v>30</v>
      </c>
      <c r="J521" t="s">
        <v>31</v>
      </c>
      <c r="K521" s="50">
        <v>42622135</v>
      </c>
      <c r="L521" s="50">
        <v>0</v>
      </c>
      <c r="M521" s="50">
        <v>42622135</v>
      </c>
      <c r="N521" s="50">
        <v>42622135</v>
      </c>
      <c r="O521" t="s">
        <v>351</v>
      </c>
      <c r="P521">
        <v>1072190319</v>
      </c>
      <c r="Q521" t="s">
        <v>4386</v>
      </c>
      <c r="R521" t="s">
        <v>316</v>
      </c>
      <c r="S521" t="s">
        <v>317</v>
      </c>
      <c r="T521" s="2">
        <v>587097981</v>
      </c>
      <c r="U521" t="s">
        <v>319</v>
      </c>
      <c r="V521">
        <v>860002964</v>
      </c>
      <c r="W521" t="s">
        <v>419</v>
      </c>
      <c r="X521" s="2">
        <v>2125</v>
      </c>
      <c r="Y521" s="2">
        <v>2125</v>
      </c>
      <c r="Z521" s="2">
        <v>52025</v>
      </c>
      <c r="AA521">
        <v>0</v>
      </c>
      <c r="AB521">
        <v>0</v>
      </c>
      <c r="AC521">
        <v>0</v>
      </c>
      <c r="AD521">
        <v>0</v>
      </c>
      <c r="AE521" s="5">
        <v>45728</v>
      </c>
      <c r="AF521" t="s">
        <v>356</v>
      </c>
      <c r="AG521" t="s">
        <v>4389</v>
      </c>
      <c r="AH521" t="s">
        <v>4390</v>
      </c>
    </row>
    <row r="522" spans="1:34" ht="15" customHeight="1" x14ac:dyDescent="0.2">
      <c r="A522" t="s">
        <v>4604</v>
      </c>
      <c r="B522" t="s">
        <v>479</v>
      </c>
      <c r="C522" s="2">
        <v>52125</v>
      </c>
      <c r="D522" s="5">
        <v>45728</v>
      </c>
      <c r="E522" s="5">
        <v>45728.857638888891</v>
      </c>
      <c r="F522" t="s">
        <v>27</v>
      </c>
      <c r="G522" s="2">
        <v>923211</v>
      </c>
      <c r="H522" t="s">
        <v>29</v>
      </c>
      <c r="I522" t="s">
        <v>30</v>
      </c>
      <c r="J522" t="s">
        <v>31</v>
      </c>
      <c r="K522" s="50">
        <v>42622135</v>
      </c>
      <c r="L522" s="50">
        <v>0</v>
      </c>
      <c r="M522" s="50">
        <v>42622135</v>
      </c>
      <c r="N522" s="50">
        <v>42622135</v>
      </c>
      <c r="O522" t="s">
        <v>351</v>
      </c>
      <c r="P522">
        <v>1069734271</v>
      </c>
      <c r="Q522" t="s">
        <v>4392</v>
      </c>
      <c r="R522" t="s">
        <v>316</v>
      </c>
      <c r="S522" t="s">
        <v>317</v>
      </c>
      <c r="T522" s="2">
        <v>26454582283</v>
      </c>
      <c r="U522" t="s">
        <v>319</v>
      </c>
      <c r="V522">
        <v>890903938</v>
      </c>
      <c r="W522" t="s">
        <v>342</v>
      </c>
      <c r="X522" s="2">
        <v>2125</v>
      </c>
      <c r="Y522" s="2">
        <v>2125</v>
      </c>
      <c r="Z522" s="2">
        <v>52125</v>
      </c>
      <c r="AA522">
        <v>0</v>
      </c>
      <c r="AB522">
        <v>0</v>
      </c>
      <c r="AC522">
        <v>0</v>
      </c>
      <c r="AD522">
        <v>0</v>
      </c>
      <c r="AE522" s="5">
        <v>45728</v>
      </c>
      <c r="AF522" t="s">
        <v>356</v>
      </c>
      <c r="AG522" t="s">
        <v>4395</v>
      </c>
      <c r="AH522" t="s">
        <v>644</v>
      </c>
    </row>
    <row r="523" spans="1:34" ht="15" customHeight="1" x14ac:dyDescent="0.2">
      <c r="A523" t="s">
        <v>4605</v>
      </c>
      <c r="B523" t="s">
        <v>479</v>
      </c>
      <c r="C523" s="2">
        <v>52225</v>
      </c>
      <c r="D523" s="5">
        <v>45728</v>
      </c>
      <c r="E523" s="5">
        <v>45728.86041666667</v>
      </c>
      <c r="F523" t="s">
        <v>27</v>
      </c>
      <c r="G523" s="2">
        <v>923211</v>
      </c>
      <c r="H523" t="s">
        <v>29</v>
      </c>
      <c r="I523" t="s">
        <v>30</v>
      </c>
      <c r="J523" t="s">
        <v>31</v>
      </c>
      <c r="K523" s="50">
        <v>42622135</v>
      </c>
      <c r="L523" s="50">
        <v>0</v>
      </c>
      <c r="M523" s="50">
        <v>42622135</v>
      </c>
      <c r="N523" s="50">
        <v>42622135</v>
      </c>
      <c r="O523" t="s">
        <v>351</v>
      </c>
      <c r="P523">
        <v>13994183</v>
      </c>
      <c r="Q523" t="s">
        <v>4397</v>
      </c>
      <c r="R523" t="s">
        <v>316</v>
      </c>
      <c r="S523" t="s">
        <v>317</v>
      </c>
      <c r="T523" s="2">
        <v>24051103491</v>
      </c>
      <c r="U523" t="s">
        <v>319</v>
      </c>
      <c r="V523">
        <v>860007335</v>
      </c>
      <c r="W523" t="s">
        <v>381</v>
      </c>
      <c r="X523" s="2">
        <v>2125</v>
      </c>
      <c r="Y523" s="2">
        <v>2125</v>
      </c>
      <c r="Z523" s="2">
        <v>52225</v>
      </c>
      <c r="AA523">
        <v>0</v>
      </c>
      <c r="AB523">
        <v>0</v>
      </c>
      <c r="AC523">
        <v>0</v>
      </c>
      <c r="AD523">
        <v>0</v>
      </c>
      <c r="AE523" s="5">
        <v>45728</v>
      </c>
      <c r="AF523" t="s">
        <v>356</v>
      </c>
      <c r="AG523" t="s">
        <v>4400</v>
      </c>
      <c r="AH523" t="s">
        <v>644</v>
      </c>
    </row>
    <row r="524" spans="1:34" ht="15" customHeight="1" x14ac:dyDescent="0.2">
      <c r="A524" t="s">
        <v>4606</v>
      </c>
      <c r="B524" t="s">
        <v>479</v>
      </c>
      <c r="C524" s="2">
        <v>52325</v>
      </c>
      <c r="D524" s="5">
        <v>45728</v>
      </c>
      <c r="E524" s="5">
        <v>45728.862500000003</v>
      </c>
      <c r="F524" t="s">
        <v>27</v>
      </c>
      <c r="G524" s="2">
        <v>923211</v>
      </c>
      <c r="H524" t="s">
        <v>29</v>
      </c>
      <c r="I524" t="s">
        <v>30</v>
      </c>
      <c r="J524" t="s">
        <v>31</v>
      </c>
      <c r="K524" s="50">
        <v>42622135</v>
      </c>
      <c r="L524" s="50">
        <v>0</v>
      </c>
      <c r="M524" s="50">
        <v>42622135</v>
      </c>
      <c r="N524" s="50">
        <v>42622135</v>
      </c>
      <c r="O524" t="s">
        <v>351</v>
      </c>
      <c r="P524">
        <v>1026592555</v>
      </c>
      <c r="Q524" t="s">
        <v>4402</v>
      </c>
      <c r="R524" t="s">
        <v>316</v>
      </c>
      <c r="S524" t="s">
        <v>317</v>
      </c>
      <c r="T524" s="2">
        <v>91242733661</v>
      </c>
      <c r="U524" t="s">
        <v>319</v>
      </c>
      <c r="V524">
        <v>890903938</v>
      </c>
      <c r="W524" t="s">
        <v>342</v>
      </c>
      <c r="X524" s="2">
        <v>2125</v>
      </c>
      <c r="Y524" s="2">
        <v>2125</v>
      </c>
      <c r="Z524" s="2">
        <v>52325</v>
      </c>
      <c r="AA524">
        <v>0</v>
      </c>
      <c r="AB524">
        <v>0</v>
      </c>
      <c r="AC524">
        <v>0</v>
      </c>
      <c r="AD524">
        <v>0</v>
      </c>
      <c r="AE524" s="5">
        <v>45728</v>
      </c>
      <c r="AF524" t="s">
        <v>356</v>
      </c>
      <c r="AG524" t="s">
        <v>4405</v>
      </c>
      <c r="AH524" t="s">
        <v>644</v>
      </c>
    </row>
    <row r="525" spans="1:34" ht="15" customHeight="1" x14ac:dyDescent="0.2">
      <c r="A525" t="s">
        <v>4607</v>
      </c>
      <c r="B525" t="s">
        <v>479</v>
      </c>
      <c r="C525" s="2">
        <v>52425</v>
      </c>
      <c r="D525" s="5">
        <v>45728</v>
      </c>
      <c r="E525" s="5">
        <v>45728.864583333336</v>
      </c>
      <c r="F525" t="s">
        <v>27</v>
      </c>
      <c r="G525" s="2">
        <v>923211</v>
      </c>
      <c r="H525" t="s">
        <v>29</v>
      </c>
      <c r="I525" t="s">
        <v>30</v>
      </c>
      <c r="J525" t="s">
        <v>31</v>
      </c>
      <c r="K525" s="50">
        <v>42622135</v>
      </c>
      <c r="L525" s="50">
        <v>0</v>
      </c>
      <c r="M525" s="50">
        <v>42622135</v>
      </c>
      <c r="N525" s="50">
        <v>42622135</v>
      </c>
      <c r="O525" t="s">
        <v>351</v>
      </c>
      <c r="P525">
        <v>1105690117</v>
      </c>
      <c r="Q525" t="s">
        <v>4407</v>
      </c>
      <c r="R525" t="s">
        <v>316</v>
      </c>
      <c r="S525" t="s">
        <v>317</v>
      </c>
      <c r="T525" s="2">
        <v>488451360678</v>
      </c>
      <c r="U525" t="s">
        <v>319</v>
      </c>
      <c r="V525">
        <v>860034313</v>
      </c>
      <c r="W525" t="s">
        <v>355</v>
      </c>
      <c r="X525" s="2">
        <v>2125</v>
      </c>
      <c r="Y525" s="2">
        <v>2125</v>
      </c>
      <c r="Z525" s="2">
        <v>52425</v>
      </c>
      <c r="AA525">
        <v>0</v>
      </c>
      <c r="AB525">
        <v>0</v>
      </c>
      <c r="AC525">
        <v>0</v>
      </c>
      <c r="AD525">
        <v>0</v>
      </c>
      <c r="AE525" s="5">
        <v>45728</v>
      </c>
      <c r="AF525" t="s">
        <v>356</v>
      </c>
      <c r="AG525" t="s">
        <v>4410</v>
      </c>
      <c r="AH525" t="s">
        <v>644</v>
      </c>
    </row>
    <row r="526" spans="1:34" ht="15" customHeight="1" x14ac:dyDescent="0.2">
      <c r="A526" t="s">
        <v>4791</v>
      </c>
      <c r="B526" t="s">
        <v>482</v>
      </c>
      <c r="C526" s="2">
        <v>52525</v>
      </c>
      <c r="D526" s="5">
        <v>45729</v>
      </c>
      <c r="E526" s="5">
        <v>45729.662499999999</v>
      </c>
      <c r="F526" t="s">
        <v>312</v>
      </c>
      <c r="G526" s="2">
        <v>923228</v>
      </c>
      <c r="H526" t="s">
        <v>159</v>
      </c>
      <c r="I526" t="s">
        <v>160</v>
      </c>
      <c r="J526" t="s">
        <v>31</v>
      </c>
      <c r="K526" s="50">
        <v>299536</v>
      </c>
      <c r="L526" s="50">
        <v>0</v>
      </c>
      <c r="M526" s="50">
        <v>299536</v>
      </c>
      <c r="N526" s="50">
        <v>0</v>
      </c>
      <c r="O526" t="s">
        <v>351</v>
      </c>
      <c r="P526">
        <v>40783907</v>
      </c>
      <c r="Q526" t="s">
        <v>2044</v>
      </c>
      <c r="R526" t="s">
        <v>316</v>
      </c>
      <c r="S526" t="s">
        <v>317</v>
      </c>
      <c r="T526" s="2">
        <v>378001057</v>
      </c>
      <c r="U526" t="s">
        <v>319</v>
      </c>
      <c r="V526">
        <v>860003020</v>
      </c>
      <c r="W526" t="s">
        <v>393</v>
      </c>
      <c r="X526" s="2">
        <v>3425</v>
      </c>
      <c r="Y526" s="2">
        <v>3425</v>
      </c>
      <c r="Z526" s="2">
        <v>52525</v>
      </c>
      <c r="AA526">
        <v>0</v>
      </c>
      <c r="AB526">
        <v>52025</v>
      </c>
      <c r="AC526">
        <v>0</v>
      </c>
      <c r="AD526">
        <v>0</v>
      </c>
      <c r="AE526" s="5">
        <v>45729</v>
      </c>
      <c r="AF526" t="s">
        <v>1929</v>
      </c>
      <c r="AG526" t="s">
        <v>4655</v>
      </c>
      <c r="AH526" t="s">
        <v>4656</v>
      </c>
    </row>
    <row r="527" spans="1:34" ht="15" customHeight="1" x14ac:dyDescent="0.2">
      <c r="A527" t="s">
        <v>4792</v>
      </c>
      <c r="B527" t="s">
        <v>489</v>
      </c>
      <c r="C527" s="2">
        <v>52625</v>
      </c>
      <c r="D527" s="5">
        <v>45729</v>
      </c>
      <c r="E527" s="5">
        <v>45729.698611111111</v>
      </c>
      <c r="F527" t="s">
        <v>312</v>
      </c>
      <c r="G527" s="2">
        <v>923290</v>
      </c>
      <c r="H527" t="s">
        <v>29</v>
      </c>
      <c r="I527" t="s">
        <v>30</v>
      </c>
      <c r="J527" t="s">
        <v>31</v>
      </c>
      <c r="K527" s="50">
        <v>634780</v>
      </c>
      <c r="L527" s="50">
        <v>0</v>
      </c>
      <c r="M527" s="50">
        <v>634780</v>
      </c>
      <c r="N527" s="50">
        <v>0</v>
      </c>
      <c r="O527" t="s">
        <v>351</v>
      </c>
      <c r="P527">
        <v>1012449137</v>
      </c>
      <c r="Q527" t="s">
        <v>390</v>
      </c>
      <c r="R527" t="s">
        <v>316</v>
      </c>
      <c r="S527" t="s">
        <v>317</v>
      </c>
      <c r="T527" s="2">
        <v>883150385</v>
      </c>
      <c r="U527" t="s">
        <v>319</v>
      </c>
      <c r="V527">
        <v>860003020</v>
      </c>
      <c r="W527" t="s">
        <v>393</v>
      </c>
      <c r="X527" s="2">
        <v>4925</v>
      </c>
      <c r="Y527" s="2">
        <v>4925</v>
      </c>
      <c r="Z527" s="2">
        <v>52625</v>
      </c>
      <c r="AA527">
        <v>0</v>
      </c>
      <c r="AB527">
        <v>50425</v>
      </c>
      <c r="AC527">
        <v>0</v>
      </c>
      <c r="AD527">
        <v>0</v>
      </c>
      <c r="AE527" s="5">
        <v>45729</v>
      </c>
      <c r="AF527" t="s">
        <v>1929</v>
      </c>
      <c r="AG527" t="s">
        <v>4659</v>
      </c>
      <c r="AH527" t="s">
        <v>4660</v>
      </c>
    </row>
    <row r="528" spans="1:34" ht="15" customHeight="1" x14ac:dyDescent="0.2">
      <c r="A528" t="s">
        <v>4793</v>
      </c>
      <c r="B528" t="s">
        <v>472</v>
      </c>
      <c r="C528" s="2">
        <v>52725</v>
      </c>
      <c r="D528" s="5">
        <v>45729</v>
      </c>
      <c r="E528" s="5">
        <v>45729.700694444444</v>
      </c>
      <c r="F528" t="s">
        <v>312</v>
      </c>
      <c r="G528" s="2">
        <v>923238</v>
      </c>
      <c r="H528" t="s">
        <v>29</v>
      </c>
      <c r="I528" t="s">
        <v>30</v>
      </c>
      <c r="J528" t="s">
        <v>31</v>
      </c>
      <c r="K528" s="50">
        <v>749364</v>
      </c>
      <c r="L528" s="50">
        <v>0</v>
      </c>
      <c r="M528" s="50">
        <v>749364</v>
      </c>
      <c r="N528" s="50">
        <v>0</v>
      </c>
      <c r="O528" t="s">
        <v>351</v>
      </c>
      <c r="P528">
        <v>80724086</v>
      </c>
      <c r="Q528" t="s">
        <v>1926</v>
      </c>
      <c r="R528" t="s">
        <v>316</v>
      </c>
      <c r="S528" t="s">
        <v>317</v>
      </c>
      <c r="T528" s="2">
        <v>22127248099</v>
      </c>
      <c r="U528" t="s">
        <v>319</v>
      </c>
      <c r="V528">
        <v>890903938</v>
      </c>
      <c r="W528" t="s">
        <v>342</v>
      </c>
      <c r="X528" s="2">
        <v>325</v>
      </c>
      <c r="Y528" s="2">
        <v>325</v>
      </c>
      <c r="Z528" s="2">
        <v>52725</v>
      </c>
      <c r="AA528">
        <v>0</v>
      </c>
      <c r="AB528">
        <v>52625</v>
      </c>
      <c r="AC528">
        <v>0</v>
      </c>
      <c r="AD528">
        <v>0</v>
      </c>
      <c r="AE528" s="5">
        <v>45729</v>
      </c>
      <c r="AF528" t="s">
        <v>1929</v>
      </c>
      <c r="AG528" t="s">
        <v>4662</v>
      </c>
      <c r="AH528" t="s">
        <v>4663</v>
      </c>
    </row>
    <row r="529" spans="1:34" ht="15" customHeight="1" x14ac:dyDescent="0.2">
      <c r="A529" t="s">
        <v>4794</v>
      </c>
      <c r="B529" t="s">
        <v>477</v>
      </c>
      <c r="C529" s="2">
        <v>52825</v>
      </c>
      <c r="D529" s="5">
        <v>45729</v>
      </c>
      <c r="E529" s="5">
        <v>45729.704861111109</v>
      </c>
      <c r="F529" t="s">
        <v>312</v>
      </c>
      <c r="G529" s="2">
        <v>923210</v>
      </c>
      <c r="H529" t="s">
        <v>29</v>
      </c>
      <c r="I529" t="s">
        <v>30</v>
      </c>
      <c r="J529" t="s">
        <v>31</v>
      </c>
      <c r="K529" s="50">
        <v>114445</v>
      </c>
      <c r="L529" s="50">
        <v>0</v>
      </c>
      <c r="M529" s="50">
        <v>114445</v>
      </c>
      <c r="N529" s="50">
        <v>0</v>
      </c>
      <c r="O529" t="s">
        <v>351</v>
      </c>
      <c r="P529">
        <v>88162602</v>
      </c>
      <c r="Q529" t="s">
        <v>4665</v>
      </c>
      <c r="R529" t="s">
        <v>316</v>
      </c>
      <c r="S529" t="s">
        <v>317</v>
      </c>
      <c r="T529" s="2">
        <v>4683102097</v>
      </c>
      <c r="U529" t="s">
        <v>319</v>
      </c>
      <c r="V529">
        <v>890903938</v>
      </c>
      <c r="W529" t="s">
        <v>342</v>
      </c>
      <c r="X529" s="2">
        <v>1625</v>
      </c>
      <c r="Y529" s="2">
        <v>1625</v>
      </c>
      <c r="Z529" s="2">
        <v>52825</v>
      </c>
      <c r="AA529">
        <v>0</v>
      </c>
      <c r="AB529">
        <v>49525</v>
      </c>
      <c r="AC529">
        <v>0</v>
      </c>
      <c r="AD529">
        <v>0</v>
      </c>
      <c r="AE529" s="5">
        <v>45729</v>
      </c>
      <c r="AF529" t="s">
        <v>1929</v>
      </c>
      <c r="AG529" t="s">
        <v>4667</v>
      </c>
      <c r="AH529" t="s">
        <v>4668</v>
      </c>
    </row>
    <row r="530" spans="1:34" ht="15" customHeight="1" x14ac:dyDescent="0.2">
      <c r="A530" t="s">
        <v>4795</v>
      </c>
      <c r="B530" t="s">
        <v>479</v>
      </c>
      <c r="C530" s="2">
        <v>52925</v>
      </c>
      <c r="D530" s="5">
        <v>45729</v>
      </c>
      <c r="E530" s="5">
        <v>45729.783333333333</v>
      </c>
      <c r="F530" t="s">
        <v>27</v>
      </c>
      <c r="G530" s="2">
        <v>923211</v>
      </c>
      <c r="H530" t="s">
        <v>29</v>
      </c>
      <c r="I530" t="s">
        <v>30</v>
      </c>
      <c r="J530" t="s">
        <v>31</v>
      </c>
      <c r="K530" s="50">
        <v>42468819</v>
      </c>
      <c r="L530" s="50">
        <v>0</v>
      </c>
      <c r="M530" s="50">
        <v>42468819</v>
      </c>
      <c r="N530" s="50">
        <v>42468819</v>
      </c>
      <c r="O530" t="s">
        <v>351</v>
      </c>
      <c r="P530">
        <v>71317886</v>
      </c>
      <c r="Q530" t="s">
        <v>4670</v>
      </c>
      <c r="R530" t="s">
        <v>316</v>
      </c>
      <c r="S530" t="s">
        <v>317</v>
      </c>
      <c r="T530" s="2">
        <v>95654505</v>
      </c>
      <c r="U530" t="s">
        <v>319</v>
      </c>
      <c r="V530">
        <v>860002964</v>
      </c>
      <c r="W530" t="s">
        <v>419</v>
      </c>
      <c r="X530" s="2">
        <v>2125</v>
      </c>
      <c r="Y530" s="2">
        <v>2125</v>
      </c>
      <c r="Z530" s="2">
        <v>52925</v>
      </c>
      <c r="AA530">
        <v>0</v>
      </c>
      <c r="AB530">
        <v>0</v>
      </c>
      <c r="AC530">
        <v>0</v>
      </c>
      <c r="AD530">
        <v>0</v>
      </c>
      <c r="AE530" s="5">
        <v>45729</v>
      </c>
      <c r="AF530" t="s">
        <v>356</v>
      </c>
      <c r="AG530" t="s">
        <v>4672</v>
      </c>
      <c r="AH530" t="s">
        <v>644</v>
      </c>
    </row>
    <row r="531" spans="1:34" ht="15" customHeight="1" x14ac:dyDescent="0.2">
      <c r="A531" t="s">
        <v>4796</v>
      </c>
      <c r="B531" t="s">
        <v>479</v>
      </c>
      <c r="C531" s="2">
        <v>53025</v>
      </c>
      <c r="D531" s="5">
        <v>45729</v>
      </c>
      <c r="E531" s="5">
        <v>45729.786111111112</v>
      </c>
      <c r="F531" t="s">
        <v>27</v>
      </c>
      <c r="G531" s="2">
        <v>923211</v>
      </c>
      <c r="H531" t="s">
        <v>29</v>
      </c>
      <c r="I531" t="s">
        <v>30</v>
      </c>
      <c r="J531" t="s">
        <v>31</v>
      </c>
      <c r="K531" s="50">
        <v>42468819</v>
      </c>
      <c r="L531" s="50">
        <v>0</v>
      </c>
      <c r="M531" s="50">
        <v>42468819</v>
      </c>
      <c r="N531" s="50">
        <v>42468819</v>
      </c>
      <c r="O531" t="s">
        <v>351</v>
      </c>
      <c r="P531">
        <v>11324277</v>
      </c>
      <c r="Q531" t="s">
        <v>4674</v>
      </c>
      <c r="R531" t="s">
        <v>316</v>
      </c>
      <c r="S531" t="s">
        <v>317</v>
      </c>
      <c r="T531" s="2">
        <v>65900046353</v>
      </c>
      <c r="U531" t="s">
        <v>319</v>
      </c>
      <c r="V531">
        <v>890903938</v>
      </c>
      <c r="W531" t="s">
        <v>342</v>
      </c>
      <c r="X531" s="2">
        <v>2125</v>
      </c>
      <c r="Y531" s="2">
        <v>2125</v>
      </c>
      <c r="Z531" s="2">
        <v>53025</v>
      </c>
      <c r="AA531">
        <v>0</v>
      </c>
      <c r="AB531">
        <v>0</v>
      </c>
      <c r="AC531">
        <v>0</v>
      </c>
      <c r="AD531">
        <v>0</v>
      </c>
      <c r="AE531" s="5">
        <v>45729</v>
      </c>
      <c r="AF531" t="s">
        <v>356</v>
      </c>
      <c r="AG531" t="s">
        <v>4676</v>
      </c>
      <c r="AH531" t="s">
        <v>644</v>
      </c>
    </row>
    <row r="532" spans="1:34" ht="15" customHeight="1" x14ac:dyDescent="0.2">
      <c r="A532" t="s">
        <v>4797</v>
      </c>
      <c r="B532" t="s">
        <v>472</v>
      </c>
      <c r="C532" s="2">
        <v>53125</v>
      </c>
      <c r="D532" s="5">
        <v>45730</v>
      </c>
      <c r="E532" s="5">
        <v>45730.415972222225</v>
      </c>
      <c r="F532" t="s">
        <v>312</v>
      </c>
      <c r="G532" s="2">
        <v>923238</v>
      </c>
      <c r="H532" t="s">
        <v>29</v>
      </c>
      <c r="I532" t="s">
        <v>30</v>
      </c>
      <c r="J532" t="s">
        <v>31</v>
      </c>
      <c r="K532" s="50">
        <v>664780</v>
      </c>
      <c r="L532" s="50">
        <v>0</v>
      </c>
      <c r="M532" s="50">
        <v>664780</v>
      </c>
      <c r="N532" s="50">
        <v>0</v>
      </c>
      <c r="O532" t="s">
        <v>351</v>
      </c>
      <c r="P532">
        <v>79703448</v>
      </c>
      <c r="Q532" t="s">
        <v>1697</v>
      </c>
      <c r="R532" t="s">
        <v>316</v>
      </c>
      <c r="S532" t="s">
        <v>317</v>
      </c>
      <c r="T532" s="2">
        <v>24091399973</v>
      </c>
      <c r="U532" t="s">
        <v>319</v>
      </c>
      <c r="V532">
        <v>860007335</v>
      </c>
      <c r="W532" t="s">
        <v>381</v>
      </c>
      <c r="X532" s="2">
        <v>325</v>
      </c>
      <c r="Y532" s="2">
        <v>325</v>
      </c>
      <c r="Z532" s="2">
        <v>53125</v>
      </c>
      <c r="AA532">
        <v>0</v>
      </c>
      <c r="AB532">
        <v>48425</v>
      </c>
      <c r="AC532">
        <v>0</v>
      </c>
      <c r="AD532">
        <v>0</v>
      </c>
      <c r="AE532" s="5">
        <v>45730</v>
      </c>
      <c r="AF532" t="s">
        <v>1929</v>
      </c>
      <c r="AG532" t="s">
        <v>4678</v>
      </c>
      <c r="AH532" t="s">
        <v>4679</v>
      </c>
    </row>
    <row r="533" spans="1:34" ht="15" customHeight="1" x14ac:dyDescent="0.2">
      <c r="A533" t="s">
        <v>4798</v>
      </c>
      <c r="B533" t="s">
        <v>472</v>
      </c>
      <c r="C533" s="2">
        <v>53225</v>
      </c>
      <c r="D533" s="5">
        <v>45730</v>
      </c>
      <c r="E533" s="5">
        <v>45730.425694444442</v>
      </c>
      <c r="F533" t="s">
        <v>312</v>
      </c>
      <c r="G533" s="2">
        <v>923238</v>
      </c>
      <c r="H533" t="s">
        <v>29</v>
      </c>
      <c r="I533" t="s">
        <v>30</v>
      </c>
      <c r="J533" t="s">
        <v>31</v>
      </c>
      <c r="K533" s="50">
        <v>664780</v>
      </c>
      <c r="L533" s="50">
        <v>0</v>
      </c>
      <c r="M533" s="50">
        <v>664780</v>
      </c>
      <c r="N533" s="50">
        <v>0</v>
      </c>
      <c r="O533" t="s">
        <v>351</v>
      </c>
      <c r="P533">
        <v>52556422</v>
      </c>
      <c r="Q533" t="s">
        <v>1720</v>
      </c>
      <c r="R533" t="s">
        <v>316</v>
      </c>
      <c r="S533" t="s">
        <v>317</v>
      </c>
      <c r="T533" s="2">
        <v>478170004988</v>
      </c>
      <c r="U533" t="s">
        <v>319</v>
      </c>
      <c r="V533">
        <v>860034313</v>
      </c>
      <c r="W533" t="s">
        <v>355</v>
      </c>
      <c r="X533" s="2">
        <v>325</v>
      </c>
      <c r="Y533" s="2">
        <v>325</v>
      </c>
      <c r="Z533" s="2">
        <v>53225</v>
      </c>
      <c r="AA533">
        <v>0</v>
      </c>
      <c r="AB533">
        <v>47225</v>
      </c>
      <c r="AC533">
        <v>0</v>
      </c>
      <c r="AD533">
        <v>0</v>
      </c>
      <c r="AE533" s="5">
        <v>45730</v>
      </c>
      <c r="AF533" t="s">
        <v>1929</v>
      </c>
      <c r="AG533" t="s">
        <v>4681</v>
      </c>
      <c r="AH533" t="s">
        <v>4682</v>
      </c>
    </row>
    <row r="534" spans="1:34" ht="15" customHeight="1" x14ac:dyDescent="0.2">
      <c r="A534" t="s">
        <v>4799</v>
      </c>
      <c r="B534" t="s">
        <v>472</v>
      </c>
      <c r="C534" s="2">
        <v>53325</v>
      </c>
      <c r="D534" s="5">
        <v>45730</v>
      </c>
      <c r="E534" s="5">
        <v>45730.429166666669</v>
      </c>
      <c r="F534" t="s">
        <v>312</v>
      </c>
      <c r="G534" s="2">
        <v>923238</v>
      </c>
      <c r="H534" t="s">
        <v>29</v>
      </c>
      <c r="I534" t="s">
        <v>30</v>
      </c>
      <c r="J534" t="s">
        <v>31</v>
      </c>
      <c r="K534" s="50">
        <v>624780</v>
      </c>
      <c r="L534" s="50">
        <v>0</v>
      </c>
      <c r="M534" s="50">
        <v>624780</v>
      </c>
      <c r="N534" s="50">
        <v>0</v>
      </c>
      <c r="O534" t="s">
        <v>351</v>
      </c>
      <c r="P534">
        <v>79592386</v>
      </c>
      <c r="Q534" t="s">
        <v>1710</v>
      </c>
      <c r="R534" t="s">
        <v>316</v>
      </c>
      <c r="S534" t="s">
        <v>317</v>
      </c>
      <c r="T534" s="2">
        <v>473870032165</v>
      </c>
      <c r="U534" t="s">
        <v>319</v>
      </c>
      <c r="V534">
        <v>860034313</v>
      </c>
      <c r="W534" t="s">
        <v>355</v>
      </c>
      <c r="X534" s="2">
        <v>325</v>
      </c>
      <c r="Y534" s="2">
        <v>325</v>
      </c>
      <c r="Z534" s="2">
        <v>53325</v>
      </c>
      <c r="AA534">
        <v>0</v>
      </c>
      <c r="AB534">
        <v>48225</v>
      </c>
      <c r="AC534">
        <v>0</v>
      </c>
      <c r="AD534">
        <v>0</v>
      </c>
      <c r="AE534" s="5">
        <v>45730</v>
      </c>
      <c r="AF534" t="s">
        <v>1929</v>
      </c>
      <c r="AG534" t="s">
        <v>4684</v>
      </c>
      <c r="AH534" t="s">
        <v>4685</v>
      </c>
    </row>
    <row r="535" spans="1:34" ht="15" customHeight="1" x14ac:dyDescent="0.2">
      <c r="A535" t="s">
        <v>4800</v>
      </c>
      <c r="B535" t="s">
        <v>472</v>
      </c>
      <c r="C535" s="2">
        <v>53425</v>
      </c>
      <c r="D535" s="5">
        <v>45730</v>
      </c>
      <c r="E535" s="5">
        <v>45730.457638888889</v>
      </c>
      <c r="F535" t="s">
        <v>312</v>
      </c>
      <c r="G535" s="2">
        <v>923238</v>
      </c>
      <c r="H535" t="s">
        <v>29</v>
      </c>
      <c r="I535" t="s">
        <v>30</v>
      </c>
      <c r="J535" t="s">
        <v>31</v>
      </c>
      <c r="K535" s="50">
        <v>312390</v>
      </c>
      <c r="L535" s="50">
        <v>0</v>
      </c>
      <c r="M535" s="50">
        <v>312390</v>
      </c>
      <c r="N535" s="50">
        <v>0</v>
      </c>
      <c r="O535" t="s">
        <v>351</v>
      </c>
      <c r="P535">
        <v>1032370727</v>
      </c>
      <c r="Q535" t="s">
        <v>1744</v>
      </c>
      <c r="R535" t="s">
        <v>316</v>
      </c>
      <c r="S535" t="s">
        <v>317</v>
      </c>
      <c r="T535" s="2">
        <v>24073845500</v>
      </c>
      <c r="U535" t="s">
        <v>319</v>
      </c>
      <c r="V535">
        <v>860007335</v>
      </c>
      <c r="W535" t="s">
        <v>381</v>
      </c>
      <c r="X535" s="2">
        <v>325</v>
      </c>
      <c r="Y535" s="2">
        <v>325</v>
      </c>
      <c r="Z535" s="2">
        <v>53425</v>
      </c>
      <c r="AA535">
        <v>0</v>
      </c>
      <c r="AB535">
        <v>51025</v>
      </c>
      <c r="AC535">
        <v>0</v>
      </c>
      <c r="AD535">
        <v>0</v>
      </c>
      <c r="AE535" s="5">
        <v>45730</v>
      </c>
      <c r="AF535" t="s">
        <v>1929</v>
      </c>
      <c r="AG535" t="s">
        <v>4687</v>
      </c>
      <c r="AH535" t="s">
        <v>4688</v>
      </c>
    </row>
    <row r="536" spans="1:34" ht="15" customHeight="1" x14ac:dyDescent="0.2">
      <c r="A536" t="s">
        <v>4801</v>
      </c>
      <c r="B536" t="s">
        <v>472</v>
      </c>
      <c r="C536" s="2">
        <v>53525</v>
      </c>
      <c r="D536" s="5">
        <v>45730</v>
      </c>
      <c r="E536" s="5">
        <v>45730.461111111108</v>
      </c>
      <c r="F536" t="s">
        <v>312</v>
      </c>
      <c r="G536" s="2">
        <v>923238</v>
      </c>
      <c r="H536" t="s">
        <v>29</v>
      </c>
      <c r="I536" t="s">
        <v>30</v>
      </c>
      <c r="J536" t="s">
        <v>31</v>
      </c>
      <c r="K536" s="50">
        <v>312390</v>
      </c>
      <c r="L536" s="50">
        <v>0</v>
      </c>
      <c r="M536" s="50">
        <v>312390</v>
      </c>
      <c r="N536" s="50">
        <v>0</v>
      </c>
      <c r="O536" t="s">
        <v>351</v>
      </c>
      <c r="P536">
        <v>79977580</v>
      </c>
      <c r="Q536" t="s">
        <v>1740</v>
      </c>
      <c r="R536" t="s">
        <v>316</v>
      </c>
      <c r="S536" t="s">
        <v>317</v>
      </c>
      <c r="T536" s="2">
        <v>24043558014</v>
      </c>
      <c r="U536" t="s">
        <v>319</v>
      </c>
      <c r="V536">
        <v>860007335</v>
      </c>
      <c r="W536" t="s">
        <v>381</v>
      </c>
      <c r="X536" s="2">
        <v>325</v>
      </c>
      <c r="Y536" s="2">
        <v>325</v>
      </c>
      <c r="Z536" s="2">
        <v>53525</v>
      </c>
      <c r="AA536">
        <v>0</v>
      </c>
      <c r="AB536">
        <v>48925</v>
      </c>
      <c r="AC536">
        <v>0</v>
      </c>
      <c r="AD536">
        <v>0</v>
      </c>
      <c r="AE536" s="5">
        <v>45730</v>
      </c>
      <c r="AF536" t="s">
        <v>1929</v>
      </c>
      <c r="AG536" t="s">
        <v>4690</v>
      </c>
      <c r="AH536" t="s">
        <v>4691</v>
      </c>
    </row>
    <row r="537" spans="1:34" ht="15" customHeight="1" x14ac:dyDescent="0.2">
      <c r="A537" t="s">
        <v>4802</v>
      </c>
      <c r="B537" t="s">
        <v>472</v>
      </c>
      <c r="C537" s="2">
        <v>53625</v>
      </c>
      <c r="D537" s="5">
        <v>45730</v>
      </c>
      <c r="E537" s="5">
        <v>45730.492361111108</v>
      </c>
      <c r="F537" t="s">
        <v>312</v>
      </c>
      <c r="G537" s="2">
        <v>923238</v>
      </c>
      <c r="H537" t="s">
        <v>29</v>
      </c>
      <c r="I537" t="s">
        <v>30</v>
      </c>
      <c r="J537" t="s">
        <v>31</v>
      </c>
      <c r="K537" s="50">
        <v>312390</v>
      </c>
      <c r="L537" s="50">
        <v>0</v>
      </c>
      <c r="M537" s="50">
        <v>312390</v>
      </c>
      <c r="N537" s="50">
        <v>0</v>
      </c>
      <c r="O537" t="s">
        <v>351</v>
      </c>
      <c r="P537">
        <v>80232876</v>
      </c>
      <c r="Q537" t="s">
        <v>1730</v>
      </c>
      <c r="R537" t="s">
        <v>316</v>
      </c>
      <c r="S537" t="s">
        <v>317</v>
      </c>
      <c r="T537" s="2">
        <v>34143658998</v>
      </c>
      <c r="U537" t="s">
        <v>319</v>
      </c>
      <c r="V537">
        <v>890903938</v>
      </c>
      <c r="W537" t="s">
        <v>342</v>
      </c>
      <c r="X537" s="2">
        <v>325</v>
      </c>
      <c r="Y537" s="2">
        <v>325</v>
      </c>
      <c r="Z537" s="2">
        <v>53625</v>
      </c>
      <c r="AA537">
        <v>0</v>
      </c>
      <c r="AB537">
        <v>49125</v>
      </c>
      <c r="AC537">
        <v>0</v>
      </c>
      <c r="AD537">
        <v>0</v>
      </c>
      <c r="AE537" s="5">
        <v>45730</v>
      </c>
      <c r="AF537" t="s">
        <v>1929</v>
      </c>
      <c r="AG537" t="s">
        <v>4693</v>
      </c>
      <c r="AH537" t="s">
        <v>4694</v>
      </c>
    </row>
    <row r="538" spans="1:34" ht="15" customHeight="1" x14ac:dyDescent="0.2">
      <c r="A538" t="s">
        <v>4803</v>
      </c>
      <c r="B538" t="s">
        <v>472</v>
      </c>
      <c r="C538" s="2">
        <v>53725</v>
      </c>
      <c r="D538" s="5">
        <v>45730</v>
      </c>
      <c r="E538" s="5">
        <v>45730.494444444441</v>
      </c>
      <c r="F538" t="s">
        <v>312</v>
      </c>
      <c r="G538" s="2">
        <v>923238</v>
      </c>
      <c r="H538" t="s">
        <v>29</v>
      </c>
      <c r="I538" t="s">
        <v>30</v>
      </c>
      <c r="J538" t="s">
        <v>31</v>
      </c>
      <c r="K538" s="50">
        <v>322390</v>
      </c>
      <c r="L538" s="50">
        <v>0</v>
      </c>
      <c r="M538" s="50">
        <v>322390</v>
      </c>
      <c r="N538" s="50">
        <v>0</v>
      </c>
      <c r="O538" t="s">
        <v>351</v>
      </c>
      <c r="P538">
        <v>88260450</v>
      </c>
      <c r="Q538" t="s">
        <v>1759</v>
      </c>
      <c r="R538" t="s">
        <v>316</v>
      </c>
      <c r="S538" t="s">
        <v>317</v>
      </c>
      <c r="T538" s="2">
        <v>24119909829</v>
      </c>
      <c r="U538" t="s">
        <v>319</v>
      </c>
      <c r="V538">
        <v>860007335</v>
      </c>
      <c r="W538" t="s">
        <v>381</v>
      </c>
      <c r="X538" s="2">
        <v>325</v>
      </c>
      <c r="Y538" s="2">
        <v>325</v>
      </c>
      <c r="Z538" s="2">
        <v>53725</v>
      </c>
      <c r="AA538">
        <v>0</v>
      </c>
      <c r="AB538">
        <v>49725</v>
      </c>
      <c r="AC538">
        <v>0</v>
      </c>
      <c r="AD538">
        <v>0</v>
      </c>
      <c r="AE538" s="5">
        <v>45730</v>
      </c>
      <c r="AF538" t="s">
        <v>1929</v>
      </c>
      <c r="AG538" t="s">
        <v>4696</v>
      </c>
      <c r="AH538" t="s">
        <v>4697</v>
      </c>
    </row>
    <row r="539" spans="1:34" ht="15" customHeight="1" x14ac:dyDescent="0.2">
      <c r="A539" t="s">
        <v>4804</v>
      </c>
      <c r="B539" t="s">
        <v>472</v>
      </c>
      <c r="C539" s="2">
        <v>53825</v>
      </c>
      <c r="D539" s="5">
        <v>45730</v>
      </c>
      <c r="E539" s="5">
        <v>45730.495833333334</v>
      </c>
      <c r="F539" t="s">
        <v>312</v>
      </c>
      <c r="G539" s="2">
        <v>923238</v>
      </c>
      <c r="H539" t="s">
        <v>29</v>
      </c>
      <c r="I539" t="s">
        <v>30</v>
      </c>
      <c r="J539" t="s">
        <v>31</v>
      </c>
      <c r="K539" s="50">
        <v>312390</v>
      </c>
      <c r="L539" s="50">
        <v>0</v>
      </c>
      <c r="M539" s="50">
        <v>312390</v>
      </c>
      <c r="N539" s="50">
        <v>0</v>
      </c>
      <c r="O539" t="s">
        <v>351</v>
      </c>
      <c r="P539">
        <v>79863951</v>
      </c>
      <c r="Q539" t="s">
        <v>1715</v>
      </c>
      <c r="R539" t="s">
        <v>316</v>
      </c>
      <c r="S539" t="s">
        <v>317</v>
      </c>
      <c r="T539" s="2">
        <v>76669971547</v>
      </c>
      <c r="U539" t="s">
        <v>319</v>
      </c>
      <c r="V539">
        <v>890903938</v>
      </c>
      <c r="W539" t="s">
        <v>342</v>
      </c>
      <c r="X539" s="2">
        <v>325</v>
      </c>
      <c r="Y539" s="2">
        <v>325</v>
      </c>
      <c r="Z539" s="2">
        <v>53825</v>
      </c>
      <c r="AA539">
        <v>0</v>
      </c>
      <c r="AB539">
        <v>48625</v>
      </c>
      <c r="AC539">
        <v>0</v>
      </c>
      <c r="AD539">
        <v>0</v>
      </c>
      <c r="AE539" s="5">
        <v>45730</v>
      </c>
      <c r="AF539" t="s">
        <v>1929</v>
      </c>
      <c r="AG539" t="s">
        <v>4699</v>
      </c>
      <c r="AH539" t="s">
        <v>4700</v>
      </c>
    </row>
    <row r="540" spans="1:34" ht="15" customHeight="1" x14ac:dyDescent="0.2">
      <c r="A540" t="s">
        <v>4805</v>
      </c>
      <c r="B540" t="s">
        <v>472</v>
      </c>
      <c r="C540" s="2">
        <v>53925</v>
      </c>
      <c r="D540" s="5">
        <v>45730</v>
      </c>
      <c r="E540" s="5">
        <v>45730.499305555553</v>
      </c>
      <c r="F540" t="s">
        <v>312</v>
      </c>
      <c r="G540" s="2">
        <v>923238</v>
      </c>
      <c r="H540" t="s">
        <v>29</v>
      </c>
      <c r="I540" t="s">
        <v>30</v>
      </c>
      <c r="J540" t="s">
        <v>31</v>
      </c>
      <c r="K540" s="50">
        <v>322390</v>
      </c>
      <c r="L540" s="50">
        <v>0</v>
      </c>
      <c r="M540" s="50">
        <v>322390</v>
      </c>
      <c r="N540" s="50">
        <v>0</v>
      </c>
      <c r="O540" t="s">
        <v>351</v>
      </c>
      <c r="P540">
        <v>1012333352</v>
      </c>
      <c r="Q540" t="s">
        <v>726</v>
      </c>
      <c r="R540" t="s">
        <v>316</v>
      </c>
      <c r="S540" t="s">
        <v>317</v>
      </c>
      <c r="T540" s="2">
        <v>542008883</v>
      </c>
      <c r="U540" t="s">
        <v>319</v>
      </c>
      <c r="V540">
        <v>860002964</v>
      </c>
      <c r="W540" t="s">
        <v>419</v>
      </c>
      <c r="X540" s="2">
        <v>325</v>
      </c>
      <c r="Y540" s="2">
        <v>325</v>
      </c>
      <c r="Z540" s="2">
        <v>53925</v>
      </c>
      <c r="AA540">
        <v>0</v>
      </c>
      <c r="AB540">
        <v>50125</v>
      </c>
      <c r="AC540">
        <v>0</v>
      </c>
      <c r="AD540">
        <v>0</v>
      </c>
      <c r="AE540" s="5">
        <v>45730</v>
      </c>
      <c r="AF540" t="s">
        <v>1929</v>
      </c>
      <c r="AG540" t="s">
        <v>4702</v>
      </c>
      <c r="AH540" t="s">
        <v>4703</v>
      </c>
    </row>
    <row r="541" spans="1:34" ht="15" customHeight="1" x14ac:dyDescent="0.2">
      <c r="A541" t="s">
        <v>4806</v>
      </c>
      <c r="B541" t="s">
        <v>476</v>
      </c>
      <c r="C541" s="2">
        <v>54025</v>
      </c>
      <c r="D541" s="5">
        <v>45730</v>
      </c>
      <c r="E541" s="5">
        <v>45730.586805555555</v>
      </c>
      <c r="F541" t="s">
        <v>312</v>
      </c>
      <c r="G541" s="2">
        <v>923210</v>
      </c>
      <c r="H541" t="s">
        <v>29</v>
      </c>
      <c r="I541" t="s">
        <v>30</v>
      </c>
      <c r="J541" t="s">
        <v>47</v>
      </c>
      <c r="K541" s="50">
        <v>1434750</v>
      </c>
      <c r="L541" s="50">
        <v>0</v>
      </c>
      <c r="M541" s="50">
        <v>1434750</v>
      </c>
      <c r="N541" s="50">
        <v>0</v>
      </c>
      <c r="O541" t="s">
        <v>314</v>
      </c>
      <c r="P541">
        <v>899999115</v>
      </c>
      <c r="Q541" t="s">
        <v>327</v>
      </c>
      <c r="R541" t="s">
        <v>316</v>
      </c>
      <c r="S541" t="s">
        <v>328</v>
      </c>
      <c r="T541" s="2">
        <v>20936509</v>
      </c>
      <c r="U541" t="s">
        <v>319</v>
      </c>
      <c r="V541">
        <v>860051135</v>
      </c>
      <c r="W541" t="s">
        <v>331</v>
      </c>
      <c r="X541" s="2">
        <v>1225</v>
      </c>
      <c r="Y541" s="2">
        <v>1225</v>
      </c>
      <c r="Z541" s="2">
        <v>54025</v>
      </c>
      <c r="AA541" t="s">
        <v>4705</v>
      </c>
      <c r="AB541" t="s">
        <v>4706</v>
      </c>
      <c r="AC541">
        <v>0</v>
      </c>
      <c r="AD541">
        <v>0</v>
      </c>
      <c r="AE541" s="5">
        <v>45730</v>
      </c>
      <c r="AF541" t="s">
        <v>323</v>
      </c>
      <c r="AG541" t="s">
        <v>4707</v>
      </c>
      <c r="AH541" t="s">
        <v>4708</v>
      </c>
    </row>
    <row r="542" spans="1:34" ht="15" customHeight="1" x14ac:dyDescent="0.2">
      <c r="A542" t="s">
        <v>4807</v>
      </c>
      <c r="B542" t="s">
        <v>476</v>
      </c>
      <c r="C542" s="2">
        <v>54125</v>
      </c>
      <c r="D542" s="5">
        <v>45730</v>
      </c>
      <c r="E542" s="5">
        <v>45730.59097222222</v>
      </c>
      <c r="F542" t="s">
        <v>312</v>
      </c>
      <c r="G542" s="2">
        <v>923210</v>
      </c>
      <c r="H542" t="s">
        <v>29</v>
      </c>
      <c r="I542" t="s">
        <v>30</v>
      </c>
      <c r="J542" t="s">
        <v>47</v>
      </c>
      <c r="K542" s="50">
        <v>44920</v>
      </c>
      <c r="L542" s="50">
        <v>0</v>
      </c>
      <c r="M542" s="50">
        <v>44920</v>
      </c>
      <c r="N542" s="50">
        <v>0</v>
      </c>
      <c r="O542" t="s">
        <v>314</v>
      </c>
      <c r="P542">
        <v>899999115</v>
      </c>
      <c r="Q542" t="s">
        <v>327</v>
      </c>
      <c r="R542" t="s">
        <v>316</v>
      </c>
      <c r="S542" t="s">
        <v>328</v>
      </c>
      <c r="T542" s="2">
        <v>20936509</v>
      </c>
      <c r="U542" t="s">
        <v>319</v>
      </c>
      <c r="V542">
        <v>860051135</v>
      </c>
      <c r="W542" t="s">
        <v>331</v>
      </c>
      <c r="X542" s="2">
        <v>1225</v>
      </c>
      <c r="Y542" s="2">
        <v>1225</v>
      </c>
      <c r="Z542" s="2">
        <v>54125</v>
      </c>
      <c r="AA542" t="s">
        <v>4710</v>
      </c>
      <c r="AB542" t="s">
        <v>4711</v>
      </c>
      <c r="AC542">
        <v>0</v>
      </c>
      <c r="AD542">
        <v>0</v>
      </c>
      <c r="AE542" s="5">
        <v>45730</v>
      </c>
      <c r="AF542" t="s">
        <v>323</v>
      </c>
      <c r="AG542" t="s">
        <v>4712</v>
      </c>
      <c r="AH542" t="s">
        <v>4713</v>
      </c>
    </row>
    <row r="543" spans="1:34" ht="15" customHeight="1" x14ac:dyDescent="0.2">
      <c r="A543" t="s">
        <v>4808</v>
      </c>
      <c r="B543" t="s">
        <v>477</v>
      </c>
      <c r="C543" s="2">
        <v>54225</v>
      </c>
      <c r="D543" s="5">
        <v>45730</v>
      </c>
      <c r="E543" s="5">
        <v>45730.59375</v>
      </c>
      <c r="F543" t="s">
        <v>312</v>
      </c>
      <c r="G543" s="2">
        <v>923210</v>
      </c>
      <c r="H543" t="s">
        <v>29</v>
      </c>
      <c r="I543" t="s">
        <v>30</v>
      </c>
      <c r="J543" t="s">
        <v>31</v>
      </c>
      <c r="K543" s="50">
        <v>148239</v>
      </c>
      <c r="L543" s="50">
        <v>0</v>
      </c>
      <c r="M543" s="50">
        <v>148239</v>
      </c>
      <c r="N543" s="50">
        <v>0</v>
      </c>
      <c r="O543" t="s">
        <v>351</v>
      </c>
      <c r="P543">
        <v>79661139</v>
      </c>
      <c r="Q543" t="s">
        <v>1871</v>
      </c>
      <c r="R543" t="s">
        <v>316</v>
      </c>
      <c r="S543" t="s">
        <v>317</v>
      </c>
      <c r="T543" s="2">
        <v>4400141166</v>
      </c>
      <c r="U543" t="s">
        <v>319</v>
      </c>
      <c r="V543">
        <v>860034313</v>
      </c>
      <c r="W543" t="s">
        <v>355</v>
      </c>
      <c r="X543" s="2">
        <v>1625</v>
      </c>
      <c r="Y543" s="2">
        <v>1625</v>
      </c>
      <c r="Z543" s="2">
        <v>54225</v>
      </c>
      <c r="AA543">
        <v>0</v>
      </c>
      <c r="AB543">
        <v>48325</v>
      </c>
      <c r="AC543">
        <v>0</v>
      </c>
      <c r="AD543">
        <v>0</v>
      </c>
      <c r="AE543" s="5">
        <v>45730</v>
      </c>
      <c r="AF543" t="s">
        <v>1929</v>
      </c>
      <c r="AG543" t="s">
        <v>4715</v>
      </c>
      <c r="AH543" t="s">
        <v>4716</v>
      </c>
    </row>
    <row r="544" spans="1:34" ht="15" customHeight="1" x14ac:dyDescent="0.2">
      <c r="A544" t="s">
        <v>4809</v>
      </c>
      <c r="B544" t="s">
        <v>477</v>
      </c>
      <c r="C544" s="2">
        <v>54325</v>
      </c>
      <c r="D544" s="5">
        <v>45730</v>
      </c>
      <c r="E544" s="5">
        <v>45730.625</v>
      </c>
      <c r="F544" t="s">
        <v>312</v>
      </c>
      <c r="G544" s="2">
        <v>923210</v>
      </c>
      <c r="H544" t="s">
        <v>29</v>
      </c>
      <c r="I544" t="s">
        <v>30</v>
      </c>
      <c r="J544" t="s">
        <v>31</v>
      </c>
      <c r="K544" s="50">
        <v>173010</v>
      </c>
      <c r="L544" s="50">
        <v>0</v>
      </c>
      <c r="M544" s="50">
        <v>173010</v>
      </c>
      <c r="N544" s="50">
        <v>0</v>
      </c>
      <c r="O544" t="s">
        <v>351</v>
      </c>
      <c r="P544">
        <v>11315001</v>
      </c>
      <c r="Q544" t="s">
        <v>2037</v>
      </c>
      <c r="R544" t="s">
        <v>316</v>
      </c>
      <c r="S544" t="s">
        <v>317</v>
      </c>
      <c r="T544" s="2">
        <v>20505880851</v>
      </c>
      <c r="U544" t="s">
        <v>319</v>
      </c>
      <c r="V544">
        <v>890903938</v>
      </c>
      <c r="W544" t="s">
        <v>342</v>
      </c>
      <c r="X544" s="2">
        <v>1625</v>
      </c>
      <c r="Y544" s="2">
        <v>1625</v>
      </c>
      <c r="Z544" s="2">
        <v>54325</v>
      </c>
      <c r="AA544">
        <v>0</v>
      </c>
      <c r="AB544">
        <v>51825</v>
      </c>
      <c r="AC544">
        <v>0</v>
      </c>
      <c r="AD544">
        <v>0</v>
      </c>
      <c r="AE544" s="5">
        <v>45730</v>
      </c>
      <c r="AF544" t="s">
        <v>1929</v>
      </c>
      <c r="AG544" t="s">
        <v>4718</v>
      </c>
      <c r="AH544" t="s">
        <v>4719</v>
      </c>
    </row>
    <row r="545" spans="1:34" ht="15" customHeight="1" x14ac:dyDescent="0.2">
      <c r="A545" t="s">
        <v>4810</v>
      </c>
      <c r="B545" t="s">
        <v>481</v>
      </c>
      <c r="C545" s="2">
        <v>54425</v>
      </c>
      <c r="D545" s="5">
        <v>45734</v>
      </c>
      <c r="E545" s="5">
        <v>45734.621527777781</v>
      </c>
      <c r="F545" t="s">
        <v>27</v>
      </c>
      <c r="G545" s="2">
        <v>923228</v>
      </c>
      <c r="H545" t="s">
        <v>159</v>
      </c>
      <c r="I545" t="s">
        <v>160</v>
      </c>
      <c r="J545" t="s">
        <v>31</v>
      </c>
      <c r="K545" s="50">
        <v>6453333</v>
      </c>
      <c r="L545" s="50">
        <v>0</v>
      </c>
      <c r="M545" s="50">
        <v>6453333</v>
      </c>
      <c r="N545" s="50">
        <v>6453333</v>
      </c>
      <c r="O545" t="s">
        <v>351</v>
      </c>
      <c r="P545">
        <v>82393879</v>
      </c>
      <c r="Q545" t="s">
        <v>4721</v>
      </c>
      <c r="R545" t="s">
        <v>316</v>
      </c>
      <c r="S545" t="s">
        <v>317</v>
      </c>
      <c r="T545" s="2">
        <v>406070119622</v>
      </c>
      <c r="U545" t="s">
        <v>319</v>
      </c>
      <c r="V545">
        <v>860034313</v>
      </c>
      <c r="W545" t="s">
        <v>355</v>
      </c>
      <c r="X545" s="2">
        <v>3325</v>
      </c>
      <c r="Y545" s="2">
        <v>3325</v>
      </c>
      <c r="Z545" s="2">
        <v>54425</v>
      </c>
      <c r="AA545">
        <v>0</v>
      </c>
      <c r="AB545">
        <v>0</v>
      </c>
      <c r="AC545">
        <v>0</v>
      </c>
      <c r="AD545">
        <v>0</v>
      </c>
      <c r="AE545" s="5">
        <v>45734</v>
      </c>
      <c r="AF545" t="s">
        <v>356</v>
      </c>
      <c r="AG545" t="s">
        <v>4723</v>
      </c>
      <c r="AH545" t="s">
        <v>4724</v>
      </c>
    </row>
    <row r="546" spans="1:34" ht="15" customHeight="1" x14ac:dyDescent="0.2">
      <c r="A546" t="s">
        <v>4811</v>
      </c>
      <c r="B546" t="s">
        <v>4508</v>
      </c>
      <c r="C546" s="2">
        <v>54425</v>
      </c>
      <c r="D546" s="5">
        <v>45734</v>
      </c>
      <c r="E546" s="5">
        <v>45734.621527777781</v>
      </c>
      <c r="F546" t="s">
        <v>27</v>
      </c>
      <c r="G546" s="2">
        <v>923284</v>
      </c>
      <c r="H546" t="s">
        <v>159</v>
      </c>
      <c r="I546" t="s">
        <v>160</v>
      </c>
      <c r="J546" t="s">
        <v>31</v>
      </c>
      <c r="K546" s="50">
        <v>33880000</v>
      </c>
      <c r="L546" s="50">
        <v>0</v>
      </c>
      <c r="M546" s="50">
        <v>33880000</v>
      </c>
      <c r="N546" s="50">
        <v>33880000</v>
      </c>
      <c r="O546" t="s">
        <v>351</v>
      </c>
      <c r="P546">
        <v>82393879</v>
      </c>
      <c r="Q546" t="s">
        <v>4721</v>
      </c>
      <c r="R546" t="s">
        <v>316</v>
      </c>
      <c r="S546" t="s">
        <v>317</v>
      </c>
      <c r="T546" s="2">
        <v>406070119622</v>
      </c>
      <c r="U546" t="s">
        <v>319</v>
      </c>
      <c r="V546">
        <v>860034313</v>
      </c>
      <c r="W546" t="s">
        <v>355</v>
      </c>
      <c r="X546" s="2">
        <v>3325</v>
      </c>
      <c r="Y546" s="2">
        <v>3325</v>
      </c>
      <c r="Z546" s="2">
        <v>54425</v>
      </c>
      <c r="AA546">
        <v>0</v>
      </c>
      <c r="AB546">
        <v>0</v>
      </c>
      <c r="AC546">
        <v>0</v>
      </c>
      <c r="AD546">
        <v>0</v>
      </c>
      <c r="AE546" s="5">
        <v>45734</v>
      </c>
      <c r="AF546" t="s">
        <v>356</v>
      </c>
      <c r="AG546" t="s">
        <v>4723</v>
      </c>
      <c r="AH546" t="s">
        <v>4724</v>
      </c>
    </row>
    <row r="547" spans="1:34" ht="15" customHeight="1" x14ac:dyDescent="0.2">
      <c r="A547" t="s">
        <v>4812</v>
      </c>
      <c r="B547" t="s">
        <v>4813</v>
      </c>
      <c r="C547" s="2">
        <v>54525</v>
      </c>
      <c r="D547" s="5">
        <v>45734</v>
      </c>
      <c r="E547" s="5">
        <v>45734.633333333331</v>
      </c>
      <c r="F547" t="s">
        <v>27</v>
      </c>
      <c r="G547" s="2">
        <v>923245</v>
      </c>
      <c r="H547" t="s">
        <v>29</v>
      </c>
      <c r="I547" t="s">
        <v>30</v>
      </c>
      <c r="J547" t="s">
        <v>31</v>
      </c>
      <c r="K547" s="50">
        <v>222058</v>
      </c>
      <c r="L547" s="50">
        <v>0</v>
      </c>
      <c r="M547" s="50">
        <v>222058</v>
      </c>
      <c r="N547" s="50">
        <v>222058</v>
      </c>
      <c r="O547" t="s">
        <v>351</v>
      </c>
      <c r="P547">
        <v>82389727</v>
      </c>
      <c r="Q547" t="s">
        <v>4726</v>
      </c>
      <c r="R547" t="s">
        <v>316</v>
      </c>
      <c r="S547" t="s">
        <v>317</v>
      </c>
      <c r="T547" s="2">
        <v>24509071233</v>
      </c>
      <c r="U547" t="s">
        <v>319</v>
      </c>
      <c r="V547">
        <v>860007335</v>
      </c>
      <c r="W547" t="s">
        <v>381</v>
      </c>
      <c r="X547" s="2">
        <v>4125</v>
      </c>
      <c r="Y547" s="2">
        <v>4125</v>
      </c>
      <c r="Z547" s="2">
        <v>54525</v>
      </c>
      <c r="AA547">
        <v>0</v>
      </c>
      <c r="AB547">
        <v>0</v>
      </c>
      <c r="AC547">
        <v>0</v>
      </c>
      <c r="AD547">
        <v>0</v>
      </c>
      <c r="AE547" s="5">
        <v>45734</v>
      </c>
      <c r="AF547" t="s">
        <v>1929</v>
      </c>
      <c r="AG547" t="s">
        <v>4728</v>
      </c>
      <c r="AH547" t="s">
        <v>4729</v>
      </c>
    </row>
    <row r="548" spans="1:34" ht="15" customHeight="1" x14ac:dyDescent="0.2">
      <c r="A548" t="s">
        <v>4814</v>
      </c>
      <c r="B548" t="s">
        <v>482</v>
      </c>
      <c r="C548" s="2">
        <v>54625</v>
      </c>
      <c r="D548" s="5">
        <v>45734</v>
      </c>
      <c r="E548" s="5">
        <v>45734.636805555558</v>
      </c>
      <c r="F548" t="s">
        <v>27</v>
      </c>
      <c r="G548" s="2">
        <v>923228</v>
      </c>
      <c r="H548" t="s">
        <v>159</v>
      </c>
      <c r="I548" t="s">
        <v>160</v>
      </c>
      <c r="J548" t="s">
        <v>31</v>
      </c>
      <c r="K548" s="50">
        <v>156195</v>
      </c>
      <c r="L548" s="50">
        <v>0</v>
      </c>
      <c r="M548" s="50">
        <v>156195</v>
      </c>
      <c r="N548" s="50">
        <v>156195</v>
      </c>
      <c r="O548" t="s">
        <v>351</v>
      </c>
      <c r="P548">
        <v>79822903</v>
      </c>
      <c r="Q548" t="s">
        <v>2071</v>
      </c>
      <c r="R548" t="s">
        <v>316</v>
      </c>
      <c r="S548" t="s">
        <v>317</v>
      </c>
      <c r="T548" s="2">
        <v>8480273344</v>
      </c>
      <c r="U548" t="s">
        <v>319</v>
      </c>
      <c r="V548">
        <v>860034313</v>
      </c>
      <c r="W548" t="s">
        <v>355</v>
      </c>
      <c r="X548" s="2">
        <v>3425</v>
      </c>
      <c r="Y548" s="2">
        <v>3425</v>
      </c>
      <c r="Z548" s="2">
        <v>54625</v>
      </c>
      <c r="AA548">
        <v>0</v>
      </c>
      <c r="AB548">
        <v>0</v>
      </c>
      <c r="AC548">
        <v>0</v>
      </c>
      <c r="AD548">
        <v>0</v>
      </c>
      <c r="AE548" s="5">
        <v>45734</v>
      </c>
      <c r="AF548" t="s">
        <v>1929</v>
      </c>
      <c r="AG548" t="s">
        <v>4731</v>
      </c>
      <c r="AH548" t="s">
        <v>4732</v>
      </c>
    </row>
    <row r="549" spans="1:34" ht="15" customHeight="1" x14ac:dyDescent="0.2">
      <c r="A549" t="s">
        <v>4815</v>
      </c>
      <c r="B549" t="s">
        <v>482</v>
      </c>
      <c r="C549" s="2">
        <v>54725</v>
      </c>
      <c r="D549" s="5">
        <v>45734</v>
      </c>
      <c r="E549" s="5">
        <v>45734.63958333333</v>
      </c>
      <c r="F549" t="s">
        <v>27</v>
      </c>
      <c r="G549" s="2">
        <v>923228</v>
      </c>
      <c r="H549" t="s">
        <v>159</v>
      </c>
      <c r="I549" t="s">
        <v>160</v>
      </c>
      <c r="J549" t="s">
        <v>31</v>
      </c>
      <c r="K549" s="50">
        <v>222058</v>
      </c>
      <c r="L549" s="50">
        <v>0</v>
      </c>
      <c r="M549" s="50">
        <v>222058</v>
      </c>
      <c r="N549" s="50">
        <v>222058</v>
      </c>
      <c r="O549" t="s">
        <v>351</v>
      </c>
      <c r="P549">
        <v>40783907</v>
      </c>
      <c r="Q549" t="s">
        <v>2044</v>
      </c>
      <c r="R549" t="s">
        <v>316</v>
      </c>
      <c r="S549" t="s">
        <v>317</v>
      </c>
      <c r="T549" s="2">
        <v>378001057</v>
      </c>
      <c r="U549" t="s">
        <v>319</v>
      </c>
      <c r="V549">
        <v>860003020</v>
      </c>
      <c r="W549" t="s">
        <v>393</v>
      </c>
      <c r="X549" s="2">
        <v>3425</v>
      </c>
      <c r="Y549" s="2">
        <v>3425</v>
      </c>
      <c r="Z549" s="2">
        <v>54725</v>
      </c>
      <c r="AA549">
        <v>0</v>
      </c>
      <c r="AB549">
        <v>0</v>
      </c>
      <c r="AC549">
        <v>0</v>
      </c>
      <c r="AD549">
        <v>0</v>
      </c>
      <c r="AE549" s="5">
        <v>45734</v>
      </c>
      <c r="AF549" t="s">
        <v>1929</v>
      </c>
      <c r="AG549" t="s">
        <v>4734</v>
      </c>
      <c r="AH549" t="s">
        <v>4735</v>
      </c>
    </row>
    <row r="550" spans="1:34" ht="15" customHeight="1" x14ac:dyDescent="0.2">
      <c r="A550" t="s">
        <v>4816</v>
      </c>
      <c r="B550" t="s">
        <v>472</v>
      </c>
      <c r="C550" s="2">
        <v>54825</v>
      </c>
      <c r="D550" s="5">
        <v>45734</v>
      </c>
      <c r="E550" s="5">
        <v>45734.645833333336</v>
      </c>
      <c r="F550" t="s">
        <v>27</v>
      </c>
      <c r="G550" s="2">
        <v>923238</v>
      </c>
      <c r="H550" t="s">
        <v>29</v>
      </c>
      <c r="I550" t="s">
        <v>30</v>
      </c>
      <c r="J550" t="s">
        <v>31</v>
      </c>
      <c r="K550" s="50">
        <v>312390</v>
      </c>
      <c r="L550" s="50">
        <v>0</v>
      </c>
      <c r="M550" s="50">
        <v>312390</v>
      </c>
      <c r="N550" s="50">
        <v>312390</v>
      </c>
      <c r="O550" t="s">
        <v>351</v>
      </c>
      <c r="P550">
        <v>80792215</v>
      </c>
      <c r="Q550" t="s">
        <v>4133</v>
      </c>
      <c r="R550" t="s">
        <v>316</v>
      </c>
      <c r="S550" t="s">
        <v>317</v>
      </c>
      <c r="T550" s="2">
        <v>39835434</v>
      </c>
      <c r="U550" t="s">
        <v>319</v>
      </c>
      <c r="V550">
        <v>860002964</v>
      </c>
      <c r="W550" t="s">
        <v>419</v>
      </c>
      <c r="X550" s="2">
        <v>325</v>
      </c>
      <c r="Y550" s="2">
        <v>325</v>
      </c>
      <c r="Z550" s="2">
        <v>54825</v>
      </c>
      <c r="AA550">
        <v>0</v>
      </c>
      <c r="AB550">
        <v>0</v>
      </c>
      <c r="AC550">
        <v>0</v>
      </c>
      <c r="AD550">
        <v>0</v>
      </c>
      <c r="AE550" s="5">
        <v>45734</v>
      </c>
      <c r="AF550" t="s">
        <v>1929</v>
      </c>
      <c r="AG550" t="s">
        <v>4738</v>
      </c>
      <c r="AH550" t="s">
        <v>4739</v>
      </c>
    </row>
    <row r="551" spans="1:34" ht="15" customHeight="1" x14ac:dyDescent="0.2">
      <c r="A551" t="s">
        <v>4817</v>
      </c>
      <c r="B551" t="s">
        <v>472</v>
      </c>
      <c r="C551" s="2">
        <v>54925</v>
      </c>
      <c r="D551" s="5">
        <v>45734</v>
      </c>
      <c r="E551" s="5">
        <v>45734.648611111108</v>
      </c>
      <c r="F551" t="s">
        <v>27</v>
      </c>
      <c r="G551" s="2">
        <v>923238</v>
      </c>
      <c r="H551" t="s">
        <v>29</v>
      </c>
      <c r="I551" t="s">
        <v>30</v>
      </c>
      <c r="J551" t="s">
        <v>31</v>
      </c>
      <c r="K551" s="50">
        <v>166195</v>
      </c>
      <c r="L551" s="50">
        <v>0</v>
      </c>
      <c r="M551" s="50">
        <v>166195</v>
      </c>
      <c r="N551" s="50">
        <v>166195</v>
      </c>
      <c r="O551" t="s">
        <v>351</v>
      </c>
      <c r="P551">
        <v>13478907</v>
      </c>
      <c r="Q551" t="s">
        <v>948</v>
      </c>
      <c r="R551" t="s">
        <v>316</v>
      </c>
      <c r="S551" t="s">
        <v>317</v>
      </c>
      <c r="T551" s="2">
        <v>31791837408</v>
      </c>
      <c r="U551" t="s">
        <v>319</v>
      </c>
      <c r="V551">
        <v>890903938</v>
      </c>
      <c r="W551" t="s">
        <v>342</v>
      </c>
      <c r="X551" s="2">
        <v>325</v>
      </c>
      <c r="Y551" s="2">
        <v>325</v>
      </c>
      <c r="Z551" s="2">
        <v>54925</v>
      </c>
      <c r="AA551">
        <v>0</v>
      </c>
      <c r="AB551">
        <v>0</v>
      </c>
      <c r="AC551">
        <v>0</v>
      </c>
      <c r="AD551">
        <v>0</v>
      </c>
      <c r="AE551" s="5">
        <v>45734</v>
      </c>
      <c r="AF551" t="s">
        <v>1929</v>
      </c>
      <c r="AG551" t="s">
        <v>4741</v>
      </c>
      <c r="AH551" t="s">
        <v>4742</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EEA5-26AA-4073-A4DA-C1546CA38406}">
  <sheetPr codeName="Hoja14">
    <tabColor theme="6" tint="0.39997558519241921"/>
  </sheetPr>
  <dimension ref="A1:BA454"/>
  <sheetViews>
    <sheetView zoomScaleNormal="100" workbookViewId="0">
      <selection activeCell="A11" sqref="A11"/>
    </sheetView>
  </sheetViews>
  <sheetFormatPr baseColWidth="10" defaultColWidth="11.5" defaultRowHeight="15" customHeight="1" x14ac:dyDescent="0.2"/>
  <cols>
    <col min="1" max="1" width="31.83203125" customWidth="1"/>
    <col min="2" max="2" width="30.83203125" customWidth="1"/>
    <col min="3" max="3" width="38.5" customWidth="1"/>
    <col min="4" max="4" width="27.1640625" customWidth="1"/>
    <col min="5" max="5" width="25.6640625" style="5" customWidth="1"/>
    <col min="6" max="6" width="22.33203125" style="5" customWidth="1"/>
    <col min="7" max="7" width="34" style="4" customWidth="1"/>
    <col min="8" max="8" width="24.83203125" style="4" customWidth="1"/>
    <col min="9" max="9" width="25.6640625" style="4" customWidth="1"/>
    <col min="10" max="10" width="29" style="4" customWidth="1"/>
    <col min="11" max="11" width="24.5" customWidth="1"/>
    <col min="12" max="12" width="29.83203125" style="4" customWidth="1"/>
    <col min="13" max="13" width="27.5" customWidth="1"/>
    <col min="14" max="14" width="20.1640625" style="2" customWidth="1"/>
    <col min="15" max="15" width="29.1640625" customWidth="1"/>
    <col min="16" max="16" width="21.83203125" customWidth="1"/>
    <col min="17" max="17" width="21.5" customWidth="1"/>
    <col min="18" max="19" width="26.1640625" customWidth="1"/>
    <col min="20" max="20" width="20.5" customWidth="1"/>
    <col min="21" max="21" width="27" customWidth="1"/>
    <col min="22" max="22" width="18.5" customWidth="1"/>
    <col min="23" max="23" width="33.5" customWidth="1"/>
    <col min="24" max="24" width="31.5" style="2" customWidth="1"/>
    <col min="25" max="25" width="33.5" customWidth="1"/>
    <col min="26" max="26" width="21" customWidth="1"/>
    <col min="27" max="27" width="23.33203125" customWidth="1"/>
    <col min="28" max="28" width="18.5" customWidth="1"/>
    <col min="29" max="29" width="24.5" customWidth="1"/>
    <col min="30" max="30" width="32.33203125" customWidth="1"/>
    <col min="31" max="31" width="33" style="4" customWidth="1"/>
    <col min="32" max="32" width="35.1640625" style="4" customWidth="1"/>
    <col min="33" max="33" width="26.5" customWidth="1"/>
    <col min="34" max="34" width="39.5" customWidth="1"/>
    <col min="35" max="35" width="19.5" bestFit="1" customWidth="1"/>
    <col min="36" max="37" width="37.33203125" style="2" customWidth="1"/>
    <col min="38" max="38" width="29.5" customWidth="1"/>
    <col min="39" max="39" width="18.6640625" customWidth="1"/>
    <col min="40" max="40" width="23" customWidth="1"/>
    <col min="41" max="41" width="21.83203125" customWidth="1"/>
    <col min="42" max="42" width="19.83203125" customWidth="1"/>
    <col min="43" max="43" width="14.6640625" customWidth="1"/>
    <col min="44" max="44" width="18.5" customWidth="1"/>
    <col min="45" max="45" width="26.1640625" customWidth="1"/>
    <col min="46" max="46" width="34.6640625" customWidth="1"/>
    <col min="47" max="47" width="18.5" customWidth="1"/>
    <col min="48" max="48" width="24.6640625" customWidth="1"/>
    <col min="49" max="49" width="15.6640625" customWidth="1"/>
    <col min="50" max="50" width="42" customWidth="1"/>
    <col min="51" max="52" width="39.83203125" customWidth="1"/>
    <col min="53" max="53" width="31" customWidth="1"/>
  </cols>
  <sheetData>
    <row r="1" spans="1:53" ht="15" customHeight="1" x14ac:dyDescent="0.2">
      <c r="A1" s="45" t="s">
        <v>3803</v>
      </c>
      <c r="B1" s="45" t="s">
        <v>3804</v>
      </c>
      <c r="C1" s="45" t="s">
        <v>3805</v>
      </c>
      <c r="D1" s="46" t="s">
        <v>3806</v>
      </c>
      <c r="E1" s="45" t="s">
        <v>3807</v>
      </c>
      <c r="F1" s="45" t="s">
        <v>3808</v>
      </c>
      <c r="G1" s="47" t="s">
        <v>4</v>
      </c>
      <c r="H1" s="47" t="s">
        <v>3809</v>
      </c>
      <c r="I1" s="47" t="s">
        <v>3810</v>
      </c>
      <c r="J1" s="45" t="s">
        <v>3811</v>
      </c>
      <c r="K1" s="45" t="s">
        <v>3812</v>
      </c>
      <c r="L1" s="45" t="s">
        <v>3813</v>
      </c>
      <c r="M1" s="45" t="s">
        <v>3814</v>
      </c>
      <c r="N1" s="56" t="s">
        <v>297</v>
      </c>
      <c r="O1" s="45" t="s">
        <v>3815</v>
      </c>
      <c r="P1" s="45" t="s">
        <v>3816</v>
      </c>
      <c r="Q1" s="45" t="s">
        <v>3817</v>
      </c>
      <c r="R1" s="45" t="s">
        <v>3818</v>
      </c>
      <c r="S1" s="45" t="s">
        <v>3819</v>
      </c>
      <c r="T1" s="45" t="s">
        <v>3820</v>
      </c>
      <c r="U1" s="45" t="s">
        <v>3821</v>
      </c>
      <c r="V1" s="46" t="s">
        <v>5</v>
      </c>
      <c r="W1" s="45" t="s">
        <v>3822</v>
      </c>
      <c r="X1" s="45" t="s">
        <v>7</v>
      </c>
      <c r="Y1" s="45" t="s">
        <v>8</v>
      </c>
      <c r="Z1" s="46" t="s">
        <v>9</v>
      </c>
      <c r="AA1" s="45" t="s">
        <v>10</v>
      </c>
      <c r="AB1" s="45" t="s">
        <v>11</v>
      </c>
      <c r="AC1" s="45" t="s">
        <v>3823</v>
      </c>
      <c r="AD1" s="45" t="s">
        <v>3824</v>
      </c>
      <c r="AE1" s="47" t="s">
        <v>3825</v>
      </c>
      <c r="AF1" s="47" t="s">
        <v>3826</v>
      </c>
      <c r="AG1" s="45" t="s">
        <v>3827</v>
      </c>
      <c r="AH1" s="45" t="s">
        <v>3828</v>
      </c>
      <c r="AI1" s="45" t="s">
        <v>3829</v>
      </c>
      <c r="AJ1" s="45" t="s">
        <v>452</v>
      </c>
      <c r="AK1" s="45" t="s">
        <v>3830</v>
      </c>
      <c r="AL1" s="45" t="s">
        <v>3831</v>
      </c>
      <c r="AM1" t="s">
        <v>3832</v>
      </c>
      <c r="AN1" t="s">
        <v>3833</v>
      </c>
      <c r="AO1" t="s">
        <v>3834</v>
      </c>
      <c r="AP1" t="s">
        <v>3835</v>
      </c>
      <c r="AQ1" t="s">
        <v>305</v>
      </c>
      <c r="AR1" t="s">
        <v>18</v>
      </c>
      <c r="AS1" t="s">
        <v>3836</v>
      </c>
      <c r="AT1" t="s">
        <v>3837</v>
      </c>
      <c r="AU1" t="s">
        <v>20</v>
      </c>
      <c r="AV1" t="s">
        <v>3838</v>
      </c>
      <c r="AW1" t="s">
        <v>22</v>
      </c>
      <c r="AX1" t="s">
        <v>3839</v>
      </c>
      <c r="AY1" t="s">
        <v>3840</v>
      </c>
      <c r="AZ1" t="s">
        <v>3841</v>
      </c>
      <c r="BA1" t="s">
        <v>3842</v>
      </c>
    </row>
    <row r="2" spans="1:53" ht="15" customHeight="1" x14ac:dyDescent="0.2">
      <c r="A2" t="s">
        <v>4818</v>
      </c>
      <c r="B2" t="s">
        <v>500</v>
      </c>
      <c r="C2" t="s">
        <v>500</v>
      </c>
      <c r="D2">
        <v>10192925</v>
      </c>
      <c r="E2" s="5">
        <v>45680</v>
      </c>
      <c r="F2">
        <v>45684.055555555555</v>
      </c>
      <c r="G2" s="17" t="s">
        <v>460</v>
      </c>
      <c r="H2" s="49">
        <v>695250</v>
      </c>
      <c r="I2" s="49">
        <v>0</v>
      </c>
      <c r="J2" s="50">
        <v>695250</v>
      </c>
      <c r="K2" t="s">
        <v>2615</v>
      </c>
      <c r="L2" t="s">
        <v>461</v>
      </c>
      <c r="M2" s="6" t="s">
        <v>314</v>
      </c>
      <c r="N2" s="2">
        <v>860063875</v>
      </c>
      <c r="O2" t="s">
        <v>315</v>
      </c>
      <c r="P2" t="s">
        <v>316</v>
      </c>
      <c r="Q2" t="s">
        <v>317</v>
      </c>
      <c r="R2">
        <v>90060000410</v>
      </c>
      <c r="S2" t="s">
        <v>319</v>
      </c>
      <c r="T2">
        <v>860050750</v>
      </c>
      <c r="U2" t="s">
        <v>321</v>
      </c>
      <c r="V2">
        <v>923210</v>
      </c>
      <c r="W2" t="s">
        <v>56</v>
      </c>
      <c r="X2" t="s">
        <v>29</v>
      </c>
      <c r="Y2" t="s">
        <v>30</v>
      </c>
      <c r="Z2" t="s">
        <v>47</v>
      </c>
      <c r="AA2" t="s">
        <v>48</v>
      </c>
      <c r="AB2" t="s">
        <v>33</v>
      </c>
      <c r="AC2" s="51">
        <v>695250</v>
      </c>
      <c r="AD2">
        <v>0</v>
      </c>
      <c r="AE2" s="4">
        <v>0</v>
      </c>
      <c r="AF2" s="4">
        <v>0</v>
      </c>
      <c r="AG2" t="s">
        <v>462</v>
      </c>
      <c r="AH2">
        <v>0</v>
      </c>
      <c r="AI2">
        <v>0</v>
      </c>
      <c r="AJ2" t="s">
        <v>463</v>
      </c>
      <c r="AK2">
        <v>0</v>
      </c>
      <c r="AL2">
        <v>0</v>
      </c>
      <c r="AM2">
        <v>0</v>
      </c>
      <c r="AN2">
        <v>0</v>
      </c>
      <c r="AO2" t="s">
        <v>464</v>
      </c>
      <c r="AP2">
        <v>1225</v>
      </c>
      <c r="AQ2">
        <v>1225</v>
      </c>
      <c r="AR2">
        <v>125</v>
      </c>
      <c r="AS2">
        <v>125</v>
      </c>
      <c r="AT2" s="5">
        <v>45679</v>
      </c>
      <c r="AU2">
        <v>125</v>
      </c>
      <c r="AV2">
        <v>10192925</v>
      </c>
      <c r="AW2">
        <v>0</v>
      </c>
      <c r="AX2" s="5">
        <v>45671</v>
      </c>
      <c r="AY2" t="s">
        <v>323</v>
      </c>
      <c r="AZ2" t="s">
        <v>324</v>
      </c>
      <c r="BA2" t="s">
        <v>325</v>
      </c>
    </row>
    <row r="3" spans="1:53" ht="15" customHeight="1" x14ac:dyDescent="0.2">
      <c r="A3" t="s">
        <v>4819</v>
      </c>
      <c r="B3" t="s">
        <v>504</v>
      </c>
      <c r="C3" t="s">
        <v>501</v>
      </c>
      <c r="D3">
        <v>10196125</v>
      </c>
      <c r="E3" s="5">
        <v>45680</v>
      </c>
      <c r="F3" s="5">
        <v>45684</v>
      </c>
      <c r="G3" s="17" t="s">
        <v>465</v>
      </c>
      <c r="H3" s="49">
        <v>2262280</v>
      </c>
      <c r="I3" s="49">
        <v>0</v>
      </c>
      <c r="J3" s="50">
        <v>2262280</v>
      </c>
      <c r="K3" t="s">
        <v>2615</v>
      </c>
      <c r="L3" s="4" t="s">
        <v>461</v>
      </c>
      <c r="M3" t="s">
        <v>314</v>
      </c>
      <c r="N3" s="2">
        <v>860063875</v>
      </c>
      <c r="O3" t="s">
        <v>315</v>
      </c>
      <c r="P3" t="s">
        <v>316</v>
      </c>
      <c r="Q3" t="s">
        <v>317</v>
      </c>
      <c r="R3">
        <v>90060000410</v>
      </c>
      <c r="S3" t="s">
        <v>319</v>
      </c>
      <c r="T3">
        <v>860050750</v>
      </c>
      <c r="U3" t="s">
        <v>321</v>
      </c>
      <c r="V3">
        <v>923210</v>
      </c>
      <c r="W3" s="2" t="s">
        <v>56</v>
      </c>
      <c r="X3" t="s">
        <v>29</v>
      </c>
      <c r="Y3" t="s">
        <v>30</v>
      </c>
      <c r="Z3" t="s">
        <v>47</v>
      </c>
      <c r="AA3" t="s">
        <v>48</v>
      </c>
      <c r="AB3" t="s">
        <v>33</v>
      </c>
      <c r="AC3" s="51">
        <v>2262280</v>
      </c>
      <c r="AD3">
        <v>0</v>
      </c>
      <c r="AE3" s="4">
        <v>0</v>
      </c>
      <c r="AF3" s="4">
        <v>0</v>
      </c>
      <c r="AG3" t="s">
        <v>462</v>
      </c>
      <c r="AH3">
        <v>0</v>
      </c>
      <c r="AI3">
        <v>0</v>
      </c>
      <c r="AJ3" t="s">
        <v>463</v>
      </c>
      <c r="AK3">
        <v>0</v>
      </c>
      <c r="AL3">
        <v>0</v>
      </c>
      <c r="AM3">
        <v>0</v>
      </c>
      <c r="AN3">
        <v>0</v>
      </c>
      <c r="AO3" t="s">
        <v>466</v>
      </c>
      <c r="AP3">
        <v>1225</v>
      </c>
      <c r="AQ3">
        <v>1225</v>
      </c>
      <c r="AR3">
        <v>525</v>
      </c>
      <c r="AS3">
        <v>225</v>
      </c>
      <c r="AT3" s="5">
        <v>45679</v>
      </c>
      <c r="AU3">
        <v>225</v>
      </c>
      <c r="AV3">
        <v>10196125</v>
      </c>
      <c r="AW3">
        <v>0</v>
      </c>
      <c r="AX3" s="5">
        <v>45671</v>
      </c>
      <c r="AY3" t="s">
        <v>323</v>
      </c>
      <c r="AZ3" t="s">
        <v>347</v>
      </c>
      <c r="BA3" t="s">
        <v>348</v>
      </c>
    </row>
    <row r="4" spans="1:53" ht="15" customHeight="1" x14ac:dyDescent="0.2">
      <c r="A4" t="s">
        <v>4820</v>
      </c>
      <c r="B4" t="s">
        <v>504</v>
      </c>
      <c r="C4" t="s">
        <v>501</v>
      </c>
      <c r="D4">
        <v>12073225</v>
      </c>
      <c r="E4" s="5">
        <v>45681</v>
      </c>
      <c r="F4" s="5">
        <v>45685</v>
      </c>
      <c r="G4" s="17" t="s">
        <v>465</v>
      </c>
      <c r="H4" s="49">
        <v>2262280</v>
      </c>
      <c r="I4" s="49">
        <v>0</v>
      </c>
      <c r="J4" s="50">
        <v>2262280</v>
      </c>
      <c r="K4" t="s">
        <v>2615</v>
      </c>
      <c r="L4" s="4" t="s">
        <v>461</v>
      </c>
      <c r="M4" t="s">
        <v>314</v>
      </c>
      <c r="N4" s="2">
        <v>860063875</v>
      </c>
      <c r="O4" t="s">
        <v>315</v>
      </c>
      <c r="P4" t="s">
        <v>316</v>
      </c>
      <c r="Q4" t="s">
        <v>317</v>
      </c>
      <c r="R4">
        <v>90060000410</v>
      </c>
      <c r="S4" t="s">
        <v>319</v>
      </c>
      <c r="T4">
        <v>860050750</v>
      </c>
      <c r="U4" t="s">
        <v>321</v>
      </c>
      <c r="V4">
        <v>923210</v>
      </c>
      <c r="W4" s="2" t="s">
        <v>56</v>
      </c>
      <c r="X4" t="s">
        <v>29</v>
      </c>
      <c r="Y4" t="s">
        <v>30</v>
      </c>
      <c r="Z4" t="s">
        <v>47</v>
      </c>
      <c r="AA4" t="s">
        <v>48</v>
      </c>
      <c r="AB4" t="s">
        <v>33</v>
      </c>
      <c r="AC4" s="51">
        <v>2262280</v>
      </c>
      <c r="AD4">
        <v>0</v>
      </c>
      <c r="AE4" s="4">
        <v>0</v>
      </c>
      <c r="AF4" s="4">
        <v>0</v>
      </c>
      <c r="AG4" t="s">
        <v>462</v>
      </c>
      <c r="AH4">
        <v>0</v>
      </c>
      <c r="AI4">
        <v>0</v>
      </c>
      <c r="AJ4" t="s">
        <v>463</v>
      </c>
      <c r="AK4">
        <v>0</v>
      </c>
      <c r="AL4">
        <v>0</v>
      </c>
      <c r="AM4">
        <v>0</v>
      </c>
      <c r="AN4">
        <v>0</v>
      </c>
      <c r="AO4" t="s">
        <v>467</v>
      </c>
      <c r="AP4">
        <v>1225</v>
      </c>
      <c r="AQ4">
        <v>1225</v>
      </c>
      <c r="AR4">
        <v>525</v>
      </c>
      <c r="AS4">
        <v>225</v>
      </c>
      <c r="AT4" s="5">
        <v>45679</v>
      </c>
      <c r="AU4">
        <v>225</v>
      </c>
      <c r="AV4">
        <v>12073225</v>
      </c>
      <c r="AW4">
        <v>0</v>
      </c>
      <c r="AX4" s="5">
        <v>45671</v>
      </c>
      <c r="AY4" t="s">
        <v>323</v>
      </c>
      <c r="AZ4" t="s">
        <v>347</v>
      </c>
      <c r="BA4" t="s">
        <v>348</v>
      </c>
    </row>
    <row r="5" spans="1:53" ht="15" customHeight="1" x14ac:dyDescent="0.2">
      <c r="A5" t="s">
        <v>4821</v>
      </c>
      <c r="B5" t="s">
        <v>504</v>
      </c>
      <c r="C5" t="s">
        <v>501</v>
      </c>
      <c r="D5">
        <v>19229625</v>
      </c>
      <c r="E5" s="5">
        <v>45685</v>
      </c>
      <c r="F5" s="5">
        <v>45687.074999999997</v>
      </c>
      <c r="G5" s="4" t="s">
        <v>460</v>
      </c>
      <c r="H5" s="49">
        <v>2262280</v>
      </c>
      <c r="I5" s="49">
        <v>0</v>
      </c>
      <c r="J5" s="50">
        <v>2262280</v>
      </c>
      <c r="K5" t="s">
        <v>2615</v>
      </c>
      <c r="L5" s="4" t="s">
        <v>461</v>
      </c>
      <c r="M5" t="s">
        <v>314</v>
      </c>
      <c r="N5" s="2">
        <v>860063875</v>
      </c>
      <c r="O5" t="s">
        <v>315</v>
      </c>
      <c r="P5" t="s">
        <v>316</v>
      </c>
      <c r="Q5" t="s">
        <v>317</v>
      </c>
      <c r="R5">
        <v>90060000410</v>
      </c>
      <c r="S5" t="s">
        <v>319</v>
      </c>
      <c r="T5">
        <v>860050750</v>
      </c>
      <c r="U5" t="s">
        <v>321</v>
      </c>
      <c r="V5">
        <v>923210</v>
      </c>
      <c r="W5" t="s">
        <v>56</v>
      </c>
      <c r="X5" s="2" t="s">
        <v>29</v>
      </c>
      <c r="Y5" t="s">
        <v>30</v>
      </c>
      <c r="Z5" t="s">
        <v>47</v>
      </c>
      <c r="AA5" t="s">
        <v>48</v>
      </c>
      <c r="AB5" t="s">
        <v>33</v>
      </c>
      <c r="AC5" s="51">
        <v>2262280</v>
      </c>
      <c r="AD5">
        <v>0</v>
      </c>
      <c r="AE5" s="4">
        <v>0</v>
      </c>
      <c r="AF5" s="4">
        <v>0</v>
      </c>
      <c r="AG5" t="s">
        <v>462</v>
      </c>
      <c r="AH5">
        <v>0</v>
      </c>
      <c r="AI5">
        <v>0</v>
      </c>
      <c r="AJ5" s="2" t="s">
        <v>463</v>
      </c>
      <c r="AK5" s="2">
        <v>0</v>
      </c>
      <c r="AL5">
        <v>0</v>
      </c>
      <c r="AM5">
        <v>0</v>
      </c>
      <c r="AN5">
        <v>0</v>
      </c>
      <c r="AO5" t="s">
        <v>2192</v>
      </c>
      <c r="AP5">
        <v>1225</v>
      </c>
      <c r="AQ5">
        <v>1225</v>
      </c>
      <c r="AR5">
        <v>525</v>
      </c>
      <c r="AS5">
        <v>225</v>
      </c>
      <c r="AT5" s="5">
        <v>45679</v>
      </c>
      <c r="AU5">
        <v>225</v>
      </c>
      <c r="AV5">
        <v>19229625</v>
      </c>
      <c r="AW5">
        <v>0</v>
      </c>
      <c r="AX5" s="5">
        <v>45671</v>
      </c>
      <c r="AY5" t="s">
        <v>323</v>
      </c>
      <c r="AZ5" t="s">
        <v>347</v>
      </c>
      <c r="BA5" t="s">
        <v>348</v>
      </c>
    </row>
    <row r="6" spans="1:53" ht="15" customHeight="1" x14ac:dyDescent="0.2">
      <c r="A6" t="s">
        <v>4822</v>
      </c>
      <c r="B6" t="s">
        <v>503</v>
      </c>
      <c r="C6" t="s">
        <v>502</v>
      </c>
      <c r="D6">
        <v>19247825</v>
      </c>
      <c r="E6" s="5">
        <v>45685</v>
      </c>
      <c r="F6" s="5">
        <v>45687.074999999997</v>
      </c>
      <c r="G6" s="4" t="s">
        <v>460</v>
      </c>
      <c r="H6" s="49">
        <v>4390</v>
      </c>
      <c r="I6" s="49">
        <v>0</v>
      </c>
      <c r="J6" s="50">
        <v>4390</v>
      </c>
      <c r="K6" t="s">
        <v>2615</v>
      </c>
      <c r="L6" s="4" t="s">
        <v>461</v>
      </c>
      <c r="M6" t="s">
        <v>314</v>
      </c>
      <c r="N6" s="2">
        <v>800007813</v>
      </c>
      <c r="O6" t="s">
        <v>339</v>
      </c>
      <c r="P6" t="s">
        <v>316</v>
      </c>
      <c r="Q6" t="s">
        <v>317</v>
      </c>
      <c r="R6">
        <v>17800000434</v>
      </c>
      <c r="S6" t="s">
        <v>319</v>
      </c>
      <c r="T6">
        <v>890903938</v>
      </c>
      <c r="U6" t="s">
        <v>342</v>
      </c>
      <c r="V6">
        <v>923210</v>
      </c>
      <c r="W6" t="s">
        <v>56</v>
      </c>
      <c r="X6" s="2" t="s">
        <v>29</v>
      </c>
      <c r="Y6" t="s">
        <v>30</v>
      </c>
      <c r="Z6" t="s">
        <v>47</v>
      </c>
      <c r="AA6" t="s">
        <v>48</v>
      </c>
      <c r="AB6" t="s">
        <v>33</v>
      </c>
      <c r="AC6" s="51">
        <v>4390</v>
      </c>
      <c r="AD6">
        <v>0</v>
      </c>
      <c r="AE6" s="4">
        <v>0</v>
      </c>
      <c r="AF6" s="4">
        <v>0</v>
      </c>
      <c r="AG6" t="s">
        <v>462</v>
      </c>
      <c r="AH6">
        <v>0</v>
      </c>
      <c r="AI6">
        <v>0</v>
      </c>
      <c r="AJ6" s="2" t="s">
        <v>463</v>
      </c>
      <c r="AK6" s="2">
        <v>0</v>
      </c>
      <c r="AL6">
        <v>0</v>
      </c>
      <c r="AM6">
        <v>0</v>
      </c>
      <c r="AN6">
        <v>0</v>
      </c>
      <c r="AO6" t="s">
        <v>2193</v>
      </c>
      <c r="AP6">
        <v>1225</v>
      </c>
      <c r="AQ6">
        <v>1225</v>
      </c>
      <c r="AR6">
        <v>425</v>
      </c>
      <c r="AS6">
        <v>325</v>
      </c>
      <c r="AT6" s="5">
        <v>45681</v>
      </c>
      <c r="AU6">
        <v>325</v>
      </c>
      <c r="AV6">
        <v>19247825</v>
      </c>
      <c r="AW6">
        <v>0</v>
      </c>
      <c r="AX6" s="5">
        <v>45671</v>
      </c>
      <c r="AY6" t="s">
        <v>323</v>
      </c>
      <c r="AZ6" t="s">
        <v>343</v>
      </c>
      <c r="BA6" t="s">
        <v>344</v>
      </c>
    </row>
    <row r="7" spans="1:53" ht="15" customHeight="1" x14ac:dyDescent="0.2">
      <c r="A7" t="s">
        <v>4823</v>
      </c>
      <c r="B7" t="s">
        <v>518</v>
      </c>
      <c r="C7" t="s">
        <v>4824</v>
      </c>
      <c r="D7">
        <v>19256425</v>
      </c>
      <c r="E7" s="5">
        <v>45685</v>
      </c>
      <c r="F7" s="5">
        <v>45687.074999999997</v>
      </c>
      <c r="G7" s="4" t="s">
        <v>460</v>
      </c>
      <c r="H7" s="49">
        <v>4390</v>
      </c>
      <c r="I7" s="49">
        <v>0</v>
      </c>
      <c r="J7" s="50">
        <v>4390</v>
      </c>
      <c r="K7" t="s">
        <v>2615</v>
      </c>
      <c r="L7" s="4" t="s">
        <v>461</v>
      </c>
      <c r="M7" t="s">
        <v>314</v>
      </c>
      <c r="N7" s="2">
        <v>800007813</v>
      </c>
      <c r="O7" t="s">
        <v>339</v>
      </c>
      <c r="P7" t="s">
        <v>316</v>
      </c>
      <c r="Q7" t="s">
        <v>317</v>
      </c>
      <c r="R7">
        <v>17800000434</v>
      </c>
      <c r="S7" t="s">
        <v>319</v>
      </c>
      <c r="T7">
        <v>890903938</v>
      </c>
      <c r="U7" t="s">
        <v>342</v>
      </c>
      <c r="V7">
        <v>923210</v>
      </c>
      <c r="W7" t="s">
        <v>56</v>
      </c>
      <c r="X7" s="2" t="s">
        <v>29</v>
      </c>
      <c r="Y7" t="s">
        <v>30</v>
      </c>
      <c r="Z7" t="s">
        <v>47</v>
      </c>
      <c r="AA7" t="s">
        <v>48</v>
      </c>
      <c r="AB7" t="s">
        <v>33</v>
      </c>
      <c r="AC7" s="51">
        <v>4390</v>
      </c>
      <c r="AD7">
        <v>0</v>
      </c>
      <c r="AE7" s="4">
        <v>0</v>
      </c>
      <c r="AF7" s="4">
        <v>0</v>
      </c>
      <c r="AG7" t="s">
        <v>462</v>
      </c>
      <c r="AH7">
        <v>0</v>
      </c>
      <c r="AI7">
        <v>0</v>
      </c>
      <c r="AJ7" s="2" t="s">
        <v>463</v>
      </c>
      <c r="AK7" s="2">
        <v>0</v>
      </c>
      <c r="AL7">
        <v>0</v>
      </c>
      <c r="AM7">
        <v>0</v>
      </c>
      <c r="AN7">
        <v>0</v>
      </c>
      <c r="AO7" t="s">
        <v>2194</v>
      </c>
      <c r="AP7">
        <v>1225</v>
      </c>
      <c r="AQ7">
        <v>1225</v>
      </c>
      <c r="AR7">
        <v>1925</v>
      </c>
      <c r="AS7">
        <v>925</v>
      </c>
      <c r="AT7" s="5">
        <v>45684</v>
      </c>
      <c r="AU7">
        <v>825</v>
      </c>
      <c r="AV7">
        <v>19256425</v>
      </c>
      <c r="AW7">
        <v>0</v>
      </c>
      <c r="AX7" s="5">
        <v>45681</v>
      </c>
      <c r="AY7" t="s">
        <v>323</v>
      </c>
      <c r="AZ7" t="s">
        <v>428</v>
      </c>
      <c r="BA7" t="s">
        <v>429</v>
      </c>
    </row>
    <row r="8" spans="1:53" x14ac:dyDescent="0.2">
      <c r="A8" t="s">
        <v>4825</v>
      </c>
      <c r="B8" t="s">
        <v>519</v>
      </c>
      <c r="C8" t="s">
        <v>4826</v>
      </c>
      <c r="D8">
        <v>19268525</v>
      </c>
      <c r="E8" s="5">
        <v>45685</v>
      </c>
      <c r="F8" s="5">
        <v>45687.074999999997</v>
      </c>
      <c r="G8" s="4" t="s">
        <v>460</v>
      </c>
      <c r="H8" s="49">
        <v>26070</v>
      </c>
      <c r="I8" s="49">
        <v>0</v>
      </c>
      <c r="J8" s="50">
        <v>26070</v>
      </c>
      <c r="K8" t="s">
        <v>2615</v>
      </c>
      <c r="L8" s="4" t="s">
        <v>461</v>
      </c>
      <c r="M8" t="s">
        <v>314</v>
      </c>
      <c r="N8" s="2">
        <v>899999094</v>
      </c>
      <c r="O8" t="s">
        <v>432</v>
      </c>
      <c r="P8" t="s">
        <v>316</v>
      </c>
      <c r="Q8" t="s">
        <v>317</v>
      </c>
      <c r="R8">
        <v>7900287975</v>
      </c>
      <c r="S8" t="s">
        <v>319</v>
      </c>
      <c r="T8">
        <v>860034313</v>
      </c>
      <c r="U8" t="s">
        <v>355</v>
      </c>
      <c r="V8">
        <v>923210</v>
      </c>
      <c r="W8" t="s">
        <v>56</v>
      </c>
      <c r="X8" s="2" t="s">
        <v>29</v>
      </c>
      <c r="Y8" t="s">
        <v>30</v>
      </c>
      <c r="Z8" t="s">
        <v>47</v>
      </c>
      <c r="AA8" t="s">
        <v>48</v>
      </c>
      <c r="AB8" t="s">
        <v>33</v>
      </c>
      <c r="AC8" s="51">
        <v>26070</v>
      </c>
      <c r="AD8">
        <v>0</v>
      </c>
      <c r="AE8" s="4">
        <v>0</v>
      </c>
      <c r="AF8" s="4">
        <v>0</v>
      </c>
      <c r="AG8" t="s">
        <v>462</v>
      </c>
      <c r="AH8">
        <v>0</v>
      </c>
      <c r="AI8">
        <v>0</v>
      </c>
      <c r="AJ8" s="2" t="s">
        <v>463</v>
      </c>
      <c r="AK8" s="2">
        <v>0</v>
      </c>
      <c r="AL8">
        <v>0</v>
      </c>
      <c r="AM8">
        <v>0</v>
      </c>
      <c r="AN8">
        <v>0</v>
      </c>
      <c r="AO8" t="s">
        <v>2195</v>
      </c>
      <c r="AP8">
        <v>1225</v>
      </c>
      <c r="AQ8">
        <v>1225</v>
      </c>
      <c r="AR8">
        <v>2025</v>
      </c>
      <c r="AS8">
        <v>825</v>
      </c>
      <c r="AT8" s="5">
        <v>45684</v>
      </c>
      <c r="AU8">
        <v>725</v>
      </c>
      <c r="AV8">
        <v>19268525</v>
      </c>
      <c r="AW8">
        <v>0</v>
      </c>
      <c r="AX8" s="5">
        <v>45681</v>
      </c>
      <c r="AY8" t="s">
        <v>323</v>
      </c>
      <c r="AZ8">
        <v>11329825</v>
      </c>
      <c r="BA8" t="s">
        <v>435</v>
      </c>
    </row>
    <row r="9" spans="1:53" ht="15" customHeight="1" x14ac:dyDescent="0.2">
      <c r="A9" t="s">
        <v>4827</v>
      </c>
      <c r="B9" t="s">
        <v>520</v>
      </c>
      <c r="C9" t="s">
        <v>4828</v>
      </c>
      <c r="D9">
        <v>19274025</v>
      </c>
      <c r="E9" s="5">
        <v>45685</v>
      </c>
      <c r="F9" s="5">
        <v>45687.074999999997</v>
      </c>
      <c r="G9" s="4" t="s">
        <v>460</v>
      </c>
      <c r="H9" s="49">
        <v>1327160</v>
      </c>
      <c r="I9" s="49">
        <v>0</v>
      </c>
      <c r="J9" s="50">
        <v>1327160</v>
      </c>
      <c r="K9" t="s">
        <v>2615</v>
      </c>
      <c r="L9" s="4" t="s">
        <v>461</v>
      </c>
      <c r="M9" t="s">
        <v>314</v>
      </c>
      <c r="N9" s="2">
        <v>899999094</v>
      </c>
      <c r="O9" t="s">
        <v>432</v>
      </c>
      <c r="P9" t="s">
        <v>316</v>
      </c>
      <c r="Q9" t="s">
        <v>317</v>
      </c>
      <c r="R9">
        <v>7900287975</v>
      </c>
      <c r="S9" t="s">
        <v>319</v>
      </c>
      <c r="T9">
        <v>860034313</v>
      </c>
      <c r="U9" t="s">
        <v>355</v>
      </c>
      <c r="V9">
        <v>923210</v>
      </c>
      <c r="W9" t="s">
        <v>56</v>
      </c>
      <c r="X9" s="2" t="s">
        <v>29</v>
      </c>
      <c r="Y9" t="s">
        <v>30</v>
      </c>
      <c r="Z9" t="s">
        <v>47</v>
      </c>
      <c r="AA9" t="s">
        <v>48</v>
      </c>
      <c r="AB9" t="s">
        <v>33</v>
      </c>
      <c r="AC9" s="51">
        <v>1327160</v>
      </c>
      <c r="AD9">
        <v>0</v>
      </c>
      <c r="AE9" s="4">
        <v>0</v>
      </c>
      <c r="AF9" s="4">
        <v>0</v>
      </c>
      <c r="AG9" t="s">
        <v>462</v>
      </c>
      <c r="AH9">
        <v>0</v>
      </c>
      <c r="AI9">
        <v>0</v>
      </c>
      <c r="AJ9" s="2" t="s">
        <v>463</v>
      </c>
      <c r="AK9" s="2">
        <v>0</v>
      </c>
      <c r="AL9">
        <v>0</v>
      </c>
      <c r="AM9">
        <v>0</v>
      </c>
      <c r="AN9">
        <v>0</v>
      </c>
      <c r="AO9" t="s">
        <v>2196</v>
      </c>
      <c r="AP9">
        <v>1225</v>
      </c>
      <c r="AQ9">
        <v>1225</v>
      </c>
      <c r="AR9">
        <v>2125</v>
      </c>
      <c r="AS9">
        <v>725</v>
      </c>
      <c r="AT9" s="5">
        <v>45684</v>
      </c>
      <c r="AU9">
        <v>625</v>
      </c>
      <c r="AV9">
        <v>19274025</v>
      </c>
      <c r="AW9">
        <v>0</v>
      </c>
      <c r="AX9" s="5">
        <v>45681</v>
      </c>
      <c r="AY9" t="s">
        <v>323</v>
      </c>
      <c r="AZ9">
        <v>40687493318</v>
      </c>
      <c r="BA9" t="s">
        <v>439</v>
      </c>
    </row>
    <row r="10" spans="1:53" ht="15" customHeight="1" x14ac:dyDescent="0.2">
      <c r="A10" t="s">
        <v>4829</v>
      </c>
      <c r="B10" t="s">
        <v>501</v>
      </c>
      <c r="C10" t="s">
        <v>4830</v>
      </c>
      <c r="D10">
        <v>19278925</v>
      </c>
      <c r="E10" s="5">
        <v>45685</v>
      </c>
      <c r="F10" s="5">
        <v>45687.074999999997</v>
      </c>
      <c r="G10" s="4" t="s">
        <v>460</v>
      </c>
      <c r="H10" s="49">
        <v>146035.22</v>
      </c>
      <c r="I10" s="49">
        <v>0</v>
      </c>
      <c r="J10" s="50">
        <v>146035.22</v>
      </c>
      <c r="K10" t="s">
        <v>2615</v>
      </c>
      <c r="L10" s="4" t="s">
        <v>461</v>
      </c>
      <c r="M10" t="s">
        <v>314</v>
      </c>
      <c r="N10" s="2">
        <v>899999115</v>
      </c>
      <c r="O10" t="s">
        <v>327</v>
      </c>
      <c r="P10" t="s">
        <v>316</v>
      </c>
      <c r="Q10" t="s">
        <v>328</v>
      </c>
      <c r="R10">
        <v>20936509</v>
      </c>
      <c r="S10" t="s">
        <v>319</v>
      </c>
      <c r="T10">
        <v>860051135</v>
      </c>
      <c r="U10" t="s">
        <v>331</v>
      </c>
      <c r="V10">
        <v>923210</v>
      </c>
      <c r="W10" t="s">
        <v>56</v>
      </c>
      <c r="X10" s="2" t="s">
        <v>29</v>
      </c>
      <c r="Y10" t="s">
        <v>30</v>
      </c>
      <c r="Z10" t="s">
        <v>47</v>
      </c>
      <c r="AA10" t="s">
        <v>48</v>
      </c>
      <c r="AB10" t="s">
        <v>33</v>
      </c>
      <c r="AC10" s="51">
        <v>146035.22</v>
      </c>
      <c r="AD10">
        <v>0</v>
      </c>
      <c r="AE10" s="4">
        <v>0</v>
      </c>
      <c r="AF10" s="4">
        <v>0</v>
      </c>
      <c r="AG10" t="s">
        <v>462</v>
      </c>
      <c r="AH10">
        <v>0</v>
      </c>
      <c r="AI10">
        <v>0</v>
      </c>
      <c r="AJ10" s="2" t="s">
        <v>463</v>
      </c>
      <c r="AK10" s="2">
        <v>0</v>
      </c>
      <c r="AL10">
        <v>0</v>
      </c>
      <c r="AM10">
        <v>0</v>
      </c>
      <c r="AN10">
        <v>0</v>
      </c>
      <c r="AO10" t="s">
        <v>2198</v>
      </c>
      <c r="AP10">
        <v>1225</v>
      </c>
      <c r="AQ10">
        <v>1225</v>
      </c>
      <c r="AR10">
        <v>225</v>
      </c>
      <c r="AS10">
        <v>625</v>
      </c>
      <c r="AT10" s="5">
        <v>45684</v>
      </c>
      <c r="AU10">
        <v>425</v>
      </c>
      <c r="AV10">
        <v>19278925</v>
      </c>
      <c r="AW10">
        <v>0</v>
      </c>
      <c r="AX10" s="5">
        <v>45671</v>
      </c>
      <c r="AY10" t="s">
        <v>323</v>
      </c>
      <c r="AZ10" t="s">
        <v>332</v>
      </c>
      <c r="BA10" t="s">
        <v>333</v>
      </c>
    </row>
    <row r="11" spans="1:53" ht="15" customHeight="1" x14ac:dyDescent="0.2">
      <c r="A11" t="s">
        <v>4831</v>
      </c>
      <c r="B11" t="s">
        <v>501</v>
      </c>
      <c r="C11" t="s">
        <v>504</v>
      </c>
      <c r="D11">
        <v>19282825</v>
      </c>
      <c r="E11" s="5">
        <v>45685</v>
      </c>
      <c r="F11" s="5">
        <v>45687.074999999997</v>
      </c>
      <c r="G11" s="4" t="s">
        <v>460</v>
      </c>
      <c r="H11" s="49">
        <v>27557.13</v>
      </c>
      <c r="I11" s="49">
        <v>0</v>
      </c>
      <c r="J11" s="50">
        <v>27557.13</v>
      </c>
      <c r="K11" t="s">
        <v>2615</v>
      </c>
      <c r="L11" s="4" t="s">
        <v>461</v>
      </c>
      <c r="M11" t="s">
        <v>314</v>
      </c>
      <c r="N11" s="2">
        <v>899999115</v>
      </c>
      <c r="O11" t="s">
        <v>327</v>
      </c>
      <c r="P11" t="s">
        <v>316</v>
      </c>
      <c r="Q11" t="s">
        <v>328</v>
      </c>
      <c r="R11">
        <v>20936509</v>
      </c>
      <c r="S11" t="s">
        <v>319</v>
      </c>
      <c r="T11">
        <v>860051135</v>
      </c>
      <c r="U11" t="s">
        <v>331</v>
      </c>
      <c r="V11">
        <v>923210</v>
      </c>
      <c r="W11" t="s">
        <v>56</v>
      </c>
      <c r="X11" s="2" t="s">
        <v>29</v>
      </c>
      <c r="Y11" t="s">
        <v>30</v>
      </c>
      <c r="Z11" t="s">
        <v>47</v>
      </c>
      <c r="AA11" t="s">
        <v>48</v>
      </c>
      <c r="AB11" t="s">
        <v>33</v>
      </c>
      <c r="AC11" s="51">
        <v>27557.13</v>
      </c>
      <c r="AD11">
        <v>0</v>
      </c>
      <c r="AE11" s="4">
        <v>0</v>
      </c>
      <c r="AF11" s="4">
        <v>0</v>
      </c>
      <c r="AG11" t="s">
        <v>462</v>
      </c>
      <c r="AH11">
        <v>0</v>
      </c>
      <c r="AI11">
        <v>0</v>
      </c>
      <c r="AJ11" s="2" t="s">
        <v>463</v>
      </c>
      <c r="AK11" s="2">
        <v>0</v>
      </c>
      <c r="AL11">
        <v>0</v>
      </c>
      <c r="AM11">
        <v>0</v>
      </c>
      <c r="AN11">
        <v>0</v>
      </c>
      <c r="AO11" t="s">
        <v>2200</v>
      </c>
      <c r="AP11">
        <v>1225</v>
      </c>
      <c r="AQ11">
        <v>1225</v>
      </c>
      <c r="AR11">
        <v>225</v>
      </c>
      <c r="AS11">
        <v>525</v>
      </c>
      <c r="AT11" s="5">
        <v>45684</v>
      </c>
      <c r="AU11">
        <v>525</v>
      </c>
      <c r="AV11">
        <v>19282825</v>
      </c>
      <c r="AW11">
        <v>0</v>
      </c>
      <c r="AX11" s="5">
        <v>45671</v>
      </c>
      <c r="AY11" t="s">
        <v>323</v>
      </c>
      <c r="AZ11" t="s">
        <v>332</v>
      </c>
      <c r="BA11" t="s">
        <v>333</v>
      </c>
    </row>
    <row r="12" spans="1:53" ht="15" customHeight="1" x14ac:dyDescent="0.2">
      <c r="A12" t="s">
        <v>4832</v>
      </c>
      <c r="B12" t="s">
        <v>502</v>
      </c>
      <c r="C12" t="s">
        <v>4833</v>
      </c>
      <c r="D12">
        <v>19869525</v>
      </c>
      <c r="E12" s="5">
        <v>45685</v>
      </c>
      <c r="F12" s="5">
        <v>45687.074999999997</v>
      </c>
      <c r="G12" s="4" t="s">
        <v>460</v>
      </c>
      <c r="H12" s="49">
        <v>2506950.4300000002</v>
      </c>
      <c r="I12" s="49">
        <v>0</v>
      </c>
      <c r="J12" s="50">
        <v>2506950.4300000002</v>
      </c>
      <c r="K12" t="s">
        <v>2615</v>
      </c>
      <c r="L12" s="4" t="s">
        <v>461</v>
      </c>
      <c r="M12" t="s">
        <v>314</v>
      </c>
      <c r="N12" s="2">
        <v>899999115</v>
      </c>
      <c r="O12" t="s">
        <v>327</v>
      </c>
      <c r="P12" t="s">
        <v>316</v>
      </c>
      <c r="Q12" t="s">
        <v>328</v>
      </c>
      <c r="R12">
        <v>20936509</v>
      </c>
      <c r="S12" t="s">
        <v>319</v>
      </c>
      <c r="T12">
        <v>860051135</v>
      </c>
      <c r="U12" t="s">
        <v>331</v>
      </c>
      <c r="V12">
        <v>923210</v>
      </c>
      <c r="W12" t="s">
        <v>56</v>
      </c>
      <c r="X12" s="2" t="s">
        <v>29</v>
      </c>
      <c r="Y12" t="s">
        <v>30</v>
      </c>
      <c r="Z12" t="s">
        <v>47</v>
      </c>
      <c r="AA12" t="s">
        <v>48</v>
      </c>
      <c r="AB12" t="s">
        <v>33</v>
      </c>
      <c r="AC12" s="51">
        <v>2506950.4300000002</v>
      </c>
      <c r="AD12">
        <v>0</v>
      </c>
      <c r="AE12" s="4">
        <v>0</v>
      </c>
      <c r="AF12" s="4">
        <v>0</v>
      </c>
      <c r="AG12" t="s">
        <v>462</v>
      </c>
      <c r="AH12">
        <v>0</v>
      </c>
      <c r="AI12">
        <v>0</v>
      </c>
      <c r="AJ12" s="2" t="s">
        <v>463</v>
      </c>
      <c r="AK12" s="2">
        <v>0</v>
      </c>
      <c r="AL12">
        <v>0</v>
      </c>
      <c r="AM12">
        <v>0</v>
      </c>
      <c r="AN12">
        <v>0</v>
      </c>
      <c r="AO12" t="s">
        <v>2202</v>
      </c>
      <c r="AP12">
        <v>1225</v>
      </c>
      <c r="AQ12">
        <v>1225</v>
      </c>
      <c r="AR12">
        <v>325</v>
      </c>
      <c r="AS12">
        <v>1025</v>
      </c>
      <c r="AT12" s="5">
        <v>45685</v>
      </c>
      <c r="AU12">
        <v>925</v>
      </c>
      <c r="AV12">
        <v>19869525</v>
      </c>
      <c r="AW12">
        <v>0</v>
      </c>
      <c r="AX12" s="5">
        <v>45671</v>
      </c>
      <c r="AY12" t="s">
        <v>323</v>
      </c>
      <c r="AZ12" t="s">
        <v>335</v>
      </c>
      <c r="BA12" t="s">
        <v>336</v>
      </c>
    </row>
    <row r="13" spans="1:53" ht="15" customHeight="1" x14ac:dyDescent="0.2">
      <c r="A13" t="s">
        <v>4834</v>
      </c>
      <c r="B13" t="s">
        <v>502</v>
      </c>
      <c r="C13" t="s">
        <v>2223</v>
      </c>
      <c r="D13">
        <v>19879525</v>
      </c>
      <c r="E13" s="5">
        <v>45685</v>
      </c>
      <c r="F13" s="5">
        <v>45687.074999999997</v>
      </c>
      <c r="G13" s="4" t="s">
        <v>460</v>
      </c>
      <c r="H13" s="49">
        <v>215499.57</v>
      </c>
      <c r="I13" s="49">
        <v>0</v>
      </c>
      <c r="J13" s="50">
        <v>215499.57</v>
      </c>
      <c r="K13" t="s">
        <v>2615</v>
      </c>
      <c r="L13" s="4" t="s">
        <v>461</v>
      </c>
      <c r="M13" t="s">
        <v>314</v>
      </c>
      <c r="N13" s="2">
        <v>899999115</v>
      </c>
      <c r="O13" t="s">
        <v>327</v>
      </c>
      <c r="P13" t="s">
        <v>316</v>
      </c>
      <c r="Q13" t="s">
        <v>328</v>
      </c>
      <c r="R13">
        <v>20936509</v>
      </c>
      <c r="S13" t="s">
        <v>319</v>
      </c>
      <c r="T13">
        <v>860051135</v>
      </c>
      <c r="U13" t="s">
        <v>331</v>
      </c>
      <c r="V13">
        <v>923210</v>
      </c>
      <c r="W13" t="s">
        <v>56</v>
      </c>
      <c r="X13" s="2" t="s">
        <v>29</v>
      </c>
      <c r="Y13" t="s">
        <v>30</v>
      </c>
      <c r="Z13" t="s">
        <v>47</v>
      </c>
      <c r="AA13" t="s">
        <v>48</v>
      </c>
      <c r="AB13" t="s">
        <v>33</v>
      </c>
      <c r="AC13" s="51">
        <v>215499.57</v>
      </c>
      <c r="AD13">
        <v>0</v>
      </c>
      <c r="AE13" s="4">
        <v>0</v>
      </c>
      <c r="AF13" s="4">
        <v>0</v>
      </c>
      <c r="AG13" t="s">
        <v>462</v>
      </c>
      <c r="AH13">
        <v>0</v>
      </c>
      <c r="AI13">
        <v>0</v>
      </c>
      <c r="AJ13" s="2" t="s">
        <v>463</v>
      </c>
      <c r="AK13" s="2">
        <v>0</v>
      </c>
      <c r="AL13">
        <v>0</v>
      </c>
      <c r="AM13">
        <v>0</v>
      </c>
      <c r="AN13">
        <v>0</v>
      </c>
      <c r="AO13" t="s">
        <v>2204</v>
      </c>
      <c r="AP13">
        <v>1225</v>
      </c>
      <c r="AQ13">
        <v>1225</v>
      </c>
      <c r="AR13">
        <v>325</v>
      </c>
      <c r="AS13">
        <v>1125</v>
      </c>
      <c r="AT13" s="5">
        <v>45685</v>
      </c>
      <c r="AU13">
        <v>1025</v>
      </c>
      <c r="AV13">
        <v>19879525</v>
      </c>
      <c r="AW13">
        <v>0</v>
      </c>
      <c r="AX13" s="5">
        <v>45671</v>
      </c>
      <c r="AY13" t="s">
        <v>323</v>
      </c>
      <c r="AZ13" t="s">
        <v>335</v>
      </c>
      <c r="BA13" t="s">
        <v>336</v>
      </c>
    </row>
    <row r="14" spans="1:53" ht="15" customHeight="1" x14ac:dyDescent="0.2">
      <c r="A14" t="s">
        <v>4835</v>
      </c>
      <c r="B14" t="s">
        <v>2224</v>
      </c>
      <c r="C14" t="s">
        <v>2225</v>
      </c>
      <c r="D14">
        <v>26953325</v>
      </c>
      <c r="E14" s="5">
        <v>45693</v>
      </c>
      <c r="F14" s="5">
        <v>45695.067361111112</v>
      </c>
      <c r="G14" s="4" t="s">
        <v>460</v>
      </c>
      <c r="H14" s="49">
        <v>3096240</v>
      </c>
      <c r="I14" s="49">
        <v>0</v>
      </c>
      <c r="J14" s="50">
        <v>3096240</v>
      </c>
      <c r="K14" t="s">
        <v>2615</v>
      </c>
      <c r="L14" s="4" t="s">
        <v>461</v>
      </c>
      <c r="M14" t="s">
        <v>314</v>
      </c>
      <c r="N14" s="2">
        <v>860063875</v>
      </c>
      <c r="O14" t="s">
        <v>315</v>
      </c>
      <c r="P14" t="s">
        <v>316</v>
      </c>
      <c r="Q14" t="s">
        <v>317</v>
      </c>
      <c r="R14">
        <v>90060000410</v>
      </c>
      <c r="S14" t="s">
        <v>319</v>
      </c>
      <c r="T14">
        <v>860050750</v>
      </c>
      <c r="U14" t="s">
        <v>321</v>
      </c>
      <c r="V14">
        <v>923210</v>
      </c>
      <c r="W14" t="s">
        <v>56</v>
      </c>
      <c r="X14" s="2" t="s">
        <v>29</v>
      </c>
      <c r="Y14" t="s">
        <v>30</v>
      </c>
      <c r="Z14" t="s">
        <v>47</v>
      </c>
      <c r="AA14" t="s">
        <v>48</v>
      </c>
      <c r="AB14" t="s">
        <v>33</v>
      </c>
      <c r="AC14" s="51">
        <v>3096240</v>
      </c>
      <c r="AD14">
        <v>0</v>
      </c>
      <c r="AE14" s="4">
        <v>0</v>
      </c>
      <c r="AF14" s="4">
        <v>0</v>
      </c>
      <c r="AG14" t="s">
        <v>462</v>
      </c>
      <c r="AH14">
        <v>0</v>
      </c>
      <c r="AI14">
        <v>0</v>
      </c>
      <c r="AJ14" s="2" t="s">
        <v>463</v>
      </c>
      <c r="AK14" s="2">
        <v>0</v>
      </c>
      <c r="AL14">
        <v>0</v>
      </c>
      <c r="AM14">
        <v>0</v>
      </c>
      <c r="AN14">
        <v>0</v>
      </c>
      <c r="AO14" t="s">
        <v>2205</v>
      </c>
      <c r="AP14">
        <v>1225</v>
      </c>
      <c r="AQ14">
        <v>1225</v>
      </c>
      <c r="AR14">
        <v>6225</v>
      </c>
      <c r="AS14">
        <v>1225</v>
      </c>
      <c r="AT14" s="5">
        <v>45693</v>
      </c>
      <c r="AU14">
        <v>1125</v>
      </c>
      <c r="AV14">
        <v>26953325</v>
      </c>
      <c r="AW14">
        <v>0</v>
      </c>
      <c r="AX14" s="5">
        <v>45693</v>
      </c>
      <c r="AY14" t="s">
        <v>323</v>
      </c>
      <c r="AZ14" t="s">
        <v>802</v>
      </c>
      <c r="BA14" t="s">
        <v>803</v>
      </c>
    </row>
    <row r="15" spans="1:53" ht="15" customHeight="1" x14ac:dyDescent="0.2">
      <c r="A15" t="s">
        <v>4836</v>
      </c>
      <c r="B15" t="s">
        <v>2226</v>
      </c>
      <c r="C15" t="s">
        <v>4837</v>
      </c>
      <c r="D15">
        <v>30154525</v>
      </c>
      <c r="E15" s="5">
        <v>45695</v>
      </c>
      <c r="F15" s="5">
        <v>45699.060416666667</v>
      </c>
      <c r="G15" s="4" t="s">
        <v>460</v>
      </c>
      <c r="H15" s="49">
        <v>158900</v>
      </c>
      <c r="I15" s="49">
        <v>0</v>
      </c>
      <c r="J15" s="50">
        <v>158900</v>
      </c>
      <c r="K15" t="s">
        <v>2625</v>
      </c>
      <c r="L15" s="4" t="s">
        <v>461</v>
      </c>
      <c r="M15" t="s">
        <v>314</v>
      </c>
      <c r="N15" s="2">
        <v>900171710</v>
      </c>
      <c r="O15" t="s">
        <v>634</v>
      </c>
      <c r="P15" t="s">
        <v>316</v>
      </c>
      <c r="Q15" t="s">
        <v>328</v>
      </c>
      <c r="R15">
        <v>12602546076</v>
      </c>
      <c r="S15" t="s">
        <v>319</v>
      </c>
      <c r="T15">
        <v>890903938</v>
      </c>
      <c r="U15" t="s">
        <v>342</v>
      </c>
      <c r="V15">
        <v>923210</v>
      </c>
      <c r="W15" t="s">
        <v>56</v>
      </c>
      <c r="X15" s="2" t="s">
        <v>29</v>
      </c>
      <c r="Y15" t="s">
        <v>30</v>
      </c>
      <c r="Z15" t="s">
        <v>47</v>
      </c>
      <c r="AA15" t="s">
        <v>48</v>
      </c>
      <c r="AB15" t="s">
        <v>33</v>
      </c>
      <c r="AC15" s="51">
        <v>158900</v>
      </c>
      <c r="AD15">
        <v>0</v>
      </c>
      <c r="AE15" s="4">
        <v>0</v>
      </c>
      <c r="AF15" s="4">
        <v>0</v>
      </c>
      <c r="AG15" t="s">
        <v>462</v>
      </c>
      <c r="AH15" t="s">
        <v>2207</v>
      </c>
      <c r="AI15">
        <v>12602546076</v>
      </c>
      <c r="AJ15" s="2" t="s">
        <v>463</v>
      </c>
      <c r="AK15" s="2">
        <v>0</v>
      </c>
      <c r="AL15">
        <v>0</v>
      </c>
      <c r="AM15">
        <v>0</v>
      </c>
      <c r="AN15">
        <v>0</v>
      </c>
      <c r="AO15" t="s">
        <v>2208</v>
      </c>
      <c r="AP15">
        <v>1225</v>
      </c>
      <c r="AQ15">
        <v>1225</v>
      </c>
      <c r="AR15">
        <v>2725</v>
      </c>
      <c r="AS15">
        <v>2525</v>
      </c>
      <c r="AT15" s="5">
        <v>45695</v>
      </c>
      <c r="AU15">
        <v>1625</v>
      </c>
      <c r="AV15">
        <v>30154525</v>
      </c>
      <c r="AW15">
        <v>0</v>
      </c>
      <c r="AX15" s="5">
        <v>45686</v>
      </c>
      <c r="AY15" t="s">
        <v>323</v>
      </c>
      <c r="AZ15">
        <v>1525329</v>
      </c>
      <c r="BA15" t="s">
        <v>638</v>
      </c>
    </row>
    <row r="16" spans="1:53" ht="15" customHeight="1" x14ac:dyDescent="0.2">
      <c r="A16" t="s">
        <v>4838</v>
      </c>
      <c r="B16" t="s">
        <v>2227</v>
      </c>
      <c r="C16" t="s">
        <v>4839</v>
      </c>
      <c r="D16">
        <v>30175325</v>
      </c>
      <c r="E16" s="5">
        <v>45695</v>
      </c>
      <c r="F16" s="5">
        <v>45699.043055555558</v>
      </c>
      <c r="G16" s="4" t="s">
        <v>460</v>
      </c>
      <c r="H16" s="49">
        <v>4390</v>
      </c>
      <c r="I16" s="49">
        <v>0</v>
      </c>
      <c r="J16" s="50">
        <v>4390</v>
      </c>
      <c r="K16" t="s">
        <v>2615</v>
      </c>
      <c r="L16" s="4" t="s">
        <v>461</v>
      </c>
      <c r="M16" t="s">
        <v>314</v>
      </c>
      <c r="N16" s="2">
        <v>800007813</v>
      </c>
      <c r="O16" t="s">
        <v>339</v>
      </c>
      <c r="P16" t="s">
        <v>316</v>
      </c>
      <c r="Q16" t="s">
        <v>317</v>
      </c>
      <c r="R16">
        <v>17800000434</v>
      </c>
      <c r="S16" t="s">
        <v>319</v>
      </c>
      <c r="T16">
        <v>890903938</v>
      </c>
      <c r="U16" t="s">
        <v>342</v>
      </c>
      <c r="V16">
        <v>923210</v>
      </c>
      <c r="W16" t="s">
        <v>56</v>
      </c>
      <c r="X16" s="2" t="s">
        <v>29</v>
      </c>
      <c r="Y16" t="s">
        <v>30</v>
      </c>
      <c r="Z16" t="s">
        <v>47</v>
      </c>
      <c r="AA16" t="s">
        <v>48</v>
      </c>
      <c r="AB16" t="s">
        <v>33</v>
      </c>
      <c r="AC16" s="51">
        <v>4390</v>
      </c>
      <c r="AD16">
        <v>0</v>
      </c>
      <c r="AE16" s="4">
        <v>0</v>
      </c>
      <c r="AF16" s="4">
        <v>0</v>
      </c>
      <c r="AG16" t="s">
        <v>462</v>
      </c>
      <c r="AH16">
        <v>0</v>
      </c>
      <c r="AI16">
        <v>0</v>
      </c>
      <c r="AJ16" s="2" t="s">
        <v>463</v>
      </c>
      <c r="AK16" s="2">
        <v>0</v>
      </c>
      <c r="AL16">
        <v>0</v>
      </c>
      <c r="AM16">
        <v>0</v>
      </c>
      <c r="AN16">
        <v>0</v>
      </c>
      <c r="AO16" t="s">
        <v>2209</v>
      </c>
      <c r="AP16">
        <v>1225</v>
      </c>
      <c r="AQ16">
        <v>1225</v>
      </c>
      <c r="AR16">
        <v>13325</v>
      </c>
      <c r="AS16">
        <v>2625</v>
      </c>
      <c r="AT16" s="5">
        <v>45695</v>
      </c>
      <c r="AU16">
        <v>1725</v>
      </c>
      <c r="AV16">
        <v>30175325</v>
      </c>
      <c r="AW16">
        <v>0</v>
      </c>
      <c r="AX16" s="5">
        <v>45695</v>
      </c>
      <c r="AY16" t="s">
        <v>323</v>
      </c>
      <c r="AZ16" t="s">
        <v>1146</v>
      </c>
      <c r="BA16" t="s">
        <v>1147</v>
      </c>
    </row>
    <row r="17" spans="1:53" ht="15" customHeight="1" x14ac:dyDescent="0.2">
      <c r="A17" t="s">
        <v>4840</v>
      </c>
      <c r="B17" t="s">
        <v>2228</v>
      </c>
      <c r="C17" t="s">
        <v>4841</v>
      </c>
      <c r="D17">
        <v>30588325</v>
      </c>
      <c r="E17" s="5">
        <v>45698</v>
      </c>
      <c r="F17" s="5">
        <v>45700.072916666664</v>
      </c>
      <c r="G17" s="4" t="s">
        <v>460</v>
      </c>
      <c r="H17" s="49">
        <v>491540</v>
      </c>
      <c r="I17" s="49">
        <v>0</v>
      </c>
      <c r="J17" s="50">
        <v>491540</v>
      </c>
      <c r="K17" t="s">
        <v>2615</v>
      </c>
      <c r="L17" s="4" t="s">
        <v>461</v>
      </c>
      <c r="M17" t="s">
        <v>314</v>
      </c>
      <c r="N17" s="2">
        <v>860063875</v>
      </c>
      <c r="O17" t="s">
        <v>315</v>
      </c>
      <c r="P17" t="s">
        <v>316</v>
      </c>
      <c r="Q17" t="s">
        <v>317</v>
      </c>
      <c r="R17">
        <v>90060000410</v>
      </c>
      <c r="S17" t="s">
        <v>319</v>
      </c>
      <c r="T17">
        <v>860050750</v>
      </c>
      <c r="U17" t="s">
        <v>321</v>
      </c>
      <c r="V17">
        <v>923210</v>
      </c>
      <c r="W17" t="s">
        <v>56</v>
      </c>
      <c r="X17" s="2" t="s">
        <v>29</v>
      </c>
      <c r="Y17" t="s">
        <v>30</v>
      </c>
      <c r="Z17" t="s">
        <v>47</v>
      </c>
      <c r="AA17" t="s">
        <v>48</v>
      </c>
      <c r="AB17" t="s">
        <v>33</v>
      </c>
      <c r="AC17" s="51">
        <v>491540</v>
      </c>
      <c r="AD17">
        <v>0</v>
      </c>
      <c r="AE17" s="4">
        <v>0</v>
      </c>
      <c r="AF17" s="4">
        <v>0</v>
      </c>
      <c r="AG17" t="s">
        <v>462</v>
      </c>
      <c r="AH17">
        <v>0</v>
      </c>
      <c r="AI17">
        <v>0</v>
      </c>
      <c r="AJ17" s="2" t="s">
        <v>463</v>
      </c>
      <c r="AK17" s="2">
        <v>0</v>
      </c>
      <c r="AL17">
        <v>0</v>
      </c>
      <c r="AM17">
        <v>0</v>
      </c>
      <c r="AN17">
        <v>0</v>
      </c>
      <c r="AO17" t="s">
        <v>2210</v>
      </c>
      <c r="AP17">
        <v>1225</v>
      </c>
      <c r="AQ17">
        <v>1225</v>
      </c>
      <c r="AR17">
        <v>13425</v>
      </c>
      <c r="AS17">
        <v>2825</v>
      </c>
      <c r="AT17" s="5">
        <v>45698</v>
      </c>
      <c r="AU17">
        <v>1825</v>
      </c>
      <c r="AV17">
        <v>30588325</v>
      </c>
      <c r="AW17">
        <v>0</v>
      </c>
      <c r="AX17" s="5">
        <v>45695</v>
      </c>
      <c r="AY17" t="s">
        <v>323</v>
      </c>
      <c r="AZ17" t="s">
        <v>1152</v>
      </c>
      <c r="BA17" t="s">
        <v>1153</v>
      </c>
    </row>
    <row r="18" spans="1:53" ht="15" customHeight="1" x14ac:dyDescent="0.2">
      <c r="A18" t="s">
        <v>4842</v>
      </c>
      <c r="B18" t="s">
        <v>2229</v>
      </c>
      <c r="C18" t="s">
        <v>4843</v>
      </c>
      <c r="D18">
        <v>32039125</v>
      </c>
      <c r="E18" s="5">
        <v>45699</v>
      </c>
      <c r="F18" s="5">
        <v>45701.046527777777</v>
      </c>
      <c r="G18" s="4" t="s">
        <v>460</v>
      </c>
      <c r="H18" s="49">
        <v>4390</v>
      </c>
      <c r="I18" s="49">
        <v>0</v>
      </c>
      <c r="J18" s="50">
        <v>4390</v>
      </c>
      <c r="K18" t="s">
        <v>2615</v>
      </c>
      <c r="L18" s="4" t="s">
        <v>461</v>
      </c>
      <c r="M18" t="s">
        <v>314</v>
      </c>
      <c r="N18" s="2">
        <v>800007813</v>
      </c>
      <c r="O18" t="s">
        <v>339</v>
      </c>
      <c r="P18" t="s">
        <v>316</v>
      </c>
      <c r="Q18" t="s">
        <v>317</v>
      </c>
      <c r="R18">
        <v>17800000434</v>
      </c>
      <c r="S18" t="s">
        <v>319</v>
      </c>
      <c r="T18">
        <v>890903938</v>
      </c>
      <c r="U18" t="s">
        <v>342</v>
      </c>
      <c r="V18">
        <v>923210</v>
      </c>
      <c r="W18" t="s">
        <v>56</v>
      </c>
      <c r="X18" s="2" t="s">
        <v>29</v>
      </c>
      <c r="Y18" t="s">
        <v>30</v>
      </c>
      <c r="Z18" t="s">
        <v>47</v>
      </c>
      <c r="AA18" t="s">
        <v>48</v>
      </c>
      <c r="AB18" t="s">
        <v>33</v>
      </c>
      <c r="AC18" s="51">
        <v>4390</v>
      </c>
      <c r="AD18">
        <v>0</v>
      </c>
      <c r="AE18" s="4">
        <v>0</v>
      </c>
      <c r="AF18" s="4">
        <v>0</v>
      </c>
      <c r="AG18" t="s">
        <v>462</v>
      </c>
      <c r="AH18">
        <v>0</v>
      </c>
      <c r="AI18">
        <v>0</v>
      </c>
      <c r="AJ18" s="2" t="s">
        <v>463</v>
      </c>
      <c r="AK18" s="2">
        <v>0</v>
      </c>
      <c r="AL18">
        <v>0</v>
      </c>
      <c r="AM18">
        <v>0</v>
      </c>
      <c r="AN18">
        <v>0</v>
      </c>
      <c r="AO18" t="s">
        <v>2211</v>
      </c>
      <c r="AP18">
        <v>1225</v>
      </c>
      <c r="AQ18">
        <v>1225</v>
      </c>
      <c r="AR18">
        <v>28725</v>
      </c>
      <c r="AS18">
        <v>2925</v>
      </c>
      <c r="AT18" s="5">
        <v>45699</v>
      </c>
      <c r="AU18">
        <v>1925</v>
      </c>
      <c r="AV18">
        <v>32039125</v>
      </c>
      <c r="AW18">
        <v>0</v>
      </c>
      <c r="AX18" s="5">
        <v>45699</v>
      </c>
      <c r="AY18" t="s">
        <v>323</v>
      </c>
      <c r="AZ18" t="s">
        <v>1921</v>
      </c>
      <c r="BA18" t="s">
        <v>1922</v>
      </c>
    </row>
    <row r="19" spans="1:53" ht="15" customHeight="1" x14ac:dyDescent="0.2">
      <c r="A19" t="s">
        <v>4844</v>
      </c>
      <c r="B19" t="s">
        <v>2230</v>
      </c>
      <c r="C19" t="s">
        <v>4845</v>
      </c>
      <c r="D19">
        <v>32050725</v>
      </c>
      <c r="E19" s="5">
        <v>45699</v>
      </c>
      <c r="F19" s="5">
        <v>45701.046527777777</v>
      </c>
      <c r="G19" s="4" t="s">
        <v>460</v>
      </c>
      <c r="H19" s="49">
        <v>1797160</v>
      </c>
      <c r="I19" s="49">
        <v>0</v>
      </c>
      <c r="J19" s="50">
        <v>1797160</v>
      </c>
      <c r="K19" t="s">
        <v>2615</v>
      </c>
      <c r="L19" s="4" t="s">
        <v>461</v>
      </c>
      <c r="M19" t="s">
        <v>314</v>
      </c>
      <c r="N19" s="2">
        <v>860063875</v>
      </c>
      <c r="O19" t="s">
        <v>315</v>
      </c>
      <c r="P19" t="s">
        <v>316</v>
      </c>
      <c r="Q19" t="s">
        <v>317</v>
      </c>
      <c r="R19">
        <v>90060000410</v>
      </c>
      <c r="S19" t="s">
        <v>319</v>
      </c>
      <c r="T19">
        <v>860050750</v>
      </c>
      <c r="U19" t="s">
        <v>321</v>
      </c>
      <c r="V19">
        <v>923210</v>
      </c>
      <c r="W19" t="s">
        <v>56</v>
      </c>
      <c r="X19" s="2" t="s">
        <v>29</v>
      </c>
      <c r="Y19" t="s">
        <v>30</v>
      </c>
      <c r="Z19" t="s">
        <v>47</v>
      </c>
      <c r="AA19" t="s">
        <v>48</v>
      </c>
      <c r="AB19" t="s">
        <v>33</v>
      </c>
      <c r="AC19" s="51">
        <v>1797160</v>
      </c>
      <c r="AD19">
        <v>0</v>
      </c>
      <c r="AE19" s="4">
        <v>0</v>
      </c>
      <c r="AF19" s="4">
        <v>0</v>
      </c>
      <c r="AG19" t="s">
        <v>462</v>
      </c>
      <c r="AH19">
        <v>0</v>
      </c>
      <c r="AI19">
        <v>0</v>
      </c>
      <c r="AJ19" s="2" t="s">
        <v>463</v>
      </c>
      <c r="AK19" s="2">
        <v>0</v>
      </c>
      <c r="AL19">
        <v>0</v>
      </c>
      <c r="AM19">
        <v>0</v>
      </c>
      <c r="AN19">
        <v>0</v>
      </c>
      <c r="AO19" t="s">
        <v>2212</v>
      </c>
      <c r="AP19">
        <v>1225</v>
      </c>
      <c r="AQ19">
        <v>1225</v>
      </c>
      <c r="AR19">
        <v>28625</v>
      </c>
      <c r="AS19">
        <v>3025</v>
      </c>
      <c r="AT19" s="5">
        <v>45699</v>
      </c>
      <c r="AU19">
        <v>2025</v>
      </c>
      <c r="AV19">
        <v>32050725</v>
      </c>
      <c r="AW19">
        <v>0</v>
      </c>
      <c r="AX19" s="5">
        <v>45699</v>
      </c>
      <c r="AY19" t="s">
        <v>323</v>
      </c>
      <c r="AZ19" t="s">
        <v>1916</v>
      </c>
      <c r="BA19" t="s">
        <v>1917</v>
      </c>
    </row>
    <row r="20" spans="1:53" ht="15" customHeight="1" x14ac:dyDescent="0.2">
      <c r="A20" t="s">
        <v>4846</v>
      </c>
      <c r="B20" t="s">
        <v>2231</v>
      </c>
      <c r="C20" t="s">
        <v>4847</v>
      </c>
      <c r="D20">
        <v>38172925</v>
      </c>
      <c r="E20" s="5">
        <v>45705</v>
      </c>
      <c r="F20" s="5">
        <v>45707</v>
      </c>
      <c r="G20" s="4" t="s">
        <v>465</v>
      </c>
      <c r="H20" s="49">
        <v>2112083</v>
      </c>
      <c r="I20" s="49">
        <v>0</v>
      </c>
      <c r="J20" s="50">
        <v>2112083</v>
      </c>
      <c r="K20" t="s">
        <v>2615</v>
      </c>
      <c r="L20" s="4" t="s">
        <v>461</v>
      </c>
      <c r="M20" t="s">
        <v>314</v>
      </c>
      <c r="N20" s="2">
        <v>860063875</v>
      </c>
      <c r="O20" t="s">
        <v>315</v>
      </c>
      <c r="P20" t="s">
        <v>316</v>
      </c>
      <c r="Q20" t="s">
        <v>317</v>
      </c>
      <c r="R20">
        <v>90060000410</v>
      </c>
      <c r="S20" t="s">
        <v>319</v>
      </c>
      <c r="T20">
        <v>860050750</v>
      </c>
      <c r="U20" t="s">
        <v>321</v>
      </c>
      <c r="V20">
        <v>923210</v>
      </c>
      <c r="W20" t="s">
        <v>56</v>
      </c>
      <c r="X20" s="2" t="s">
        <v>29</v>
      </c>
      <c r="Y20" t="s">
        <v>30</v>
      </c>
      <c r="Z20" t="s">
        <v>47</v>
      </c>
      <c r="AA20" t="s">
        <v>48</v>
      </c>
      <c r="AB20" t="s">
        <v>33</v>
      </c>
      <c r="AC20" s="51">
        <v>2112083</v>
      </c>
      <c r="AD20">
        <v>0</v>
      </c>
      <c r="AE20" s="4">
        <v>0</v>
      </c>
      <c r="AF20" s="4">
        <v>0</v>
      </c>
      <c r="AG20" t="s">
        <v>462</v>
      </c>
      <c r="AH20">
        <v>0</v>
      </c>
      <c r="AI20">
        <v>0</v>
      </c>
      <c r="AJ20" s="2" t="s">
        <v>463</v>
      </c>
      <c r="AK20" s="2">
        <v>0</v>
      </c>
      <c r="AL20">
        <v>0</v>
      </c>
      <c r="AM20">
        <v>0</v>
      </c>
      <c r="AN20">
        <v>0</v>
      </c>
      <c r="AO20" t="s">
        <v>2213</v>
      </c>
      <c r="AP20">
        <v>1225</v>
      </c>
      <c r="AQ20">
        <v>1225</v>
      </c>
      <c r="AR20">
        <v>30525</v>
      </c>
      <c r="AS20">
        <v>3525</v>
      </c>
      <c r="AT20" s="5">
        <v>45702</v>
      </c>
      <c r="AU20">
        <v>2325</v>
      </c>
      <c r="AV20">
        <v>38172925</v>
      </c>
      <c r="AW20">
        <v>0</v>
      </c>
      <c r="AX20" s="5">
        <v>45702</v>
      </c>
      <c r="AY20" t="s">
        <v>323</v>
      </c>
      <c r="AZ20">
        <v>15883496</v>
      </c>
      <c r="BA20" t="s">
        <v>2026</v>
      </c>
    </row>
    <row r="21" spans="1:53" ht="15" customHeight="1" x14ac:dyDescent="0.2">
      <c r="A21" t="s">
        <v>4848</v>
      </c>
      <c r="B21" t="s">
        <v>2232</v>
      </c>
      <c r="C21" t="s">
        <v>4849</v>
      </c>
      <c r="D21">
        <v>38246325</v>
      </c>
      <c r="E21" s="5">
        <v>45705</v>
      </c>
      <c r="F21" s="5">
        <v>45707.084027777775</v>
      </c>
      <c r="G21" s="4" t="s">
        <v>460</v>
      </c>
      <c r="H21" s="49">
        <v>1221615</v>
      </c>
      <c r="I21" s="49">
        <v>0</v>
      </c>
      <c r="J21" s="50">
        <v>1221615</v>
      </c>
      <c r="K21" t="s">
        <v>2615</v>
      </c>
      <c r="L21" s="4" t="s">
        <v>461</v>
      </c>
      <c r="M21" t="s">
        <v>314</v>
      </c>
      <c r="N21" s="2">
        <v>899999115</v>
      </c>
      <c r="O21" t="s">
        <v>327</v>
      </c>
      <c r="P21" t="s">
        <v>316</v>
      </c>
      <c r="Q21" t="s">
        <v>328</v>
      </c>
      <c r="R21">
        <v>20936509</v>
      </c>
      <c r="S21" t="s">
        <v>319</v>
      </c>
      <c r="T21">
        <v>860051135</v>
      </c>
      <c r="U21" t="s">
        <v>331</v>
      </c>
      <c r="V21">
        <v>923210</v>
      </c>
      <c r="W21" t="s">
        <v>56</v>
      </c>
      <c r="X21" s="2" t="s">
        <v>29</v>
      </c>
      <c r="Y21" t="s">
        <v>30</v>
      </c>
      <c r="Z21" t="s">
        <v>47</v>
      </c>
      <c r="AA21" t="s">
        <v>48</v>
      </c>
      <c r="AB21" t="s">
        <v>33</v>
      </c>
      <c r="AC21" s="51">
        <v>1221615</v>
      </c>
      <c r="AD21">
        <v>0</v>
      </c>
      <c r="AE21" s="4">
        <v>0</v>
      </c>
      <c r="AF21" s="4">
        <v>0</v>
      </c>
      <c r="AG21" t="s">
        <v>462</v>
      </c>
      <c r="AH21">
        <v>0</v>
      </c>
      <c r="AI21">
        <v>0</v>
      </c>
      <c r="AJ21" s="2" t="s">
        <v>463</v>
      </c>
      <c r="AK21" s="2">
        <v>0</v>
      </c>
      <c r="AL21">
        <v>0</v>
      </c>
      <c r="AM21">
        <v>0</v>
      </c>
      <c r="AN21">
        <v>0</v>
      </c>
      <c r="AO21" t="s">
        <v>2215</v>
      </c>
      <c r="AP21">
        <v>1225</v>
      </c>
      <c r="AQ21">
        <v>1225</v>
      </c>
      <c r="AR21">
        <v>30625</v>
      </c>
      <c r="AS21">
        <v>3625</v>
      </c>
      <c r="AT21" s="5">
        <v>45705</v>
      </c>
      <c r="AU21">
        <v>2425</v>
      </c>
      <c r="AV21">
        <v>38246325</v>
      </c>
      <c r="AW21">
        <v>0</v>
      </c>
      <c r="AX21" s="5">
        <v>45702</v>
      </c>
      <c r="AY21" t="s">
        <v>323</v>
      </c>
      <c r="AZ21" t="s">
        <v>2032</v>
      </c>
      <c r="BA21" t="s">
        <v>2033</v>
      </c>
    </row>
    <row r="22" spans="1:53" ht="15" customHeight="1" x14ac:dyDescent="0.2">
      <c r="A22" t="s">
        <v>4850</v>
      </c>
      <c r="B22" t="s">
        <v>2232</v>
      </c>
      <c r="C22" t="s">
        <v>4851</v>
      </c>
      <c r="D22">
        <v>38265525</v>
      </c>
      <c r="E22" s="5">
        <v>45705</v>
      </c>
      <c r="F22" s="5">
        <v>45707.084027777775</v>
      </c>
      <c r="G22" s="4" t="s">
        <v>460</v>
      </c>
      <c r="H22" s="49">
        <v>230605</v>
      </c>
      <c r="I22" s="49">
        <v>0</v>
      </c>
      <c r="J22" s="50">
        <v>230605</v>
      </c>
      <c r="K22" t="s">
        <v>2615</v>
      </c>
      <c r="L22" s="4" t="s">
        <v>461</v>
      </c>
      <c r="M22" t="s">
        <v>314</v>
      </c>
      <c r="N22" s="2">
        <v>899999115</v>
      </c>
      <c r="O22" t="s">
        <v>327</v>
      </c>
      <c r="P22" t="s">
        <v>316</v>
      </c>
      <c r="Q22" t="s">
        <v>328</v>
      </c>
      <c r="R22">
        <v>20936509</v>
      </c>
      <c r="S22" t="s">
        <v>319</v>
      </c>
      <c r="T22">
        <v>860051135</v>
      </c>
      <c r="U22" t="s">
        <v>331</v>
      </c>
      <c r="V22">
        <v>923210</v>
      </c>
      <c r="W22" t="s">
        <v>56</v>
      </c>
      <c r="X22" s="2" t="s">
        <v>29</v>
      </c>
      <c r="Y22" t="s">
        <v>30</v>
      </c>
      <c r="Z22" t="s">
        <v>47</v>
      </c>
      <c r="AA22" t="s">
        <v>48</v>
      </c>
      <c r="AB22" t="s">
        <v>33</v>
      </c>
      <c r="AC22" s="51">
        <v>230605</v>
      </c>
      <c r="AD22">
        <v>0</v>
      </c>
      <c r="AE22" s="4">
        <v>0</v>
      </c>
      <c r="AF22" s="4">
        <v>0</v>
      </c>
      <c r="AG22" t="s">
        <v>462</v>
      </c>
      <c r="AH22">
        <v>0</v>
      </c>
      <c r="AI22">
        <v>0</v>
      </c>
      <c r="AJ22" s="2" t="s">
        <v>463</v>
      </c>
      <c r="AK22" s="2">
        <v>0</v>
      </c>
      <c r="AL22">
        <v>0</v>
      </c>
      <c r="AM22">
        <v>0</v>
      </c>
      <c r="AN22">
        <v>0</v>
      </c>
      <c r="AO22" t="s">
        <v>2217</v>
      </c>
      <c r="AP22">
        <v>1225</v>
      </c>
      <c r="AQ22">
        <v>1225</v>
      </c>
      <c r="AR22">
        <v>30625</v>
      </c>
      <c r="AS22">
        <v>3725</v>
      </c>
      <c r="AT22" s="5">
        <v>45705</v>
      </c>
      <c r="AU22">
        <v>2525</v>
      </c>
      <c r="AV22">
        <v>38265525</v>
      </c>
      <c r="AW22">
        <v>0</v>
      </c>
      <c r="AX22" s="5">
        <v>45702</v>
      </c>
      <c r="AY22" t="s">
        <v>323</v>
      </c>
      <c r="AZ22" t="s">
        <v>2032</v>
      </c>
      <c r="BA22" t="s">
        <v>2033</v>
      </c>
    </row>
    <row r="23" spans="1:53" ht="15" customHeight="1" x14ac:dyDescent="0.2">
      <c r="A23" t="s">
        <v>4852</v>
      </c>
      <c r="B23" t="s">
        <v>2231</v>
      </c>
      <c r="C23" t="s">
        <v>4847</v>
      </c>
      <c r="D23">
        <v>39172525</v>
      </c>
      <c r="E23" s="5">
        <v>45706</v>
      </c>
      <c r="F23" s="5">
        <v>45708</v>
      </c>
      <c r="G23" s="4" t="s">
        <v>465</v>
      </c>
      <c r="H23" s="49">
        <v>2112083</v>
      </c>
      <c r="I23" s="49">
        <v>0</v>
      </c>
      <c r="J23" s="50">
        <v>2112083</v>
      </c>
      <c r="K23" t="s">
        <v>2615</v>
      </c>
      <c r="L23" s="4" t="s">
        <v>461</v>
      </c>
      <c r="M23" t="s">
        <v>314</v>
      </c>
      <c r="N23" s="2">
        <v>860063875</v>
      </c>
      <c r="O23" t="s">
        <v>315</v>
      </c>
      <c r="P23" t="s">
        <v>316</v>
      </c>
      <c r="Q23" t="s">
        <v>317</v>
      </c>
      <c r="R23">
        <v>90060000410</v>
      </c>
      <c r="S23" t="s">
        <v>319</v>
      </c>
      <c r="T23">
        <v>860050750</v>
      </c>
      <c r="U23" t="s">
        <v>321</v>
      </c>
      <c r="V23">
        <v>923210</v>
      </c>
      <c r="W23" t="s">
        <v>56</v>
      </c>
      <c r="X23" s="2" t="s">
        <v>29</v>
      </c>
      <c r="Y23" t="s">
        <v>30</v>
      </c>
      <c r="Z23" t="s">
        <v>47</v>
      </c>
      <c r="AA23" t="s">
        <v>48</v>
      </c>
      <c r="AB23" t="s">
        <v>33</v>
      </c>
      <c r="AC23" s="51">
        <v>2112083</v>
      </c>
      <c r="AD23">
        <v>0</v>
      </c>
      <c r="AE23" s="4">
        <v>0</v>
      </c>
      <c r="AF23" s="4">
        <v>0</v>
      </c>
      <c r="AG23" t="s">
        <v>462</v>
      </c>
      <c r="AH23">
        <v>0</v>
      </c>
      <c r="AI23">
        <v>0</v>
      </c>
      <c r="AJ23" s="2" t="s">
        <v>463</v>
      </c>
      <c r="AK23" s="2">
        <v>0</v>
      </c>
      <c r="AL23">
        <v>0</v>
      </c>
      <c r="AM23">
        <v>0</v>
      </c>
      <c r="AN23">
        <v>0</v>
      </c>
      <c r="AO23" t="s">
        <v>2218</v>
      </c>
      <c r="AP23">
        <v>1225</v>
      </c>
      <c r="AQ23">
        <v>1225</v>
      </c>
      <c r="AR23">
        <v>30525</v>
      </c>
      <c r="AS23">
        <v>3525</v>
      </c>
      <c r="AT23" s="5">
        <v>45702</v>
      </c>
      <c r="AU23">
        <v>2325</v>
      </c>
      <c r="AV23">
        <v>39172525</v>
      </c>
      <c r="AW23">
        <v>0</v>
      </c>
      <c r="AX23" s="5">
        <v>45702</v>
      </c>
      <c r="AY23" t="s">
        <v>323</v>
      </c>
      <c r="AZ23">
        <v>15883496</v>
      </c>
      <c r="BA23" t="s">
        <v>2026</v>
      </c>
    </row>
    <row r="24" spans="1:53" ht="15" customHeight="1" x14ac:dyDescent="0.2">
      <c r="A24" t="s">
        <v>4853</v>
      </c>
      <c r="B24" t="s">
        <v>2233</v>
      </c>
      <c r="C24" t="s">
        <v>4854</v>
      </c>
      <c r="D24">
        <v>40449025</v>
      </c>
      <c r="E24" s="5">
        <v>45707</v>
      </c>
      <c r="F24" s="5">
        <v>45709.042361111111</v>
      </c>
      <c r="G24" s="4" t="s">
        <v>460</v>
      </c>
      <c r="H24" s="49">
        <v>154319</v>
      </c>
      <c r="I24" s="49">
        <v>0</v>
      </c>
      <c r="J24" s="50">
        <v>154319</v>
      </c>
      <c r="K24" t="s">
        <v>2615</v>
      </c>
      <c r="L24" s="4" t="s">
        <v>461</v>
      </c>
      <c r="M24" t="s">
        <v>314</v>
      </c>
      <c r="N24" s="2">
        <v>899999115</v>
      </c>
      <c r="O24" t="s">
        <v>327</v>
      </c>
      <c r="P24" t="s">
        <v>316</v>
      </c>
      <c r="Q24" t="s">
        <v>328</v>
      </c>
      <c r="R24">
        <v>20936509</v>
      </c>
      <c r="S24" t="s">
        <v>319</v>
      </c>
      <c r="T24">
        <v>860051135</v>
      </c>
      <c r="U24" t="s">
        <v>331</v>
      </c>
      <c r="V24">
        <v>923210</v>
      </c>
      <c r="W24" t="s">
        <v>56</v>
      </c>
      <c r="X24" s="2" t="s">
        <v>29</v>
      </c>
      <c r="Y24" t="s">
        <v>30</v>
      </c>
      <c r="Z24" t="s">
        <v>47</v>
      </c>
      <c r="AA24" t="s">
        <v>48</v>
      </c>
      <c r="AB24" t="s">
        <v>33</v>
      </c>
      <c r="AC24" s="51">
        <v>154319</v>
      </c>
      <c r="AD24">
        <v>0</v>
      </c>
      <c r="AE24" s="4">
        <v>0</v>
      </c>
      <c r="AF24" s="4">
        <v>0</v>
      </c>
      <c r="AG24" t="s">
        <v>462</v>
      </c>
      <c r="AH24">
        <v>0</v>
      </c>
      <c r="AI24">
        <v>0</v>
      </c>
      <c r="AJ24" s="2" t="s">
        <v>463</v>
      </c>
      <c r="AK24" s="2">
        <v>0</v>
      </c>
      <c r="AL24">
        <v>0</v>
      </c>
      <c r="AM24">
        <v>0</v>
      </c>
      <c r="AN24">
        <v>0</v>
      </c>
      <c r="AO24" t="s">
        <v>2220</v>
      </c>
      <c r="AP24">
        <v>1225</v>
      </c>
      <c r="AQ24">
        <v>1225</v>
      </c>
      <c r="AR24">
        <v>32125</v>
      </c>
      <c r="AS24">
        <v>3825</v>
      </c>
      <c r="AT24" s="5">
        <v>45707</v>
      </c>
      <c r="AU24">
        <v>2625</v>
      </c>
      <c r="AV24">
        <v>40449025</v>
      </c>
      <c r="AW24">
        <v>0</v>
      </c>
      <c r="AX24" s="5">
        <v>45706</v>
      </c>
      <c r="AY24" t="s">
        <v>323</v>
      </c>
      <c r="AZ24" t="s">
        <v>2119</v>
      </c>
      <c r="BA24" t="s">
        <v>2120</v>
      </c>
    </row>
    <row r="25" spans="1:53" ht="15" customHeight="1" x14ac:dyDescent="0.2">
      <c r="A25" t="s">
        <v>4855</v>
      </c>
      <c r="B25" t="s">
        <v>2233</v>
      </c>
      <c r="C25" t="s">
        <v>4856</v>
      </c>
      <c r="D25">
        <v>40453425</v>
      </c>
      <c r="E25" s="5">
        <v>45707</v>
      </c>
      <c r="F25" s="5">
        <v>45709.042361111111</v>
      </c>
      <c r="G25" s="4" t="s">
        <v>460</v>
      </c>
      <c r="H25" s="49">
        <v>29131</v>
      </c>
      <c r="I25" s="49">
        <v>0</v>
      </c>
      <c r="J25" s="50">
        <v>29131</v>
      </c>
      <c r="K25" t="s">
        <v>2615</v>
      </c>
      <c r="L25" s="4" t="s">
        <v>461</v>
      </c>
      <c r="M25" t="s">
        <v>314</v>
      </c>
      <c r="N25" s="2">
        <v>899999115</v>
      </c>
      <c r="O25" t="s">
        <v>327</v>
      </c>
      <c r="P25" t="s">
        <v>316</v>
      </c>
      <c r="Q25" t="s">
        <v>328</v>
      </c>
      <c r="R25">
        <v>20936509</v>
      </c>
      <c r="S25" t="s">
        <v>319</v>
      </c>
      <c r="T25">
        <v>860051135</v>
      </c>
      <c r="U25" t="s">
        <v>331</v>
      </c>
      <c r="V25">
        <v>923210</v>
      </c>
      <c r="W25" t="s">
        <v>56</v>
      </c>
      <c r="X25" s="2" t="s">
        <v>29</v>
      </c>
      <c r="Y25" t="s">
        <v>30</v>
      </c>
      <c r="Z25" t="s">
        <v>47</v>
      </c>
      <c r="AA25" t="s">
        <v>48</v>
      </c>
      <c r="AB25" t="s">
        <v>33</v>
      </c>
      <c r="AC25" s="51">
        <v>29131</v>
      </c>
      <c r="AD25">
        <v>0</v>
      </c>
      <c r="AE25" s="4">
        <v>0</v>
      </c>
      <c r="AF25" s="4">
        <v>0</v>
      </c>
      <c r="AG25" t="s">
        <v>462</v>
      </c>
      <c r="AH25">
        <v>0</v>
      </c>
      <c r="AI25">
        <v>0</v>
      </c>
      <c r="AJ25" s="2" t="s">
        <v>463</v>
      </c>
      <c r="AK25" s="2">
        <v>0</v>
      </c>
      <c r="AL25">
        <v>0</v>
      </c>
      <c r="AM25">
        <v>0</v>
      </c>
      <c r="AN25">
        <v>0</v>
      </c>
      <c r="AO25" t="s">
        <v>2222</v>
      </c>
      <c r="AP25">
        <v>1225</v>
      </c>
      <c r="AQ25">
        <v>1225</v>
      </c>
      <c r="AR25">
        <v>32125</v>
      </c>
      <c r="AS25">
        <v>3925</v>
      </c>
      <c r="AT25" s="5">
        <v>45707</v>
      </c>
      <c r="AU25">
        <v>2725</v>
      </c>
      <c r="AV25">
        <v>40453425</v>
      </c>
      <c r="AW25">
        <v>0</v>
      </c>
      <c r="AX25" s="5">
        <v>45706</v>
      </c>
      <c r="AY25" t="s">
        <v>323</v>
      </c>
      <c r="AZ25" t="s">
        <v>2119</v>
      </c>
      <c r="BA25" t="s">
        <v>2120</v>
      </c>
    </row>
    <row r="26" spans="1:53" ht="15" customHeight="1" x14ac:dyDescent="0.2">
      <c r="A26" t="s">
        <v>4857</v>
      </c>
      <c r="B26" t="s">
        <v>2231</v>
      </c>
      <c r="C26" t="s">
        <v>4847</v>
      </c>
      <c r="D26">
        <v>40470425</v>
      </c>
      <c r="E26" s="5">
        <v>45707</v>
      </c>
      <c r="F26" s="5">
        <v>45709</v>
      </c>
      <c r="G26" s="4" t="s">
        <v>465</v>
      </c>
      <c r="H26" s="49">
        <v>2112083</v>
      </c>
      <c r="I26" s="49">
        <v>0</v>
      </c>
      <c r="J26" s="50">
        <v>2112083</v>
      </c>
      <c r="K26" t="s">
        <v>2615</v>
      </c>
      <c r="L26" s="4" t="s">
        <v>461</v>
      </c>
      <c r="M26" t="s">
        <v>314</v>
      </c>
      <c r="N26" s="2">
        <v>860063875</v>
      </c>
      <c r="O26" t="s">
        <v>315</v>
      </c>
      <c r="P26" t="s">
        <v>316</v>
      </c>
      <c r="Q26" t="s">
        <v>317</v>
      </c>
      <c r="R26">
        <v>90060000410</v>
      </c>
      <c r="S26" t="s">
        <v>319</v>
      </c>
      <c r="T26">
        <v>860050750</v>
      </c>
      <c r="U26" t="s">
        <v>321</v>
      </c>
      <c r="V26">
        <v>923210</v>
      </c>
      <c r="W26" t="s">
        <v>56</v>
      </c>
      <c r="X26" s="2" t="s">
        <v>29</v>
      </c>
      <c r="Y26" t="s">
        <v>30</v>
      </c>
      <c r="Z26" t="s">
        <v>47</v>
      </c>
      <c r="AA26" t="s">
        <v>48</v>
      </c>
      <c r="AB26" t="s">
        <v>33</v>
      </c>
      <c r="AC26" s="51">
        <v>2112083</v>
      </c>
      <c r="AD26">
        <v>0</v>
      </c>
      <c r="AE26" s="4">
        <v>0</v>
      </c>
      <c r="AF26" s="4">
        <v>0</v>
      </c>
      <c r="AG26" t="s">
        <v>462</v>
      </c>
      <c r="AH26">
        <v>0</v>
      </c>
      <c r="AI26">
        <v>0</v>
      </c>
      <c r="AJ26" s="2" t="s">
        <v>463</v>
      </c>
      <c r="AK26" s="2">
        <v>0</v>
      </c>
      <c r="AL26">
        <v>0</v>
      </c>
      <c r="AM26">
        <v>0</v>
      </c>
      <c r="AN26">
        <v>0</v>
      </c>
      <c r="AO26" t="s">
        <v>2213</v>
      </c>
      <c r="AP26">
        <v>1225</v>
      </c>
      <c r="AQ26">
        <v>1225</v>
      </c>
      <c r="AR26">
        <v>30525</v>
      </c>
      <c r="AS26">
        <v>3525</v>
      </c>
      <c r="AT26" s="5">
        <v>45702</v>
      </c>
      <c r="AU26">
        <v>2325</v>
      </c>
      <c r="AV26">
        <v>40470425</v>
      </c>
      <c r="AW26">
        <v>0</v>
      </c>
      <c r="AX26" s="5">
        <v>45702</v>
      </c>
      <c r="AY26" t="s">
        <v>323</v>
      </c>
      <c r="AZ26">
        <v>15883496</v>
      </c>
      <c r="BA26" t="s">
        <v>2026</v>
      </c>
    </row>
    <row r="27" spans="1:53" ht="15" customHeight="1" x14ac:dyDescent="0.2">
      <c r="A27" t="s">
        <v>4858</v>
      </c>
      <c r="B27" t="s">
        <v>505</v>
      </c>
      <c r="C27" t="s">
        <v>4859</v>
      </c>
      <c r="D27">
        <v>42359925</v>
      </c>
      <c r="E27" s="5">
        <v>45708</v>
      </c>
      <c r="F27" s="5">
        <v>45712.09097222222</v>
      </c>
      <c r="G27" s="4" t="s">
        <v>460</v>
      </c>
      <c r="H27" s="49">
        <v>3090000</v>
      </c>
      <c r="I27" s="49">
        <v>17323</v>
      </c>
      <c r="J27" s="50">
        <v>3072677</v>
      </c>
      <c r="K27" t="s">
        <v>2615</v>
      </c>
      <c r="L27" s="4" t="s">
        <v>461</v>
      </c>
      <c r="M27" t="s">
        <v>351</v>
      </c>
      <c r="N27" s="2">
        <v>1072428066</v>
      </c>
      <c r="O27" t="s">
        <v>352</v>
      </c>
      <c r="P27" t="s">
        <v>316</v>
      </c>
      <c r="Q27" t="s">
        <v>317</v>
      </c>
      <c r="R27">
        <v>266000310711</v>
      </c>
      <c r="S27" t="s">
        <v>319</v>
      </c>
      <c r="T27">
        <v>860034313</v>
      </c>
      <c r="U27" t="s">
        <v>355</v>
      </c>
      <c r="V27">
        <v>923210</v>
      </c>
      <c r="W27" t="s">
        <v>56</v>
      </c>
      <c r="X27" s="2" t="s">
        <v>29</v>
      </c>
      <c r="Y27" t="s">
        <v>30</v>
      </c>
      <c r="Z27" t="s">
        <v>31</v>
      </c>
      <c r="AA27" t="s">
        <v>32</v>
      </c>
      <c r="AB27" t="s">
        <v>33</v>
      </c>
      <c r="AC27" s="51">
        <v>3090000</v>
      </c>
      <c r="AD27">
        <v>0</v>
      </c>
      <c r="AE27" s="4">
        <v>0</v>
      </c>
      <c r="AF27" s="4">
        <v>0</v>
      </c>
      <c r="AG27" t="s">
        <v>462</v>
      </c>
      <c r="AH27">
        <v>0</v>
      </c>
      <c r="AI27">
        <v>0</v>
      </c>
      <c r="AJ27" s="2" t="s">
        <v>463</v>
      </c>
      <c r="AK27" s="2">
        <v>0</v>
      </c>
      <c r="AL27">
        <v>0</v>
      </c>
      <c r="AM27">
        <v>0</v>
      </c>
      <c r="AN27">
        <v>0</v>
      </c>
      <c r="AO27">
        <v>0</v>
      </c>
      <c r="AP27">
        <v>1925</v>
      </c>
      <c r="AQ27">
        <v>1925</v>
      </c>
      <c r="AR27">
        <v>625</v>
      </c>
      <c r="AS27">
        <v>0</v>
      </c>
      <c r="AT27">
        <v>0</v>
      </c>
      <c r="AU27">
        <v>2825</v>
      </c>
      <c r="AV27">
        <v>42359925</v>
      </c>
      <c r="AW27">
        <v>0</v>
      </c>
      <c r="AX27" s="5">
        <v>45673</v>
      </c>
      <c r="AY27" t="s">
        <v>356</v>
      </c>
      <c r="AZ27" t="s">
        <v>357</v>
      </c>
      <c r="BA27" t="s">
        <v>358</v>
      </c>
    </row>
    <row r="28" spans="1:53" ht="15" customHeight="1" x14ac:dyDescent="0.2">
      <c r="A28" t="s">
        <v>4860</v>
      </c>
      <c r="B28" t="s">
        <v>506</v>
      </c>
      <c r="C28" t="s">
        <v>4859</v>
      </c>
      <c r="D28">
        <v>42360025</v>
      </c>
      <c r="E28" s="5">
        <v>45708</v>
      </c>
      <c r="F28" s="5">
        <v>45712.103472222225</v>
      </c>
      <c r="G28" s="4" t="s">
        <v>460</v>
      </c>
      <c r="H28" s="49">
        <v>1184500</v>
      </c>
      <c r="I28" s="49">
        <v>5890</v>
      </c>
      <c r="J28" s="50">
        <v>1178610</v>
      </c>
      <c r="K28" t="s">
        <v>2615</v>
      </c>
      <c r="L28" s="4" t="s">
        <v>461</v>
      </c>
      <c r="M28" t="s">
        <v>351</v>
      </c>
      <c r="N28" s="2">
        <v>1023367986</v>
      </c>
      <c r="O28" t="s">
        <v>360</v>
      </c>
      <c r="P28" t="s">
        <v>316</v>
      </c>
      <c r="Q28" t="s">
        <v>317</v>
      </c>
      <c r="R28">
        <v>466670012908</v>
      </c>
      <c r="S28" t="s">
        <v>319</v>
      </c>
      <c r="T28">
        <v>860034313</v>
      </c>
      <c r="U28" t="s">
        <v>355</v>
      </c>
      <c r="V28">
        <v>923210</v>
      </c>
      <c r="W28" t="s">
        <v>56</v>
      </c>
      <c r="X28" s="2" t="s">
        <v>29</v>
      </c>
      <c r="Y28" t="s">
        <v>30</v>
      </c>
      <c r="Z28" t="s">
        <v>31</v>
      </c>
      <c r="AA28" t="s">
        <v>32</v>
      </c>
      <c r="AB28" t="s">
        <v>33</v>
      </c>
      <c r="AC28" s="51">
        <v>1184500</v>
      </c>
      <c r="AD28">
        <v>0</v>
      </c>
      <c r="AE28" s="4">
        <v>0</v>
      </c>
      <c r="AF28" s="4">
        <v>0</v>
      </c>
      <c r="AG28" t="s">
        <v>462</v>
      </c>
      <c r="AH28">
        <v>0</v>
      </c>
      <c r="AI28">
        <v>0</v>
      </c>
      <c r="AJ28" s="2" t="s">
        <v>463</v>
      </c>
      <c r="AK28" s="2">
        <v>0</v>
      </c>
      <c r="AL28">
        <v>0</v>
      </c>
      <c r="AM28">
        <v>0</v>
      </c>
      <c r="AN28">
        <v>0</v>
      </c>
      <c r="AO28">
        <v>0</v>
      </c>
      <c r="AP28">
        <v>1925</v>
      </c>
      <c r="AQ28">
        <v>1925</v>
      </c>
      <c r="AR28">
        <v>725</v>
      </c>
      <c r="AS28">
        <v>0</v>
      </c>
      <c r="AT28">
        <v>0</v>
      </c>
      <c r="AU28">
        <v>2925</v>
      </c>
      <c r="AV28">
        <v>42360025</v>
      </c>
      <c r="AW28">
        <v>0</v>
      </c>
      <c r="AX28" s="5">
        <v>45673</v>
      </c>
      <c r="AY28" t="s">
        <v>362</v>
      </c>
      <c r="AZ28" t="s">
        <v>363</v>
      </c>
      <c r="BA28" t="s">
        <v>364</v>
      </c>
    </row>
    <row r="29" spans="1:53" ht="15" customHeight="1" x14ac:dyDescent="0.2">
      <c r="A29" t="s">
        <v>4861</v>
      </c>
      <c r="B29" t="s">
        <v>507</v>
      </c>
      <c r="C29" t="s">
        <v>4862</v>
      </c>
      <c r="D29">
        <v>42360225</v>
      </c>
      <c r="E29" s="5">
        <v>45708</v>
      </c>
      <c r="F29" s="5">
        <v>45712.086111111108</v>
      </c>
      <c r="G29" s="4" t="s">
        <v>460</v>
      </c>
      <c r="H29" s="49">
        <v>2516800</v>
      </c>
      <c r="I29" s="49">
        <v>13802</v>
      </c>
      <c r="J29" s="50">
        <v>2502998</v>
      </c>
      <c r="K29" t="s">
        <v>2615</v>
      </c>
      <c r="L29" s="4" t="s">
        <v>461</v>
      </c>
      <c r="M29" t="s">
        <v>351</v>
      </c>
      <c r="N29" s="2">
        <v>1070592669</v>
      </c>
      <c r="O29" t="s">
        <v>366</v>
      </c>
      <c r="P29" t="s">
        <v>316</v>
      </c>
      <c r="Q29" t="s">
        <v>317</v>
      </c>
      <c r="R29">
        <v>65902598981</v>
      </c>
      <c r="S29" t="s">
        <v>319</v>
      </c>
      <c r="T29">
        <v>890903938</v>
      </c>
      <c r="U29" t="s">
        <v>342</v>
      </c>
      <c r="V29">
        <v>923224</v>
      </c>
      <c r="W29" t="s">
        <v>239</v>
      </c>
      <c r="X29" s="2" t="s">
        <v>240</v>
      </c>
      <c r="Y29" t="s">
        <v>241</v>
      </c>
      <c r="Z29" t="s">
        <v>47</v>
      </c>
      <c r="AA29" t="s">
        <v>76</v>
      </c>
      <c r="AB29" t="s">
        <v>33</v>
      </c>
      <c r="AC29" s="51">
        <v>2516800</v>
      </c>
      <c r="AD29">
        <v>0</v>
      </c>
      <c r="AE29" s="4">
        <v>0</v>
      </c>
      <c r="AF29" s="4">
        <v>0</v>
      </c>
      <c r="AG29" t="s">
        <v>462</v>
      </c>
      <c r="AH29">
        <v>0</v>
      </c>
      <c r="AI29">
        <v>0</v>
      </c>
      <c r="AJ29" s="2" t="s">
        <v>463</v>
      </c>
      <c r="AK29" s="2">
        <v>0</v>
      </c>
      <c r="AL29">
        <v>0</v>
      </c>
      <c r="AM29">
        <v>0</v>
      </c>
      <c r="AN29">
        <v>0</v>
      </c>
      <c r="AO29">
        <v>0</v>
      </c>
      <c r="AP29">
        <v>5425</v>
      </c>
      <c r="AQ29">
        <v>5425</v>
      </c>
      <c r="AR29">
        <v>825</v>
      </c>
      <c r="AS29">
        <v>0</v>
      </c>
      <c r="AT29">
        <v>0</v>
      </c>
      <c r="AU29">
        <v>3025</v>
      </c>
      <c r="AV29">
        <v>42360225</v>
      </c>
      <c r="AW29">
        <v>0</v>
      </c>
      <c r="AX29" s="5">
        <v>45673</v>
      </c>
      <c r="AY29" t="s">
        <v>356</v>
      </c>
      <c r="AZ29" t="s">
        <v>368</v>
      </c>
      <c r="BA29" t="s">
        <v>369</v>
      </c>
    </row>
    <row r="30" spans="1:53" ht="15" customHeight="1" x14ac:dyDescent="0.2">
      <c r="A30" t="s">
        <v>4863</v>
      </c>
      <c r="B30" t="s">
        <v>508</v>
      </c>
      <c r="C30" t="s">
        <v>4859</v>
      </c>
      <c r="D30">
        <v>42360325</v>
      </c>
      <c r="E30" s="5">
        <v>45708</v>
      </c>
      <c r="F30" s="5">
        <v>45712.088194444441</v>
      </c>
      <c r="G30" s="4" t="s">
        <v>460</v>
      </c>
      <c r="H30" s="49">
        <v>2317500</v>
      </c>
      <c r="I30" s="49">
        <v>11470</v>
      </c>
      <c r="J30" s="50">
        <v>2306030</v>
      </c>
      <c r="K30" t="s">
        <v>2615</v>
      </c>
      <c r="L30" s="4" t="s">
        <v>461</v>
      </c>
      <c r="M30" t="s">
        <v>351</v>
      </c>
      <c r="N30" s="2">
        <v>1010244141</v>
      </c>
      <c r="O30" t="s">
        <v>371</v>
      </c>
      <c r="P30" t="s">
        <v>316</v>
      </c>
      <c r="Q30" t="s">
        <v>317</v>
      </c>
      <c r="R30">
        <v>1562044056</v>
      </c>
      <c r="S30" t="s">
        <v>319</v>
      </c>
      <c r="T30">
        <v>860034594</v>
      </c>
      <c r="U30" t="s">
        <v>374</v>
      </c>
      <c r="V30">
        <v>923210</v>
      </c>
      <c r="W30" t="s">
        <v>56</v>
      </c>
      <c r="X30" s="2" t="s">
        <v>29</v>
      </c>
      <c r="Y30" t="s">
        <v>30</v>
      </c>
      <c r="Z30" t="s">
        <v>31</v>
      </c>
      <c r="AA30" t="s">
        <v>32</v>
      </c>
      <c r="AB30" t="s">
        <v>33</v>
      </c>
      <c r="AC30" s="51">
        <v>2317500</v>
      </c>
      <c r="AD30">
        <v>0</v>
      </c>
      <c r="AE30" s="4">
        <v>0</v>
      </c>
      <c r="AF30" s="4">
        <v>0</v>
      </c>
      <c r="AG30" t="s">
        <v>462</v>
      </c>
      <c r="AH30">
        <v>0</v>
      </c>
      <c r="AI30">
        <v>0</v>
      </c>
      <c r="AJ30" s="2" t="s">
        <v>463</v>
      </c>
      <c r="AK30" s="2">
        <v>0</v>
      </c>
      <c r="AL30">
        <v>0</v>
      </c>
      <c r="AM30">
        <v>0</v>
      </c>
      <c r="AN30">
        <v>0</v>
      </c>
      <c r="AO30">
        <v>0</v>
      </c>
      <c r="AP30">
        <v>1925</v>
      </c>
      <c r="AQ30">
        <v>1925</v>
      </c>
      <c r="AR30">
        <v>925</v>
      </c>
      <c r="AS30">
        <v>0</v>
      </c>
      <c r="AT30">
        <v>0</v>
      </c>
      <c r="AU30">
        <v>3125</v>
      </c>
      <c r="AV30">
        <v>42360325</v>
      </c>
      <c r="AW30">
        <v>0</v>
      </c>
      <c r="AX30" s="5">
        <v>45673</v>
      </c>
      <c r="AY30" t="s">
        <v>356</v>
      </c>
      <c r="AZ30" t="s">
        <v>375</v>
      </c>
      <c r="BA30" t="s">
        <v>376</v>
      </c>
    </row>
    <row r="31" spans="1:53" ht="15" customHeight="1" x14ac:dyDescent="0.2">
      <c r="A31" t="s">
        <v>4864</v>
      </c>
      <c r="B31" t="s">
        <v>509</v>
      </c>
      <c r="C31" t="s">
        <v>4859</v>
      </c>
      <c r="D31">
        <v>42360525</v>
      </c>
      <c r="E31" s="5">
        <v>45708</v>
      </c>
      <c r="F31" s="5">
        <v>45712.089583333334</v>
      </c>
      <c r="G31" s="4" t="s">
        <v>460</v>
      </c>
      <c r="H31" s="49">
        <v>2273838</v>
      </c>
      <c r="I31" s="49">
        <v>11208</v>
      </c>
      <c r="J31" s="50">
        <v>2262630</v>
      </c>
      <c r="K31" t="s">
        <v>2615</v>
      </c>
      <c r="L31" s="4" t="s">
        <v>461</v>
      </c>
      <c r="M31" t="s">
        <v>351</v>
      </c>
      <c r="N31" s="2">
        <v>1121825496</v>
      </c>
      <c r="O31" t="s">
        <v>378</v>
      </c>
      <c r="P31" t="s">
        <v>316</v>
      </c>
      <c r="Q31" t="s">
        <v>317</v>
      </c>
      <c r="R31">
        <v>24130898971</v>
      </c>
      <c r="S31" t="s">
        <v>319</v>
      </c>
      <c r="T31">
        <v>860007335</v>
      </c>
      <c r="U31" t="s">
        <v>381</v>
      </c>
      <c r="V31">
        <v>923210</v>
      </c>
      <c r="W31" t="s">
        <v>56</v>
      </c>
      <c r="X31" s="2" t="s">
        <v>29</v>
      </c>
      <c r="Y31" t="s">
        <v>30</v>
      </c>
      <c r="Z31" t="s">
        <v>31</v>
      </c>
      <c r="AA31" t="s">
        <v>32</v>
      </c>
      <c r="AB31" t="s">
        <v>33</v>
      </c>
      <c r="AC31" s="51">
        <v>2273838</v>
      </c>
      <c r="AD31">
        <v>0</v>
      </c>
      <c r="AE31" s="4">
        <v>0</v>
      </c>
      <c r="AF31" s="4">
        <v>0</v>
      </c>
      <c r="AG31" t="s">
        <v>462</v>
      </c>
      <c r="AH31">
        <v>0</v>
      </c>
      <c r="AI31">
        <v>0</v>
      </c>
      <c r="AJ31" s="2" t="s">
        <v>463</v>
      </c>
      <c r="AK31" s="2">
        <v>0</v>
      </c>
      <c r="AL31">
        <v>0</v>
      </c>
      <c r="AM31">
        <v>0</v>
      </c>
      <c r="AN31">
        <v>0</v>
      </c>
      <c r="AO31">
        <v>0</v>
      </c>
      <c r="AP31">
        <v>1925</v>
      </c>
      <c r="AQ31">
        <v>1925</v>
      </c>
      <c r="AR31">
        <v>1025</v>
      </c>
      <c r="AS31">
        <v>0</v>
      </c>
      <c r="AT31">
        <v>0</v>
      </c>
      <c r="AU31">
        <v>3225</v>
      </c>
      <c r="AV31">
        <v>42360525</v>
      </c>
      <c r="AW31">
        <v>0</v>
      </c>
      <c r="AX31" s="5">
        <v>45673</v>
      </c>
      <c r="AY31" t="s">
        <v>356</v>
      </c>
      <c r="AZ31" t="s">
        <v>382</v>
      </c>
      <c r="BA31" t="s">
        <v>383</v>
      </c>
    </row>
    <row r="32" spans="1:53" ht="15" customHeight="1" x14ac:dyDescent="0.2">
      <c r="A32" t="s">
        <v>4865</v>
      </c>
      <c r="B32" t="s">
        <v>510</v>
      </c>
      <c r="C32" t="s">
        <v>4862</v>
      </c>
      <c r="D32">
        <v>42360625</v>
      </c>
      <c r="E32" s="5">
        <v>45708</v>
      </c>
      <c r="F32" s="5">
        <v>45712.103472222225</v>
      </c>
      <c r="G32" s="4" t="s">
        <v>460</v>
      </c>
      <c r="H32" s="49">
        <v>1512056</v>
      </c>
      <c r="I32" s="49">
        <v>6638</v>
      </c>
      <c r="J32" s="50">
        <v>1505418</v>
      </c>
      <c r="K32" t="s">
        <v>2615</v>
      </c>
      <c r="L32" s="4" t="s">
        <v>461</v>
      </c>
      <c r="M32" t="s">
        <v>351</v>
      </c>
      <c r="N32" s="2">
        <v>1019101173</v>
      </c>
      <c r="O32" t="s">
        <v>385</v>
      </c>
      <c r="P32" t="s">
        <v>316</v>
      </c>
      <c r="Q32" t="s">
        <v>317</v>
      </c>
      <c r="R32">
        <v>5000237445</v>
      </c>
      <c r="S32" t="s">
        <v>319</v>
      </c>
      <c r="T32">
        <v>860034313</v>
      </c>
      <c r="U32" t="s">
        <v>355</v>
      </c>
      <c r="V32">
        <v>923224</v>
      </c>
      <c r="W32" t="s">
        <v>239</v>
      </c>
      <c r="X32" s="2" t="s">
        <v>240</v>
      </c>
      <c r="Y32" t="s">
        <v>241</v>
      </c>
      <c r="Z32" t="s">
        <v>47</v>
      </c>
      <c r="AA32" t="s">
        <v>76</v>
      </c>
      <c r="AB32" t="s">
        <v>33</v>
      </c>
      <c r="AC32" s="51">
        <v>1512056</v>
      </c>
      <c r="AD32">
        <v>0</v>
      </c>
      <c r="AE32" s="4">
        <v>0</v>
      </c>
      <c r="AF32" s="4">
        <v>0</v>
      </c>
      <c r="AG32" t="s">
        <v>462</v>
      </c>
      <c r="AH32">
        <v>0</v>
      </c>
      <c r="AI32">
        <v>0</v>
      </c>
      <c r="AJ32" s="2" t="s">
        <v>463</v>
      </c>
      <c r="AK32" s="2">
        <v>0</v>
      </c>
      <c r="AL32">
        <v>0</v>
      </c>
      <c r="AM32">
        <v>0</v>
      </c>
      <c r="AN32">
        <v>0</v>
      </c>
      <c r="AO32">
        <v>0</v>
      </c>
      <c r="AP32">
        <v>5425</v>
      </c>
      <c r="AQ32">
        <v>5425</v>
      </c>
      <c r="AR32">
        <v>1125</v>
      </c>
      <c r="AS32">
        <v>0</v>
      </c>
      <c r="AT32">
        <v>0</v>
      </c>
      <c r="AU32">
        <v>3325</v>
      </c>
      <c r="AV32">
        <v>42360625</v>
      </c>
      <c r="AW32">
        <v>0</v>
      </c>
      <c r="AX32" s="5">
        <v>45673</v>
      </c>
      <c r="AY32" t="s">
        <v>356</v>
      </c>
      <c r="AZ32" t="s">
        <v>387</v>
      </c>
      <c r="BA32" t="s">
        <v>388</v>
      </c>
    </row>
    <row r="33" spans="1:53" ht="15" customHeight="1" x14ac:dyDescent="0.2">
      <c r="A33" t="s">
        <v>4866</v>
      </c>
      <c r="B33" t="s">
        <v>511</v>
      </c>
      <c r="C33" t="s">
        <v>4867</v>
      </c>
      <c r="D33">
        <v>42360825</v>
      </c>
      <c r="E33" s="5">
        <v>45708</v>
      </c>
      <c r="F33" s="5">
        <v>45712.088194444441</v>
      </c>
      <c r="G33" s="4" t="s">
        <v>460</v>
      </c>
      <c r="H33" s="49">
        <v>2650000</v>
      </c>
      <c r="I33" s="49">
        <v>13465</v>
      </c>
      <c r="J33" s="50">
        <v>2636535</v>
      </c>
      <c r="K33" t="s">
        <v>2615</v>
      </c>
      <c r="L33" s="4" t="s">
        <v>461</v>
      </c>
      <c r="M33" t="s">
        <v>351</v>
      </c>
      <c r="N33" s="2">
        <v>1012449137</v>
      </c>
      <c r="O33" t="s">
        <v>390</v>
      </c>
      <c r="P33" t="s">
        <v>316</v>
      </c>
      <c r="Q33" t="s">
        <v>317</v>
      </c>
      <c r="R33">
        <v>883150385</v>
      </c>
      <c r="S33" t="s">
        <v>319</v>
      </c>
      <c r="T33">
        <v>860003020</v>
      </c>
      <c r="U33" t="s">
        <v>393</v>
      </c>
      <c r="V33">
        <v>923290</v>
      </c>
      <c r="W33" t="s">
        <v>208</v>
      </c>
      <c r="X33" s="2" t="s">
        <v>29</v>
      </c>
      <c r="Y33" t="s">
        <v>30</v>
      </c>
      <c r="Z33" t="s">
        <v>31</v>
      </c>
      <c r="AA33" t="s">
        <v>32</v>
      </c>
      <c r="AB33" t="s">
        <v>33</v>
      </c>
      <c r="AC33" s="51">
        <v>2650000</v>
      </c>
      <c r="AD33">
        <v>0</v>
      </c>
      <c r="AE33" s="4">
        <v>0</v>
      </c>
      <c r="AF33" s="4">
        <v>0</v>
      </c>
      <c r="AG33" t="s">
        <v>462</v>
      </c>
      <c r="AH33">
        <v>0</v>
      </c>
      <c r="AI33">
        <v>0</v>
      </c>
      <c r="AJ33" s="2" t="s">
        <v>463</v>
      </c>
      <c r="AK33" s="2">
        <v>0</v>
      </c>
      <c r="AL33">
        <v>0</v>
      </c>
      <c r="AM33">
        <v>0</v>
      </c>
      <c r="AN33">
        <v>0</v>
      </c>
      <c r="AO33">
        <v>0</v>
      </c>
      <c r="AP33">
        <v>5025</v>
      </c>
      <c r="AQ33">
        <v>5025</v>
      </c>
      <c r="AR33">
        <v>1225</v>
      </c>
      <c r="AS33">
        <v>0</v>
      </c>
      <c r="AT33">
        <v>0</v>
      </c>
      <c r="AU33">
        <v>3425</v>
      </c>
      <c r="AV33">
        <v>42360825</v>
      </c>
      <c r="AW33">
        <v>0</v>
      </c>
      <c r="AX33" s="5">
        <v>45673</v>
      </c>
      <c r="AY33" t="s">
        <v>356</v>
      </c>
      <c r="AZ33" t="s">
        <v>394</v>
      </c>
      <c r="BA33" t="s">
        <v>395</v>
      </c>
    </row>
    <row r="34" spans="1:53" ht="15" customHeight="1" x14ac:dyDescent="0.2">
      <c r="A34" t="s">
        <v>4868</v>
      </c>
      <c r="B34" t="s">
        <v>512</v>
      </c>
      <c r="C34" t="s">
        <v>4869</v>
      </c>
      <c r="D34">
        <v>42360925</v>
      </c>
      <c r="E34" s="5">
        <v>45708</v>
      </c>
      <c r="F34" s="5">
        <v>45712.093055555553</v>
      </c>
      <c r="G34" s="4" t="s">
        <v>460</v>
      </c>
      <c r="H34" s="49">
        <v>2575000</v>
      </c>
      <c r="I34" s="49">
        <v>14233</v>
      </c>
      <c r="J34" s="50">
        <v>2560767</v>
      </c>
      <c r="K34" t="s">
        <v>2615</v>
      </c>
      <c r="L34" s="4" t="s">
        <v>461</v>
      </c>
      <c r="M34" t="s">
        <v>351</v>
      </c>
      <c r="N34" s="2">
        <v>40325709</v>
      </c>
      <c r="O34" t="s">
        <v>397</v>
      </c>
      <c r="P34" t="s">
        <v>316</v>
      </c>
      <c r="Q34" t="s">
        <v>317</v>
      </c>
      <c r="R34">
        <v>111160363399</v>
      </c>
      <c r="S34" t="s">
        <v>319</v>
      </c>
      <c r="T34">
        <v>900047981</v>
      </c>
      <c r="U34" t="s">
        <v>399</v>
      </c>
      <c r="V34">
        <v>923227</v>
      </c>
      <c r="W34" t="s">
        <v>141</v>
      </c>
      <c r="X34" s="2" t="s">
        <v>142</v>
      </c>
      <c r="Y34" t="s">
        <v>143</v>
      </c>
      <c r="Z34" t="s">
        <v>31</v>
      </c>
      <c r="AA34" t="s">
        <v>32</v>
      </c>
      <c r="AB34" t="s">
        <v>33</v>
      </c>
      <c r="AC34" s="51">
        <v>2575000</v>
      </c>
      <c r="AD34">
        <v>0</v>
      </c>
      <c r="AE34" s="4">
        <v>0</v>
      </c>
      <c r="AF34" s="4">
        <v>0</v>
      </c>
      <c r="AG34" t="s">
        <v>462</v>
      </c>
      <c r="AH34">
        <v>0</v>
      </c>
      <c r="AI34">
        <v>0</v>
      </c>
      <c r="AJ34" s="2" t="s">
        <v>463</v>
      </c>
      <c r="AK34" s="2">
        <v>0</v>
      </c>
      <c r="AL34">
        <v>0</v>
      </c>
      <c r="AM34">
        <v>0</v>
      </c>
      <c r="AN34">
        <v>0</v>
      </c>
      <c r="AO34">
        <v>0</v>
      </c>
      <c r="AP34">
        <v>3225</v>
      </c>
      <c r="AQ34">
        <v>3225</v>
      </c>
      <c r="AR34">
        <v>1325</v>
      </c>
      <c r="AS34">
        <v>0</v>
      </c>
      <c r="AT34">
        <v>0</v>
      </c>
      <c r="AU34">
        <v>3525</v>
      </c>
      <c r="AV34">
        <v>42360925</v>
      </c>
      <c r="AW34">
        <v>0</v>
      </c>
      <c r="AX34" s="5">
        <v>45673</v>
      </c>
      <c r="AY34" t="s">
        <v>356</v>
      </c>
      <c r="AZ34" t="s">
        <v>602</v>
      </c>
      <c r="BA34" t="s">
        <v>401</v>
      </c>
    </row>
    <row r="35" spans="1:53" ht="15" customHeight="1" x14ac:dyDescent="0.2">
      <c r="A35" t="s">
        <v>4870</v>
      </c>
      <c r="B35" t="s">
        <v>513</v>
      </c>
      <c r="C35" t="s">
        <v>4862</v>
      </c>
      <c r="D35">
        <v>42361125</v>
      </c>
      <c r="E35" s="5">
        <v>45708</v>
      </c>
      <c r="F35" s="5">
        <v>45712.086111111108</v>
      </c>
      <c r="G35" s="4" t="s">
        <v>460</v>
      </c>
      <c r="H35" s="49">
        <v>2516800</v>
      </c>
      <c r="I35" s="49">
        <v>12666</v>
      </c>
      <c r="J35" s="50">
        <v>2504134</v>
      </c>
      <c r="K35" t="s">
        <v>2615</v>
      </c>
      <c r="L35" s="4" t="s">
        <v>461</v>
      </c>
      <c r="M35" t="s">
        <v>351</v>
      </c>
      <c r="N35" s="2">
        <v>53093999</v>
      </c>
      <c r="O35" t="s">
        <v>403</v>
      </c>
      <c r="P35" t="s">
        <v>316</v>
      </c>
      <c r="Q35" t="s">
        <v>317</v>
      </c>
      <c r="R35">
        <v>63440868349</v>
      </c>
      <c r="S35" t="s">
        <v>319</v>
      </c>
      <c r="T35">
        <v>890903938</v>
      </c>
      <c r="U35" t="s">
        <v>342</v>
      </c>
      <c r="V35">
        <v>923224</v>
      </c>
      <c r="W35" t="s">
        <v>239</v>
      </c>
      <c r="X35" s="2" t="s">
        <v>240</v>
      </c>
      <c r="Y35" t="s">
        <v>241</v>
      </c>
      <c r="Z35" t="s">
        <v>47</v>
      </c>
      <c r="AA35" t="s">
        <v>76</v>
      </c>
      <c r="AB35" t="s">
        <v>33</v>
      </c>
      <c r="AC35" s="51">
        <v>2516800</v>
      </c>
      <c r="AD35">
        <v>0</v>
      </c>
      <c r="AE35" s="4">
        <v>0</v>
      </c>
      <c r="AF35" s="4">
        <v>0</v>
      </c>
      <c r="AG35" t="s">
        <v>462</v>
      </c>
      <c r="AH35">
        <v>0</v>
      </c>
      <c r="AI35">
        <v>0</v>
      </c>
      <c r="AJ35" s="2" t="s">
        <v>463</v>
      </c>
      <c r="AK35" s="2">
        <v>0</v>
      </c>
      <c r="AL35">
        <v>0</v>
      </c>
      <c r="AM35">
        <v>0</v>
      </c>
      <c r="AN35">
        <v>0</v>
      </c>
      <c r="AO35">
        <v>0</v>
      </c>
      <c r="AP35">
        <v>5425</v>
      </c>
      <c r="AQ35">
        <v>5425</v>
      </c>
      <c r="AR35">
        <v>1425</v>
      </c>
      <c r="AS35">
        <v>0</v>
      </c>
      <c r="AT35">
        <v>0</v>
      </c>
      <c r="AU35">
        <v>3625</v>
      </c>
      <c r="AV35">
        <v>42361125</v>
      </c>
      <c r="AW35">
        <v>0</v>
      </c>
      <c r="AX35" s="5">
        <v>45673</v>
      </c>
      <c r="AY35" t="s">
        <v>356</v>
      </c>
      <c r="AZ35" t="s">
        <v>400</v>
      </c>
      <c r="BA35" t="s">
        <v>405</v>
      </c>
    </row>
    <row r="36" spans="1:53" ht="15" customHeight="1" x14ac:dyDescent="0.2">
      <c r="A36" t="s">
        <v>4871</v>
      </c>
      <c r="B36" t="s">
        <v>514</v>
      </c>
      <c r="C36" t="s">
        <v>4869</v>
      </c>
      <c r="D36">
        <v>42361225</v>
      </c>
      <c r="E36" s="5">
        <v>45708</v>
      </c>
      <c r="F36" s="5">
        <v>45712.102777777778</v>
      </c>
      <c r="G36" s="4" t="s">
        <v>460</v>
      </c>
      <c r="H36" s="49">
        <v>1521825</v>
      </c>
      <c r="I36" s="49">
        <v>7914</v>
      </c>
      <c r="J36" s="50">
        <v>1513911</v>
      </c>
      <c r="K36" t="s">
        <v>2615</v>
      </c>
      <c r="L36" s="4" t="s">
        <v>461</v>
      </c>
      <c r="M36" t="s">
        <v>351</v>
      </c>
      <c r="N36" s="2">
        <v>1012379960</v>
      </c>
      <c r="O36" t="s">
        <v>407</v>
      </c>
      <c r="P36" t="s">
        <v>316</v>
      </c>
      <c r="Q36" t="s">
        <v>317</v>
      </c>
      <c r="R36">
        <v>24082422615</v>
      </c>
      <c r="S36" t="s">
        <v>319</v>
      </c>
      <c r="T36">
        <v>860007335</v>
      </c>
      <c r="U36" t="s">
        <v>381</v>
      </c>
      <c r="V36">
        <v>923227</v>
      </c>
      <c r="W36" t="s">
        <v>141</v>
      </c>
      <c r="X36" s="2" t="s">
        <v>142</v>
      </c>
      <c r="Y36" t="s">
        <v>143</v>
      </c>
      <c r="Z36" t="s">
        <v>31</v>
      </c>
      <c r="AA36" t="s">
        <v>32</v>
      </c>
      <c r="AB36" t="s">
        <v>33</v>
      </c>
      <c r="AC36" s="51">
        <v>1521825</v>
      </c>
      <c r="AD36">
        <v>0</v>
      </c>
      <c r="AE36" s="4">
        <v>0</v>
      </c>
      <c r="AF36" s="4">
        <v>0</v>
      </c>
      <c r="AG36" t="s">
        <v>462</v>
      </c>
      <c r="AH36">
        <v>0</v>
      </c>
      <c r="AI36">
        <v>0</v>
      </c>
      <c r="AJ36" s="2" t="s">
        <v>463</v>
      </c>
      <c r="AK36" s="2">
        <v>0</v>
      </c>
      <c r="AL36">
        <v>0</v>
      </c>
      <c r="AM36">
        <v>0</v>
      </c>
      <c r="AN36">
        <v>0</v>
      </c>
      <c r="AO36">
        <v>0</v>
      </c>
      <c r="AP36">
        <v>3225</v>
      </c>
      <c r="AQ36">
        <v>3225</v>
      </c>
      <c r="AR36">
        <v>1525</v>
      </c>
      <c r="AS36">
        <v>0</v>
      </c>
      <c r="AT36">
        <v>0</v>
      </c>
      <c r="AU36">
        <v>3725</v>
      </c>
      <c r="AV36">
        <v>42361225</v>
      </c>
      <c r="AW36">
        <v>0</v>
      </c>
      <c r="AX36" s="5">
        <v>45673</v>
      </c>
      <c r="AY36" t="s">
        <v>362</v>
      </c>
      <c r="AZ36" t="s">
        <v>409</v>
      </c>
      <c r="BA36" t="s">
        <v>410</v>
      </c>
    </row>
    <row r="37" spans="1:53" ht="15" customHeight="1" x14ac:dyDescent="0.2">
      <c r="A37" t="s">
        <v>4872</v>
      </c>
      <c r="B37" t="s">
        <v>515</v>
      </c>
      <c r="C37" t="s">
        <v>4869</v>
      </c>
      <c r="D37">
        <v>42361325</v>
      </c>
      <c r="E37" s="5">
        <v>45708</v>
      </c>
      <c r="F37" s="5">
        <v>45712.103472222225</v>
      </c>
      <c r="G37" s="4" t="s">
        <v>460</v>
      </c>
      <c r="H37" s="49">
        <v>1521825</v>
      </c>
      <c r="I37" s="49">
        <v>7914</v>
      </c>
      <c r="J37" s="50">
        <v>1513911</v>
      </c>
      <c r="K37" t="s">
        <v>2615</v>
      </c>
      <c r="L37" s="4" t="s">
        <v>461</v>
      </c>
      <c r="M37" t="s">
        <v>351</v>
      </c>
      <c r="N37" s="2">
        <v>1073697700</v>
      </c>
      <c r="O37" t="s">
        <v>412</v>
      </c>
      <c r="P37" t="s">
        <v>316</v>
      </c>
      <c r="Q37" t="s">
        <v>317</v>
      </c>
      <c r="R37">
        <v>488423979498</v>
      </c>
      <c r="S37" t="s">
        <v>319</v>
      </c>
      <c r="T37">
        <v>860034313</v>
      </c>
      <c r="U37" t="s">
        <v>355</v>
      </c>
      <c r="V37">
        <v>923227</v>
      </c>
      <c r="W37" t="s">
        <v>141</v>
      </c>
      <c r="X37" s="2" t="s">
        <v>142</v>
      </c>
      <c r="Y37" t="s">
        <v>143</v>
      </c>
      <c r="Z37" t="s">
        <v>31</v>
      </c>
      <c r="AA37" t="s">
        <v>32</v>
      </c>
      <c r="AB37" t="s">
        <v>33</v>
      </c>
      <c r="AC37" s="51">
        <v>1521825</v>
      </c>
      <c r="AD37">
        <v>0</v>
      </c>
      <c r="AE37" s="4">
        <v>0</v>
      </c>
      <c r="AF37" s="4">
        <v>0</v>
      </c>
      <c r="AG37" t="s">
        <v>462</v>
      </c>
      <c r="AH37">
        <v>0</v>
      </c>
      <c r="AI37">
        <v>0</v>
      </c>
      <c r="AJ37" s="2" t="s">
        <v>463</v>
      </c>
      <c r="AK37" s="2">
        <v>0</v>
      </c>
      <c r="AL37">
        <v>0</v>
      </c>
      <c r="AM37">
        <v>0</v>
      </c>
      <c r="AN37">
        <v>0</v>
      </c>
      <c r="AO37">
        <v>0</v>
      </c>
      <c r="AP37">
        <v>3225</v>
      </c>
      <c r="AQ37">
        <v>3225</v>
      </c>
      <c r="AR37">
        <v>1625</v>
      </c>
      <c r="AS37">
        <v>0</v>
      </c>
      <c r="AT37">
        <v>0</v>
      </c>
      <c r="AU37">
        <v>3825</v>
      </c>
      <c r="AV37">
        <v>42361325</v>
      </c>
      <c r="AW37">
        <v>0</v>
      </c>
      <c r="AX37" s="5">
        <v>45673</v>
      </c>
      <c r="AY37" t="s">
        <v>362</v>
      </c>
      <c r="AZ37" t="s">
        <v>414</v>
      </c>
      <c r="BA37" t="s">
        <v>410</v>
      </c>
    </row>
    <row r="38" spans="1:53" ht="15" customHeight="1" x14ac:dyDescent="0.2">
      <c r="A38" t="s">
        <v>4873</v>
      </c>
      <c r="B38" t="s">
        <v>516</v>
      </c>
      <c r="C38" t="s">
        <v>4869</v>
      </c>
      <c r="D38">
        <v>42361525</v>
      </c>
      <c r="E38" s="5">
        <v>45708</v>
      </c>
      <c r="F38" s="5">
        <v>45712.09375</v>
      </c>
      <c r="G38" s="4" t="s">
        <v>460</v>
      </c>
      <c r="H38" s="49">
        <v>1521825</v>
      </c>
      <c r="I38" s="49">
        <v>7914</v>
      </c>
      <c r="J38" s="50">
        <v>1513911</v>
      </c>
      <c r="K38" t="s">
        <v>2615</v>
      </c>
      <c r="L38" s="4" t="s">
        <v>461</v>
      </c>
      <c r="M38" t="s">
        <v>351</v>
      </c>
      <c r="N38" s="2">
        <v>80030739</v>
      </c>
      <c r="O38" t="s">
        <v>416</v>
      </c>
      <c r="P38" t="s">
        <v>316</v>
      </c>
      <c r="Q38" t="s">
        <v>317</v>
      </c>
      <c r="R38">
        <v>9548892</v>
      </c>
      <c r="S38" t="s">
        <v>319</v>
      </c>
      <c r="T38">
        <v>860002964</v>
      </c>
      <c r="U38" t="s">
        <v>419</v>
      </c>
      <c r="V38">
        <v>923227</v>
      </c>
      <c r="W38" t="s">
        <v>141</v>
      </c>
      <c r="X38" s="2" t="s">
        <v>142</v>
      </c>
      <c r="Y38" t="s">
        <v>143</v>
      </c>
      <c r="Z38" t="s">
        <v>31</v>
      </c>
      <c r="AA38" t="s">
        <v>32</v>
      </c>
      <c r="AB38" t="s">
        <v>33</v>
      </c>
      <c r="AC38" s="51">
        <v>1521825</v>
      </c>
      <c r="AD38">
        <v>0</v>
      </c>
      <c r="AE38" s="4">
        <v>0</v>
      </c>
      <c r="AF38" s="4">
        <v>0</v>
      </c>
      <c r="AG38" t="s">
        <v>462</v>
      </c>
      <c r="AH38">
        <v>0</v>
      </c>
      <c r="AI38">
        <v>0</v>
      </c>
      <c r="AJ38" s="2" t="s">
        <v>463</v>
      </c>
      <c r="AK38" s="2">
        <v>0</v>
      </c>
      <c r="AL38">
        <v>0</v>
      </c>
      <c r="AM38">
        <v>0</v>
      </c>
      <c r="AN38">
        <v>0</v>
      </c>
      <c r="AO38">
        <v>0</v>
      </c>
      <c r="AP38">
        <v>3225</v>
      </c>
      <c r="AQ38">
        <v>3225</v>
      </c>
      <c r="AR38">
        <v>1725</v>
      </c>
      <c r="AS38">
        <v>0</v>
      </c>
      <c r="AT38">
        <v>0</v>
      </c>
      <c r="AU38">
        <v>3925</v>
      </c>
      <c r="AV38">
        <v>42361525</v>
      </c>
      <c r="AW38">
        <v>0</v>
      </c>
      <c r="AX38" s="5">
        <v>45673</v>
      </c>
      <c r="AY38" t="s">
        <v>362</v>
      </c>
      <c r="AZ38" t="s">
        <v>420</v>
      </c>
      <c r="BA38" t="s">
        <v>410</v>
      </c>
    </row>
    <row r="39" spans="1:53" ht="15" customHeight="1" x14ac:dyDescent="0.2">
      <c r="A39" t="s">
        <v>4874</v>
      </c>
      <c r="B39" t="s">
        <v>517</v>
      </c>
      <c r="C39" t="s">
        <v>4859</v>
      </c>
      <c r="D39">
        <v>42361625</v>
      </c>
      <c r="E39" s="5">
        <v>45708</v>
      </c>
      <c r="F39" s="5">
        <v>45712.09375</v>
      </c>
      <c r="G39" s="4" t="s">
        <v>460</v>
      </c>
      <c r="H39" s="49">
        <v>1060096</v>
      </c>
      <c r="I39" s="49">
        <v>5548</v>
      </c>
      <c r="J39" s="50">
        <v>1054548</v>
      </c>
      <c r="K39" t="s">
        <v>2615</v>
      </c>
      <c r="L39" s="4" t="s">
        <v>461</v>
      </c>
      <c r="M39" t="s">
        <v>351</v>
      </c>
      <c r="N39" s="2">
        <v>1024533099</v>
      </c>
      <c r="O39" t="s">
        <v>423</v>
      </c>
      <c r="P39" t="s">
        <v>316</v>
      </c>
      <c r="Q39" t="s">
        <v>317</v>
      </c>
      <c r="R39">
        <v>272245820</v>
      </c>
      <c r="S39" t="s">
        <v>319</v>
      </c>
      <c r="T39">
        <v>860002964</v>
      </c>
      <c r="U39" t="s">
        <v>419</v>
      </c>
      <c r="V39">
        <v>923210</v>
      </c>
      <c r="W39" t="s">
        <v>56</v>
      </c>
      <c r="X39" s="2" t="s">
        <v>29</v>
      </c>
      <c r="Y39" t="s">
        <v>30</v>
      </c>
      <c r="Z39" t="s">
        <v>31</v>
      </c>
      <c r="AA39" t="s">
        <v>32</v>
      </c>
      <c r="AB39" t="s">
        <v>33</v>
      </c>
      <c r="AC39" s="51">
        <v>1060096</v>
      </c>
      <c r="AD39">
        <v>0</v>
      </c>
      <c r="AE39" s="4">
        <v>0</v>
      </c>
      <c r="AF39" s="4">
        <v>0</v>
      </c>
      <c r="AG39" t="s">
        <v>462</v>
      </c>
      <c r="AH39">
        <v>0</v>
      </c>
      <c r="AI39">
        <v>0</v>
      </c>
      <c r="AJ39" s="2" t="s">
        <v>463</v>
      </c>
      <c r="AK39" s="2">
        <v>0</v>
      </c>
      <c r="AL39">
        <v>0</v>
      </c>
      <c r="AM39">
        <v>0</v>
      </c>
      <c r="AN39">
        <v>0</v>
      </c>
      <c r="AO39">
        <v>0</v>
      </c>
      <c r="AP39">
        <v>1925</v>
      </c>
      <c r="AQ39">
        <v>1925</v>
      </c>
      <c r="AR39">
        <v>1825</v>
      </c>
      <c r="AS39">
        <v>0</v>
      </c>
      <c r="AT39">
        <v>0</v>
      </c>
      <c r="AU39">
        <v>4025</v>
      </c>
      <c r="AV39">
        <v>42361625</v>
      </c>
      <c r="AW39">
        <v>0</v>
      </c>
      <c r="AX39" s="5">
        <v>45679</v>
      </c>
      <c r="AY39" t="s">
        <v>362</v>
      </c>
      <c r="AZ39" t="s">
        <v>425</v>
      </c>
      <c r="BA39" t="s">
        <v>426</v>
      </c>
    </row>
    <row r="40" spans="1:53" ht="15" customHeight="1" x14ac:dyDescent="0.2">
      <c r="A40" t="s">
        <v>4875</v>
      </c>
      <c r="B40" t="s">
        <v>2231</v>
      </c>
      <c r="C40" t="s">
        <v>4847</v>
      </c>
      <c r="D40">
        <v>43210725</v>
      </c>
      <c r="E40" s="5">
        <v>45709</v>
      </c>
      <c r="F40" s="5">
        <v>45713.067361111112</v>
      </c>
      <c r="G40" s="4" t="s">
        <v>460</v>
      </c>
      <c r="H40" s="49">
        <v>2112083</v>
      </c>
      <c r="I40" s="49">
        <v>0</v>
      </c>
      <c r="J40" s="50">
        <v>2112083</v>
      </c>
      <c r="K40" t="s">
        <v>2615</v>
      </c>
      <c r="L40" s="4" t="s">
        <v>461</v>
      </c>
      <c r="M40" t="s">
        <v>314</v>
      </c>
      <c r="N40" s="2">
        <v>860063875</v>
      </c>
      <c r="O40" t="s">
        <v>315</v>
      </c>
      <c r="P40" t="s">
        <v>316</v>
      </c>
      <c r="Q40" t="s">
        <v>317</v>
      </c>
      <c r="R40">
        <v>90060000410</v>
      </c>
      <c r="S40" t="s">
        <v>319</v>
      </c>
      <c r="T40">
        <v>860050750</v>
      </c>
      <c r="U40" t="s">
        <v>321</v>
      </c>
      <c r="V40">
        <v>923210</v>
      </c>
      <c r="W40" t="s">
        <v>56</v>
      </c>
      <c r="X40" s="2" t="s">
        <v>29</v>
      </c>
      <c r="Y40" t="s">
        <v>30</v>
      </c>
      <c r="Z40" t="s">
        <v>47</v>
      </c>
      <c r="AA40" t="s">
        <v>48</v>
      </c>
      <c r="AB40" t="s">
        <v>33</v>
      </c>
      <c r="AC40" s="51">
        <v>2112083</v>
      </c>
      <c r="AD40">
        <v>0</v>
      </c>
      <c r="AE40" s="4">
        <v>0</v>
      </c>
      <c r="AF40" s="4">
        <v>0</v>
      </c>
      <c r="AG40" t="s">
        <v>462</v>
      </c>
      <c r="AH40">
        <v>0</v>
      </c>
      <c r="AI40">
        <v>0</v>
      </c>
      <c r="AJ40" s="2" t="s">
        <v>463</v>
      </c>
      <c r="AK40" s="2">
        <v>0</v>
      </c>
      <c r="AL40">
        <v>0</v>
      </c>
      <c r="AM40">
        <v>0</v>
      </c>
      <c r="AN40">
        <v>0</v>
      </c>
      <c r="AO40" t="s">
        <v>2657</v>
      </c>
      <c r="AP40">
        <v>1225</v>
      </c>
      <c r="AQ40">
        <v>1225</v>
      </c>
      <c r="AR40">
        <v>30525</v>
      </c>
      <c r="AS40">
        <v>3525</v>
      </c>
      <c r="AT40" s="5">
        <v>45702</v>
      </c>
      <c r="AU40">
        <v>2325</v>
      </c>
      <c r="AV40">
        <v>43210725</v>
      </c>
      <c r="AW40">
        <v>0</v>
      </c>
      <c r="AX40" s="5">
        <v>45702</v>
      </c>
      <c r="AY40" t="s">
        <v>323</v>
      </c>
      <c r="AZ40">
        <v>15883496</v>
      </c>
      <c r="BA40" t="s">
        <v>2026</v>
      </c>
    </row>
    <row r="41" spans="1:53" ht="15" customHeight="1" x14ac:dyDescent="0.2">
      <c r="A41" t="s">
        <v>4876</v>
      </c>
      <c r="B41" t="s">
        <v>2494</v>
      </c>
      <c r="C41" t="s">
        <v>4877</v>
      </c>
      <c r="D41">
        <v>47481725</v>
      </c>
      <c r="E41" s="5">
        <v>45713</v>
      </c>
      <c r="F41" s="5">
        <v>45715.084722222222</v>
      </c>
      <c r="G41" s="4" t="s">
        <v>460</v>
      </c>
      <c r="H41" s="49">
        <v>576929</v>
      </c>
      <c r="I41" s="49">
        <v>0</v>
      </c>
      <c r="J41" s="50">
        <v>576929</v>
      </c>
      <c r="K41" t="s">
        <v>2615</v>
      </c>
      <c r="L41" s="4" t="s">
        <v>461</v>
      </c>
      <c r="M41" t="s">
        <v>351</v>
      </c>
      <c r="N41" s="2">
        <v>80724086</v>
      </c>
      <c r="O41" t="s">
        <v>1926</v>
      </c>
      <c r="P41" t="s">
        <v>316</v>
      </c>
      <c r="Q41" t="s">
        <v>317</v>
      </c>
      <c r="R41">
        <v>22127248099</v>
      </c>
      <c r="S41" t="s">
        <v>319</v>
      </c>
      <c r="T41">
        <v>890903938</v>
      </c>
      <c r="U41" t="s">
        <v>342</v>
      </c>
      <c r="V41">
        <v>923238</v>
      </c>
      <c r="W41" t="s">
        <v>569</v>
      </c>
      <c r="X41" s="2" t="s">
        <v>29</v>
      </c>
      <c r="Y41" t="s">
        <v>30</v>
      </c>
      <c r="Z41" t="s">
        <v>31</v>
      </c>
      <c r="AA41" t="s">
        <v>32</v>
      </c>
      <c r="AB41" t="s">
        <v>33</v>
      </c>
      <c r="AC41" s="51">
        <v>576929</v>
      </c>
      <c r="AD41">
        <v>0</v>
      </c>
      <c r="AE41" s="4">
        <v>0</v>
      </c>
      <c r="AF41" s="4">
        <v>0</v>
      </c>
      <c r="AG41" t="s">
        <v>462</v>
      </c>
      <c r="AH41">
        <v>0</v>
      </c>
      <c r="AI41">
        <v>0</v>
      </c>
      <c r="AJ41" s="2" t="s">
        <v>463</v>
      </c>
      <c r="AK41" s="2">
        <v>0</v>
      </c>
      <c r="AL41">
        <v>0</v>
      </c>
      <c r="AM41">
        <v>0</v>
      </c>
      <c r="AN41">
        <v>0</v>
      </c>
      <c r="AO41">
        <v>0</v>
      </c>
      <c r="AP41">
        <v>325</v>
      </c>
      <c r="AQ41">
        <v>325</v>
      </c>
      <c r="AR41">
        <v>28825</v>
      </c>
      <c r="AS41">
        <v>0</v>
      </c>
      <c r="AT41">
        <v>0</v>
      </c>
      <c r="AU41">
        <v>4125</v>
      </c>
      <c r="AV41">
        <v>47481725</v>
      </c>
      <c r="AW41">
        <v>0</v>
      </c>
      <c r="AX41" s="5">
        <v>45700</v>
      </c>
      <c r="AY41" t="s">
        <v>1929</v>
      </c>
      <c r="AZ41" t="s">
        <v>1930</v>
      </c>
      <c r="BA41" t="s">
        <v>1931</v>
      </c>
    </row>
    <row r="42" spans="1:53" ht="15" customHeight="1" x14ac:dyDescent="0.2">
      <c r="A42" t="s">
        <v>4878</v>
      </c>
      <c r="B42" t="s">
        <v>2495</v>
      </c>
      <c r="C42" t="s">
        <v>4867</v>
      </c>
      <c r="D42">
        <v>47481825</v>
      </c>
      <c r="E42" s="5">
        <v>45713</v>
      </c>
      <c r="F42" s="5">
        <v>45715.088888888888</v>
      </c>
      <c r="G42" s="4" t="s">
        <v>460</v>
      </c>
      <c r="H42" s="49">
        <v>478585</v>
      </c>
      <c r="I42" s="49">
        <v>0</v>
      </c>
      <c r="J42" s="50">
        <v>478585</v>
      </c>
      <c r="K42" t="s">
        <v>2615</v>
      </c>
      <c r="L42" s="4" t="s">
        <v>461</v>
      </c>
      <c r="M42" t="s">
        <v>351</v>
      </c>
      <c r="N42" s="2">
        <v>1012449137</v>
      </c>
      <c r="O42" t="s">
        <v>390</v>
      </c>
      <c r="P42" t="s">
        <v>316</v>
      </c>
      <c r="Q42" t="s">
        <v>317</v>
      </c>
      <c r="R42">
        <v>883150385</v>
      </c>
      <c r="S42" t="s">
        <v>319</v>
      </c>
      <c r="T42">
        <v>860003020</v>
      </c>
      <c r="U42" t="s">
        <v>393</v>
      </c>
      <c r="V42">
        <v>923290</v>
      </c>
      <c r="W42" t="s">
        <v>208</v>
      </c>
      <c r="X42" s="2" t="s">
        <v>29</v>
      </c>
      <c r="Y42" t="s">
        <v>30</v>
      </c>
      <c r="Z42" t="s">
        <v>31</v>
      </c>
      <c r="AA42" t="s">
        <v>32</v>
      </c>
      <c r="AB42" t="s">
        <v>33</v>
      </c>
      <c r="AC42" s="51">
        <v>478585</v>
      </c>
      <c r="AD42">
        <v>0</v>
      </c>
      <c r="AE42" s="4">
        <v>0</v>
      </c>
      <c r="AF42" s="4">
        <v>0</v>
      </c>
      <c r="AG42" t="s">
        <v>462</v>
      </c>
      <c r="AH42">
        <v>0</v>
      </c>
      <c r="AI42">
        <v>0</v>
      </c>
      <c r="AJ42" s="2" t="s">
        <v>463</v>
      </c>
      <c r="AK42" s="2">
        <v>0</v>
      </c>
      <c r="AL42">
        <v>0</v>
      </c>
      <c r="AM42">
        <v>0</v>
      </c>
      <c r="AN42">
        <v>0</v>
      </c>
      <c r="AO42">
        <v>0</v>
      </c>
      <c r="AP42">
        <v>4925</v>
      </c>
      <c r="AQ42">
        <v>4925</v>
      </c>
      <c r="AR42">
        <v>28925</v>
      </c>
      <c r="AS42">
        <v>0</v>
      </c>
      <c r="AT42">
        <v>0</v>
      </c>
      <c r="AU42">
        <v>4225</v>
      </c>
      <c r="AV42">
        <v>47481825</v>
      </c>
      <c r="AW42">
        <v>0</v>
      </c>
      <c r="AX42" s="5">
        <v>45700</v>
      </c>
      <c r="AY42" t="s">
        <v>1929</v>
      </c>
      <c r="AZ42" t="s">
        <v>1934</v>
      </c>
      <c r="BA42" t="s">
        <v>1935</v>
      </c>
    </row>
    <row r="43" spans="1:53" ht="15" customHeight="1" x14ac:dyDescent="0.2">
      <c r="A43" t="s">
        <v>4879</v>
      </c>
      <c r="B43" t="s">
        <v>2496</v>
      </c>
      <c r="C43" t="s">
        <v>4859</v>
      </c>
      <c r="D43">
        <v>47481925</v>
      </c>
      <c r="E43" s="5">
        <v>45713</v>
      </c>
      <c r="F43" s="5">
        <v>45715.090277777781</v>
      </c>
      <c r="G43" s="4" t="s">
        <v>460</v>
      </c>
      <c r="H43" s="49">
        <v>93439</v>
      </c>
      <c r="I43" s="49">
        <v>0</v>
      </c>
      <c r="J43" s="50">
        <v>93439</v>
      </c>
      <c r="K43" t="s">
        <v>2615</v>
      </c>
      <c r="L43" s="4" t="s">
        <v>461</v>
      </c>
      <c r="M43" t="s">
        <v>351</v>
      </c>
      <c r="N43" s="2">
        <v>79661139</v>
      </c>
      <c r="O43" t="s">
        <v>1871</v>
      </c>
      <c r="P43" t="s">
        <v>316</v>
      </c>
      <c r="Q43" t="s">
        <v>317</v>
      </c>
      <c r="R43">
        <v>4400141166</v>
      </c>
      <c r="S43" t="s">
        <v>319</v>
      </c>
      <c r="T43">
        <v>860034313</v>
      </c>
      <c r="U43" t="s">
        <v>355</v>
      </c>
      <c r="V43">
        <v>923210</v>
      </c>
      <c r="W43" t="s">
        <v>56</v>
      </c>
      <c r="X43" s="2" t="s">
        <v>29</v>
      </c>
      <c r="Y43" t="s">
        <v>30</v>
      </c>
      <c r="Z43" t="s">
        <v>31</v>
      </c>
      <c r="AA43" t="s">
        <v>32</v>
      </c>
      <c r="AB43" t="s">
        <v>33</v>
      </c>
      <c r="AC43" s="51">
        <v>93439</v>
      </c>
      <c r="AD43">
        <v>0</v>
      </c>
      <c r="AE43" s="4">
        <v>0</v>
      </c>
      <c r="AF43" s="4">
        <v>0</v>
      </c>
      <c r="AG43" t="s">
        <v>462</v>
      </c>
      <c r="AH43">
        <v>0</v>
      </c>
      <c r="AI43">
        <v>0</v>
      </c>
      <c r="AJ43" s="2" t="s">
        <v>463</v>
      </c>
      <c r="AK43" s="2">
        <v>0</v>
      </c>
      <c r="AL43">
        <v>0</v>
      </c>
      <c r="AM43">
        <v>0</v>
      </c>
      <c r="AN43">
        <v>0</v>
      </c>
      <c r="AO43">
        <v>0</v>
      </c>
      <c r="AP43">
        <v>1625</v>
      </c>
      <c r="AQ43">
        <v>1625</v>
      </c>
      <c r="AR43">
        <v>29025</v>
      </c>
      <c r="AS43">
        <v>0</v>
      </c>
      <c r="AT43">
        <v>0</v>
      </c>
      <c r="AU43">
        <v>4325</v>
      </c>
      <c r="AV43">
        <v>47481925</v>
      </c>
      <c r="AW43">
        <v>0</v>
      </c>
      <c r="AX43" s="5">
        <v>45700</v>
      </c>
      <c r="AY43" t="s">
        <v>1929</v>
      </c>
      <c r="AZ43" t="s">
        <v>1939</v>
      </c>
      <c r="BA43" t="s">
        <v>1940</v>
      </c>
    </row>
    <row r="44" spans="1:53" ht="15" customHeight="1" x14ac:dyDescent="0.2">
      <c r="A44" t="s">
        <v>4880</v>
      </c>
      <c r="B44" t="s">
        <v>2497</v>
      </c>
      <c r="C44" t="s">
        <v>4859</v>
      </c>
      <c r="D44">
        <v>47482025</v>
      </c>
      <c r="E44" s="5">
        <v>45713</v>
      </c>
      <c r="F44" s="5">
        <v>45715.09097222222</v>
      </c>
      <c r="G44" s="4" t="s">
        <v>460</v>
      </c>
      <c r="H44" s="49">
        <v>252632</v>
      </c>
      <c r="I44" s="49">
        <v>0</v>
      </c>
      <c r="J44" s="50">
        <v>252632</v>
      </c>
      <c r="K44" t="s">
        <v>2615</v>
      </c>
      <c r="L44" s="4" t="s">
        <v>461</v>
      </c>
      <c r="M44" t="s">
        <v>351</v>
      </c>
      <c r="N44" s="2">
        <v>80062448</v>
      </c>
      <c r="O44" t="s">
        <v>1943</v>
      </c>
      <c r="P44" t="s">
        <v>316</v>
      </c>
      <c r="Q44" t="s">
        <v>317</v>
      </c>
      <c r="R44">
        <v>570451570058300</v>
      </c>
      <c r="S44" t="s">
        <v>319</v>
      </c>
      <c r="T44">
        <v>860034313</v>
      </c>
      <c r="U44" t="s">
        <v>355</v>
      </c>
      <c r="V44">
        <v>923210</v>
      </c>
      <c r="W44" t="s">
        <v>56</v>
      </c>
      <c r="X44" s="2" t="s">
        <v>29</v>
      </c>
      <c r="Y44" t="s">
        <v>30</v>
      </c>
      <c r="Z44" t="s">
        <v>31</v>
      </c>
      <c r="AA44" t="s">
        <v>32</v>
      </c>
      <c r="AB44" t="s">
        <v>33</v>
      </c>
      <c r="AC44" s="51">
        <v>252632</v>
      </c>
      <c r="AD44">
        <v>0</v>
      </c>
      <c r="AE44" s="4">
        <v>0</v>
      </c>
      <c r="AF44" s="4">
        <v>0</v>
      </c>
      <c r="AG44" t="s">
        <v>462</v>
      </c>
      <c r="AH44">
        <v>0</v>
      </c>
      <c r="AI44">
        <v>0</v>
      </c>
      <c r="AJ44" s="2" t="s">
        <v>463</v>
      </c>
      <c r="AK44" s="2">
        <v>0</v>
      </c>
      <c r="AL44">
        <v>0</v>
      </c>
      <c r="AM44">
        <v>0</v>
      </c>
      <c r="AN44">
        <v>0</v>
      </c>
      <c r="AO44">
        <v>0</v>
      </c>
      <c r="AP44">
        <v>1625</v>
      </c>
      <c r="AQ44">
        <v>1625</v>
      </c>
      <c r="AR44">
        <v>29125</v>
      </c>
      <c r="AS44">
        <v>0</v>
      </c>
      <c r="AT44">
        <v>0</v>
      </c>
      <c r="AU44">
        <v>4425</v>
      </c>
      <c r="AV44">
        <v>47482025</v>
      </c>
      <c r="AW44">
        <v>0</v>
      </c>
      <c r="AX44" s="5">
        <v>45700</v>
      </c>
      <c r="AY44" t="s">
        <v>1929</v>
      </c>
      <c r="AZ44" t="s">
        <v>1946</v>
      </c>
      <c r="BA44" t="s">
        <v>1947</v>
      </c>
    </row>
    <row r="45" spans="1:53" ht="15" customHeight="1" x14ac:dyDescent="0.2">
      <c r="A45" t="s">
        <v>4881</v>
      </c>
      <c r="B45" t="s">
        <v>2498</v>
      </c>
      <c r="C45" t="s">
        <v>4882</v>
      </c>
      <c r="D45">
        <v>47482125</v>
      </c>
      <c r="E45" s="5">
        <v>45713</v>
      </c>
      <c r="F45" s="5">
        <v>45715.084722222222</v>
      </c>
      <c r="G45" s="4" t="s">
        <v>460</v>
      </c>
      <c r="H45" s="49">
        <v>478585</v>
      </c>
      <c r="I45" s="49">
        <v>0</v>
      </c>
      <c r="J45" s="50">
        <v>478585</v>
      </c>
      <c r="K45" t="s">
        <v>2615</v>
      </c>
      <c r="L45" s="4" t="s">
        <v>461</v>
      </c>
      <c r="M45" t="s">
        <v>351</v>
      </c>
      <c r="N45" s="2">
        <v>1018436224</v>
      </c>
      <c r="O45" t="s">
        <v>739</v>
      </c>
      <c r="P45" t="s">
        <v>316</v>
      </c>
      <c r="Q45" t="s">
        <v>317</v>
      </c>
      <c r="R45">
        <v>22100018156</v>
      </c>
      <c r="S45" t="s">
        <v>319</v>
      </c>
      <c r="T45">
        <v>890903938</v>
      </c>
      <c r="U45" t="s">
        <v>342</v>
      </c>
      <c r="V45">
        <v>923285</v>
      </c>
      <c r="W45" t="s">
        <v>572</v>
      </c>
      <c r="X45" s="2" t="s">
        <v>29</v>
      </c>
      <c r="Y45" t="s">
        <v>30</v>
      </c>
      <c r="Z45" t="s">
        <v>31</v>
      </c>
      <c r="AA45" t="s">
        <v>32</v>
      </c>
      <c r="AB45" t="s">
        <v>33</v>
      </c>
      <c r="AC45" s="51">
        <v>478585</v>
      </c>
      <c r="AD45">
        <v>0</v>
      </c>
      <c r="AE45" s="4">
        <v>0</v>
      </c>
      <c r="AF45" s="4">
        <v>0</v>
      </c>
      <c r="AG45" t="s">
        <v>462</v>
      </c>
      <c r="AH45">
        <v>0</v>
      </c>
      <c r="AI45">
        <v>0</v>
      </c>
      <c r="AJ45" s="2" t="s">
        <v>463</v>
      </c>
      <c r="AK45" s="2">
        <v>0</v>
      </c>
      <c r="AL45">
        <v>0</v>
      </c>
      <c r="AM45">
        <v>0</v>
      </c>
      <c r="AN45">
        <v>0</v>
      </c>
      <c r="AO45">
        <v>0</v>
      </c>
      <c r="AP45">
        <v>4425</v>
      </c>
      <c r="AQ45">
        <v>4425</v>
      </c>
      <c r="AR45">
        <v>29225</v>
      </c>
      <c r="AS45">
        <v>0</v>
      </c>
      <c r="AT45">
        <v>0</v>
      </c>
      <c r="AU45">
        <v>4525</v>
      </c>
      <c r="AV45">
        <v>47482125</v>
      </c>
      <c r="AW45">
        <v>0</v>
      </c>
      <c r="AX45" s="5">
        <v>45700</v>
      </c>
      <c r="AY45" t="s">
        <v>1929</v>
      </c>
      <c r="AZ45" t="s">
        <v>1949</v>
      </c>
      <c r="BA45" t="s">
        <v>1950</v>
      </c>
    </row>
    <row r="46" spans="1:53" ht="15" customHeight="1" x14ac:dyDescent="0.2">
      <c r="A46" t="s">
        <v>4883</v>
      </c>
      <c r="B46" t="s">
        <v>2499</v>
      </c>
      <c r="C46" t="s">
        <v>4877</v>
      </c>
      <c r="D46">
        <v>47482225</v>
      </c>
      <c r="E46" s="5">
        <v>45713</v>
      </c>
      <c r="F46" s="5">
        <v>45715.090277777781</v>
      </c>
      <c r="G46" s="4" t="s">
        <v>460</v>
      </c>
      <c r="H46" s="49">
        <v>372012</v>
      </c>
      <c r="I46" s="49">
        <v>0</v>
      </c>
      <c r="J46" s="50">
        <v>372012</v>
      </c>
      <c r="K46" t="s">
        <v>2615</v>
      </c>
      <c r="L46" s="4" t="s">
        <v>461</v>
      </c>
      <c r="M46" t="s">
        <v>351</v>
      </c>
      <c r="N46" s="2">
        <v>52425990</v>
      </c>
      <c r="O46" t="s">
        <v>1953</v>
      </c>
      <c r="P46" t="s">
        <v>316</v>
      </c>
      <c r="Q46" t="s">
        <v>317</v>
      </c>
      <c r="R46">
        <v>24523344944</v>
      </c>
      <c r="S46" t="s">
        <v>319</v>
      </c>
      <c r="T46">
        <v>860007335</v>
      </c>
      <c r="U46" t="s">
        <v>381</v>
      </c>
      <c r="V46">
        <v>923238</v>
      </c>
      <c r="W46" t="s">
        <v>569</v>
      </c>
      <c r="X46" s="2" t="s">
        <v>29</v>
      </c>
      <c r="Y46" t="s">
        <v>30</v>
      </c>
      <c r="Z46" t="s">
        <v>31</v>
      </c>
      <c r="AA46" t="s">
        <v>32</v>
      </c>
      <c r="AB46" t="s">
        <v>33</v>
      </c>
      <c r="AC46" s="51">
        <v>372012</v>
      </c>
      <c r="AD46">
        <v>0</v>
      </c>
      <c r="AE46" s="4">
        <v>0</v>
      </c>
      <c r="AF46" s="4">
        <v>0</v>
      </c>
      <c r="AG46" t="s">
        <v>462</v>
      </c>
      <c r="AH46">
        <v>0</v>
      </c>
      <c r="AI46">
        <v>0</v>
      </c>
      <c r="AJ46" s="2" t="s">
        <v>463</v>
      </c>
      <c r="AK46" s="2">
        <v>0</v>
      </c>
      <c r="AL46">
        <v>0</v>
      </c>
      <c r="AM46">
        <v>0</v>
      </c>
      <c r="AN46">
        <v>0</v>
      </c>
      <c r="AO46">
        <v>0</v>
      </c>
      <c r="AP46">
        <v>325</v>
      </c>
      <c r="AQ46">
        <v>325</v>
      </c>
      <c r="AR46">
        <v>29325</v>
      </c>
      <c r="AS46">
        <v>0</v>
      </c>
      <c r="AT46">
        <v>0</v>
      </c>
      <c r="AU46">
        <v>4625</v>
      </c>
      <c r="AV46">
        <v>47482225</v>
      </c>
      <c r="AW46">
        <v>0</v>
      </c>
      <c r="AX46" s="5">
        <v>45700</v>
      </c>
      <c r="AY46" t="s">
        <v>1929</v>
      </c>
      <c r="AZ46" t="s">
        <v>1956</v>
      </c>
      <c r="BA46" t="s">
        <v>1957</v>
      </c>
    </row>
    <row r="47" spans="1:53" ht="15" customHeight="1" x14ac:dyDescent="0.2">
      <c r="A47" t="s">
        <v>4884</v>
      </c>
      <c r="B47" t="s">
        <v>2500</v>
      </c>
      <c r="C47" t="s">
        <v>4859</v>
      </c>
      <c r="D47">
        <v>47482425</v>
      </c>
      <c r="E47" s="5">
        <v>45713</v>
      </c>
      <c r="F47" s="5">
        <v>45715.083333333336</v>
      </c>
      <c r="G47" s="4" t="s">
        <v>460</v>
      </c>
      <c r="H47" s="49">
        <v>576929</v>
      </c>
      <c r="I47" s="49">
        <v>0</v>
      </c>
      <c r="J47" s="50">
        <v>576929</v>
      </c>
      <c r="K47" t="s">
        <v>2615</v>
      </c>
      <c r="L47" s="4" t="s">
        <v>461</v>
      </c>
      <c r="M47" t="s">
        <v>351</v>
      </c>
      <c r="N47" s="2">
        <v>79359242</v>
      </c>
      <c r="O47" t="s">
        <v>1959</v>
      </c>
      <c r="P47" t="s">
        <v>316</v>
      </c>
      <c r="Q47" t="s">
        <v>317</v>
      </c>
      <c r="R47">
        <v>272175241</v>
      </c>
      <c r="S47" t="s">
        <v>319</v>
      </c>
      <c r="T47">
        <v>860002964</v>
      </c>
      <c r="U47" t="s">
        <v>419</v>
      </c>
      <c r="V47">
        <v>923210</v>
      </c>
      <c r="W47" t="s">
        <v>56</v>
      </c>
      <c r="X47" s="2" t="s">
        <v>29</v>
      </c>
      <c r="Y47" t="s">
        <v>30</v>
      </c>
      <c r="Z47" t="s">
        <v>31</v>
      </c>
      <c r="AA47" t="s">
        <v>32</v>
      </c>
      <c r="AB47" t="s">
        <v>33</v>
      </c>
      <c r="AC47" s="51">
        <v>576929</v>
      </c>
      <c r="AD47">
        <v>0</v>
      </c>
      <c r="AE47" s="4">
        <v>0</v>
      </c>
      <c r="AF47" s="4">
        <v>0</v>
      </c>
      <c r="AG47" t="s">
        <v>462</v>
      </c>
      <c r="AH47">
        <v>0</v>
      </c>
      <c r="AI47">
        <v>0</v>
      </c>
      <c r="AJ47" s="2" t="s">
        <v>463</v>
      </c>
      <c r="AK47" s="2">
        <v>0</v>
      </c>
      <c r="AL47">
        <v>0</v>
      </c>
      <c r="AM47">
        <v>0</v>
      </c>
      <c r="AN47">
        <v>0</v>
      </c>
      <c r="AO47">
        <v>0</v>
      </c>
      <c r="AP47">
        <v>1625</v>
      </c>
      <c r="AQ47">
        <v>1625</v>
      </c>
      <c r="AR47">
        <v>29425</v>
      </c>
      <c r="AS47">
        <v>0</v>
      </c>
      <c r="AT47">
        <v>0</v>
      </c>
      <c r="AU47">
        <v>4725</v>
      </c>
      <c r="AV47">
        <v>47482425</v>
      </c>
      <c r="AW47">
        <v>0</v>
      </c>
      <c r="AX47" s="5">
        <v>45700</v>
      </c>
      <c r="AY47" t="s">
        <v>1929</v>
      </c>
      <c r="AZ47" t="s">
        <v>1962</v>
      </c>
      <c r="BA47" t="s">
        <v>1963</v>
      </c>
    </row>
    <row r="48" spans="1:53" ht="15" customHeight="1" x14ac:dyDescent="0.2">
      <c r="A48" t="s">
        <v>4885</v>
      </c>
      <c r="B48" t="s">
        <v>2508</v>
      </c>
      <c r="C48" t="s">
        <v>4877</v>
      </c>
      <c r="D48">
        <v>47482625</v>
      </c>
      <c r="E48" s="5">
        <v>45713</v>
      </c>
      <c r="F48" s="5">
        <v>45715.091666666667</v>
      </c>
      <c r="G48" s="4" t="s">
        <v>460</v>
      </c>
      <c r="H48" s="49">
        <v>465641</v>
      </c>
      <c r="I48" s="49">
        <v>0</v>
      </c>
      <c r="J48" s="50">
        <v>465641</v>
      </c>
      <c r="K48" t="s">
        <v>2615</v>
      </c>
      <c r="L48" s="4" t="s">
        <v>461</v>
      </c>
      <c r="M48" t="s">
        <v>351</v>
      </c>
      <c r="N48" s="2">
        <v>80062448</v>
      </c>
      <c r="O48" t="s">
        <v>1943</v>
      </c>
      <c r="P48" t="s">
        <v>316</v>
      </c>
      <c r="Q48" t="s">
        <v>317</v>
      </c>
      <c r="R48">
        <v>570451570058300</v>
      </c>
      <c r="S48" t="s">
        <v>319</v>
      </c>
      <c r="T48">
        <v>860034313</v>
      </c>
      <c r="U48" t="s">
        <v>355</v>
      </c>
      <c r="V48">
        <v>923238</v>
      </c>
      <c r="W48" t="s">
        <v>569</v>
      </c>
      <c r="X48" s="2" t="s">
        <v>29</v>
      </c>
      <c r="Y48" t="s">
        <v>30</v>
      </c>
      <c r="Z48" t="s">
        <v>31</v>
      </c>
      <c r="AA48" t="s">
        <v>32</v>
      </c>
      <c r="AB48" t="s">
        <v>33</v>
      </c>
      <c r="AC48" s="51">
        <v>465641</v>
      </c>
      <c r="AD48">
        <v>0</v>
      </c>
      <c r="AE48" s="4">
        <v>0</v>
      </c>
      <c r="AF48" s="4">
        <v>0</v>
      </c>
      <c r="AG48" t="s">
        <v>462</v>
      </c>
      <c r="AH48">
        <v>0</v>
      </c>
      <c r="AI48">
        <v>0</v>
      </c>
      <c r="AJ48" s="2" t="s">
        <v>463</v>
      </c>
      <c r="AK48" s="2">
        <v>0</v>
      </c>
      <c r="AL48">
        <v>0</v>
      </c>
      <c r="AM48">
        <v>0</v>
      </c>
      <c r="AN48">
        <v>0</v>
      </c>
      <c r="AO48">
        <v>0</v>
      </c>
      <c r="AP48">
        <v>325</v>
      </c>
      <c r="AQ48">
        <v>325</v>
      </c>
      <c r="AR48">
        <v>30225</v>
      </c>
      <c r="AS48">
        <v>0</v>
      </c>
      <c r="AT48">
        <v>0</v>
      </c>
      <c r="AU48">
        <v>4825</v>
      </c>
      <c r="AV48">
        <v>47482625</v>
      </c>
      <c r="AW48">
        <v>0</v>
      </c>
      <c r="AX48" s="5">
        <v>45701</v>
      </c>
      <c r="AY48" t="s">
        <v>1929</v>
      </c>
      <c r="AZ48" t="s">
        <v>2009</v>
      </c>
      <c r="BA48" t="s">
        <v>2010</v>
      </c>
    </row>
    <row r="49" spans="1:53" ht="15" customHeight="1" x14ac:dyDescent="0.2">
      <c r="A49" t="s">
        <v>4886</v>
      </c>
      <c r="B49" t="s">
        <v>2509</v>
      </c>
      <c r="C49" t="s">
        <v>4859</v>
      </c>
      <c r="D49">
        <v>47482825</v>
      </c>
      <c r="E49" s="5">
        <v>45713</v>
      </c>
      <c r="F49" s="5">
        <v>45715.092361111114</v>
      </c>
      <c r="G49" s="4" t="s">
        <v>460</v>
      </c>
      <c r="H49" s="49">
        <v>35200</v>
      </c>
      <c r="I49" s="49">
        <v>0</v>
      </c>
      <c r="J49" s="50">
        <v>35200</v>
      </c>
      <c r="K49" t="s">
        <v>2615</v>
      </c>
      <c r="L49" s="4" t="s">
        <v>461</v>
      </c>
      <c r="M49" t="s">
        <v>351</v>
      </c>
      <c r="N49" s="2">
        <v>79661139</v>
      </c>
      <c r="O49" t="s">
        <v>1871</v>
      </c>
      <c r="P49" t="s">
        <v>316</v>
      </c>
      <c r="Q49" t="s">
        <v>317</v>
      </c>
      <c r="R49">
        <v>4400141166</v>
      </c>
      <c r="S49" t="s">
        <v>319</v>
      </c>
      <c r="T49">
        <v>860034313</v>
      </c>
      <c r="U49" t="s">
        <v>355</v>
      </c>
      <c r="V49">
        <v>923210</v>
      </c>
      <c r="W49" t="s">
        <v>56</v>
      </c>
      <c r="X49" s="2" t="s">
        <v>29</v>
      </c>
      <c r="Y49" t="s">
        <v>30</v>
      </c>
      <c r="Z49" t="s">
        <v>31</v>
      </c>
      <c r="AA49" t="s">
        <v>32</v>
      </c>
      <c r="AB49" t="s">
        <v>33</v>
      </c>
      <c r="AC49" s="51">
        <v>35200</v>
      </c>
      <c r="AD49">
        <v>0</v>
      </c>
      <c r="AE49" s="4">
        <v>0</v>
      </c>
      <c r="AF49" s="4">
        <v>0</v>
      </c>
      <c r="AG49" t="s">
        <v>462</v>
      </c>
      <c r="AH49">
        <v>0</v>
      </c>
      <c r="AI49">
        <v>0</v>
      </c>
      <c r="AJ49" s="2" t="s">
        <v>463</v>
      </c>
      <c r="AK49" s="2">
        <v>0</v>
      </c>
      <c r="AL49">
        <v>0</v>
      </c>
      <c r="AM49">
        <v>0</v>
      </c>
      <c r="AN49">
        <v>0</v>
      </c>
      <c r="AO49">
        <v>0</v>
      </c>
      <c r="AP49">
        <v>1625</v>
      </c>
      <c r="AQ49">
        <v>1625</v>
      </c>
      <c r="AR49">
        <v>30325</v>
      </c>
      <c r="AS49">
        <v>0</v>
      </c>
      <c r="AT49">
        <v>0</v>
      </c>
      <c r="AU49">
        <v>4925</v>
      </c>
      <c r="AV49">
        <v>47482825</v>
      </c>
      <c r="AW49">
        <v>0</v>
      </c>
      <c r="AX49" s="5">
        <v>45701</v>
      </c>
      <c r="AY49" t="s">
        <v>1929</v>
      </c>
      <c r="AZ49" t="s">
        <v>2014</v>
      </c>
      <c r="BA49" t="s">
        <v>2015</v>
      </c>
    </row>
    <row r="50" spans="1:53" ht="15" customHeight="1" x14ac:dyDescent="0.2">
      <c r="A50" t="s">
        <v>4887</v>
      </c>
      <c r="B50" t="s">
        <v>2510</v>
      </c>
      <c r="C50" t="s">
        <v>4859</v>
      </c>
      <c r="D50">
        <v>47483125</v>
      </c>
      <c r="E50" s="5">
        <v>45713</v>
      </c>
      <c r="F50" s="5">
        <v>45715.09097222222</v>
      </c>
      <c r="G50" s="4" t="s">
        <v>460</v>
      </c>
      <c r="H50" s="49">
        <v>136200</v>
      </c>
      <c r="I50" s="49">
        <v>0</v>
      </c>
      <c r="J50" s="50">
        <v>136200</v>
      </c>
      <c r="K50" t="s">
        <v>2615</v>
      </c>
      <c r="L50" s="4" t="s">
        <v>461</v>
      </c>
      <c r="M50" t="s">
        <v>351</v>
      </c>
      <c r="N50" s="2">
        <v>79661139</v>
      </c>
      <c r="O50" t="s">
        <v>1871</v>
      </c>
      <c r="P50" t="s">
        <v>316</v>
      </c>
      <c r="Q50" t="s">
        <v>317</v>
      </c>
      <c r="R50">
        <v>4400141166</v>
      </c>
      <c r="S50" t="s">
        <v>319</v>
      </c>
      <c r="T50">
        <v>860034313</v>
      </c>
      <c r="U50" t="s">
        <v>355</v>
      </c>
      <c r="V50">
        <v>923210</v>
      </c>
      <c r="W50" t="s">
        <v>56</v>
      </c>
      <c r="X50" s="2" t="s">
        <v>29</v>
      </c>
      <c r="Y50" t="s">
        <v>30</v>
      </c>
      <c r="Z50" t="s">
        <v>31</v>
      </c>
      <c r="AA50" t="s">
        <v>32</v>
      </c>
      <c r="AB50" t="s">
        <v>33</v>
      </c>
      <c r="AC50" s="51">
        <v>136200</v>
      </c>
      <c r="AD50">
        <v>0</v>
      </c>
      <c r="AE50" s="4">
        <v>0</v>
      </c>
      <c r="AF50" s="4">
        <v>0</v>
      </c>
      <c r="AG50" t="s">
        <v>462</v>
      </c>
      <c r="AH50">
        <v>0</v>
      </c>
      <c r="AI50">
        <v>0</v>
      </c>
      <c r="AJ50" s="2" t="s">
        <v>463</v>
      </c>
      <c r="AK50" s="2">
        <v>0</v>
      </c>
      <c r="AL50">
        <v>0</v>
      </c>
      <c r="AM50">
        <v>0</v>
      </c>
      <c r="AN50">
        <v>0</v>
      </c>
      <c r="AO50">
        <v>0</v>
      </c>
      <c r="AP50">
        <v>1625</v>
      </c>
      <c r="AQ50">
        <v>1625</v>
      </c>
      <c r="AR50">
        <v>30425</v>
      </c>
      <c r="AS50">
        <v>0</v>
      </c>
      <c r="AT50">
        <v>0</v>
      </c>
      <c r="AU50">
        <v>5025</v>
      </c>
      <c r="AV50">
        <v>47483125</v>
      </c>
      <c r="AW50">
        <v>0</v>
      </c>
      <c r="AX50" s="5">
        <v>45702</v>
      </c>
      <c r="AY50" t="s">
        <v>1929</v>
      </c>
      <c r="AZ50" t="s">
        <v>2020</v>
      </c>
      <c r="BA50" t="s">
        <v>2021</v>
      </c>
    </row>
    <row r="51" spans="1:53" ht="15" customHeight="1" x14ac:dyDescent="0.2">
      <c r="A51" t="s">
        <v>4888</v>
      </c>
      <c r="B51" t="s">
        <v>2511</v>
      </c>
      <c r="C51" t="s">
        <v>4859</v>
      </c>
      <c r="D51">
        <v>47483225</v>
      </c>
      <c r="E51" s="5">
        <v>45713</v>
      </c>
      <c r="F51" s="5">
        <v>45715.084722222222</v>
      </c>
      <c r="G51" s="4" t="s">
        <v>460</v>
      </c>
      <c r="H51" s="49">
        <v>222632</v>
      </c>
      <c r="I51" s="49">
        <v>0</v>
      </c>
      <c r="J51" s="50">
        <v>222632</v>
      </c>
      <c r="K51" t="s">
        <v>2615</v>
      </c>
      <c r="L51" s="4" t="s">
        <v>461</v>
      </c>
      <c r="M51" t="s">
        <v>351</v>
      </c>
      <c r="N51" s="2">
        <v>11315001</v>
      </c>
      <c r="O51" t="s">
        <v>2037</v>
      </c>
      <c r="P51" t="s">
        <v>316</v>
      </c>
      <c r="Q51" t="s">
        <v>317</v>
      </c>
      <c r="R51">
        <v>20505880851</v>
      </c>
      <c r="S51" t="s">
        <v>319</v>
      </c>
      <c r="T51">
        <v>890903938</v>
      </c>
      <c r="U51" t="s">
        <v>342</v>
      </c>
      <c r="V51">
        <v>923210</v>
      </c>
      <c r="W51" t="s">
        <v>56</v>
      </c>
      <c r="X51" s="2" t="s">
        <v>29</v>
      </c>
      <c r="Y51" t="s">
        <v>30</v>
      </c>
      <c r="Z51" t="s">
        <v>31</v>
      </c>
      <c r="AA51" t="s">
        <v>32</v>
      </c>
      <c r="AB51" t="s">
        <v>33</v>
      </c>
      <c r="AC51" s="51">
        <v>222632</v>
      </c>
      <c r="AD51">
        <v>0</v>
      </c>
      <c r="AE51" s="4">
        <v>0</v>
      </c>
      <c r="AF51" s="4">
        <v>0</v>
      </c>
      <c r="AG51" t="s">
        <v>462</v>
      </c>
      <c r="AH51">
        <v>0</v>
      </c>
      <c r="AI51">
        <v>0</v>
      </c>
      <c r="AJ51" s="2" t="s">
        <v>463</v>
      </c>
      <c r="AK51" s="2">
        <v>0</v>
      </c>
      <c r="AL51">
        <v>0</v>
      </c>
      <c r="AM51">
        <v>0</v>
      </c>
      <c r="AN51">
        <v>0</v>
      </c>
      <c r="AO51">
        <v>0</v>
      </c>
      <c r="AP51">
        <v>1625</v>
      </c>
      <c r="AQ51">
        <v>1625</v>
      </c>
      <c r="AR51">
        <v>30725</v>
      </c>
      <c r="AS51">
        <v>0</v>
      </c>
      <c r="AT51">
        <v>0</v>
      </c>
      <c r="AU51">
        <v>5125</v>
      </c>
      <c r="AV51">
        <v>47483225</v>
      </c>
      <c r="AW51">
        <v>0</v>
      </c>
      <c r="AX51" s="5">
        <v>45705</v>
      </c>
      <c r="AY51" t="s">
        <v>1929</v>
      </c>
      <c r="AZ51" t="s">
        <v>2040</v>
      </c>
      <c r="BA51" t="s">
        <v>2041</v>
      </c>
    </row>
    <row r="52" spans="1:53" ht="15" customHeight="1" x14ac:dyDescent="0.2">
      <c r="A52" t="s">
        <v>4889</v>
      </c>
      <c r="B52" t="s">
        <v>2512</v>
      </c>
      <c r="C52" t="s">
        <v>4890</v>
      </c>
      <c r="D52">
        <v>47483325</v>
      </c>
      <c r="E52" s="5">
        <v>45713</v>
      </c>
      <c r="F52" s="5">
        <v>45715.088888888888</v>
      </c>
      <c r="G52" s="4" t="s">
        <v>460</v>
      </c>
      <c r="H52" s="49">
        <v>354493</v>
      </c>
      <c r="I52" s="49">
        <v>0</v>
      </c>
      <c r="J52" s="50">
        <v>354493</v>
      </c>
      <c r="K52" t="s">
        <v>2615</v>
      </c>
      <c r="L52" s="4" t="s">
        <v>461</v>
      </c>
      <c r="M52" t="s">
        <v>351</v>
      </c>
      <c r="N52" s="2">
        <v>40783907</v>
      </c>
      <c r="O52" t="s">
        <v>2044</v>
      </c>
      <c r="P52" t="s">
        <v>316</v>
      </c>
      <c r="Q52" t="s">
        <v>317</v>
      </c>
      <c r="R52">
        <v>378001057</v>
      </c>
      <c r="S52" t="s">
        <v>319</v>
      </c>
      <c r="T52">
        <v>860003020</v>
      </c>
      <c r="U52" t="s">
        <v>393</v>
      </c>
      <c r="V52">
        <v>923228</v>
      </c>
      <c r="W52" t="s">
        <v>158</v>
      </c>
      <c r="X52" s="2" t="s">
        <v>159</v>
      </c>
      <c r="Y52" t="s">
        <v>160</v>
      </c>
      <c r="Z52" t="s">
        <v>31</v>
      </c>
      <c r="AA52" t="s">
        <v>32</v>
      </c>
      <c r="AB52" t="s">
        <v>33</v>
      </c>
      <c r="AC52" s="51">
        <v>354493</v>
      </c>
      <c r="AD52">
        <v>0</v>
      </c>
      <c r="AE52" s="4">
        <v>0</v>
      </c>
      <c r="AF52" s="4">
        <v>0</v>
      </c>
      <c r="AG52" t="s">
        <v>462</v>
      </c>
      <c r="AH52">
        <v>0</v>
      </c>
      <c r="AI52">
        <v>0</v>
      </c>
      <c r="AJ52" s="2" t="s">
        <v>463</v>
      </c>
      <c r="AK52" s="2">
        <v>0</v>
      </c>
      <c r="AL52">
        <v>0</v>
      </c>
      <c r="AM52">
        <v>0</v>
      </c>
      <c r="AN52">
        <v>0</v>
      </c>
      <c r="AO52">
        <v>0</v>
      </c>
      <c r="AP52">
        <v>3425</v>
      </c>
      <c r="AQ52">
        <v>3425</v>
      </c>
      <c r="AR52">
        <v>30825</v>
      </c>
      <c r="AS52">
        <v>0</v>
      </c>
      <c r="AT52">
        <v>0</v>
      </c>
      <c r="AU52">
        <v>5225</v>
      </c>
      <c r="AV52">
        <v>47483325</v>
      </c>
      <c r="AW52">
        <v>0</v>
      </c>
      <c r="AX52" s="5">
        <v>45705</v>
      </c>
      <c r="AY52" t="s">
        <v>1929</v>
      </c>
      <c r="AZ52" t="s">
        <v>2046</v>
      </c>
      <c r="BA52" t="s">
        <v>2047</v>
      </c>
    </row>
    <row r="53" spans="1:53" ht="15" customHeight="1" x14ac:dyDescent="0.2">
      <c r="A53" t="s">
        <v>4891</v>
      </c>
      <c r="B53" t="s">
        <v>2525</v>
      </c>
      <c r="C53" t="s">
        <v>4892</v>
      </c>
      <c r="D53">
        <v>47483425</v>
      </c>
      <c r="E53" s="5">
        <v>45713</v>
      </c>
      <c r="F53" s="5">
        <v>45715.084722222222</v>
      </c>
      <c r="G53" s="4" t="s">
        <v>460</v>
      </c>
      <c r="H53" s="49">
        <v>478585</v>
      </c>
      <c r="I53" s="49">
        <v>0</v>
      </c>
      <c r="J53" s="50">
        <v>478585</v>
      </c>
      <c r="K53" t="s">
        <v>2615</v>
      </c>
      <c r="L53" s="4" t="s">
        <v>461</v>
      </c>
      <c r="M53" t="s">
        <v>351</v>
      </c>
      <c r="N53" s="2">
        <v>11313776</v>
      </c>
      <c r="O53" t="s">
        <v>676</v>
      </c>
      <c r="P53" t="s">
        <v>316</v>
      </c>
      <c r="Q53" t="s">
        <v>317</v>
      </c>
      <c r="R53">
        <v>52564652261</v>
      </c>
      <c r="S53" t="s">
        <v>319</v>
      </c>
      <c r="T53">
        <v>890903938</v>
      </c>
      <c r="U53" t="s">
        <v>342</v>
      </c>
      <c r="V53">
        <v>923211</v>
      </c>
      <c r="W53" t="s">
        <v>69</v>
      </c>
      <c r="X53" s="2" t="s">
        <v>29</v>
      </c>
      <c r="Y53" t="s">
        <v>30</v>
      </c>
      <c r="Z53" t="s">
        <v>31</v>
      </c>
      <c r="AA53" t="s">
        <v>32</v>
      </c>
      <c r="AB53" t="s">
        <v>33</v>
      </c>
      <c r="AC53" s="51">
        <v>478585</v>
      </c>
      <c r="AD53">
        <v>0</v>
      </c>
      <c r="AE53" s="4">
        <v>0</v>
      </c>
      <c r="AF53" s="4">
        <v>0</v>
      </c>
      <c r="AG53" t="s">
        <v>462</v>
      </c>
      <c r="AH53">
        <v>0</v>
      </c>
      <c r="AI53">
        <v>0</v>
      </c>
      <c r="AJ53" s="2" t="s">
        <v>463</v>
      </c>
      <c r="AK53" s="2">
        <v>0</v>
      </c>
      <c r="AL53">
        <v>0</v>
      </c>
      <c r="AM53">
        <v>0</v>
      </c>
      <c r="AN53">
        <v>0</v>
      </c>
      <c r="AO53">
        <v>0</v>
      </c>
      <c r="AP53">
        <v>925</v>
      </c>
      <c r="AQ53">
        <v>925</v>
      </c>
      <c r="AR53">
        <v>32225</v>
      </c>
      <c r="AS53">
        <v>0</v>
      </c>
      <c r="AT53">
        <v>0</v>
      </c>
      <c r="AU53">
        <v>5325</v>
      </c>
      <c r="AV53">
        <v>47483425</v>
      </c>
      <c r="AW53">
        <v>0</v>
      </c>
      <c r="AX53" s="5">
        <v>45707</v>
      </c>
      <c r="AY53" t="s">
        <v>1929</v>
      </c>
      <c r="AZ53" t="s">
        <v>2125</v>
      </c>
      <c r="BA53" t="s">
        <v>2126</v>
      </c>
    </row>
    <row r="54" spans="1:53" ht="15" customHeight="1" x14ac:dyDescent="0.2">
      <c r="A54" t="s">
        <v>4893</v>
      </c>
      <c r="B54" t="s">
        <v>2526</v>
      </c>
      <c r="C54" t="s">
        <v>4892</v>
      </c>
      <c r="D54">
        <v>47483525</v>
      </c>
      <c r="E54" s="5">
        <v>45713</v>
      </c>
      <c r="F54" s="5">
        <v>45715.084722222222</v>
      </c>
      <c r="G54" s="4" t="s">
        <v>460</v>
      </c>
      <c r="H54" s="49">
        <v>478585</v>
      </c>
      <c r="I54" s="49">
        <v>0</v>
      </c>
      <c r="J54" s="50">
        <v>478585</v>
      </c>
      <c r="K54" t="s">
        <v>2615</v>
      </c>
      <c r="L54" s="4" t="s">
        <v>461</v>
      </c>
      <c r="M54" t="s">
        <v>351</v>
      </c>
      <c r="N54" s="2">
        <v>11223758</v>
      </c>
      <c r="O54" t="s">
        <v>671</v>
      </c>
      <c r="P54" t="s">
        <v>316</v>
      </c>
      <c r="Q54" t="s">
        <v>317</v>
      </c>
      <c r="R54">
        <v>26470274475</v>
      </c>
      <c r="S54" t="s">
        <v>319</v>
      </c>
      <c r="T54">
        <v>890903938</v>
      </c>
      <c r="U54" t="s">
        <v>342</v>
      </c>
      <c r="V54">
        <v>923211</v>
      </c>
      <c r="W54" t="s">
        <v>69</v>
      </c>
      <c r="X54" s="2" t="s">
        <v>29</v>
      </c>
      <c r="Y54" t="s">
        <v>30</v>
      </c>
      <c r="Z54" t="s">
        <v>31</v>
      </c>
      <c r="AA54" t="s">
        <v>32</v>
      </c>
      <c r="AB54" t="s">
        <v>33</v>
      </c>
      <c r="AC54" s="51">
        <v>478585</v>
      </c>
      <c r="AD54">
        <v>0</v>
      </c>
      <c r="AE54" s="4">
        <v>0</v>
      </c>
      <c r="AF54" s="4">
        <v>0</v>
      </c>
      <c r="AG54" t="s">
        <v>462</v>
      </c>
      <c r="AH54">
        <v>0</v>
      </c>
      <c r="AI54">
        <v>0</v>
      </c>
      <c r="AJ54" s="2" t="s">
        <v>463</v>
      </c>
      <c r="AK54" s="2">
        <v>0</v>
      </c>
      <c r="AL54">
        <v>0</v>
      </c>
      <c r="AM54">
        <v>0</v>
      </c>
      <c r="AN54">
        <v>0</v>
      </c>
      <c r="AO54">
        <v>0</v>
      </c>
      <c r="AP54">
        <v>925</v>
      </c>
      <c r="AQ54">
        <v>925</v>
      </c>
      <c r="AR54">
        <v>32325</v>
      </c>
      <c r="AS54">
        <v>0</v>
      </c>
      <c r="AT54">
        <v>0</v>
      </c>
      <c r="AU54">
        <v>5425</v>
      </c>
      <c r="AV54">
        <v>47483525</v>
      </c>
      <c r="AW54">
        <v>0</v>
      </c>
      <c r="AX54" s="5">
        <v>45707</v>
      </c>
      <c r="AY54" t="s">
        <v>1929</v>
      </c>
      <c r="AZ54" t="s">
        <v>2129</v>
      </c>
      <c r="BA54" t="s">
        <v>2126</v>
      </c>
    </row>
    <row r="55" spans="1:53" ht="15" customHeight="1" x14ac:dyDescent="0.2">
      <c r="A55" t="s">
        <v>4894</v>
      </c>
      <c r="B55" t="s">
        <v>2527</v>
      </c>
      <c r="C55" t="s">
        <v>4877</v>
      </c>
      <c r="D55">
        <v>47483625</v>
      </c>
      <c r="E55" s="5">
        <v>45713</v>
      </c>
      <c r="F55" s="5">
        <v>45715.084722222222</v>
      </c>
      <c r="G55" s="4" t="s">
        <v>460</v>
      </c>
      <c r="H55" s="49">
        <v>465641</v>
      </c>
      <c r="I55" s="49">
        <v>0</v>
      </c>
      <c r="J55" s="50">
        <v>465641</v>
      </c>
      <c r="K55" t="s">
        <v>2615</v>
      </c>
      <c r="L55" s="4" t="s">
        <v>461</v>
      </c>
      <c r="M55" t="s">
        <v>351</v>
      </c>
      <c r="N55" s="2">
        <v>11315001</v>
      </c>
      <c r="O55" t="s">
        <v>2037</v>
      </c>
      <c r="P55" t="s">
        <v>316</v>
      </c>
      <c r="Q55" t="s">
        <v>317</v>
      </c>
      <c r="R55">
        <v>20505880851</v>
      </c>
      <c r="S55" t="s">
        <v>319</v>
      </c>
      <c r="T55">
        <v>890903938</v>
      </c>
      <c r="U55" t="s">
        <v>342</v>
      </c>
      <c r="V55">
        <v>923238</v>
      </c>
      <c r="W55" t="s">
        <v>569</v>
      </c>
      <c r="X55" s="2" t="s">
        <v>29</v>
      </c>
      <c r="Y55" t="s">
        <v>30</v>
      </c>
      <c r="Z55" t="s">
        <v>31</v>
      </c>
      <c r="AA55" t="s">
        <v>32</v>
      </c>
      <c r="AB55" t="s">
        <v>33</v>
      </c>
      <c r="AC55" s="51">
        <v>465641</v>
      </c>
      <c r="AD55">
        <v>0</v>
      </c>
      <c r="AE55" s="4">
        <v>0</v>
      </c>
      <c r="AF55" s="4">
        <v>0</v>
      </c>
      <c r="AG55" t="s">
        <v>462</v>
      </c>
      <c r="AH55">
        <v>0</v>
      </c>
      <c r="AI55">
        <v>0</v>
      </c>
      <c r="AJ55" s="2" t="s">
        <v>463</v>
      </c>
      <c r="AK55" s="2">
        <v>0</v>
      </c>
      <c r="AL55">
        <v>0</v>
      </c>
      <c r="AM55">
        <v>0</v>
      </c>
      <c r="AN55">
        <v>0</v>
      </c>
      <c r="AO55">
        <v>0</v>
      </c>
      <c r="AP55">
        <v>325</v>
      </c>
      <c r="AQ55">
        <v>325</v>
      </c>
      <c r="AR55">
        <v>32425</v>
      </c>
      <c r="AS55">
        <v>0</v>
      </c>
      <c r="AT55">
        <v>0</v>
      </c>
      <c r="AU55">
        <v>5525</v>
      </c>
      <c r="AV55">
        <v>47483625</v>
      </c>
      <c r="AW55">
        <v>0</v>
      </c>
      <c r="AX55" s="5">
        <v>45707</v>
      </c>
      <c r="AY55" t="s">
        <v>1929</v>
      </c>
      <c r="AZ55" t="s">
        <v>2132</v>
      </c>
      <c r="BA55" t="s">
        <v>2133</v>
      </c>
    </row>
    <row r="56" spans="1:53" ht="15" customHeight="1" x14ac:dyDescent="0.2">
      <c r="A56" t="s">
        <v>4895</v>
      </c>
      <c r="B56" t="s">
        <v>4412</v>
      </c>
      <c r="C56" t="s">
        <v>4867</v>
      </c>
      <c r="D56">
        <v>47483825</v>
      </c>
      <c r="E56" s="5">
        <v>45713</v>
      </c>
      <c r="F56" s="5">
        <v>45715.087500000001</v>
      </c>
      <c r="G56" s="4" t="s">
        <v>460</v>
      </c>
      <c r="H56" s="49">
        <v>156195</v>
      </c>
      <c r="I56" s="49">
        <v>0</v>
      </c>
      <c r="J56" s="50">
        <v>156195</v>
      </c>
      <c r="K56" t="s">
        <v>2615</v>
      </c>
      <c r="L56" s="4" t="s">
        <v>461</v>
      </c>
      <c r="M56" t="s">
        <v>351</v>
      </c>
      <c r="N56" s="2">
        <v>1012449137</v>
      </c>
      <c r="O56" t="s">
        <v>390</v>
      </c>
      <c r="P56" t="s">
        <v>316</v>
      </c>
      <c r="Q56" t="s">
        <v>317</v>
      </c>
      <c r="R56">
        <v>883150385</v>
      </c>
      <c r="S56" t="s">
        <v>319</v>
      </c>
      <c r="T56">
        <v>860003020</v>
      </c>
      <c r="U56" t="s">
        <v>393</v>
      </c>
      <c r="V56">
        <v>923290</v>
      </c>
      <c r="W56" t="s">
        <v>208</v>
      </c>
      <c r="X56" s="2" t="s">
        <v>29</v>
      </c>
      <c r="Y56" t="s">
        <v>30</v>
      </c>
      <c r="Z56" t="s">
        <v>31</v>
      </c>
      <c r="AA56" t="s">
        <v>32</v>
      </c>
      <c r="AB56" t="s">
        <v>33</v>
      </c>
      <c r="AC56" s="51">
        <v>156195</v>
      </c>
      <c r="AD56">
        <v>0</v>
      </c>
      <c r="AE56" s="4">
        <v>0</v>
      </c>
      <c r="AF56" s="4">
        <v>0</v>
      </c>
      <c r="AG56" t="s">
        <v>462</v>
      </c>
      <c r="AH56">
        <v>0</v>
      </c>
      <c r="AI56">
        <v>0</v>
      </c>
      <c r="AJ56" s="2" t="s">
        <v>463</v>
      </c>
      <c r="AK56" s="2">
        <v>0</v>
      </c>
      <c r="AL56">
        <v>0</v>
      </c>
      <c r="AM56">
        <v>0</v>
      </c>
      <c r="AN56">
        <v>0</v>
      </c>
      <c r="AO56">
        <v>0</v>
      </c>
      <c r="AP56">
        <v>4925</v>
      </c>
      <c r="AQ56">
        <v>4925</v>
      </c>
      <c r="AR56">
        <v>33725</v>
      </c>
      <c r="AS56">
        <v>0</v>
      </c>
      <c r="AT56">
        <v>0</v>
      </c>
      <c r="AU56">
        <v>5625</v>
      </c>
      <c r="AV56">
        <v>47483825</v>
      </c>
      <c r="AW56">
        <v>0</v>
      </c>
      <c r="AX56" s="5">
        <v>45708</v>
      </c>
      <c r="AY56" t="s">
        <v>1929</v>
      </c>
      <c r="AZ56" t="s">
        <v>2691</v>
      </c>
      <c r="BA56" t="s">
        <v>2692</v>
      </c>
    </row>
    <row r="57" spans="1:53" ht="15" customHeight="1" x14ac:dyDescent="0.2">
      <c r="A57" t="s">
        <v>4896</v>
      </c>
      <c r="B57" t="s">
        <v>4413</v>
      </c>
      <c r="C57" t="s">
        <v>4882</v>
      </c>
      <c r="D57">
        <v>47483925</v>
      </c>
      <c r="E57" s="5">
        <v>45713</v>
      </c>
      <c r="F57" s="5">
        <v>45715.085416666669</v>
      </c>
      <c r="G57" s="4" t="s">
        <v>460</v>
      </c>
      <c r="H57" s="49">
        <v>322390</v>
      </c>
      <c r="I57" s="49">
        <v>0</v>
      </c>
      <c r="J57" s="50">
        <v>322390</v>
      </c>
      <c r="K57" t="s">
        <v>2615</v>
      </c>
      <c r="L57" s="4" t="s">
        <v>461</v>
      </c>
      <c r="M57" t="s">
        <v>351</v>
      </c>
      <c r="N57" s="2">
        <v>1018436224</v>
      </c>
      <c r="O57" t="s">
        <v>739</v>
      </c>
      <c r="P57" t="s">
        <v>316</v>
      </c>
      <c r="Q57" t="s">
        <v>317</v>
      </c>
      <c r="R57">
        <v>22100018156</v>
      </c>
      <c r="S57" t="s">
        <v>319</v>
      </c>
      <c r="T57">
        <v>890903938</v>
      </c>
      <c r="U57" t="s">
        <v>342</v>
      </c>
      <c r="V57">
        <v>923285</v>
      </c>
      <c r="W57" t="s">
        <v>572</v>
      </c>
      <c r="X57" s="2" t="s">
        <v>29</v>
      </c>
      <c r="Y57" t="s">
        <v>30</v>
      </c>
      <c r="Z57" t="s">
        <v>31</v>
      </c>
      <c r="AA57" t="s">
        <v>32</v>
      </c>
      <c r="AB57" t="s">
        <v>33</v>
      </c>
      <c r="AC57" s="51">
        <v>322390</v>
      </c>
      <c r="AD57">
        <v>0</v>
      </c>
      <c r="AE57" s="4">
        <v>0</v>
      </c>
      <c r="AF57" s="4">
        <v>0</v>
      </c>
      <c r="AG57" t="s">
        <v>462</v>
      </c>
      <c r="AH57">
        <v>0</v>
      </c>
      <c r="AI57">
        <v>0</v>
      </c>
      <c r="AJ57" s="2" t="s">
        <v>463</v>
      </c>
      <c r="AK57" s="2">
        <v>0</v>
      </c>
      <c r="AL57">
        <v>0</v>
      </c>
      <c r="AM57">
        <v>0</v>
      </c>
      <c r="AN57">
        <v>0</v>
      </c>
      <c r="AO57">
        <v>0</v>
      </c>
      <c r="AP57">
        <v>4425</v>
      </c>
      <c r="AQ57">
        <v>4425</v>
      </c>
      <c r="AR57">
        <v>33825</v>
      </c>
      <c r="AS57">
        <v>0</v>
      </c>
      <c r="AT57">
        <v>0</v>
      </c>
      <c r="AU57">
        <v>5725</v>
      </c>
      <c r="AV57">
        <v>47483925</v>
      </c>
      <c r="AW57">
        <v>0</v>
      </c>
      <c r="AX57" s="5">
        <v>45708</v>
      </c>
      <c r="AY57" t="s">
        <v>1929</v>
      </c>
      <c r="AZ57" t="s">
        <v>2697</v>
      </c>
      <c r="BA57" t="s">
        <v>2698</v>
      </c>
    </row>
    <row r="58" spans="1:53" ht="15" customHeight="1" x14ac:dyDescent="0.2">
      <c r="A58" t="s">
        <v>4897</v>
      </c>
      <c r="B58" t="s">
        <v>4414</v>
      </c>
      <c r="C58" t="s">
        <v>4877</v>
      </c>
      <c r="D58">
        <v>47484025</v>
      </c>
      <c r="E58" s="5">
        <v>45713</v>
      </c>
      <c r="F58" s="5">
        <v>45715.084722222222</v>
      </c>
      <c r="G58" s="4" t="s">
        <v>460</v>
      </c>
      <c r="H58" s="49">
        <v>404493</v>
      </c>
      <c r="I58" s="49">
        <v>0</v>
      </c>
      <c r="J58" s="50">
        <v>404493</v>
      </c>
      <c r="K58" t="s">
        <v>2615</v>
      </c>
      <c r="L58" s="4" t="s">
        <v>461</v>
      </c>
      <c r="M58" t="s">
        <v>351</v>
      </c>
      <c r="N58" s="2">
        <v>80724086</v>
      </c>
      <c r="O58" t="s">
        <v>1926</v>
      </c>
      <c r="P58" t="s">
        <v>316</v>
      </c>
      <c r="Q58" t="s">
        <v>317</v>
      </c>
      <c r="R58">
        <v>22127248099</v>
      </c>
      <c r="S58" t="s">
        <v>319</v>
      </c>
      <c r="T58">
        <v>890903938</v>
      </c>
      <c r="U58" t="s">
        <v>342</v>
      </c>
      <c r="V58">
        <v>923238</v>
      </c>
      <c r="W58" t="s">
        <v>569</v>
      </c>
      <c r="X58" s="2" t="s">
        <v>29</v>
      </c>
      <c r="Y58" t="s">
        <v>30</v>
      </c>
      <c r="Z58" t="s">
        <v>31</v>
      </c>
      <c r="AA58" t="s">
        <v>32</v>
      </c>
      <c r="AB58" t="s">
        <v>33</v>
      </c>
      <c r="AC58" s="51">
        <v>404493</v>
      </c>
      <c r="AD58">
        <v>0</v>
      </c>
      <c r="AE58" s="4">
        <v>0</v>
      </c>
      <c r="AF58" s="4">
        <v>0</v>
      </c>
      <c r="AG58" t="s">
        <v>462</v>
      </c>
      <c r="AH58">
        <v>0</v>
      </c>
      <c r="AI58">
        <v>0</v>
      </c>
      <c r="AJ58" s="2" t="s">
        <v>463</v>
      </c>
      <c r="AK58" s="2">
        <v>0</v>
      </c>
      <c r="AL58">
        <v>0</v>
      </c>
      <c r="AM58">
        <v>0</v>
      </c>
      <c r="AN58">
        <v>0</v>
      </c>
      <c r="AO58">
        <v>0</v>
      </c>
      <c r="AP58">
        <v>325</v>
      </c>
      <c r="AQ58">
        <v>325</v>
      </c>
      <c r="AR58">
        <v>33925</v>
      </c>
      <c r="AS58">
        <v>0</v>
      </c>
      <c r="AT58">
        <v>0</v>
      </c>
      <c r="AU58">
        <v>5825</v>
      </c>
      <c r="AV58">
        <v>47484025</v>
      </c>
      <c r="AW58">
        <v>0</v>
      </c>
      <c r="AX58" s="5">
        <v>45708</v>
      </c>
      <c r="AY58" t="s">
        <v>1929</v>
      </c>
      <c r="AZ58" t="s">
        <v>2703</v>
      </c>
      <c r="BA58" t="s">
        <v>2704</v>
      </c>
    </row>
    <row r="59" spans="1:53" ht="15" customHeight="1" x14ac:dyDescent="0.2">
      <c r="A59" t="s">
        <v>4898</v>
      </c>
      <c r="B59" t="s">
        <v>4415</v>
      </c>
      <c r="C59" t="s">
        <v>4867</v>
      </c>
      <c r="D59">
        <v>47484125</v>
      </c>
      <c r="E59" s="5">
        <v>45713</v>
      </c>
      <c r="F59" s="5">
        <v>45715.090277777781</v>
      </c>
      <c r="G59" s="4" t="s">
        <v>460</v>
      </c>
      <c r="H59" s="49">
        <v>119839</v>
      </c>
      <c r="I59" s="49">
        <v>0</v>
      </c>
      <c r="J59" s="50">
        <v>119839</v>
      </c>
      <c r="K59" t="s">
        <v>2615</v>
      </c>
      <c r="L59" s="4" t="s">
        <v>461</v>
      </c>
      <c r="M59" t="s">
        <v>351</v>
      </c>
      <c r="N59" s="2">
        <v>79207235</v>
      </c>
      <c r="O59" t="s">
        <v>1860</v>
      </c>
      <c r="P59" t="s">
        <v>316</v>
      </c>
      <c r="Q59" t="s">
        <v>317</v>
      </c>
      <c r="R59">
        <v>24115675441</v>
      </c>
      <c r="S59" t="s">
        <v>319</v>
      </c>
      <c r="T59">
        <v>860007335</v>
      </c>
      <c r="U59" t="s">
        <v>381</v>
      </c>
      <c r="V59">
        <v>923290</v>
      </c>
      <c r="W59" t="s">
        <v>208</v>
      </c>
      <c r="X59" s="2" t="s">
        <v>29</v>
      </c>
      <c r="Y59" t="s">
        <v>30</v>
      </c>
      <c r="Z59" t="s">
        <v>31</v>
      </c>
      <c r="AA59" t="s">
        <v>32</v>
      </c>
      <c r="AB59" t="s">
        <v>33</v>
      </c>
      <c r="AC59" s="51">
        <v>119839</v>
      </c>
      <c r="AD59">
        <v>0</v>
      </c>
      <c r="AE59" s="4">
        <v>0</v>
      </c>
      <c r="AF59" s="4">
        <v>0</v>
      </c>
      <c r="AG59" t="s">
        <v>462</v>
      </c>
      <c r="AH59">
        <v>0</v>
      </c>
      <c r="AI59">
        <v>0</v>
      </c>
      <c r="AJ59" s="2" t="s">
        <v>463</v>
      </c>
      <c r="AK59" s="2">
        <v>0</v>
      </c>
      <c r="AL59">
        <v>0</v>
      </c>
      <c r="AM59">
        <v>0</v>
      </c>
      <c r="AN59">
        <v>0</v>
      </c>
      <c r="AO59">
        <v>0</v>
      </c>
      <c r="AP59">
        <v>4825</v>
      </c>
      <c r="AQ59">
        <v>4825</v>
      </c>
      <c r="AR59">
        <v>34025</v>
      </c>
      <c r="AS59">
        <v>0</v>
      </c>
      <c r="AT59">
        <v>0</v>
      </c>
      <c r="AU59">
        <v>5925</v>
      </c>
      <c r="AV59">
        <v>47484125</v>
      </c>
      <c r="AW59">
        <v>0</v>
      </c>
      <c r="AX59" s="5">
        <v>45708</v>
      </c>
      <c r="AY59" t="s">
        <v>1929</v>
      </c>
      <c r="AZ59" t="s">
        <v>2709</v>
      </c>
      <c r="BA59" t="s">
        <v>2710</v>
      </c>
    </row>
    <row r="60" spans="1:53" ht="15" customHeight="1" x14ac:dyDescent="0.2">
      <c r="A60" t="s">
        <v>4899</v>
      </c>
      <c r="B60" t="s">
        <v>4417</v>
      </c>
      <c r="C60" t="s">
        <v>4877</v>
      </c>
      <c r="D60">
        <v>47484325</v>
      </c>
      <c r="E60" s="5">
        <v>45713</v>
      </c>
      <c r="F60" s="5">
        <v>45715.091666666667</v>
      </c>
      <c r="G60" s="4" t="s">
        <v>460</v>
      </c>
      <c r="H60" s="49">
        <v>801659</v>
      </c>
      <c r="I60" s="49">
        <v>0</v>
      </c>
      <c r="J60" s="50">
        <v>801659</v>
      </c>
      <c r="K60" t="s">
        <v>2615</v>
      </c>
      <c r="L60" s="4" t="s">
        <v>461</v>
      </c>
      <c r="M60" t="s">
        <v>351</v>
      </c>
      <c r="N60" s="2">
        <v>80062448</v>
      </c>
      <c r="O60" t="s">
        <v>1943</v>
      </c>
      <c r="P60" t="s">
        <v>316</v>
      </c>
      <c r="Q60" t="s">
        <v>317</v>
      </c>
      <c r="R60">
        <v>570451570058300</v>
      </c>
      <c r="S60" t="s">
        <v>319</v>
      </c>
      <c r="T60">
        <v>860034313</v>
      </c>
      <c r="U60" t="s">
        <v>355</v>
      </c>
      <c r="V60">
        <v>923238</v>
      </c>
      <c r="W60" t="s">
        <v>569</v>
      </c>
      <c r="X60" s="2" t="s">
        <v>29</v>
      </c>
      <c r="Y60" t="s">
        <v>30</v>
      </c>
      <c r="Z60" t="s">
        <v>31</v>
      </c>
      <c r="AA60" t="s">
        <v>32</v>
      </c>
      <c r="AB60" t="s">
        <v>33</v>
      </c>
      <c r="AC60" s="51">
        <v>801659</v>
      </c>
      <c r="AD60">
        <v>0</v>
      </c>
      <c r="AE60" s="4">
        <v>0</v>
      </c>
      <c r="AF60" s="4">
        <v>0</v>
      </c>
      <c r="AG60" t="s">
        <v>462</v>
      </c>
      <c r="AH60">
        <v>0</v>
      </c>
      <c r="AI60">
        <v>0</v>
      </c>
      <c r="AJ60" s="2" t="s">
        <v>463</v>
      </c>
      <c r="AK60" s="2">
        <v>0</v>
      </c>
      <c r="AL60">
        <v>0</v>
      </c>
      <c r="AM60">
        <v>0</v>
      </c>
      <c r="AN60">
        <v>0</v>
      </c>
      <c r="AO60">
        <v>0</v>
      </c>
      <c r="AP60">
        <v>325</v>
      </c>
      <c r="AQ60">
        <v>325</v>
      </c>
      <c r="AR60">
        <v>34125</v>
      </c>
      <c r="AS60">
        <v>0</v>
      </c>
      <c r="AT60">
        <v>0</v>
      </c>
      <c r="AU60">
        <v>6025</v>
      </c>
      <c r="AV60">
        <v>47484325</v>
      </c>
      <c r="AW60">
        <v>0</v>
      </c>
      <c r="AX60" s="5">
        <v>45708</v>
      </c>
      <c r="AY60" t="s">
        <v>1929</v>
      </c>
      <c r="AZ60" t="s">
        <v>2715</v>
      </c>
      <c r="BA60" t="s">
        <v>2716</v>
      </c>
    </row>
    <row r="61" spans="1:53" ht="15" customHeight="1" x14ac:dyDescent="0.2">
      <c r="A61" t="s">
        <v>4900</v>
      </c>
      <c r="B61" t="s">
        <v>4458</v>
      </c>
      <c r="C61" t="s">
        <v>4877</v>
      </c>
      <c r="D61">
        <v>47484425</v>
      </c>
      <c r="E61" s="5">
        <v>45713</v>
      </c>
      <c r="F61" s="5">
        <v>45715.09097222222</v>
      </c>
      <c r="G61" s="4" t="s">
        <v>460</v>
      </c>
      <c r="H61" s="49">
        <v>156195</v>
      </c>
      <c r="I61" s="49">
        <v>0</v>
      </c>
      <c r="J61" s="50">
        <v>156195</v>
      </c>
      <c r="K61" t="s">
        <v>2615</v>
      </c>
      <c r="L61" s="4" t="s">
        <v>461</v>
      </c>
      <c r="M61" t="s">
        <v>351</v>
      </c>
      <c r="N61" s="2">
        <v>1075254883</v>
      </c>
      <c r="O61" t="s">
        <v>938</v>
      </c>
      <c r="P61" t="s">
        <v>316</v>
      </c>
      <c r="Q61" t="s">
        <v>317</v>
      </c>
      <c r="R61">
        <v>76200118156</v>
      </c>
      <c r="S61" t="s">
        <v>319</v>
      </c>
      <c r="T61">
        <v>860034313</v>
      </c>
      <c r="U61" t="s">
        <v>355</v>
      </c>
      <c r="V61">
        <v>923238</v>
      </c>
      <c r="W61" t="s">
        <v>569</v>
      </c>
      <c r="X61" s="2" t="s">
        <v>29</v>
      </c>
      <c r="Y61" t="s">
        <v>30</v>
      </c>
      <c r="Z61" t="s">
        <v>31</v>
      </c>
      <c r="AA61" t="s">
        <v>32</v>
      </c>
      <c r="AB61" t="s">
        <v>33</v>
      </c>
      <c r="AC61" s="51">
        <v>156195</v>
      </c>
      <c r="AD61">
        <v>0</v>
      </c>
      <c r="AE61" s="4">
        <v>0</v>
      </c>
      <c r="AF61" s="4">
        <v>0</v>
      </c>
      <c r="AG61" t="s">
        <v>462</v>
      </c>
      <c r="AH61">
        <v>0</v>
      </c>
      <c r="AI61">
        <v>0</v>
      </c>
      <c r="AJ61" s="2" t="s">
        <v>463</v>
      </c>
      <c r="AK61" s="2">
        <v>0</v>
      </c>
      <c r="AL61">
        <v>0</v>
      </c>
      <c r="AM61">
        <v>0</v>
      </c>
      <c r="AN61">
        <v>0</v>
      </c>
      <c r="AO61">
        <v>0</v>
      </c>
      <c r="AP61">
        <v>325</v>
      </c>
      <c r="AQ61">
        <v>325</v>
      </c>
      <c r="AR61">
        <v>38125</v>
      </c>
      <c r="AS61">
        <v>0</v>
      </c>
      <c r="AT61">
        <v>0</v>
      </c>
      <c r="AU61">
        <v>6125</v>
      </c>
      <c r="AV61">
        <v>47484425</v>
      </c>
      <c r="AW61">
        <v>0</v>
      </c>
      <c r="AX61" s="5">
        <v>45710</v>
      </c>
      <c r="AY61" t="s">
        <v>1929</v>
      </c>
      <c r="AZ61" t="s">
        <v>2721</v>
      </c>
      <c r="BA61" t="s">
        <v>2722</v>
      </c>
    </row>
    <row r="62" spans="1:53" ht="15" customHeight="1" x14ac:dyDescent="0.2">
      <c r="A62" t="s">
        <v>4901</v>
      </c>
      <c r="B62" t="s">
        <v>4459</v>
      </c>
      <c r="C62" t="s">
        <v>4877</v>
      </c>
      <c r="D62">
        <v>47484525</v>
      </c>
      <c r="E62" s="5">
        <v>45713</v>
      </c>
      <c r="F62" s="5">
        <v>45715.085416666669</v>
      </c>
      <c r="G62" s="4" t="s">
        <v>460</v>
      </c>
      <c r="H62" s="49">
        <v>312390</v>
      </c>
      <c r="I62" s="49">
        <v>0</v>
      </c>
      <c r="J62" s="50">
        <v>312390</v>
      </c>
      <c r="K62" t="s">
        <v>2615</v>
      </c>
      <c r="L62" s="4" t="s">
        <v>461</v>
      </c>
      <c r="M62" t="s">
        <v>351</v>
      </c>
      <c r="N62" s="2">
        <v>1012439964</v>
      </c>
      <c r="O62" t="s">
        <v>1055</v>
      </c>
      <c r="P62" t="s">
        <v>316</v>
      </c>
      <c r="Q62" t="s">
        <v>317</v>
      </c>
      <c r="R62">
        <v>1300008356</v>
      </c>
      <c r="S62" t="s">
        <v>319</v>
      </c>
      <c r="T62">
        <v>890903938</v>
      </c>
      <c r="U62" t="s">
        <v>342</v>
      </c>
      <c r="V62">
        <v>923238</v>
      </c>
      <c r="W62" t="s">
        <v>569</v>
      </c>
      <c r="X62" s="2" t="s">
        <v>29</v>
      </c>
      <c r="Y62" t="s">
        <v>30</v>
      </c>
      <c r="Z62" t="s">
        <v>31</v>
      </c>
      <c r="AA62" t="s">
        <v>32</v>
      </c>
      <c r="AB62" t="s">
        <v>33</v>
      </c>
      <c r="AC62" s="51">
        <v>312390</v>
      </c>
      <c r="AD62">
        <v>0</v>
      </c>
      <c r="AE62" s="4">
        <v>0</v>
      </c>
      <c r="AF62" s="4">
        <v>0</v>
      </c>
      <c r="AG62" t="s">
        <v>462</v>
      </c>
      <c r="AH62">
        <v>0</v>
      </c>
      <c r="AI62">
        <v>0</v>
      </c>
      <c r="AJ62" s="2" t="s">
        <v>463</v>
      </c>
      <c r="AK62" s="2">
        <v>0</v>
      </c>
      <c r="AL62">
        <v>0</v>
      </c>
      <c r="AM62">
        <v>0</v>
      </c>
      <c r="AN62">
        <v>0</v>
      </c>
      <c r="AO62">
        <v>0</v>
      </c>
      <c r="AP62">
        <v>325</v>
      </c>
      <c r="AQ62">
        <v>325</v>
      </c>
      <c r="AR62">
        <v>38225</v>
      </c>
      <c r="AS62">
        <v>0</v>
      </c>
      <c r="AT62">
        <v>0</v>
      </c>
      <c r="AU62">
        <v>6225</v>
      </c>
      <c r="AV62">
        <v>47484525</v>
      </c>
      <c r="AW62">
        <v>0</v>
      </c>
      <c r="AX62" s="5">
        <v>45710</v>
      </c>
      <c r="AY62" t="s">
        <v>1929</v>
      </c>
      <c r="AZ62" t="s">
        <v>2727</v>
      </c>
      <c r="BA62" t="s">
        <v>2728</v>
      </c>
    </row>
    <row r="63" spans="1:53" ht="15" customHeight="1" x14ac:dyDescent="0.2">
      <c r="A63" t="s">
        <v>4902</v>
      </c>
      <c r="B63" t="s">
        <v>4460</v>
      </c>
      <c r="C63" t="s">
        <v>4877</v>
      </c>
      <c r="D63">
        <v>47484625</v>
      </c>
      <c r="E63" s="5">
        <v>45713</v>
      </c>
      <c r="F63" s="5">
        <v>45715.091666666667</v>
      </c>
      <c r="G63" s="4" t="s">
        <v>460</v>
      </c>
      <c r="H63" s="49">
        <v>468585</v>
      </c>
      <c r="I63" s="49">
        <v>0</v>
      </c>
      <c r="J63" s="50">
        <v>468585</v>
      </c>
      <c r="K63" t="s">
        <v>2615</v>
      </c>
      <c r="L63" s="4" t="s">
        <v>461</v>
      </c>
      <c r="M63" t="s">
        <v>351</v>
      </c>
      <c r="N63" s="2">
        <v>52505799</v>
      </c>
      <c r="O63" t="s">
        <v>813</v>
      </c>
      <c r="P63" t="s">
        <v>316</v>
      </c>
      <c r="Q63" t="s">
        <v>317</v>
      </c>
      <c r="R63">
        <v>488446490713</v>
      </c>
      <c r="S63" t="s">
        <v>319</v>
      </c>
      <c r="T63">
        <v>860034313</v>
      </c>
      <c r="U63" t="s">
        <v>355</v>
      </c>
      <c r="V63">
        <v>923238</v>
      </c>
      <c r="W63" t="s">
        <v>569</v>
      </c>
      <c r="X63" s="2" t="s">
        <v>29</v>
      </c>
      <c r="Y63" t="s">
        <v>30</v>
      </c>
      <c r="Z63" t="s">
        <v>31</v>
      </c>
      <c r="AA63" t="s">
        <v>32</v>
      </c>
      <c r="AB63" t="s">
        <v>33</v>
      </c>
      <c r="AC63" s="51">
        <v>468585</v>
      </c>
      <c r="AD63">
        <v>0</v>
      </c>
      <c r="AE63" s="4">
        <v>0</v>
      </c>
      <c r="AF63" s="4">
        <v>0</v>
      </c>
      <c r="AG63" t="s">
        <v>462</v>
      </c>
      <c r="AH63">
        <v>0</v>
      </c>
      <c r="AI63">
        <v>0</v>
      </c>
      <c r="AJ63" s="2" t="s">
        <v>463</v>
      </c>
      <c r="AK63" s="2">
        <v>0</v>
      </c>
      <c r="AL63">
        <v>0</v>
      </c>
      <c r="AM63">
        <v>0</v>
      </c>
      <c r="AN63">
        <v>0</v>
      </c>
      <c r="AO63">
        <v>0</v>
      </c>
      <c r="AP63">
        <v>325</v>
      </c>
      <c r="AQ63">
        <v>325</v>
      </c>
      <c r="AR63">
        <v>38325</v>
      </c>
      <c r="AS63">
        <v>0</v>
      </c>
      <c r="AT63">
        <v>0</v>
      </c>
      <c r="AU63">
        <v>6325</v>
      </c>
      <c r="AV63">
        <v>47484625</v>
      </c>
      <c r="AW63">
        <v>0</v>
      </c>
      <c r="AX63" s="5">
        <v>45710</v>
      </c>
      <c r="AY63" t="s">
        <v>1929</v>
      </c>
      <c r="AZ63" t="s">
        <v>2733</v>
      </c>
      <c r="BA63" t="s">
        <v>2734</v>
      </c>
    </row>
    <row r="64" spans="1:53" ht="15" customHeight="1" x14ac:dyDescent="0.2">
      <c r="A64" t="s">
        <v>4903</v>
      </c>
      <c r="B64" t="s">
        <v>4461</v>
      </c>
      <c r="C64" t="s">
        <v>4877</v>
      </c>
      <c r="D64">
        <v>47484725</v>
      </c>
      <c r="E64" s="5">
        <v>45713</v>
      </c>
      <c r="F64" s="5">
        <v>45715.092361111114</v>
      </c>
      <c r="G64" s="4" t="s">
        <v>460</v>
      </c>
      <c r="H64" s="49">
        <v>624780</v>
      </c>
      <c r="I64" s="49">
        <v>0</v>
      </c>
      <c r="J64" s="50">
        <v>624780</v>
      </c>
      <c r="K64" t="s">
        <v>2615</v>
      </c>
      <c r="L64" s="4" t="s">
        <v>461</v>
      </c>
      <c r="M64" t="s">
        <v>351</v>
      </c>
      <c r="N64" s="2">
        <v>79408514</v>
      </c>
      <c r="O64" t="s">
        <v>792</v>
      </c>
      <c r="P64" t="s">
        <v>316</v>
      </c>
      <c r="Q64" t="s">
        <v>317</v>
      </c>
      <c r="R64">
        <v>116040148863</v>
      </c>
      <c r="S64" t="s">
        <v>319</v>
      </c>
      <c r="T64">
        <v>900047981</v>
      </c>
      <c r="U64" t="s">
        <v>399</v>
      </c>
      <c r="V64">
        <v>923238</v>
      </c>
      <c r="W64" t="s">
        <v>569</v>
      </c>
      <c r="X64" s="2" t="s">
        <v>29</v>
      </c>
      <c r="Y64" t="s">
        <v>30</v>
      </c>
      <c r="Z64" t="s">
        <v>31</v>
      </c>
      <c r="AA64" t="s">
        <v>32</v>
      </c>
      <c r="AB64" t="s">
        <v>33</v>
      </c>
      <c r="AC64" s="51">
        <v>624780</v>
      </c>
      <c r="AD64">
        <v>0</v>
      </c>
      <c r="AE64" s="4">
        <v>0</v>
      </c>
      <c r="AF64" s="4">
        <v>0</v>
      </c>
      <c r="AG64" t="s">
        <v>462</v>
      </c>
      <c r="AH64">
        <v>0</v>
      </c>
      <c r="AI64">
        <v>0</v>
      </c>
      <c r="AJ64" s="2" t="s">
        <v>463</v>
      </c>
      <c r="AK64" s="2">
        <v>0</v>
      </c>
      <c r="AL64">
        <v>0</v>
      </c>
      <c r="AM64">
        <v>0</v>
      </c>
      <c r="AN64">
        <v>0</v>
      </c>
      <c r="AO64">
        <v>0</v>
      </c>
      <c r="AP64">
        <v>325</v>
      </c>
      <c r="AQ64">
        <v>325</v>
      </c>
      <c r="AR64">
        <v>38425</v>
      </c>
      <c r="AS64">
        <v>0</v>
      </c>
      <c r="AT64">
        <v>0</v>
      </c>
      <c r="AU64">
        <v>6425</v>
      </c>
      <c r="AV64">
        <v>47484725</v>
      </c>
      <c r="AW64">
        <v>0</v>
      </c>
      <c r="AX64" s="5">
        <v>45710</v>
      </c>
      <c r="AY64" t="s">
        <v>1929</v>
      </c>
      <c r="AZ64" t="s">
        <v>2739</v>
      </c>
      <c r="BA64" t="s">
        <v>2740</v>
      </c>
    </row>
    <row r="65" spans="1:53" ht="15" customHeight="1" x14ac:dyDescent="0.2">
      <c r="A65" t="s">
        <v>4904</v>
      </c>
      <c r="B65" t="s">
        <v>4462</v>
      </c>
      <c r="C65" t="s">
        <v>4877</v>
      </c>
      <c r="D65">
        <v>47484825</v>
      </c>
      <c r="E65" s="5">
        <v>45713</v>
      </c>
      <c r="F65" s="5">
        <v>45715.09097222222</v>
      </c>
      <c r="G65" s="4" t="s">
        <v>460</v>
      </c>
      <c r="H65" s="49">
        <v>232058</v>
      </c>
      <c r="I65" s="49">
        <v>0</v>
      </c>
      <c r="J65" s="50">
        <v>232058</v>
      </c>
      <c r="K65" t="s">
        <v>2615</v>
      </c>
      <c r="L65" s="4" t="s">
        <v>461</v>
      </c>
      <c r="M65" t="s">
        <v>351</v>
      </c>
      <c r="N65" s="2">
        <v>4041331</v>
      </c>
      <c r="O65" t="s">
        <v>2743</v>
      </c>
      <c r="P65" t="s">
        <v>316</v>
      </c>
      <c r="Q65" t="s">
        <v>317</v>
      </c>
      <c r="R65">
        <v>475700002748</v>
      </c>
      <c r="S65" t="s">
        <v>319</v>
      </c>
      <c r="T65">
        <v>860034313</v>
      </c>
      <c r="U65" t="s">
        <v>355</v>
      </c>
      <c r="V65">
        <v>923238</v>
      </c>
      <c r="W65" t="s">
        <v>569</v>
      </c>
      <c r="X65" s="2" t="s">
        <v>29</v>
      </c>
      <c r="Y65" t="s">
        <v>30</v>
      </c>
      <c r="Z65" t="s">
        <v>31</v>
      </c>
      <c r="AA65" t="s">
        <v>32</v>
      </c>
      <c r="AB65" t="s">
        <v>33</v>
      </c>
      <c r="AC65" s="51">
        <v>232058</v>
      </c>
      <c r="AD65">
        <v>0</v>
      </c>
      <c r="AE65" s="4">
        <v>0</v>
      </c>
      <c r="AF65" s="4">
        <v>0</v>
      </c>
      <c r="AG65" t="s">
        <v>462</v>
      </c>
      <c r="AH65">
        <v>0</v>
      </c>
      <c r="AI65">
        <v>0</v>
      </c>
      <c r="AJ65" s="2" t="s">
        <v>463</v>
      </c>
      <c r="AK65" s="2">
        <v>0</v>
      </c>
      <c r="AL65">
        <v>0</v>
      </c>
      <c r="AM65">
        <v>0</v>
      </c>
      <c r="AN65">
        <v>0</v>
      </c>
      <c r="AO65">
        <v>0</v>
      </c>
      <c r="AP65">
        <v>325</v>
      </c>
      <c r="AQ65">
        <v>325</v>
      </c>
      <c r="AR65">
        <v>38525</v>
      </c>
      <c r="AS65">
        <v>0</v>
      </c>
      <c r="AT65">
        <v>0</v>
      </c>
      <c r="AU65">
        <v>6525</v>
      </c>
      <c r="AV65">
        <v>47484825</v>
      </c>
      <c r="AW65">
        <v>0</v>
      </c>
      <c r="AX65" s="5">
        <v>45710</v>
      </c>
      <c r="AY65" t="s">
        <v>1929</v>
      </c>
      <c r="AZ65" t="s">
        <v>2747</v>
      </c>
      <c r="BA65" t="s">
        <v>2748</v>
      </c>
    </row>
    <row r="66" spans="1:53" ht="15" customHeight="1" x14ac:dyDescent="0.2">
      <c r="A66" t="s">
        <v>4905</v>
      </c>
      <c r="B66" t="s">
        <v>4463</v>
      </c>
      <c r="C66" t="s">
        <v>4877</v>
      </c>
      <c r="D66">
        <v>47484925</v>
      </c>
      <c r="E66" s="5">
        <v>45713</v>
      </c>
      <c r="F66" s="5">
        <v>45715.084722222222</v>
      </c>
      <c r="G66" s="4" t="s">
        <v>460</v>
      </c>
      <c r="H66" s="49">
        <v>166195</v>
      </c>
      <c r="I66" s="49">
        <v>0</v>
      </c>
      <c r="J66" s="50">
        <v>166195</v>
      </c>
      <c r="K66" t="s">
        <v>2615</v>
      </c>
      <c r="L66" s="4" t="s">
        <v>461</v>
      </c>
      <c r="M66" t="s">
        <v>351</v>
      </c>
      <c r="N66" s="2">
        <v>13478907</v>
      </c>
      <c r="O66" t="s">
        <v>948</v>
      </c>
      <c r="P66" t="s">
        <v>316</v>
      </c>
      <c r="Q66" t="s">
        <v>317</v>
      </c>
      <c r="R66">
        <v>31791837408</v>
      </c>
      <c r="S66" t="s">
        <v>319</v>
      </c>
      <c r="T66">
        <v>890903938</v>
      </c>
      <c r="U66" t="s">
        <v>342</v>
      </c>
      <c r="V66">
        <v>923238</v>
      </c>
      <c r="W66" t="s">
        <v>569</v>
      </c>
      <c r="X66" s="2" t="s">
        <v>29</v>
      </c>
      <c r="Y66" t="s">
        <v>30</v>
      </c>
      <c r="Z66" t="s">
        <v>31</v>
      </c>
      <c r="AA66" t="s">
        <v>32</v>
      </c>
      <c r="AB66" t="s">
        <v>33</v>
      </c>
      <c r="AC66" s="51">
        <v>166195</v>
      </c>
      <c r="AD66">
        <v>0</v>
      </c>
      <c r="AE66" s="4">
        <v>0</v>
      </c>
      <c r="AF66" s="4">
        <v>0</v>
      </c>
      <c r="AG66" t="s">
        <v>462</v>
      </c>
      <c r="AH66">
        <v>0</v>
      </c>
      <c r="AI66">
        <v>0</v>
      </c>
      <c r="AJ66" s="2" t="s">
        <v>463</v>
      </c>
      <c r="AK66" s="2">
        <v>0</v>
      </c>
      <c r="AL66">
        <v>0</v>
      </c>
      <c r="AM66">
        <v>0</v>
      </c>
      <c r="AN66">
        <v>0</v>
      </c>
      <c r="AO66">
        <v>0</v>
      </c>
      <c r="AP66">
        <v>325</v>
      </c>
      <c r="AQ66">
        <v>325</v>
      </c>
      <c r="AR66">
        <v>38625</v>
      </c>
      <c r="AS66">
        <v>0</v>
      </c>
      <c r="AT66">
        <v>0</v>
      </c>
      <c r="AU66">
        <v>6625</v>
      </c>
      <c r="AV66">
        <v>47484925</v>
      </c>
      <c r="AW66">
        <v>0</v>
      </c>
      <c r="AX66" s="5">
        <v>45710</v>
      </c>
      <c r="AY66" t="s">
        <v>1929</v>
      </c>
      <c r="AZ66" t="s">
        <v>2753</v>
      </c>
      <c r="BA66" t="s">
        <v>2754</v>
      </c>
    </row>
    <row r="67" spans="1:53" ht="15" customHeight="1" x14ac:dyDescent="0.2">
      <c r="A67" t="s">
        <v>4906</v>
      </c>
      <c r="B67" t="s">
        <v>4464</v>
      </c>
      <c r="C67" t="s">
        <v>4877</v>
      </c>
      <c r="D67">
        <v>47485025</v>
      </c>
      <c r="E67" s="5">
        <v>45713</v>
      </c>
      <c r="F67" s="5">
        <v>45715.090277777781</v>
      </c>
      <c r="G67" s="4" t="s">
        <v>460</v>
      </c>
      <c r="H67" s="49">
        <v>528207</v>
      </c>
      <c r="I67" s="49">
        <v>0</v>
      </c>
      <c r="J67" s="50">
        <v>528207</v>
      </c>
      <c r="K67" t="s">
        <v>2615</v>
      </c>
      <c r="L67" s="4" t="s">
        <v>461</v>
      </c>
      <c r="M67" t="s">
        <v>351</v>
      </c>
      <c r="N67" s="2">
        <v>52425990</v>
      </c>
      <c r="O67" t="s">
        <v>1953</v>
      </c>
      <c r="P67" t="s">
        <v>316</v>
      </c>
      <c r="Q67" t="s">
        <v>317</v>
      </c>
      <c r="R67">
        <v>24523344944</v>
      </c>
      <c r="S67" t="s">
        <v>319</v>
      </c>
      <c r="T67">
        <v>860007335</v>
      </c>
      <c r="U67" t="s">
        <v>381</v>
      </c>
      <c r="V67">
        <v>923238</v>
      </c>
      <c r="W67" t="s">
        <v>569</v>
      </c>
      <c r="X67" s="2" t="s">
        <v>29</v>
      </c>
      <c r="Y67" t="s">
        <v>30</v>
      </c>
      <c r="Z67" t="s">
        <v>31</v>
      </c>
      <c r="AA67" t="s">
        <v>32</v>
      </c>
      <c r="AB67" t="s">
        <v>33</v>
      </c>
      <c r="AC67" s="51">
        <v>528207</v>
      </c>
      <c r="AD67">
        <v>0</v>
      </c>
      <c r="AE67" s="4">
        <v>0</v>
      </c>
      <c r="AF67" s="4">
        <v>0</v>
      </c>
      <c r="AG67" t="s">
        <v>462</v>
      </c>
      <c r="AH67">
        <v>0</v>
      </c>
      <c r="AI67">
        <v>0</v>
      </c>
      <c r="AJ67" s="2" t="s">
        <v>463</v>
      </c>
      <c r="AK67" s="2">
        <v>0</v>
      </c>
      <c r="AL67">
        <v>0</v>
      </c>
      <c r="AM67">
        <v>0</v>
      </c>
      <c r="AN67">
        <v>0</v>
      </c>
      <c r="AO67">
        <v>0</v>
      </c>
      <c r="AP67">
        <v>325</v>
      </c>
      <c r="AQ67">
        <v>325</v>
      </c>
      <c r="AR67">
        <v>38725</v>
      </c>
      <c r="AS67">
        <v>0</v>
      </c>
      <c r="AT67">
        <v>0</v>
      </c>
      <c r="AU67">
        <v>6725</v>
      </c>
      <c r="AV67">
        <v>47485025</v>
      </c>
      <c r="AW67">
        <v>0</v>
      </c>
      <c r="AX67" s="5">
        <v>45710</v>
      </c>
      <c r="AY67" t="s">
        <v>1929</v>
      </c>
      <c r="AZ67" t="s">
        <v>2759</v>
      </c>
      <c r="BA67" t="s">
        <v>2760</v>
      </c>
    </row>
    <row r="68" spans="1:53" ht="15" customHeight="1" x14ac:dyDescent="0.2">
      <c r="A68" t="s">
        <v>4907</v>
      </c>
      <c r="B68" t="s">
        <v>4465</v>
      </c>
      <c r="C68" t="s">
        <v>4877</v>
      </c>
      <c r="D68">
        <v>47485125</v>
      </c>
      <c r="E68" s="5">
        <v>45713</v>
      </c>
      <c r="F68" s="5">
        <v>45715.091666666667</v>
      </c>
      <c r="G68" s="4" t="s">
        <v>460</v>
      </c>
      <c r="H68" s="49">
        <v>668651</v>
      </c>
      <c r="I68" s="49">
        <v>0</v>
      </c>
      <c r="J68" s="50">
        <v>668651</v>
      </c>
      <c r="K68" t="s">
        <v>2615</v>
      </c>
      <c r="L68" s="4" t="s">
        <v>461</v>
      </c>
      <c r="M68" t="s">
        <v>351</v>
      </c>
      <c r="N68" s="2">
        <v>80062448</v>
      </c>
      <c r="O68" t="s">
        <v>1943</v>
      </c>
      <c r="P68" t="s">
        <v>316</v>
      </c>
      <c r="Q68" t="s">
        <v>317</v>
      </c>
      <c r="R68">
        <v>570451570058300</v>
      </c>
      <c r="S68" t="s">
        <v>319</v>
      </c>
      <c r="T68">
        <v>860034313</v>
      </c>
      <c r="U68" t="s">
        <v>355</v>
      </c>
      <c r="V68">
        <v>923238</v>
      </c>
      <c r="W68" t="s">
        <v>569</v>
      </c>
      <c r="X68" s="2" t="s">
        <v>29</v>
      </c>
      <c r="Y68" t="s">
        <v>30</v>
      </c>
      <c r="Z68" t="s">
        <v>31</v>
      </c>
      <c r="AA68" t="s">
        <v>32</v>
      </c>
      <c r="AB68" t="s">
        <v>33</v>
      </c>
      <c r="AC68" s="51">
        <v>668651</v>
      </c>
      <c r="AD68">
        <v>0</v>
      </c>
      <c r="AE68" s="4">
        <v>0</v>
      </c>
      <c r="AF68" s="4">
        <v>0</v>
      </c>
      <c r="AG68" t="s">
        <v>462</v>
      </c>
      <c r="AH68">
        <v>0</v>
      </c>
      <c r="AI68">
        <v>0</v>
      </c>
      <c r="AJ68" s="2" t="s">
        <v>463</v>
      </c>
      <c r="AK68" s="2">
        <v>0</v>
      </c>
      <c r="AL68">
        <v>0</v>
      </c>
      <c r="AM68">
        <v>0</v>
      </c>
      <c r="AN68">
        <v>0</v>
      </c>
      <c r="AO68">
        <v>0</v>
      </c>
      <c r="AP68">
        <v>325</v>
      </c>
      <c r="AQ68">
        <v>325</v>
      </c>
      <c r="AR68">
        <v>38825</v>
      </c>
      <c r="AS68">
        <v>0</v>
      </c>
      <c r="AT68">
        <v>0</v>
      </c>
      <c r="AU68">
        <v>6825</v>
      </c>
      <c r="AV68">
        <v>47485125</v>
      </c>
      <c r="AW68">
        <v>0</v>
      </c>
      <c r="AX68" s="5">
        <v>45710</v>
      </c>
      <c r="AY68" t="s">
        <v>1929</v>
      </c>
      <c r="AZ68" t="s">
        <v>2765</v>
      </c>
      <c r="BA68" t="s">
        <v>2766</v>
      </c>
    </row>
    <row r="69" spans="1:53" ht="15" customHeight="1" x14ac:dyDescent="0.2">
      <c r="A69" t="s">
        <v>4908</v>
      </c>
      <c r="B69" t="s">
        <v>4466</v>
      </c>
      <c r="C69" t="s">
        <v>4859</v>
      </c>
      <c r="D69">
        <v>47485225</v>
      </c>
      <c r="E69" s="5">
        <v>45713</v>
      </c>
      <c r="F69" s="5">
        <v>45715.090277777781</v>
      </c>
      <c r="G69" s="4" t="s">
        <v>460</v>
      </c>
      <c r="H69" s="49">
        <v>199914</v>
      </c>
      <c r="I69" s="49">
        <v>0</v>
      </c>
      <c r="J69" s="50">
        <v>199914</v>
      </c>
      <c r="K69" t="s">
        <v>2615</v>
      </c>
      <c r="L69" s="4" t="s">
        <v>461</v>
      </c>
      <c r="M69" t="s">
        <v>351</v>
      </c>
      <c r="N69" s="2">
        <v>20927278</v>
      </c>
      <c r="O69" t="s">
        <v>2769</v>
      </c>
      <c r="P69" t="s">
        <v>316</v>
      </c>
      <c r="Q69" t="s">
        <v>317</v>
      </c>
      <c r="R69">
        <v>451786714</v>
      </c>
      <c r="S69" t="s">
        <v>319</v>
      </c>
      <c r="T69">
        <v>860035827</v>
      </c>
      <c r="U69" t="s">
        <v>653</v>
      </c>
      <c r="V69">
        <v>923210</v>
      </c>
      <c r="W69" t="s">
        <v>56</v>
      </c>
      <c r="X69" s="2" t="s">
        <v>29</v>
      </c>
      <c r="Y69" t="s">
        <v>30</v>
      </c>
      <c r="Z69" t="s">
        <v>31</v>
      </c>
      <c r="AA69" t="s">
        <v>32</v>
      </c>
      <c r="AB69" t="s">
        <v>33</v>
      </c>
      <c r="AC69" s="51">
        <v>199914</v>
      </c>
      <c r="AD69">
        <v>0</v>
      </c>
      <c r="AE69" s="4">
        <v>0</v>
      </c>
      <c r="AF69" s="4">
        <v>0</v>
      </c>
      <c r="AG69" t="s">
        <v>462</v>
      </c>
      <c r="AH69">
        <v>0</v>
      </c>
      <c r="AI69">
        <v>0</v>
      </c>
      <c r="AJ69" s="2" t="s">
        <v>463</v>
      </c>
      <c r="AK69" s="2">
        <v>0</v>
      </c>
      <c r="AL69">
        <v>0</v>
      </c>
      <c r="AM69">
        <v>0</v>
      </c>
      <c r="AN69">
        <v>0</v>
      </c>
      <c r="AO69">
        <v>0</v>
      </c>
      <c r="AP69">
        <v>1625</v>
      </c>
      <c r="AQ69">
        <v>1625</v>
      </c>
      <c r="AR69">
        <v>38925</v>
      </c>
      <c r="AS69">
        <v>0</v>
      </c>
      <c r="AT69">
        <v>0</v>
      </c>
      <c r="AU69">
        <v>6925</v>
      </c>
      <c r="AV69">
        <v>47485225</v>
      </c>
      <c r="AW69">
        <v>0</v>
      </c>
      <c r="AX69" s="5">
        <v>45710</v>
      </c>
      <c r="AY69" t="s">
        <v>1929</v>
      </c>
      <c r="AZ69" t="s">
        <v>2773</v>
      </c>
      <c r="BA69" t="s">
        <v>2774</v>
      </c>
    </row>
    <row r="70" spans="1:53" ht="15" customHeight="1" x14ac:dyDescent="0.2">
      <c r="A70" t="s">
        <v>4909</v>
      </c>
      <c r="B70" t="s">
        <v>4467</v>
      </c>
      <c r="C70" t="s">
        <v>4859</v>
      </c>
      <c r="D70">
        <v>47485325</v>
      </c>
      <c r="E70" s="5">
        <v>45713</v>
      </c>
      <c r="F70" s="5">
        <v>45715.084027777775</v>
      </c>
      <c r="G70" s="4" t="s">
        <v>460</v>
      </c>
      <c r="H70" s="49">
        <v>139896</v>
      </c>
      <c r="I70" s="49">
        <v>0</v>
      </c>
      <c r="J70" s="50">
        <v>139896</v>
      </c>
      <c r="K70" t="s">
        <v>2615</v>
      </c>
      <c r="L70" s="4" t="s">
        <v>461</v>
      </c>
      <c r="M70" t="s">
        <v>351</v>
      </c>
      <c r="N70" s="2">
        <v>1070825199</v>
      </c>
      <c r="O70" t="s">
        <v>2777</v>
      </c>
      <c r="P70" t="s">
        <v>316</v>
      </c>
      <c r="Q70" t="s">
        <v>317</v>
      </c>
      <c r="R70">
        <v>16600001742</v>
      </c>
      <c r="S70" t="s">
        <v>319</v>
      </c>
      <c r="T70">
        <v>890903938</v>
      </c>
      <c r="U70" t="s">
        <v>342</v>
      </c>
      <c r="V70">
        <v>923210</v>
      </c>
      <c r="W70" t="s">
        <v>56</v>
      </c>
      <c r="X70" s="2" t="s">
        <v>57</v>
      </c>
      <c r="Y70" t="s">
        <v>58</v>
      </c>
      <c r="Z70" t="s">
        <v>31</v>
      </c>
      <c r="AA70" t="s">
        <v>32</v>
      </c>
      <c r="AB70" t="s">
        <v>33</v>
      </c>
      <c r="AC70" s="51">
        <v>139896</v>
      </c>
      <c r="AD70">
        <v>0</v>
      </c>
      <c r="AE70" s="4">
        <v>0</v>
      </c>
      <c r="AF70" s="4">
        <v>0</v>
      </c>
      <c r="AG70" t="s">
        <v>462</v>
      </c>
      <c r="AH70">
        <v>0</v>
      </c>
      <c r="AI70">
        <v>0</v>
      </c>
      <c r="AJ70" s="2" t="s">
        <v>463</v>
      </c>
      <c r="AK70" s="2">
        <v>0</v>
      </c>
      <c r="AL70">
        <v>0</v>
      </c>
      <c r="AM70">
        <v>0</v>
      </c>
      <c r="AN70">
        <v>0</v>
      </c>
      <c r="AO70">
        <v>0</v>
      </c>
      <c r="AP70">
        <v>625</v>
      </c>
      <c r="AQ70">
        <v>625</v>
      </c>
      <c r="AR70">
        <v>39025</v>
      </c>
      <c r="AS70">
        <v>0</v>
      </c>
      <c r="AT70">
        <v>0</v>
      </c>
      <c r="AU70">
        <v>7025</v>
      </c>
      <c r="AV70">
        <v>47485325</v>
      </c>
      <c r="AW70">
        <v>0</v>
      </c>
      <c r="AX70" s="5">
        <v>45710</v>
      </c>
      <c r="AY70" t="s">
        <v>1929</v>
      </c>
      <c r="AZ70" t="s">
        <v>2781</v>
      </c>
      <c r="BA70" t="s">
        <v>2782</v>
      </c>
    </row>
    <row r="71" spans="1:53" ht="15" customHeight="1" x14ac:dyDescent="0.2">
      <c r="A71" t="s">
        <v>4910</v>
      </c>
      <c r="B71" t="s">
        <v>4469</v>
      </c>
      <c r="C71" t="s">
        <v>4911</v>
      </c>
      <c r="D71">
        <v>50237825</v>
      </c>
      <c r="E71" s="5">
        <v>45714</v>
      </c>
      <c r="F71" s="5">
        <v>45716.129861111112</v>
      </c>
      <c r="G71" s="4" t="s">
        <v>460</v>
      </c>
      <c r="H71" s="49">
        <v>668651</v>
      </c>
      <c r="I71" s="49">
        <v>0</v>
      </c>
      <c r="J71" s="50">
        <v>668651</v>
      </c>
      <c r="K71" t="s">
        <v>2615</v>
      </c>
      <c r="L71" s="4" t="s">
        <v>461</v>
      </c>
      <c r="M71" t="s">
        <v>351</v>
      </c>
      <c r="N71" s="2">
        <v>11315001</v>
      </c>
      <c r="O71" t="s">
        <v>2037</v>
      </c>
      <c r="P71" t="s">
        <v>316</v>
      </c>
      <c r="Q71" t="s">
        <v>317</v>
      </c>
      <c r="R71">
        <v>20505880851</v>
      </c>
      <c r="S71" t="s">
        <v>319</v>
      </c>
      <c r="T71">
        <v>890903938</v>
      </c>
      <c r="U71" t="s">
        <v>342</v>
      </c>
      <c r="V71">
        <v>923238</v>
      </c>
      <c r="W71" t="s">
        <v>569</v>
      </c>
      <c r="X71" s="2" t="s">
        <v>29</v>
      </c>
      <c r="Y71" t="s">
        <v>30</v>
      </c>
      <c r="Z71" t="s">
        <v>31</v>
      </c>
      <c r="AA71" t="s">
        <v>32</v>
      </c>
      <c r="AB71" t="s">
        <v>33</v>
      </c>
      <c r="AC71" s="51">
        <v>668651</v>
      </c>
      <c r="AD71">
        <v>0</v>
      </c>
      <c r="AE71" s="4">
        <v>0</v>
      </c>
      <c r="AF71" s="4">
        <v>0</v>
      </c>
      <c r="AG71" t="s">
        <v>462</v>
      </c>
      <c r="AH71">
        <v>0</v>
      </c>
      <c r="AI71">
        <v>0</v>
      </c>
      <c r="AJ71" s="2" t="s">
        <v>463</v>
      </c>
      <c r="AK71" s="2">
        <v>0</v>
      </c>
      <c r="AL71">
        <v>0</v>
      </c>
      <c r="AM71">
        <v>0</v>
      </c>
      <c r="AN71">
        <v>0</v>
      </c>
      <c r="AO71" t="s">
        <v>2786</v>
      </c>
      <c r="AP71">
        <v>325</v>
      </c>
      <c r="AQ71">
        <v>325</v>
      </c>
      <c r="AR71">
        <v>39125</v>
      </c>
      <c r="AS71">
        <v>4325</v>
      </c>
      <c r="AT71" s="5">
        <v>45714</v>
      </c>
      <c r="AU71">
        <v>7425</v>
      </c>
      <c r="AV71">
        <v>50237825</v>
      </c>
      <c r="AW71">
        <v>0</v>
      </c>
      <c r="AX71" s="5">
        <v>45713</v>
      </c>
      <c r="AY71" t="s">
        <v>1929</v>
      </c>
      <c r="AZ71" t="s">
        <v>2788</v>
      </c>
      <c r="BA71" t="s">
        <v>2789</v>
      </c>
    </row>
    <row r="72" spans="1:53" ht="15" customHeight="1" x14ac:dyDescent="0.2">
      <c r="A72" t="s">
        <v>4912</v>
      </c>
      <c r="B72" t="s">
        <v>4419</v>
      </c>
      <c r="C72" t="s">
        <v>4913</v>
      </c>
      <c r="D72">
        <v>50245825</v>
      </c>
      <c r="E72" s="5">
        <v>45714</v>
      </c>
      <c r="F72" s="5">
        <v>45716.071527777778</v>
      </c>
      <c r="G72" s="4" t="s">
        <v>460</v>
      </c>
      <c r="H72" s="49">
        <v>26070</v>
      </c>
      <c r="I72" s="49">
        <v>0</v>
      </c>
      <c r="J72" s="50">
        <v>26070</v>
      </c>
      <c r="K72" t="s">
        <v>2615</v>
      </c>
      <c r="L72" s="4" t="s">
        <v>461</v>
      </c>
      <c r="M72" t="s">
        <v>314</v>
      </c>
      <c r="N72" s="2">
        <v>899999094</v>
      </c>
      <c r="O72" t="s">
        <v>432</v>
      </c>
      <c r="P72" t="s">
        <v>316</v>
      </c>
      <c r="Q72" t="s">
        <v>317</v>
      </c>
      <c r="R72">
        <v>7900287975</v>
      </c>
      <c r="S72" t="s">
        <v>319</v>
      </c>
      <c r="T72">
        <v>860034313</v>
      </c>
      <c r="U72" t="s">
        <v>355</v>
      </c>
      <c r="V72">
        <v>923210</v>
      </c>
      <c r="W72" t="s">
        <v>56</v>
      </c>
      <c r="X72" s="2" t="s">
        <v>29</v>
      </c>
      <c r="Y72" t="s">
        <v>30</v>
      </c>
      <c r="Z72" t="s">
        <v>47</v>
      </c>
      <c r="AA72" t="s">
        <v>48</v>
      </c>
      <c r="AB72" t="s">
        <v>33</v>
      </c>
      <c r="AC72" s="51">
        <v>26070</v>
      </c>
      <c r="AD72">
        <v>0</v>
      </c>
      <c r="AE72" s="4">
        <v>0</v>
      </c>
      <c r="AF72" s="4">
        <v>0</v>
      </c>
      <c r="AG72" t="s">
        <v>462</v>
      </c>
      <c r="AH72">
        <v>0</v>
      </c>
      <c r="AI72">
        <v>0</v>
      </c>
      <c r="AJ72" s="2" t="s">
        <v>463</v>
      </c>
      <c r="AK72" s="2">
        <v>0</v>
      </c>
      <c r="AL72">
        <v>0</v>
      </c>
      <c r="AM72">
        <v>0</v>
      </c>
      <c r="AN72">
        <v>0</v>
      </c>
      <c r="AO72" t="s">
        <v>2792</v>
      </c>
      <c r="AP72">
        <v>1225</v>
      </c>
      <c r="AQ72">
        <v>1225</v>
      </c>
      <c r="AR72">
        <v>34325</v>
      </c>
      <c r="AS72">
        <v>4125</v>
      </c>
      <c r="AT72" s="5">
        <v>45714</v>
      </c>
      <c r="AU72">
        <v>7225</v>
      </c>
      <c r="AV72">
        <v>50245825</v>
      </c>
      <c r="AW72">
        <v>0</v>
      </c>
      <c r="AX72" s="5">
        <v>45708</v>
      </c>
      <c r="AY72" t="s">
        <v>323</v>
      </c>
      <c r="AZ72">
        <v>39363192111</v>
      </c>
      <c r="BA72" t="s">
        <v>2795</v>
      </c>
    </row>
    <row r="73" spans="1:53" ht="15" customHeight="1" x14ac:dyDescent="0.2">
      <c r="A73" t="s">
        <v>4914</v>
      </c>
      <c r="B73" t="s">
        <v>4418</v>
      </c>
      <c r="C73" t="s">
        <v>4915</v>
      </c>
      <c r="D73">
        <v>50281325</v>
      </c>
      <c r="E73" s="5">
        <v>45714</v>
      </c>
      <c r="F73" s="5">
        <v>45716.071527777778</v>
      </c>
      <c r="G73" s="4" t="s">
        <v>460</v>
      </c>
      <c r="H73" s="49">
        <v>244110</v>
      </c>
      <c r="I73" s="49">
        <v>0</v>
      </c>
      <c r="J73" s="50">
        <v>244110</v>
      </c>
      <c r="K73" t="s">
        <v>2615</v>
      </c>
      <c r="L73" s="4" t="s">
        <v>461</v>
      </c>
      <c r="M73" t="s">
        <v>314</v>
      </c>
      <c r="N73" s="2">
        <v>899999094</v>
      </c>
      <c r="O73" t="s">
        <v>432</v>
      </c>
      <c r="P73" t="s">
        <v>316</v>
      </c>
      <c r="Q73" t="s">
        <v>317</v>
      </c>
      <c r="R73">
        <v>7900287975</v>
      </c>
      <c r="S73" t="s">
        <v>319</v>
      </c>
      <c r="T73">
        <v>860034313</v>
      </c>
      <c r="U73" t="s">
        <v>355</v>
      </c>
      <c r="V73">
        <v>923210</v>
      </c>
      <c r="W73" t="s">
        <v>56</v>
      </c>
      <c r="X73" s="2" t="s">
        <v>29</v>
      </c>
      <c r="Y73" t="s">
        <v>30</v>
      </c>
      <c r="Z73" t="s">
        <v>47</v>
      </c>
      <c r="AA73" t="s">
        <v>48</v>
      </c>
      <c r="AB73" t="s">
        <v>33</v>
      </c>
      <c r="AC73" s="51">
        <v>244110</v>
      </c>
      <c r="AD73">
        <v>0</v>
      </c>
      <c r="AE73" s="4">
        <v>0</v>
      </c>
      <c r="AF73" s="4">
        <v>0</v>
      </c>
      <c r="AG73" t="s">
        <v>462</v>
      </c>
      <c r="AH73">
        <v>0</v>
      </c>
      <c r="AI73">
        <v>0</v>
      </c>
      <c r="AJ73" s="2" t="s">
        <v>463</v>
      </c>
      <c r="AK73" s="2">
        <v>0</v>
      </c>
      <c r="AL73">
        <v>0</v>
      </c>
      <c r="AM73">
        <v>0</v>
      </c>
      <c r="AN73">
        <v>0</v>
      </c>
      <c r="AO73" t="s">
        <v>2799</v>
      </c>
      <c r="AP73">
        <v>1225</v>
      </c>
      <c r="AQ73">
        <v>1225</v>
      </c>
      <c r="AR73">
        <v>34225</v>
      </c>
      <c r="AS73">
        <v>4025</v>
      </c>
      <c r="AT73" s="5">
        <v>45714</v>
      </c>
      <c r="AU73">
        <v>7125</v>
      </c>
      <c r="AV73">
        <v>50281325</v>
      </c>
      <c r="AW73">
        <v>0</v>
      </c>
      <c r="AX73" s="5">
        <v>45708</v>
      </c>
      <c r="AY73" t="s">
        <v>323</v>
      </c>
      <c r="AZ73">
        <v>39363192012</v>
      </c>
      <c r="BA73" t="s">
        <v>2802</v>
      </c>
    </row>
    <row r="74" spans="1:53" ht="15" customHeight="1" x14ac:dyDescent="0.2">
      <c r="A74" t="s">
        <v>4916</v>
      </c>
      <c r="B74" t="s">
        <v>2256</v>
      </c>
      <c r="C74" t="s">
        <v>4917</v>
      </c>
      <c r="D74">
        <v>64519025</v>
      </c>
      <c r="E74" s="5">
        <v>45726</v>
      </c>
      <c r="F74" s="5">
        <v>45728.064583333333</v>
      </c>
      <c r="G74" s="4" t="s">
        <v>460</v>
      </c>
      <c r="H74" s="49">
        <v>4292876</v>
      </c>
      <c r="I74" s="49">
        <v>22820</v>
      </c>
      <c r="J74" s="50">
        <v>4270056</v>
      </c>
      <c r="K74" t="s">
        <v>2615</v>
      </c>
      <c r="L74" s="4" t="s">
        <v>461</v>
      </c>
      <c r="M74" t="s">
        <v>351</v>
      </c>
      <c r="N74" s="2">
        <v>1012333352</v>
      </c>
      <c r="O74" t="s">
        <v>726</v>
      </c>
      <c r="P74" t="s">
        <v>316</v>
      </c>
      <c r="Q74" t="s">
        <v>317</v>
      </c>
      <c r="R74">
        <v>542008883</v>
      </c>
      <c r="S74" t="s">
        <v>319</v>
      </c>
      <c r="T74">
        <v>860002964</v>
      </c>
      <c r="U74" t="s">
        <v>419</v>
      </c>
      <c r="V74">
        <v>923245</v>
      </c>
      <c r="W74" t="s">
        <v>180</v>
      </c>
      <c r="X74" s="2" t="s">
        <v>29</v>
      </c>
      <c r="Y74" t="s">
        <v>30</v>
      </c>
      <c r="Z74" t="s">
        <v>31</v>
      </c>
      <c r="AA74" t="s">
        <v>32</v>
      </c>
      <c r="AB74" t="s">
        <v>33</v>
      </c>
      <c r="AC74" s="51">
        <v>4292876</v>
      </c>
      <c r="AD74">
        <v>0</v>
      </c>
      <c r="AE74" s="4">
        <v>0</v>
      </c>
      <c r="AF74" s="4">
        <v>0</v>
      </c>
      <c r="AG74" t="s">
        <v>462</v>
      </c>
      <c r="AH74">
        <v>0</v>
      </c>
      <c r="AI74">
        <v>0</v>
      </c>
      <c r="AJ74" s="2" t="s">
        <v>463</v>
      </c>
      <c r="AK74" s="2">
        <v>0</v>
      </c>
      <c r="AL74">
        <v>0</v>
      </c>
      <c r="AM74">
        <v>0</v>
      </c>
      <c r="AN74">
        <v>0</v>
      </c>
      <c r="AO74">
        <v>0</v>
      </c>
      <c r="AP74">
        <v>3825</v>
      </c>
      <c r="AQ74">
        <v>3825</v>
      </c>
      <c r="AR74">
        <v>4525</v>
      </c>
      <c r="AS74">
        <v>0</v>
      </c>
      <c r="AT74">
        <v>0</v>
      </c>
      <c r="AU74">
        <v>7725</v>
      </c>
      <c r="AV74">
        <v>64519025</v>
      </c>
      <c r="AW74">
        <v>0</v>
      </c>
      <c r="AX74" s="5">
        <v>45689</v>
      </c>
      <c r="AY74" t="s">
        <v>356</v>
      </c>
      <c r="AZ74" t="s">
        <v>728</v>
      </c>
      <c r="BA74" t="s">
        <v>724</v>
      </c>
    </row>
    <row r="75" spans="1:53" ht="15" customHeight="1" x14ac:dyDescent="0.2">
      <c r="A75" t="s">
        <v>4918</v>
      </c>
      <c r="B75" t="s">
        <v>2257</v>
      </c>
      <c r="C75" t="s">
        <v>4917</v>
      </c>
      <c r="D75">
        <v>64519225</v>
      </c>
      <c r="E75" s="5">
        <v>45726</v>
      </c>
      <c r="F75" s="5">
        <v>45728.078472222223</v>
      </c>
      <c r="G75" s="4" t="s">
        <v>460</v>
      </c>
      <c r="H75" s="49">
        <v>4292876</v>
      </c>
      <c r="I75" s="49">
        <v>22820</v>
      </c>
      <c r="J75" s="50">
        <v>4270056</v>
      </c>
      <c r="K75" t="s">
        <v>2615</v>
      </c>
      <c r="L75" s="4" t="s">
        <v>461</v>
      </c>
      <c r="M75" t="s">
        <v>351</v>
      </c>
      <c r="N75" s="2">
        <v>1065630928</v>
      </c>
      <c r="O75" t="s">
        <v>730</v>
      </c>
      <c r="P75" t="s">
        <v>316</v>
      </c>
      <c r="Q75" t="s">
        <v>317</v>
      </c>
      <c r="R75">
        <v>570257170026070</v>
      </c>
      <c r="S75" t="s">
        <v>319</v>
      </c>
      <c r="T75">
        <v>860034313</v>
      </c>
      <c r="U75" t="s">
        <v>355</v>
      </c>
      <c r="V75">
        <v>923245</v>
      </c>
      <c r="W75" t="s">
        <v>180</v>
      </c>
      <c r="X75" s="2" t="s">
        <v>29</v>
      </c>
      <c r="Y75" t="s">
        <v>30</v>
      </c>
      <c r="Z75" t="s">
        <v>31</v>
      </c>
      <c r="AA75" t="s">
        <v>32</v>
      </c>
      <c r="AB75" t="s">
        <v>33</v>
      </c>
      <c r="AC75" s="51">
        <v>4292876</v>
      </c>
      <c r="AD75">
        <v>0</v>
      </c>
      <c r="AE75" s="4">
        <v>0</v>
      </c>
      <c r="AF75" s="4">
        <v>0</v>
      </c>
      <c r="AG75" t="s">
        <v>462</v>
      </c>
      <c r="AH75">
        <v>0</v>
      </c>
      <c r="AI75">
        <v>0</v>
      </c>
      <c r="AJ75" s="2" t="s">
        <v>463</v>
      </c>
      <c r="AK75" s="2">
        <v>0</v>
      </c>
      <c r="AL75">
        <v>0</v>
      </c>
      <c r="AM75">
        <v>0</v>
      </c>
      <c r="AN75">
        <v>0</v>
      </c>
      <c r="AO75">
        <v>0</v>
      </c>
      <c r="AP75">
        <v>3825</v>
      </c>
      <c r="AQ75">
        <v>3825</v>
      </c>
      <c r="AR75">
        <v>4625</v>
      </c>
      <c r="AS75">
        <v>0</v>
      </c>
      <c r="AT75">
        <v>0</v>
      </c>
      <c r="AU75">
        <v>7825</v>
      </c>
      <c r="AV75">
        <v>64519225</v>
      </c>
      <c r="AW75">
        <v>0</v>
      </c>
      <c r="AX75" s="5">
        <v>45689</v>
      </c>
      <c r="AY75" t="s">
        <v>356</v>
      </c>
      <c r="AZ75" t="s">
        <v>732</v>
      </c>
      <c r="BA75" t="s">
        <v>724</v>
      </c>
    </row>
    <row r="76" spans="1:53" ht="15" customHeight="1" x14ac:dyDescent="0.2">
      <c r="A76" t="s">
        <v>4919</v>
      </c>
      <c r="B76" t="s">
        <v>2258</v>
      </c>
      <c r="C76" t="s">
        <v>4917</v>
      </c>
      <c r="D76">
        <v>64519325</v>
      </c>
      <c r="E76" s="5">
        <v>45726</v>
      </c>
      <c r="F76" s="5">
        <v>45728.078472222223</v>
      </c>
      <c r="G76" s="4" t="s">
        <v>460</v>
      </c>
      <c r="H76" s="49">
        <v>4292876</v>
      </c>
      <c r="I76" s="49">
        <v>22820</v>
      </c>
      <c r="J76" s="50">
        <v>4270056</v>
      </c>
      <c r="K76" t="s">
        <v>2615</v>
      </c>
      <c r="L76" s="4" t="s">
        <v>461</v>
      </c>
      <c r="M76" t="s">
        <v>351</v>
      </c>
      <c r="N76" s="2">
        <v>52954942</v>
      </c>
      <c r="O76" t="s">
        <v>734</v>
      </c>
      <c r="P76" t="s">
        <v>316</v>
      </c>
      <c r="Q76" t="s">
        <v>317</v>
      </c>
      <c r="R76">
        <v>488436761537</v>
      </c>
      <c r="S76" t="s">
        <v>319</v>
      </c>
      <c r="T76">
        <v>860034313</v>
      </c>
      <c r="U76" t="s">
        <v>355</v>
      </c>
      <c r="V76">
        <v>923245</v>
      </c>
      <c r="W76" t="s">
        <v>180</v>
      </c>
      <c r="X76" s="2" t="s">
        <v>29</v>
      </c>
      <c r="Y76" t="s">
        <v>30</v>
      </c>
      <c r="Z76" t="s">
        <v>31</v>
      </c>
      <c r="AA76" t="s">
        <v>32</v>
      </c>
      <c r="AB76" t="s">
        <v>33</v>
      </c>
      <c r="AC76" s="51">
        <v>4292876</v>
      </c>
      <c r="AD76">
        <v>0</v>
      </c>
      <c r="AE76" s="4">
        <v>0</v>
      </c>
      <c r="AF76" s="4">
        <v>0</v>
      </c>
      <c r="AG76" t="s">
        <v>462</v>
      </c>
      <c r="AH76">
        <v>0</v>
      </c>
      <c r="AI76">
        <v>0</v>
      </c>
      <c r="AJ76" s="2" t="s">
        <v>463</v>
      </c>
      <c r="AK76" s="2">
        <v>0</v>
      </c>
      <c r="AL76">
        <v>0</v>
      </c>
      <c r="AM76">
        <v>0</v>
      </c>
      <c r="AN76">
        <v>0</v>
      </c>
      <c r="AO76">
        <v>0</v>
      </c>
      <c r="AP76">
        <v>3825</v>
      </c>
      <c r="AQ76">
        <v>3825</v>
      </c>
      <c r="AR76">
        <v>4725</v>
      </c>
      <c r="AS76">
        <v>0</v>
      </c>
      <c r="AT76">
        <v>0</v>
      </c>
      <c r="AU76">
        <v>7925</v>
      </c>
      <c r="AV76">
        <v>64519325</v>
      </c>
      <c r="AW76">
        <v>0</v>
      </c>
      <c r="AX76" s="5">
        <v>45689</v>
      </c>
      <c r="AY76" t="s">
        <v>356</v>
      </c>
      <c r="AZ76" t="s">
        <v>736</v>
      </c>
      <c r="BA76" t="s">
        <v>724</v>
      </c>
    </row>
    <row r="77" spans="1:53" ht="15" customHeight="1" x14ac:dyDescent="0.2">
      <c r="A77" t="s">
        <v>4920</v>
      </c>
      <c r="B77" t="s">
        <v>2259</v>
      </c>
      <c r="C77" t="s">
        <v>4882</v>
      </c>
      <c r="D77">
        <v>64519425</v>
      </c>
      <c r="E77" s="5">
        <v>45726</v>
      </c>
      <c r="F77" s="5">
        <v>45728.066666666666</v>
      </c>
      <c r="G77" s="4" t="s">
        <v>460</v>
      </c>
      <c r="H77" s="49">
        <v>4292877</v>
      </c>
      <c r="I77" s="49">
        <v>22820</v>
      </c>
      <c r="J77" s="50">
        <v>4270057</v>
      </c>
      <c r="K77" t="s">
        <v>2615</v>
      </c>
      <c r="L77" s="4" t="s">
        <v>461</v>
      </c>
      <c r="M77" t="s">
        <v>351</v>
      </c>
      <c r="N77" s="2">
        <v>1018436224</v>
      </c>
      <c r="O77" t="s">
        <v>739</v>
      </c>
      <c r="P77" t="s">
        <v>316</v>
      </c>
      <c r="Q77" t="s">
        <v>317</v>
      </c>
      <c r="R77">
        <v>22100018156</v>
      </c>
      <c r="S77" t="s">
        <v>319</v>
      </c>
      <c r="T77">
        <v>890903938</v>
      </c>
      <c r="U77" t="s">
        <v>342</v>
      </c>
      <c r="V77">
        <v>923285</v>
      </c>
      <c r="W77" t="s">
        <v>572</v>
      </c>
      <c r="X77" s="2" t="s">
        <v>29</v>
      </c>
      <c r="Y77" t="s">
        <v>30</v>
      </c>
      <c r="Z77" t="s">
        <v>31</v>
      </c>
      <c r="AA77" t="s">
        <v>32</v>
      </c>
      <c r="AB77" t="s">
        <v>33</v>
      </c>
      <c r="AC77" s="51">
        <v>4292877</v>
      </c>
      <c r="AD77">
        <v>0</v>
      </c>
      <c r="AE77" s="4">
        <v>0</v>
      </c>
      <c r="AF77" s="4">
        <v>0</v>
      </c>
      <c r="AG77" t="s">
        <v>462</v>
      </c>
      <c r="AH77">
        <v>0</v>
      </c>
      <c r="AI77">
        <v>0</v>
      </c>
      <c r="AJ77" s="2" t="s">
        <v>463</v>
      </c>
      <c r="AK77" s="2">
        <v>0</v>
      </c>
      <c r="AL77">
        <v>0</v>
      </c>
      <c r="AM77">
        <v>0</v>
      </c>
      <c r="AN77">
        <v>0</v>
      </c>
      <c r="AO77">
        <v>0</v>
      </c>
      <c r="AP77">
        <v>4225</v>
      </c>
      <c r="AQ77">
        <v>4225</v>
      </c>
      <c r="AR77">
        <v>4825</v>
      </c>
      <c r="AS77">
        <v>0</v>
      </c>
      <c r="AT77">
        <v>0</v>
      </c>
      <c r="AU77">
        <v>8025</v>
      </c>
      <c r="AV77">
        <v>64519425</v>
      </c>
      <c r="AW77">
        <v>0</v>
      </c>
      <c r="AX77" s="5">
        <v>45691</v>
      </c>
      <c r="AY77" t="s">
        <v>356</v>
      </c>
      <c r="AZ77" t="s">
        <v>741</v>
      </c>
      <c r="BA77" t="s">
        <v>742</v>
      </c>
    </row>
    <row r="78" spans="1:53" ht="15" customHeight="1" x14ac:dyDescent="0.2">
      <c r="A78" t="s">
        <v>4921</v>
      </c>
      <c r="B78" t="s">
        <v>2260</v>
      </c>
      <c r="C78" t="s">
        <v>4917</v>
      </c>
      <c r="D78">
        <v>64519525</v>
      </c>
      <c r="E78" s="5">
        <v>45726</v>
      </c>
      <c r="F78" s="5">
        <v>45728.067361111112</v>
      </c>
      <c r="G78" s="4" t="s">
        <v>460</v>
      </c>
      <c r="H78" s="49">
        <v>3986243</v>
      </c>
      <c r="I78" s="49">
        <v>21190</v>
      </c>
      <c r="J78" s="50">
        <v>3965053</v>
      </c>
      <c r="K78" t="s">
        <v>2615</v>
      </c>
      <c r="L78" s="4" t="s">
        <v>461</v>
      </c>
      <c r="M78" t="s">
        <v>351</v>
      </c>
      <c r="N78" s="2">
        <v>39669143</v>
      </c>
      <c r="O78" t="s">
        <v>745</v>
      </c>
      <c r="P78" t="s">
        <v>316</v>
      </c>
      <c r="Q78" t="s">
        <v>317</v>
      </c>
      <c r="R78">
        <v>20567071264</v>
      </c>
      <c r="S78" t="s">
        <v>319</v>
      </c>
      <c r="T78">
        <v>890903938</v>
      </c>
      <c r="U78" t="s">
        <v>342</v>
      </c>
      <c r="V78">
        <v>923245</v>
      </c>
      <c r="W78" t="s">
        <v>180</v>
      </c>
      <c r="X78" s="2" t="s">
        <v>29</v>
      </c>
      <c r="Y78" t="s">
        <v>30</v>
      </c>
      <c r="Z78" t="s">
        <v>31</v>
      </c>
      <c r="AA78" t="s">
        <v>32</v>
      </c>
      <c r="AB78" t="s">
        <v>33</v>
      </c>
      <c r="AC78" s="51">
        <v>3986243</v>
      </c>
      <c r="AD78">
        <v>0</v>
      </c>
      <c r="AE78" s="4">
        <v>0</v>
      </c>
      <c r="AF78" s="4">
        <v>0</v>
      </c>
      <c r="AG78" t="s">
        <v>462</v>
      </c>
      <c r="AH78">
        <v>0</v>
      </c>
      <c r="AI78">
        <v>0</v>
      </c>
      <c r="AJ78" s="2" t="s">
        <v>463</v>
      </c>
      <c r="AK78" s="2">
        <v>0</v>
      </c>
      <c r="AL78">
        <v>0</v>
      </c>
      <c r="AM78">
        <v>0</v>
      </c>
      <c r="AN78">
        <v>0</v>
      </c>
      <c r="AO78">
        <v>0</v>
      </c>
      <c r="AP78">
        <v>3825</v>
      </c>
      <c r="AQ78">
        <v>3825</v>
      </c>
      <c r="AR78">
        <v>4925</v>
      </c>
      <c r="AS78">
        <v>0</v>
      </c>
      <c r="AT78">
        <v>0</v>
      </c>
      <c r="AU78">
        <v>8125</v>
      </c>
      <c r="AV78">
        <v>64519525</v>
      </c>
      <c r="AW78">
        <v>0</v>
      </c>
      <c r="AX78" s="5">
        <v>45692</v>
      </c>
      <c r="AY78" t="s">
        <v>356</v>
      </c>
      <c r="AZ78" t="s">
        <v>747</v>
      </c>
      <c r="BA78" t="s">
        <v>748</v>
      </c>
    </row>
    <row r="79" spans="1:53" ht="15" customHeight="1" x14ac:dyDescent="0.2">
      <c r="A79" t="s">
        <v>4922</v>
      </c>
      <c r="B79" t="s">
        <v>2261</v>
      </c>
      <c r="C79" t="s">
        <v>4917</v>
      </c>
      <c r="D79">
        <v>64519625</v>
      </c>
      <c r="E79" s="5">
        <v>45726</v>
      </c>
      <c r="F79" s="5">
        <v>45728.07916666667</v>
      </c>
      <c r="G79" s="4" t="s">
        <v>460</v>
      </c>
      <c r="H79" s="49">
        <v>3986243</v>
      </c>
      <c r="I79" s="49">
        <v>21190</v>
      </c>
      <c r="J79" s="50">
        <v>3965053</v>
      </c>
      <c r="K79" t="s">
        <v>2615</v>
      </c>
      <c r="L79" s="4" t="s">
        <v>461</v>
      </c>
      <c r="M79" t="s">
        <v>351</v>
      </c>
      <c r="N79" s="2">
        <v>52506643</v>
      </c>
      <c r="O79" t="s">
        <v>750</v>
      </c>
      <c r="P79" t="s">
        <v>316</v>
      </c>
      <c r="Q79" t="s">
        <v>317</v>
      </c>
      <c r="R79">
        <v>474900022382</v>
      </c>
      <c r="S79" t="s">
        <v>319</v>
      </c>
      <c r="T79">
        <v>860034313</v>
      </c>
      <c r="U79" t="s">
        <v>355</v>
      </c>
      <c r="V79">
        <v>923245</v>
      </c>
      <c r="W79" t="s">
        <v>180</v>
      </c>
      <c r="X79" s="2" t="s">
        <v>29</v>
      </c>
      <c r="Y79" t="s">
        <v>30</v>
      </c>
      <c r="Z79" t="s">
        <v>31</v>
      </c>
      <c r="AA79" t="s">
        <v>32</v>
      </c>
      <c r="AB79" t="s">
        <v>33</v>
      </c>
      <c r="AC79" s="51">
        <v>3986243</v>
      </c>
      <c r="AD79">
        <v>0</v>
      </c>
      <c r="AE79" s="4">
        <v>0</v>
      </c>
      <c r="AF79" s="4">
        <v>0</v>
      </c>
      <c r="AG79" t="s">
        <v>462</v>
      </c>
      <c r="AH79">
        <v>0</v>
      </c>
      <c r="AI79">
        <v>0</v>
      </c>
      <c r="AJ79" s="2" t="s">
        <v>463</v>
      </c>
      <c r="AK79" s="2">
        <v>0</v>
      </c>
      <c r="AL79">
        <v>0</v>
      </c>
      <c r="AM79">
        <v>0</v>
      </c>
      <c r="AN79">
        <v>0</v>
      </c>
      <c r="AO79">
        <v>0</v>
      </c>
      <c r="AP79">
        <v>3825</v>
      </c>
      <c r="AQ79">
        <v>3825</v>
      </c>
      <c r="AR79">
        <v>5025</v>
      </c>
      <c r="AS79">
        <v>0</v>
      </c>
      <c r="AT79">
        <v>0</v>
      </c>
      <c r="AU79">
        <v>8225</v>
      </c>
      <c r="AV79">
        <v>64519625</v>
      </c>
      <c r="AW79">
        <v>0</v>
      </c>
      <c r="AX79" s="5">
        <v>45692</v>
      </c>
      <c r="AY79" t="s">
        <v>356</v>
      </c>
      <c r="AZ79" t="s">
        <v>752</v>
      </c>
      <c r="BA79" t="s">
        <v>748</v>
      </c>
    </row>
    <row r="80" spans="1:53" ht="15" customHeight="1" x14ac:dyDescent="0.2">
      <c r="A80" t="s">
        <v>4923</v>
      </c>
      <c r="B80" t="s">
        <v>2262</v>
      </c>
      <c r="C80" t="s">
        <v>4917</v>
      </c>
      <c r="D80">
        <v>64519725</v>
      </c>
      <c r="E80" s="5">
        <v>45726</v>
      </c>
      <c r="F80" s="5">
        <v>45728.07916666667</v>
      </c>
      <c r="G80" s="4" t="s">
        <v>460</v>
      </c>
      <c r="H80" s="49">
        <v>3986243</v>
      </c>
      <c r="I80" s="49">
        <v>21190</v>
      </c>
      <c r="J80" s="50">
        <v>3965053</v>
      </c>
      <c r="K80" t="s">
        <v>2615</v>
      </c>
      <c r="L80" s="4" t="s">
        <v>461</v>
      </c>
      <c r="M80" t="s">
        <v>351</v>
      </c>
      <c r="N80" s="2">
        <v>52803339</v>
      </c>
      <c r="O80" t="s">
        <v>754</v>
      </c>
      <c r="P80" t="s">
        <v>316</v>
      </c>
      <c r="Q80" t="s">
        <v>317</v>
      </c>
      <c r="R80">
        <v>4000184103</v>
      </c>
      <c r="S80" t="s">
        <v>319</v>
      </c>
      <c r="T80">
        <v>860034313</v>
      </c>
      <c r="U80" t="s">
        <v>355</v>
      </c>
      <c r="V80">
        <v>923245</v>
      </c>
      <c r="W80" t="s">
        <v>180</v>
      </c>
      <c r="X80" s="2" t="s">
        <v>29</v>
      </c>
      <c r="Y80" t="s">
        <v>30</v>
      </c>
      <c r="Z80" t="s">
        <v>31</v>
      </c>
      <c r="AA80" t="s">
        <v>32</v>
      </c>
      <c r="AB80" t="s">
        <v>33</v>
      </c>
      <c r="AC80" s="51">
        <v>3986243</v>
      </c>
      <c r="AD80">
        <v>0</v>
      </c>
      <c r="AE80" s="4">
        <v>0</v>
      </c>
      <c r="AF80" s="4">
        <v>0</v>
      </c>
      <c r="AG80" t="s">
        <v>462</v>
      </c>
      <c r="AH80">
        <v>0</v>
      </c>
      <c r="AI80">
        <v>0</v>
      </c>
      <c r="AJ80" s="2" t="s">
        <v>463</v>
      </c>
      <c r="AK80" s="2">
        <v>0</v>
      </c>
      <c r="AL80">
        <v>0</v>
      </c>
      <c r="AM80">
        <v>0</v>
      </c>
      <c r="AN80">
        <v>0</v>
      </c>
      <c r="AO80">
        <v>0</v>
      </c>
      <c r="AP80">
        <v>3825</v>
      </c>
      <c r="AQ80">
        <v>3825</v>
      </c>
      <c r="AR80">
        <v>5125</v>
      </c>
      <c r="AS80">
        <v>0</v>
      </c>
      <c r="AT80">
        <v>0</v>
      </c>
      <c r="AU80">
        <v>8325</v>
      </c>
      <c r="AV80">
        <v>64519725</v>
      </c>
      <c r="AW80">
        <v>0</v>
      </c>
      <c r="AX80" s="5">
        <v>45692</v>
      </c>
      <c r="AY80" t="s">
        <v>356</v>
      </c>
      <c r="AZ80" t="s">
        <v>756</v>
      </c>
      <c r="BA80" t="s">
        <v>748</v>
      </c>
    </row>
    <row r="81" spans="1:53" ht="15" customHeight="1" x14ac:dyDescent="0.2">
      <c r="A81" t="s">
        <v>4924</v>
      </c>
      <c r="B81" t="s">
        <v>2263</v>
      </c>
      <c r="C81" t="s">
        <v>4917</v>
      </c>
      <c r="D81">
        <v>64519825</v>
      </c>
      <c r="E81" s="5">
        <v>45726</v>
      </c>
      <c r="F81" s="5">
        <v>45728.07916666667</v>
      </c>
      <c r="G81" s="4" t="s">
        <v>460</v>
      </c>
      <c r="H81" s="49">
        <v>3986243</v>
      </c>
      <c r="I81" s="49">
        <v>21190</v>
      </c>
      <c r="J81" s="50">
        <v>3965053</v>
      </c>
      <c r="K81" t="s">
        <v>2615</v>
      </c>
      <c r="L81" s="4" t="s">
        <v>461</v>
      </c>
      <c r="M81" t="s">
        <v>351</v>
      </c>
      <c r="N81" s="2">
        <v>1022364660</v>
      </c>
      <c r="O81" t="s">
        <v>758</v>
      </c>
      <c r="P81" t="s">
        <v>316</v>
      </c>
      <c r="Q81" t="s">
        <v>317</v>
      </c>
      <c r="R81">
        <v>550005300548293</v>
      </c>
      <c r="S81" t="s">
        <v>319</v>
      </c>
      <c r="T81">
        <v>860034313</v>
      </c>
      <c r="U81" t="s">
        <v>355</v>
      </c>
      <c r="V81">
        <v>923245</v>
      </c>
      <c r="W81" t="s">
        <v>180</v>
      </c>
      <c r="X81" s="2" t="s">
        <v>29</v>
      </c>
      <c r="Y81" t="s">
        <v>30</v>
      </c>
      <c r="Z81" t="s">
        <v>31</v>
      </c>
      <c r="AA81" t="s">
        <v>32</v>
      </c>
      <c r="AB81" t="s">
        <v>33</v>
      </c>
      <c r="AC81" s="51">
        <v>3986243</v>
      </c>
      <c r="AD81">
        <v>0</v>
      </c>
      <c r="AE81" s="4">
        <v>0</v>
      </c>
      <c r="AF81" s="4">
        <v>0</v>
      </c>
      <c r="AG81" t="s">
        <v>462</v>
      </c>
      <c r="AH81">
        <v>0</v>
      </c>
      <c r="AI81">
        <v>0</v>
      </c>
      <c r="AJ81" s="2" t="s">
        <v>463</v>
      </c>
      <c r="AK81" s="2">
        <v>0</v>
      </c>
      <c r="AL81">
        <v>0</v>
      </c>
      <c r="AM81">
        <v>0</v>
      </c>
      <c r="AN81">
        <v>0</v>
      </c>
      <c r="AO81">
        <v>0</v>
      </c>
      <c r="AP81">
        <v>3825</v>
      </c>
      <c r="AQ81">
        <v>3825</v>
      </c>
      <c r="AR81">
        <v>5225</v>
      </c>
      <c r="AS81">
        <v>0</v>
      </c>
      <c r="AT81">
        <v>0</v>
      </c>
      <c r="AU81">
        <v>8425</v>
      </c>
      <c r="AV81">
        <v>64519825</v>
      </c>
      <c r="AW81">
        <v>0</v>
      </c>
      <c r="AX81" s="5">
        <v>45692</v>
      </c>
      <c r="AY81" t="s">
        <v>356</v>
      </c>
      <c r="AZ81" t="s">
        <v>760</v>
      </c>
      <c r="BA81" t="s">
        <v>748</v>
      </c>
    </row>
    <row r="82" spans="1:53" ht="15" customHeight="1" x14ac:dyDescent="0.2">
      <c r="A82" t="s">
        <v>4925</v>
      </c>
      <c r="B82" t="s">
        <v>2264</v>
      </c>
      <c r="C82" t="s">
        <v>4917</v>
      </c>
      <c r="D82">
        <v>64519925</v>
      </c>
      <c r="E82" s="5">
        <v>45726</v>
      </c>
      <c r="F82" s="5">
        <v>45728.07916666667</v>
      </c>
      <c r="G82" s="4" t="s">
        <v>460</v>
      </c>
      <c r="H82" s="49">
        <v>3986243</v>
      </c>
      <c r="I82" s="49">
        <v>21190</v>
      </c>
      <c r="J82" s="50">
        <v>3965053</v>
      </c>
      <c r="K82" t="s">
        <v>2615</v>
      </c>
      <c r="L82" s="4" t="s">
        <v>461</v>
      </c>
      <c r="M82" t="s">
        <v>351</v>
      </c>
      <c r="N82" s="2">
        <v>52874856</v>
      </c>
      <c r="O82" t="s">
        <v>762</v>
      </c>
      <c r="P82" t="s">
        <v>316</v>
      </c>
      <c r="Q82" t="s">
        <v>317</v>
      </c>
      <c r="R82">
        <v>8870426015</v>
      </c>
      <c r="S82" t="s">
        <v>319</v>
      </c>
      <c r="T82">
        <v>860034313</v>
      </c>
      <c r="U82" t="s">
        <v>355</v>
      </c>
      <c r="V82">
        <v>923245</v>
      </c>
      <c r="W82" t="s">
        <v>180</v>
      </c>
      <c r="X82" s="2" t="s">
        <v>29</v>
      </c>
      <c r="Y82" t="s">
        <v>30</v>
      </c>
      <c r="Z82" t="s">
        <v>31</v>
      </c>
      <c r="AA82" t="s">
        <v>32</v>
      </c>
      <c r="AB82" t="s">
        <v>33</v>
      </c>
      <c r="AC82" s="51">
        <v>3986243</v>
      </c>
      <c r="AD82">
        <v>0</v>
      </c>
      <c r="AE82" s="4">
        <v>0</v>
      </c>
      <c r="AF82" s="4">
        <v>0</v>
      </c>
      <c r="AG82" t="s">
        <v>462</v>
      </c>
      <c r="AH82">
        <v>0</v>
      </c>
      <c r="AI82">
        <v>0</v>
      </c>
      <c r="AJ82" s="2" t="s">
        <v>463</v>
      </c>
      <c r="AK82" s="2">
        <v>0</v>
      </c>
      <c r="AL82">
        <v>0</v>
      </c>
      <c r="AM82">
        <v>0</v>
      </c>
      <c r="AN82">
        <v>0</v>
      </c>
      <c r="AO82">
        <v>0</v>
      </c>
      <c r="AP82">
        <v>3825</v>
      </c>
      <c r="AQ82">
        <v>3825</v>
      </c>
      <c r="AR82">
        <v>5325</v>
      </c>
      <c r="AS82">
        <v>0</v>
      </c>
      <c r="AT82">
        <v>0</v>
      </c>
      <c r="AU82">
        <v>8525</v>
      </c>
      <c r="AV82">
        <v>64519925</v>
      </c>
      <c r="AW82">
        <v>0</v>
      </c>
      <c r="AX82" s="5">
        <v>45692</v>
      </c>
      <c r="AY82" t="s">
        <v>356</v>
      </c>
      <c r="AZ82" t="s">
        <v>764</v>
      </c>
      <c r="BA82" t="s">
        <v>748</v>
      </c>
    </row>
    <row r="83" spans="1:53" ht="15" customHeight="1" x14ac:dyDescent="0.2">
      <c r="A83" t="s">
        <v>4926</v>
      </c>
      <c r="B83" t="s">
        <v>2265</v>
      </c>
      <c r="C83" t="s">
        <v>4917</v>
      </c>
      <c r="D83">
        <v>64520025</v>
      </c>
      <c r="E83" s="5">
        <v>45726</v>
      </c>
      <c r="F83" s="5">
        <v>45728.064583333333</v>
      </c>
      <c r="G83" s="4" t="s">
        <v>460</v>
      </c>
      <c r="H83" s="49">
        <v>3986243</v>
      </c>
      <c r="I83" s="49">
        <v>21190</v>
      </c>
      <c r="J83" s="50">
        <v>3965053</v>
      </c>
      <c r="K83" t="s">
        <v>2615</v>
      </c>
      <c r="L83" s="4" t="s">
        <v>461</v>
      </c>
      <c r="M83" t="s">
        <v>351</v>
      </c>
      <c r="N83" s="2">
        <v>52306195</v>
      </c>
      <c r="O83" t="s">
        <v>766</v>
      </c>
      <c r="P83" t="s">
        <v>316</v>
      </c>
      <c r="Q83" t="s">
        <v>317</v>
      </c>
      <c r="R83">
        <v>143083624</v>
      </c>
      <c r="S83" t="s">
        <v>319</v>
      </c>
      <c r="T83">
        <v>860002964</v>
      </c>
      <c r="U83" t="s">
        <v>419</v>
      </c>
      <c r="V83">
        <v>923245</v>
      </c>
      <c r="W83" t="s">
        <v>180</v>
      </c>
      <c r="X83" s="2" t="s">
        <v>29</v>
      </c>
      <c r="Y83" t="s">
        <v>30</v>
      </c>
      <c r="Z83" t="s">
        <v>31</v>
      </c>
      <c r="AA83" t="s">
        <v>32</v>
      </c>
      <c r="AB83" t="s">
        <v>33</v>
      </c>
      <c r="AC83" s="51">
        <v>3986243</v>
      </c>
      <c r="AD83">
        <v>0</v>
      </c>
      <c r="AE83" s="4">
        <v>0</v>
      </c>
      <c r="AF83" s="4">
        <v>0</v>
      </c>
      <c r="AG83" t="s">
        <v>462</v>
      </c>
      <c r="AH83">
        <v>0</v>
      </c>
      <c r="AI83">
        <v>0</v>
      </c>
      <c r="AJ83" s="2" t="s">
        <v>463</v>
      </c>
      <c r="AK83" s="2">
        <v>0</v>
      </c>
      <c r="AL83">
        <v>0</v>
      </c>
      <c r="AM83">
        <v>0</v>
      </c>
      <c r="AN83">
        <v>0</v>
      </c>
      <c r="AO83">
        <v>0</v>
      </c>
      <c r="AP83">
        <v>3825</v>
      </c>
      <c r="AQ83">
        <v>3825</v>
      </c>
      <c r="AR83">
        <v>5425</v>
      </c>
      <c r="AS83">
        <v>0</v>
      </c>
      <c r="AT83">
        <v>0</v>
      </c>
      <c r="AU83">
        <v>8625</v>
      </c>
      <c r="AV83">
        <v>64520025</v>
      </c>
      <c r="AW83">
        <v>0</v>
      </c>
      <c r="AX83" s="5">
        <v>45692</v>
      </c>
      <c r="AY83" t="s">
        <v>356</v>
      </c>
      <c r="AZ83" t="s">
        <v>768</v>
      </c>
      <c r="BA83" t="s">
        <v>748</v>
      </c>
    </row>
    <row r="84" spans="1:53" ht="15" customHeight="1" x14ac:dyDescent="0.2">
      <c r="A84" t="s">
        <v>4927</v>
      </c>
      <c r="B84" t="s">
        <v>2266</v>
      </c>
      <c r="C84" t="s">
        <v>4917</v>
      </c>
      <c r="D84">
        <v>64520125</v>
      </c>
      <c r="E84" s="5">
        <v>45726</v>
      </c>
      <c r="F84" s="5">
        <v>45728.07916666667</v>
      </c>
      <c r="G84" s="4" t="s">
        <v>460</v>
      </c>
      <c r="H84" s="49">
        <v>3986243</v>
      </c>
      <c r="I84" s="49">
        <v>21190</v>
      </c>
      <c r="J84" s="50">
        <v>3965053</v>
      </c>
      <c r="K84" t="s">
        <v>2615</v>
      </c>
      <c r="L84" s="4" t="s">
        <v>461</v>
      </c>
      <c r="M84" t="s">
        <v>351</v>
      </c>
      <c r="N84" s="2">
        <v>52229415</v>
      </c>
      <c r="O84" t="s">
        <v>770</v>
      </c>
      <c r="P84" t="s">
        <v>316</v>
      </c>
      <c r="Q84" t="s">
        <v>317</v>
      </c>
      <c r="R84">
        <v>480870015041</v>
      </c>
      <c r="S84" t="s">
        <v>319</v>
      </c>
      <c r="T84">
        <v>860034313</v>
      </c>
      <c r="U84" t="s">
        <v>355</v>
      </c>
      <c r="V84">
        <v>923245</v>
      </c>
      <c r="W84" t="s">
        <v>180</v>
      </c>
      <c r="X84" s="2" t="s">
        <v>29</v>
      </c>
      <c r="Y84" t="s">
        <v>30</v>
      </c>
      <c r="Z84" t="s">
        <v>31</v>
      </c>
      <c r="AA84" t="s">
        <v>32</v>
      </c>
      <c r="AB84" t="s">
        <v>33</v>
      </c>
      <c r="AC84" s="51">
        <v>3986243</v>
      </c>
      <c r="AD84">
        <v>0</v>
      </c>
      <c r="AE84" s="4">
        <v>0</v>
      </c>
      <c r="AF84" s="4">
        <v>0</v>
      </c>
      <c r="AG84" t="s">
        <v>462</v>
      </c>
      <c r="AH84">
        <v>0</v>
      </c>
      <c r="AI84">
        <v>0</v>
      </c>
      <c r="AJ84" s="2" t="s">
        <v>463</v>
      </c>
      <c r="AK84" s="2">
        <v>0</v>
      </c>
      <c r="AL84">
        <v>0</v>
      </c>
      <c r="AM84">
        <v>0</v>
      </c>
      <c r="AN84">
        <v>0</v>
      </c>
      <c r="AO84">
        <v>0</v>
      </c>
      <c r="AP84">
        <v>3825</v>
      </c>
      <c r="AQ84">
        <v>3825</v>
      </c>
      <c r="AR84">
        <v>5525</v>
      </c>
      <c r="AS84">
        <v>0</v>
      </c>
      <c r="AT84">
        <v>0</v>
      </c>
      <c r="AU84">
        <v>8725</v>
      </c>
      <c r="AV84">
        <v>64520125</v>
      </c>
      <c r="AW84">
        <v>0</v>
      </c>
      <c r="AX84" s="5">
        <v>45692</v>
      </c>
      <c r="AY84" t="s">
        <v>356</v>
      </c>
      <c r="AZ84" t="s">
        <v>772</v>
      </c>
      <c r="BA84" t="s">
        <v>748</v>
      </c>
    </row>
    <row r="85" spans="1:53" ht="15" customHeight="1" x14ac:dyDescent="0.2">
      <c r="A85" t="s">
        <v>4928</v>
      </c>
      <c r="B85" t="s">
        <v>2267</v>
      </c>
      <c r="C85" t="s">
        <v>4917</v>
      </c>
      <c r="D85">
        <v>64520225</v>
      </c>
      <c r="E85" s="5">
        <v>45726</v>
      </c>
      <c r="F85" s="5">
        <v>45728.067361111112</v>
      </c>
      <c r="G85" s="4" t="s">
        <v>460</v>
      </c>
      <c r="H85" s="49">
        <v>3986243</v>
      </c>
      <c r="I85" s="49">
        <v>21190</v>
      </c>
      <c r="J85" s="50">
        <v>3965053</v>
      </c>
      <c r="K85" t="s">
        <v>2615</v>
      </c>
      <c r="L85" s="4" t="s">
        <v>461</v>
      </c>
      <c r="M85" t="s">
        <v>351</v>
      </c>
      <c r="N85" s="2">
        <v>1031123608</v>
      </c>
      <c r="O85" t="s">
        <v>774</v>
      </c>
      <c r="P85" t="s">
        <v>316</v>
      </c>
      <c r="Q85" t="s">
        <v>317</v>
      </c>
      <c r="R85">
        <v>67357087608</v>
      </c>
      <c r="S85" t="s">
        <v>319</v>
      </c>
      <c r="T85">
        <v>890903938</v>
      </c>
      <c r="U85" t="s">
        <v>342</v>
      </c>
      <c r="V85">
        <v>923245</v>
      </c>
      <c r="W85" t="s">
        <v>180</v>
      </c>
      <c r="X85" s="2" t="s">
        <v>29</v>
      </c>
      <c r="Y85" t="s">
        <v>30</v>
      </c>
      <c r="Z85" t="s">
        <v>31</v>
      </c>
      <c r="AA85" t="s">
        <v>32</v>
      </c>
      <c r="AB85" t="s">
        <v>33</v>
      </c>
      <c r="AC85" s="51">
        <v>3986243</v>
      </c>
      <c r="AD85">
        <v>0</v>
      </c>
      <c r="AE85" s="4">
        <v>0</v>
      </c>
      <c r="AF85" s="4">
        <v>0</v>
      </c>
      <c r="AG85" t="s">
        <v>462</v>
      </c>
      <c r="AH85">
        <v>0</v>
      </c>
      <c r="AI85">
        <v>0</v>
      </c>
      <c r="AJ85" s="2" t="s">
        <v>463</v>
      </c>
      <c r="AK85" s="2">
        <v>0</v>
      </c>
      <c r="AL85">
        <v>0</v>
      </c>
      <c r="AM85">
        <v>0</v>
      </c>
      <c r="AN85">
        <v>0</v>
      </c>
      <c r="AO85">
        <v>0</v>
      </c>
      <c r="AP85">
        <v>3825</v>
      </c>
      <c r="AQ85">
        <v>3825</v>
      </c>
      <c r="AR85">
        <v>5625</v>
      </c>
      <c r="AS85">
        <v>0</v>
      </c>
      <c r="AT85">
        <v>0</v>
      </c>
      <c r="AU85">
        <v>8825</v>
      </c>
      <c r="AV85">
        <v>64520225</v>
      </c>
      <c r="AW85">
        <v>0</v>
      </c>
      <c r="AX85" s="5">
        <v>45692</v>
      </c>
      <c r="AY85" t="s">
        <v>356</v>
      </c>
      <c r="AZ85" t="s">
        <v>776</v>
      </c>
      <c r="BA85" t="s">
        <v>748</v>
      </c>
    </row>
    <row r="86" spans="1:53" ht="15" customHeight="1" x14ac:dyDescent="0.2">
      <c r="A86" t="s">
        <v>4929</v>
      </c>
      <c r="B86" t="s">
        <v>2268</v>
      </c>
      <c r="C86" t="s">
        <v>4917</v>
      </c>
      <c r="D86">
        <v>64520325</v>
      </c>
      <c r="E86" s="5">
        <v>45726</v>
      </c>
      <c r="F86" s="5">
        <v>45728.081250000003</v>
      </c>
      <c r="G86" s="4" t="s">
        <v>460</v>
      </c>
      <c r="H86" s="49">
        <v>3986243</v>
      </c>
      <c r="I86" s="49">
        <v>22721</v>
      </c>
      <c r="J86" s="50">
        <v>3963522</v>
      </c>
      <c r="K86" t="s">
        <v>2615</v>
      </c>
      <c r="L86" s="4" t="s">
        <v>461</v>
      </c>
      <c r="M86" t="s">
        <v>351</v>
      </c>
      <c r="N86" s="2">
        <v>2994915</v>
      </c>
      <c r="O86" t="s">
        <v>778</v>
      </c>
      <c r="P86" t="s">
        <v>316</v>
      </c>
      <c r="Q86" t="s">
        <v>317</v>
      </c>
      <c r="R86">
        <v>476100010224</v>
      </c>
      <c r="S86" t="s">
        <v>319</v>
      </c>
      <c r="T86">
        <v>860034313</v>
      </c>
      <c r="U86" t="s">
        <v>355</v>
      </c>
      <c r="V86">
        <v>923245</v>
      </c>
      <c r="W86" t="s">
        <v>180</v>
      </c>
      <c r="X86" s="2" t="s">
        <v>29</v>
      </c>
      <c r="Y86" t="s">
        <v>30</v>
      </c>
      <c r="Z86" t="s">
        <v>31</v>
      </c>
      <c r="AA86" t="s">
        <v>32</v>
      </c>
      <c r="AB86" t="s">
        <v>33</v>
      </c>
      <c r="AC86" s="51">
        <v>3986243</v>
      </c>
      <c r="AD86">
        <v>0</v>
      </c>
      <c r="AE86" s="4">
        <v>0</v>
      </c>
      <c r="AF86" s="4">
        <v>0</v>
      </c>
      <c r="AG86" t="s">
        <v>462</v>
      </c>
      <c r="AH86">
        <v>0</v>
      </c>
      <c r="AI86">
        <v>0</v>
      </c>
      <c r="AJ86" s="2" t="s">
        <v>463</v>
      </c>
      <c r="AK86" s="2">
        <v>0</v>
      </c>
      <c r="AL86">
        <v>0</v>
      </c>
      <c r="AM86">
        <v>0</v>
      </c>
      <c r="AN86">
        <v>0</v>
      </c>
      <c r="AO86">
        <v>0</v>
      </c>
      <c r="AP86">
        <v>3825</v>
      </c>
      <c r="AQ86">
        <v>3825</v>
      </c>
      <c r="AR86">
        <v>5725</v>
      </c>
      <c r="AS86">
        <v>0</v>
      </c>
      <c r="AT86">
        <v>0</v>
      </c>
      <c r="AU86">
        <v>8925</v>
      </c>
      <c r="AV86">
        <v>64520325</v>
      </c>
      <c r="AW86">
        <v>0</v>
      </c>
      <c r="AX86" s="5">
        <v>45692</v>
      </c>
      <c r="AY86" t="s">
        <v>356</v>
      </c>
      <c r="AZ86" t="s">
        <v>780</v>
      </c>
      <c r="BA86" t="s">
        <v>748</v>
      </c>
    </row>
    <row r="87" spans="1:53" ht="15" customHeight="1" x14ac:dyDescent="0.2">
      <c r="A87" t="s">
        <v>4930</v>
      </c>
      <c r="B87" t="s">
        <v>2269</v>
      </c>
      <c r="C87" t="s">
        <v>4917</v>
      </c>
      <c r="D87">
        <v>64520425</v>
      </c>
      <c r="E87" s="5">
        <v>45726</v>
      </c>
      <c r="F87" s="5">
        <v>45728.075694444444</v>
      </c>
      <c r="G87" s="4" t="s">
        <v>460</v>
      </c>
      <c r="H87" s="49">
        <v>3986243</v>
      </c>
      <c r="I87" s="49">
        <v>22721</v>
      </c>
      <c r="J87" s="50">
        <v>3963522</v>
      </c>
      <c r="K87" t="s">
        <v>2615</v>
      </c>
      <c r="L87" s="4" t="s">
        <v>461</v>
      </c>
      <c r="M87" t="s">
        <v>351</v>
      </c>
      <c r="N87" s="2">
        <v>93117815</v>
      </c>
      <c r="O87" t="s">
        <v>782</v>
      </c>
      <c r="P87" t="s">
        <v>316</v>
      </c>
      <c r="Q87" t="s">
        <v>317</v>
      </c>
      <c r="R87">
        <v>70416714</v>
      </c>
      <c r="S87" t="s">
        <v>319</v>
      </c>
      <c r="T87">
        <v>860003020</v>
      </c>
      <c r="U87" t="s">
        <v>393</v>
      </c>
      <c r="V87">
        <v>923245</v>
      </c>
      <c r="W87" t="s">
        <v>180</v>
      </c>
      <c r="X87" s="2" t="s">
        <v>29</v>
      </c>
      <c r="Y87" t="s">
        <v>30</v>
      </c>
      <c r="Z87" t="s">
        <v>31</v>
      </c>
      <c r="AA87" t="s">
        <v>32</v>
      </c>
      <c r="AB87" t="s">
        <v>33</v>
      </c>
      <c r="AC87" s="51">
        <v>3986243</v>
      </c>
      <c r="AD87">
        <v>0</v>
      </c>
      <c r="AE87" s="4">
        <v>0</v>
      </c>
      <c r="AF87" s="4">
        <v>0</v>
      </c>
      <c r="AG87" t="s">
        <v>462</v>
      </c>
      <c r="AH87">
        <v>0</v>
      </c>
      <c r="AI87">
        <v>0</v>
      </c>
      <c r="AJ87" s="2" t="s">
        <v>463</v>
      </c>
      <c r="AK87" s="2">
        <v>0</v>
      </c>
      <c r="AL87">
        <v>0</v>
      </c>
      <c r="AM87">
        <v>0</v>
      </c>
      <c r="AN87">
        <v>0</v>
      </c>
      <c r="AO87">
        <v>0</v>
      </c>
      <c r="AP87">
        <v>3825</v>
      </c>
      <c r="AQ87">
        <v>3825</v>
      </c>
      <c r="AR87">
        <v>5825</v>
      </c>
      <c r="AS87">
        <v>0</v>
      </c>
      <c r="AT87">
        <v>0</v>
      </c>
      <c r="AU87">
        <v>9025</v>
      </c>
      <c r="AV87">
        <v>64520425</v>
      </c>
      <c r="AW87">
        <v>0</v>
      </c>
      <c r="AX87" s="5">
        <v>45692</v>
      </c>
      <c r="AY87" t="s">
        <v>356</v>
      </c>
      <c r="AZ87" t="s">
        <v>785</v>
      </c>
      <c r="BA87" t="s">
        <v>748</v>
      </c>
    </row>
    <row r="88" spans="1:53" ht="15" customHeight="1" x14ac:dyDescent="0.2">
      <c r="A88" t="s">
        <v>4931</v>
      </c>
      <c r="B88" t="s">
        <v>2270</v>
      </c>
      <c r="C88" t="s">
        <v>4917</v>
      </c>
      <c r="D88">
        <v>64520525</v>
      </c>
      <c r="E88" s="5">
        <v>45726</v>
      </c>
      <c r="F88" s="5">
        <v>45728.07708333333</v>
      </c>
      <c r="G88" s="4" t="s">
        <v>460</v>
      </c>
      <c r="H88" s="49">
        <v>3986243</v>
      </c>
      <c r="I88" s="49">
        <v>21190</v>
      </c>
      <c r="J88" s="50">
        <v>3965053</v>
      </c>
      <c r="K88" t="s">
        <v>2615</v>
      </c>
      <c r="L88" s="4" t="s">
        <v>461</v>
      </c>
      <c r="M88" t="s">
        <v>351</v>
      </c>
      <c r="N88" s="2">
        <v>79965721</v>
      </c>
      <c r="O88" t="s">
        <v>788</v>
      </c>
      <c r="P88" t="s">
        <v>316</v>
      </c>
      <c r="Q88" t="s">
        <v>317</v>
      </c>
      <c r="R88">
        <v>24086223771</v>
      </c>
      <c r="S88" t="s">
        <v>319</v>
      </c>
      <c r="T88">
        <v>860007335</v>
      </c>
      <c r="U88" t="s">
        <v>381</v>
      </c>
      <c r="V88">
        <v>923245</v>
      </c>
      <c r="W88" t="s">
        <v>180</v>
      </c>
      <c r="X88" s="2" t="s">
        <v>29</v>
      </c>
      <c r="Y88" t="s">
        <v>30</v>
      </c>
      <c r="Z88" t="s">
        <v>31</v>
      </c>
      <c r="AA88" t="s">
        <v>32</v>
      </c>
      <c r="AB88" t="s">
        <v>33</v>
      </c>
      <c r="AC88" s="51">
        <v>3986243</v>
      </c>
      <c r="AD88">
        <v>0</v>
      </c>
      <c r="AE88" s="4">
        <v>0</v>
      </c>
      <c r="AF88" s="4">
        <v>0</v>
      </c>
      <c r="AG88" t="s">
        <v>462</v>
      </c>
      <c r="AH88">
        <v>0</v>
      </c>
      <c r="AI88">
        <v>0</v>
      </c>
      <c r="AJ88" s="2" t="s">
        <v>463</v>
      </c>
      <c r="AK88" s="2">
        <v>0</v>
      </c>
      <c r="AL88">
        <v>0</v>
      </c>
      <c r="AM88">
        <v>0</v>
      </c>
      <c r="AN88">
        <v>0</v>
      </c>
      <c r="AO88">
        <v>0</v>
      </c>
      <c r="AP88">
        <v>3825</v>
      </c>
      <c r="AQ88">
        <v>3825</v>
      </c>
      <c r="AR88">
        <v>5925</v>
      </c>
      <c r="AS88">
        <v>0</v>
      </c>
      <c r="AT88">
        <v>0</v>
      </c>
      <c r="AU88">
        <v>9125</v>
      </c>
      <c r="AV88">
        <v>64520525</v>
      </c>
      <c r="AW88">
        <v>0</v>
      </c>
      <c r="AX88" s="5">
        <v>45693</v>
      </c>
      <c r="AY88" t="s">
        <v>356</v>
      </c>
      <c r="AZ88" t="s">
        <v>790</v>
      </c>
      <c r="BA88" t="s">
        <v>748</v>
      </c>
    </row>
    <row r="89" spans="1:53" ht="15" customHeight="1" x14ac:dyDescent="0.2">
      <c r="A89" t="s">
        <v>4932</v>
      </c>
      <c r="B89" t="s">
        <v>2271</v>
      </c>
      <c r="C89" t="s">
        <v>4917</v>
      </c>
      <c r="D89">
        <v>64520625</v>
      </c>
      <c r="E89" s="5">
        <v>45726</v>
      </c>
      <c r="F89" s="5">
        <v>45728.081944444442</v>
      </c>
      <c r="G89" s="4" t="s">
        <v>460</v>
      </c>
      <c r="H89" s="49">
        <v>3986243</v>
      </c>
      <c r="I89" s="49">
        <v>24939</v>
      </c>
      <c r="J89" s="50">
        <v>3961304</v>
      </c>
      <c r="K89" t="s">
        <v>2615</v>
      </c>
      <c r="L89" s="4" t="s">
        <v>461</v>
      </c>
      <c r="M89" t="s">
        <v>351</v>
      </c>
      <c r="N89" s="2">
        <v>79408514</v>
      </c>
      <c r="O89" t="s">
        <v>792</v>
      </c>
      <c r="P89" t="s">
        <v>316</v>
      </c>
      <c r="Q89" t="s">
        <v>317</v>
      </c>
      <c r="R89">
        <v>116040148863</v>
      </c>
      <c r="S89" t="s">
        <v>319</v>
      </c>
      <c r="T89">
        <v>900047981</v>
      </c>
      <c r="U89" t="s">
        <v>399</v>
      </c>
      <c r="V89">
        <v>923245</v>
      </c>
      <c r="W89" t="s">
        <v>180</v>
      </c>
      <c r="X89" s="2" t="s">
        <v>29</v>
      </c>
      <c r="Y89" t="s">
        <v>30</v>
      </c>
      <c r="Z89" t="s">
        <v>31</v>
      </c>
      <c r="AA89" t="s">
        <v>32</v>
      </c>
      <c r="AB89" t="s">
        <v>33</v>
      </c>
      <c r="AC89" s="51">
        <v>3986243</v>
      </c>
      <c r="AD89">
        <v>0</v>
      </c>
      <c r="AE89" s="4">
        <v>0</v>
      </c>
      <c r="AF89" s="4">
        <v>0</v>
      </c>
      <c r="AG89" t="s">
        <v>462</v>
      </c>
      <c r="AH89">
        <v>0</v>
      </c>
      <c r="AI89">
        <v>0</v>
      </c>
      <c r="AJ89" s="2" t="s">
        <v>463</v>
      </c>
      <c r="AK89" s="2">
        <v>0</v>
      </c>
      <c r="AL89">
        <v>0</v>
      </c>
      <c r="AM89">
        <v>0</v>
      </c>
      <c r="AN89">
        <v>0</v>
      </c>
      <c r="AO89">
        <v>0</v>
      </c>
      <c r="AP89">
        <v>3825</v>
      </c>
      <c r="AQ89">
        <v>3825</v>
      </c>
      <c r="AR89">
        <v>6025</v>
      </c>
      <c r="AS89">
        <v>0</v>
      </c>
      <c r="AT89">
        <v>0</v>
      </c>
      <c r="AU89">
        <v>9225</v>
      </c>
      <c r="AV89">
        <v>64520625</v>
      </c>
      <c r="AW89">
        <v>0</v>
      </c>
      <c r="AX89" s="5">
        <v>45693</v>
      </c>
      <c r="AY89" t="s">
        <v>356</v>
      </c>
      <c r="AZ89" t="s">
        <v>794</v>
      </c>
      <c r="BA89" t="s">
        <v>748</v>
      </c>
    </row>
    <row r="90" spans="1:53" ht="15" customHeight="1" x14ac:dyDescent="0.2">
      <c r="A90" t="s">
        <v>4933</v>
      </c>
      <c r="B90" t="s">
        <v>2272</v>
      </c>
      <c r="C90" t="s">
        <v>4917</v>
      </c>
      <c r="D90">
        <v>64520725</v>
      </c>
      <c r="E90" s="5">
        <v>45726</v>
      </c>
      <c r="F90" s="5">
        <v>45728.077777777777</v>
      </c>
      <c r="G90" s="4" t="s">
        <v>460</v>
      </c>
      <c r="H90" s="49">
        <v>3986243</v>
      </c>
      <c r="I90" s="49">
        <v>21190</v>
      </c>
      <c r="J90" s="50">
        <v>3965053</v>
      </c>
      <c r="K90" t="s">
        <v>2615</v>
      </c>
      <c r="L90" s="4" t="s">
        <v>461</v>
      </c>
      <c r="M90" t="s">
        <v>351</v>
      </c>
      <c r="N90" s="2">
        <v>93130667</v>
      </c>
      <c r="O90" t="s">
        <v>796</v>
      </c>
      <c r="P90" t="s">
        <v>316</v>
      </c>
      <c r="Q90" t="s">
        <v>317</v>
      </c>
      <c r="R90">
        <v>402745363</v>
      </c>
      <c r="S90" t="s">
        <v>319</v>
      </c>
      <c r="T90">
        <v>860035827</v>
      </c>
      <c r="U90" t="s">
        <v>653</v>
      </c>
      <c r="V90">
        <v>923245</v>
      </c>
      <c r="W90" t="s">
        <v>180</v>
      </c>
      <c r="X90" s="2" t="s">
        <v>29</v>
      </c>
      <c r="Y90" t="s">
        <v>30</v>
      </c>
      <c r="Z90" t="s">
        <v>31</v>
      </c>
      <c r="AA90" t="s">
        <v>32</v>
      </c>
      <c r="AB90" t="s">
        <v>33</v>
      </c>
      <c r="AC90" s="51">
        <v>3986243</v>
      </c>
      <c r="AD90">
        <v>0</v>
      </c>
      <c r="AE90" s="4">
        <v>0</v>
      </c>
      <c r="AF90" s="4">
        <v>0</v>
      </c>
      <c r="AG90" t="s">
        <v>462</v>
      </c>
      <c r="AH90">
        <v>0</v>
      </c>
      <c r="AI90">
        <v>0</v>
      </c>
      <c r="AJ90" s="2" t="s">
        <v>463</v>
      </c>
      <c r="AK90" s="2">
        <v>0</v>
      </c>
      <c r="AL90">
        <v>0</v>
      </c>
      <c r="AM90">
        <v>0</v>
      </c>
      <c r="AN90">
        <v>0</v>
      </c>
      <c r="AO90">
        <v>0</v>
      </c>
      <c r="AP90">
        <v>3825</v>
      </c>
      <c r="AQ90">
        <v>3825</v>
      </c>
      <c r="AR90">
        <v>6125</v>
      </c>
      <c r="AS90">
        <v>0</v>
      </c>
      <c r="AT90">
        <v>0</v>
      </c>
      <c r="AU90">
        <v>9325</v>
      </c>
      <c r="AV90">
        <v>64520725</v>
      </c>
      <c r="AW90">
        <v>0</v>
      </c>
      <c r="AX90" s="5">
        <v>45693</v>
      </c>
      <c r="AY90" t="s">
        <v>356</v>
      </c>
      <c r="AZ90" t="s">
        <v>798</v>
      </c>
      <c r="BA90" t="s">
        <v>748</v>
      </c>
    </row>
    <row r="91" spans="1:53" ht="15" customHeight="1" x14ac:dyDescent="0.2">
      <c r="A91" t="s">
        <v>4934</v>
      </c>
      <c r="B91" t="s">
        <v>2273</v>
      </c>
      <c r="C91" t="s">
        <v>4917</v>
      </c>
      <c r="D91">
        <v>64520825</v>
      </c>
      <c r="E91" s="5">
        <v>45726</v>
      </c>
      <c r="F91" s="5">
        <v>45728.077777777777</v>
      </c>
      <c r="G91" s="4" t="s">
        <v>460</v>
      </c>
      <c r="H91" s="49">
        <v>3986243</v>
      </c>
      <c r="I91" s="49">
        <v>21190</v>
      </c>
      <c r="J91" s="50">
        <v>3965053</v>
      </c>
      <c r="K91" t="s">
        <v>2615</v>
      </c>
      <c r="L91" s="4" t="s">
        <v>461</v>
      </c>
      <c r="M91" t="s">
        <v>351</v>
      </c>
      <c r="N91" s="2">
        <v>1032398395</v>
      </c>
      <c r="O91" t="s">
        <v>805</v>
      </c>
      <c r="P91" t="s">
        <v>316</v>
      </c>
      <c r="Q91" t="s">
        <v>317</v>
      </c>
      <c r="R91">
        <v>669797115</v>
      </c>
      <c r="S91" t="s">
        <v>319</v>
      </c>
      <c r="T91">
        <v>860035827</v>
      </c>
      <c r="U91" t="s">
        <v>653</v>
      </c>
      <c r="V91">
        <v>923245</v>
      </c>
      <c r="W91" t="s">
        <v>180</v>
      </c>
      <c r="X91" s="2" t="s">
        <v>29</v>
      </c>
      <c r="Y91" t="s">
        <v>30</v>
      </c>
      <c r="Z91" t="s">
        <v>31</v>
      </c>
      <c r="AA91" t="s">
        <v>32</v>
      </c>
      <c r="AB91" t="s">
        <v>33</v>
      </c>
      <c r="AC91" s="51">
        <v>3986243</v>
      </c>
      <c r="AD91">
        <v>0</v>
      </c>
      <c r="AE91" s="4">
        <v>0</v>
      </c>
      <c r="AF91" s="4">
        <v>0</v>
      </c>
      <c r="AG91" t="s">
        <v>462</v>
      </c>
      <c r="AH91">
        <v>0</v>
      </c>
      <c r="AI91">
        <v>0</v>
      </c>
      <c r="AJ91" s="2" t="s">
        <v>463</v>
      </c>
      <c r="AK91" s="2">
        <v>0</v>
      </c>
      <c r="AL91">
        <v>0</v>
      </c>
      <c r="AM91">
        <v>0</v>
      </c>
      <c r="AN91">
        <v>0</v>
      </c>
      <c r="AO91">
        <v>0</v>
      </c>
      <c r="AP91">
        <v>3825</v>
      </c>
      <c r="AQ91">
        <v>3825</v>
      </c>
      <c r="AR91">
        <v>6325</v>
      </c>
      <c r="AS91">
        <v>0</v>
      </c>
      <c r="AT91">
        <v>0</v>
      </c>
      <c r="AU91">
        <v>9425</v>
      </c>
      <c r="AV91">
        <v>64520825</v>
      </c>
      <c r="AW91">
        <v>0</v>
      </c>
      <c r="AX91" s="5">
        <v>45693</v>
      </c>
      <c r="AY91" t="s">
        <v>356</v>
      </c>
      <c r="AZ91" t="s">
        <v>807</v>
      </c>
      <c r="BA91" t="s">
        <v>748</v>
      </c>
    </row>
    <row r="92" spans="1:53" ht="15" customHeight="1" x14ac:dyDescent="0.2">
      <c r="A92" t="s">
        <v>4935</v>
      </c>
      <c r="B92" t="s">
        <v>2274</v>
      </c>
      <c r="C92" t="s">
        <v>4917</v>
      </c>
      <c r="D92">
        <v>64520925</v>
      </c>
      <c r="E92" s="5">
        <v>45726</v>
      </c>
      <c r="F92" s="5">
        <v>45728.067361111112</v>
      </c>
      <c r="G92" s="4" t="s">
        <v>460</v>
      </c>
      <c r="H92" s="49">
        <v>3986243</v>
      </c>
      <c r="I92" s="49">
        <v>21190</v>
      </c>
      <c r="J92" s="50">
        <v>3965053</v>
      </c>
      <c r="K92" t="s">
        <v>2615</v>
      </c>
      <c r="L92" s="4" t="s">
        <v>461</v>
      </c>
      <c r="M92" t="s">
        <v>351</v>
      </c>
      <c r="N92" s="2">
        <v>1022338160</v>
      </c>
      <c r="O92" t="s">
        <v>809</v>
      </c>
      <c r="P92" t="s">
        <v>316</v>
      </c>
      <c r="Q92" t="s">
        <v>317</v>
      </c>
      <c r="R92">
        <v>76388992791</v>
      </c>
      <c r="S92" t="s">
        <v>319</v>
      </c>
      <c r="T92">
        <v>890903938</v>
      </c>
      <c r="U92" t="s">
        <v>342</v>
      </c>
      <c r="V92">
        <v>923245</v>
      </c>
      <c r="W92" t="s">
        <v>180</v>
      </c>
      <c r="X92" s="2" t="s">
        <v>29</v>
      </c>
      <c r="Y92" t="s">
        <v>30</v>
      </c>
      <c r="Z92" t="s">
        <v>31</v>
      </c>
      <c r="AA92" t="s">
        <v>32</v>
      </c>
      <c r="AB92" t="s">
        <v>33</v>
      </c>
      <c r="AC92" s="51">
        <v>3986243</v>
      </c>
      <c r="AD92">
        <v>0</v>
      </c>
      <c r="AE92" s="4">
        <v>0</v>
      </c>
      <c r="AF92" s="4">
        <v>0</v>
      </c>
      <c r="AG92" t="s">
        <v>462</v>
      </c>
      <c r="AH92">
        <v>0</v>
      </c>
      <c r="AI92">
        <v>0</v>
      </c>
      <c r="AJ92" s="2" t="s">
        <v>463</v>
      </c>
      <c r="AK92" s="2">
        <v>0</v>
      </c>
      <c r="AL92">
        <v>0</v>
      </c>
      <c r="AM92">
        <v>0</v>
      </c>
      <c r="AN92">
        <v>0</v>
      </c>
      <c r="AO92">
        <v>0</v>
      </c>
      <c r="AP92">
        <v>3825</v>
      </c>
      <c r="AQ92">
        <v>3825</v>
      </c>
      <c r="AR92">
        <v>6425</v>
      </c>
      <c r="AS92">
        <v>0</v>
      </c>
      <c r="AT92">
        <v>0</v>
      </c>
      <c r="AU92">
        <v>9525</v>
      </c>
      <c r="AV92">
        <v>64520925</v>
      </c>
      <c r="AW92">
        <v>0</v>
      </c>
      <c r="AX92" s="5">
        <v>45693</v>
      </c>
      <c r="AY92" t="s">
        <v>356</v>
      </c>
      <c r="AZ92" t="s">
        <v>811</v>
      </c>
      <c r="BA92" t="s">
        <v>748</v>
      </c>
    </row>
    <row r="93" spans="1:53" ht="15" customHeight="1" x14ac:dyDescent="0.2">
      <c r="A93" t="s">
        <v>4936</v>
      </c>
      <c r="B93" t="s">
        <v>2275</v>
      </c>
      <c r="C93" t="s">
        <v>4917</v>
      </c>
      <c r="D93">
        <v>64521025</v>
      </c>
      <c r="E93" s="5">
        <v>45726</v>
      </c>
      <c r="F93" s="5">
        <v>45728.07916666667</v>
      </c>
      <c r="G93" s="4" t="s">
        <v>460</v>
      </c>
      <c r="H93" s="49">
        <v>3986243</v>
      </c>
      <c r="I93" s="49">
        <v>21190</v>
      </c>
      <c r="J93" s="50">
        <v>3965053</v>
      </c>
      <c r="K93" t="s">
        <v>2615</v>
      </c>
      <c r="L93" s="4" t="s">
        <v>461</v>
      </c>
      <c r="M93" t="s">
        <v>351</v>
      </c>
      <c r="N93" s="2">
        <v>52505799</v>
      </c>
      <c r="O93" t="s">
        <v>813</v>
      </c>
      <c r="P93" t="s">
        <v>316</v>
      </c>
      <c r="Q93" t="s">
        <v>317</v>
      </c>
      <c r="R93">
        <v>488446490713</v>
      </c>
      <c r="S93" t="s">
        <v>319</v>
      </c>
      <c r="T93">
        <v>860034313</v>
      </c>
      <c r="U93" t="s">
        <v>355</v>
      </c>
      <c r="V93">
        <v>923245</v>
      </c>
      <c r="W93" t="s">
        <v>180</v>
      </c>
      <c r="X93" s="2" t="s">
        <v>29</v>
      </c>
      <c r="Y93" t="s">
        <v>30</v>
      </c>
      <c r="Z93" t="s">
        <v>31</v>
      </c>
      <c r="AA93" t="s">
        <v>32</v>
      </c>
      <c r="AB93" t="s">
        <v>33</v>
      </c>
      <c r="AC93" s="51">
        <v>3986243</v>
      </c>
      <c r="AD93">
        <v>0</v>
      </c>
      <c r="AE93" s="4">
        <v>0</v>
      </c>
      <c r="AF93" s="4">
        <v>0</v>
      </c>
      <c r="AG93" t="s">
        <v>462</v>
      </c>
      <c r="AH93">
        <v>0</v>
      </c>
      <c r="AI93">
        <v>0</v>
      </c>
      <c r="AJ93" s="2" t="s">
        <v>463</v>
      </c>
      <c r="AK93" s="2">
        <v>0</v>
      </c>
      <c r="AL93">
        <v>0</v>
      </c>
      <c r="AM93">
        <v>0</v>
      </c>
      <c r="AN93">
        <v>0</v>
      </c>
      <c r="AO93">
        <v>0</v>
      </c>
      <c r="AP93">
        <v>3825</v>
      </c>
      <c r="AQ93">
        <v>3825</v>
      </c>
      <c r="AR93">
        <v>6525</v>
      </c>
      <c r="AS93">
        <v>0</v>
      </c>
      <c r="AT93">
        <v>0</v>
      </c>
      <c r="AU93">
        <v>9625</v>
      </c>
      <c r="AV93">
        <v>64521025</v>
      </c>
      <c r="AW93">
        <v>0</v>
      </c>
      <c r="AX93" s="5">
        <v>45693</v>
      </c>
      <c r="AY93" t="s">
        <v>356</v>
      </c>
      <c r="AZ93" t="s">
        <v>815</v>
      </c>
      <c r="BA93" t="s">
        <v>748</v>
      </c>
    </row>
    <row r="94" spans="1:53" ht="15" customHeight="1" x14ac:dyDescent="0.2">
      <c r="A94" t="s">
        <v>4937</v>
      </c>
      <c r="B94" t="s">
        <v>2276</v>
      </c>
      <c r="C94" t="s">
        <v>4917</v>
      </c>
      <c r="D94">
        <v>64521125</v>
      </c>
      <c r="E94" s="5">
        <v>45726</v>
      </c>
      <c r="F94" s="5">
        <v>45728.07916666667</v>
      </c>
      <c r="G94" s="4" t="s">
        <v>460</v>
      </c>
      <c r="H94" s="49">
        <v>3986243</v>
      </c>
      <c r="I94" s="49">
        <v>21190</v>
      </c>
      <c r="J94" s="50">
        <v>3965053</v>
      </c>
      <c r="K94" t="s">
        <v>2615</v>
      </c>
      <c r="L94" s="4" t="s">
        <v>461</v>
      </c>
      <c r="M94" t="s">
        <v>351</v>
      </c>
      <c r="N94" s="2">
        <v>39668440</v>
      </c>
      <c r="O94" t="s">
        <v>817</v>
      </c>
      <c r="P94" t="s">
        <v>316</v>
      </c>
      <c r="Q94" t="s">
        <v>317</v>
      </c>
      <c r="R94">
        <v>550466600045838</v>
      </c>
      <c r="S94" t="s">
        <v>319</v>
      </c>
      <c r="T94">
        <v>860034313</v>
      </c>
      <c r="U94" t="s">
        <v>355</v>
      </c>
      <c r="V94">
        <v>923245</v>
      </c>
      <c r="W94" t="s">
        <v>180</v>
      </c>
      <c r="X94" s="2" t="s">
        <v>29</v>
      </c>
      <c r="Y94" t="s">
        <v>30</v>
      </c>
      <c r="Z94" t="s">
        <v>31</v>
      </c>
      <c r="AA94" t="s">
        <v>32</v>
      </c>
      <c r="AB94" t="s">
        <v>33</v>
      </c>
      <c r="AC94" s="51">
        <v>3986243</v>
      </c>
      <c r="AD94">
        <v>0</v>
      </c>
      <c r="AE94" s="4">
        <v>0</v>
      </c>
      <c r="AF94" s="4">
        <v>0</v>
      </c>
      <c r="AG94" t="s">
        <v>462</v>
      </c>
      <c r="AH94">
        <v>0</v>
      </c>
      <c r="AI94">
        <v>0</v>
      </c>
      <c r="AJ94" s="2" t="s">
        <v>463</v>
      </c>
      <c r="AK94" s="2">
        <v>0</v>
      </c>
      <c r="AL94">
        <v>0</v>
      </c>
      <c r="AM94">
        <v>0</v>
      </c>
      <c r="AN94">
        <v>0</v>
      </c>
      <c r="AO94">
        <v>0</v>
      </c>
      <c r="AP94">
        <v>3825</v>
      </c>
      <c r="AQ94">
        <v>3825</v>
      </c>
      <c r="AR94">
        <v>6625</v>
      </c>
      <c r="AS94">
        <v>0</v>
      </c>
      <c r="AT94">
        <v>0</v>
      </c>
      <c r="AU94">
        <v>9725</v>
      </c>
      <c r="AV94">
        <v>64521125</v>
      </c>
      <c r="AW94">
        <v>0</v>
      </c>
      <c r="AX94" s="5">
        <v>45693</v>
      </c>
      <c r="AY94" t="s">
        <v>356</v>
      </c>
      <c r="AZ94" t="s">
        <v>819</v>
      </c>
      <c r="BA94" t="s">
        <v>748</v>
      </c>
    </row>
    <row r="95" spans="1:53" ht="15" customHeight="1" x14ac:dyDescent="0.2">
      <c r="A95" t="s">
        <v>4938</v>
      </c>
      <c r="B95" t="s">
        <v>2277</v>
      </c>
      <c r="C95" t="s">
        <v>4917</v>
      </c>
      <c r="D95">
        <v>64521225</v>
      </c>
      <c r="E95" s="5">
        <v>45726</v>
      </c>
      <c r="F95" s="5">
        <v>45728.077777777777</v>
      </c>
      <c r="G95" s="4" t="s">
        <v>460</v>
      </c>
      <c r="H95" s="49">
        <v>3986243</v>
      </c>
      <c r="I95" s="49">
        <v>21190</v>
      </c>
      <c r="J95" s="50">
        <v>3965053</v>
      </c>
      <c r="K95" t="s">
        <v>2615</v>
      </c>
      <c r="L95" s="4" t="s">
        <v>461</v>
      </c>
      <c r="M95" t="s">
        <v>351</v>
      </c>
      <c r="N95" s="2">
        <v>52487484</v>
      </c>
      <c r="O95" t="s">
        <v>821</v>
      </c>
      <c r="P95" t="s">
        <v>316</v>
      </c>
      <c r="Q95" t="s">
        <v>317</v>
      </c>
      <c r="R95">
        <v>28925845</v>
      </c>
      <c r="S95" t="s">
        <v>319</v>
      </c>
      <c r="T95">
        <v>860035827</v>
      </c>
      <c r="U95" t="s">
        <v>653</v>
      </c>
      <c r="V95">
        <v>923245</v>
      </c>
      <c r="W95" t="s">
        <v>180</v>
      </c>
      <c r="X95" s="2" t="s">
        <v>29</v>
      </c>
      <c r="Y95" t="s">
        <v>30</v>
      </c>
      <c r="Z95" t="s">
        <v>31</v>
      </c>
      <c r="AA95" t="s">
        <v>32</v>
      </c>
      <c r="AB95" t="s">
        <v>33</v>
      </c>
      <c r="AC95" s="51">
        <v>3986243</v>
      </c>
      <c r="AD95">
        <v>0</v>
      </c>
      <c r="AE95" s="4">
        <v>0</v>
      </c>
      <c r="AF95" s="4">
        <v>0</v>
      </c>
      <c r="AG95" t="s">
        <v>462</v>
      </c>
      <c r="AH95">
        <v>0</v>
      </c>
      <c r="AI95">
        <v>0</v>
      </c>
      <c r="AJ95" s="2" t="s">
        <v>463</v>
      </c>
      <c r="AK95" s="2">
        <v>0</v>
      </c>
      <c r="AL95">
        <v>0</v>
      </c>
      <c r="AM95">
        <v>0</v>
      </c>
      <c r="AN95">
        <v>0</v>
      </c>
      <c r="AO95">
        <v>0</v>
      </c>
      <c r="AP95">
        <v>3825</v>
      </c>
      <c r="AQ95">
        <v>3825</v>
      </c>
      <c r="AR95">
        <v>6725</v>
      </c>
      <c r="AS95">
        <v>0</v>
      </c>
      <c r="AT95">
        <v>0</v>
      </c>
      <c r="AU95">
        <v>9825</v>
      </c>
      <c r="AV95">
        <v>64521225</v>
      </c>
      <c r="AW95">
        <v>0</v>
      </c>
      <c r="AX95" s="5">
        <v>45693</v>
      </c>
      <c r="AY95" t="s">
        <v>356</v>
      </c>
      <c r="AZ95" t="s">
        <v>823</v>
      </c>
      <c r="BA95" t="s">
        <v>748</v>
      </c>
    </row>
    <row r="96" spans="1:53" ht="15" customHeight="1" x14ac:dyDescent="0.2">
      <c r="A96" t="s">
        <v>4939</v>
      </c>
      <c r="B96" t="s">
        <v>2278</v>
      </c>
      <c r="C96" t="s">
        <v>4917</v>
      </c>
      <c r="D96">
        <v>64521325</v>
      </c>
      <c r="E96" s="5">
        <v>45726</v>
      </c>
      <c r="F96" s="5">
        <v>45728.067361111112</v>
      </c>
      <c r="G96" s="4" t="s">
        <v>460</v>
      </c>
      <c r="H96" s="49">
        <v>3986243</v>
      </c>
      <c r="I96" s="49">
        <v>21190</v>
      </c>
      <c r="J96" s="50">
        <v>3965053</v>
      </c>
      <c r="K96" t="s">
        <v>2615</v>
      </c>
      <c r="L96" s="4" t="s">
        <v>461</v>
      </c>
      <c r="M96" t="s">
        <v>351</v>
      </c>
      <c r="N96" s="2">
        <v>1105677068</v>
      </c>
      <c r="O96" t="s">
        <v>825</v>
      </c>
      <c r="P96" t="s">
        <v>316</v>
      </c>
      <c r="Q96" t="s">
        <v>317</v>
      </c>
      <c r="R96">
        <v>41115531512</v>
      </c>
      <c r="S96" t="s">
        <v>319</v>
      </c>
      <c r="T96">
        <v>890903938</v>
      </c>
      <c r="U96" t="s">
        <v>342</v>
      </c>
      <c r="V96">
        <v>923245</v>
      </c>
      <c r="W96" t="s">
        <v>180</v>
      </c>
      <c r="X96" s="2" t="s">
        <v>29</v>
      </c>
      <c r="Y96" t="s">
        <v>30</v>
      </c>
      <c r="Z96" t="s">
        <v>31</v>
      </c>
      <c r="AA96" t="s">
        <v>32</v>
      </c>
      <c r="AB96" t="s">
        <v>33</v>
      </c>
      <c r="AC96" s="51">
        <v>3986243</v>
      </c>
      <c r="AD96">
        <v>0</v>
      </c>
      <c r="AE96" s="4">
        <v>0</v>
      </c>
      <c r="AF96" s="4">
        <v>0</v>
      </c>
      <c r="AG96" t="s">
        <v>462</v>
      </c>
      <c r="AH96">
        <v>0</v>
      </c>
      <c r="AI96">
        <v>0</v>
      </c>
      <c r="AJ96" s="2" t="s">
        <v>463</v>
      </c>
      <c r="AK96" s="2">
        <v>0</v>
      </c>
      <c r="AL96">
        <v>0</v>
      </c>
      <c r="AM96">
        <v>0</v>
      </c>
      <c r="AN96">
        <v>0</v>
      </c>
      <c r="AO96">
        <v>0</v>
      </c>
      <c r="AP96">
        <v>3825</v>
      </c>
      <c r="AQ96">
        <v>3825</v>
      </c>
      <c r="AR96">
        <v>6825</v>
      </c>
      <c r="AS96">
        <v>0</v>
      </c>
      <c r="AT96">
        <v>0</v>
      </c>
      <c r="AU96">
        <v>9925</v>
      </c>
      <c r="AV96">
        <v>64521325</v>
      </c>
      <c r="AW96">
        <v>0</v>
      </c>
      <c r="AX96" s="5">
        <v>45693</v>
      </c>
      <c r="AY96" t="s">
        <v>356</v>
      </c>
      <c r="AZ96" t="s">
        <v>827</v>
      </c>
      <c r="BA96" t="s">
        <v>748</v>
      </c>
    </row>
    <row r="97" spans="1:53" ht="15" customHeight="1" x14ac:dyDescent="0.2">
      <c r="A97" t="s">
        <v>4940</v>
      </c>
      <c r="B97" t="s">
        <v>2279</v>
      </c>
      <c r="C97" t="s">
        <v>4917</v>
      </c>
      <c r="D97">
        <v>64521425</v>
      </c>
      <c r="E97" s="5">
        <v>45726</v>
      </c>
      <c r="F97" s="5">
        <v>45728.067361111112</v>
      </c>
      <c r="G97" s="4" t="s">
        <v>460</v>
      </c>
      <c r="H97" s="49">
        <v>3986243</v>
      </c>
      <c r="I97" s="49">
        <v>21190</v>
      </c>
      <c r="J97" s="50">
        <v>3965053</v>
      </c>
      <c r="K97" t="s">
        <v>2615</v>
      </c>
      <c r="L97" s="4" t="s">
        <v>461</v>
      </c>
      <c r="M97" t="s">
        <v>351</v>
      </c>
      <c r="N97" s="2">
        <v>51959382</v>
      </c>
      <c r="O97" t="s">
        <v>829</v>
      </c>
      <c r="P97" t="s">
        <v>316</v>
      </c>
      <c r="Q97" t="s">
        <v>317</v>
      </c>
      <c r="R97">
        <v>42841109389</v>
      </c>
      <c r="S97" t="s">
        <v>319</v>
      </c>
      <c r="T97">
        <v>890903938</v>
      </c>
      <c r="U97" t="s">
        <v>342</v>
      </c>
      <c r="V97">
        <v>923245</v>
      </c>
      <c r="W97" t="s">
        <v>180</v>
      </c>
      <c r="X97" s="2" t="s">
        <v>29</v>
      </c>
      <c r="Y97" t="s">
        <v>30</v>
      </c>
      <c r="Z97" t="s">
        <v>31</v>
      </c>
      <c r="AA97" t="s">
        <v>32</v>
      </c>
      <c r="AB97" t="s">
        <v>33</v>
      </c>
      <c r="AC97" s="51">
        <v>3986243</v>
      </c>
      <c r="AD97">
        <v>0</v>
      </c>
      <c r="AE97" s="4">
        <v>0</v>
      </c>
      <c r="AF97" s="4">
        <v>0</v>
      </c>
      <c r="AG97" t="s">
        <v>462</v>
      </c>
      <c r="AH97">
        <v>0</v>
      </c>
      <c r="AI97">
        <v>0</v>
      </c>
      <c r="AJ97" s="2" t="s">
        <v>463</v>
      </c>
      <c r="AK97" s="2">
        <v>0</v>
      </c>
      <c r="AL97">
        <v>0</v>
      </c>
      <c r="AM97">
        <v>0</v>
      </c>
      <c r="AN97">
        <v>0</v>
      </c>
      <c r="AO97">
        <v>0</v>
      </c>
      <c r="AP97">
        <v>3825</v>
      </c>
      <c r="AQ97">
        <v>3825</v>
      </c>
      <c r="AR97">
        <v>6925</v>
      </c>
      <c r="AS97">
        <v>0</v>
      </c>
      <c r="AT97">
        <v>0</v>
      </c>
      <c r="AU97">
        <v>10025</v>
      </c>
      <c r="AV97">
        <v>64521425</v>
      </c>
      <c r="AW97">
        <v>0</v>
      </c>
      <c r="AX97" s="5">
        <v>45693</v>
      </c>
      <c r="AY97" t="s">
        <v>356</v>
      </c>
      <c r="AZ97" t="s">
        <v>831</v>
      </c>
      <c r="BA97" t="s">
        <v>748</v>
      </c>
    </row>
    <row r="98" spans="1:53" ht="15" customHeight="1" x14ac:dyDescent="0.2">
      <c r="A98" t="s">
        <v>4941</v>
      </c>
      <c r="B98" t="s">
        <v>2280</v>
      </c>
      <c r="C98" t="s">
        <v>4917</v>
      </c>
      <c r="D98">
        <v>64521525</v>
      </c>
      <c r="E98" s="5">
        <v>45726</v>
      </c>
      <c r="F98" s="5">
        <v>45728.067361111112</v>
      </c>
      <c r="G98" s="4" t="s">
        <v>460</v>
      </c>
      <c r="H98" s="49">
        <v>3986243</v>
      </c>
      <c r="I98" s="49">
        <v>21190</v>
      </c>
      <c r="J98" s="50">
        <v>3965053</v>
      </c>
      <c r="K98" t="s">
        <v>2615</v>
      </c>
      <c r="L98" s="4" t="s">
        <v>461</v>
      </c>
      <c r="M98" t="s">
        <v>351</v>
      </c>
      <c r="N98" s="2">
        <v>20352018</v>
      </c>
      <c r="O98" t="s">
        <v>833</v>
      </c>
      <c r="P98" t="s">
        <v>316</v>
      </c>
      <c r="Q98" t="s">
        <v>317</v>
      </c>
      <c r="R98">
        <v>24725231071</v>
      </c>
      <c r="S98" t="s">
        <v>319</v>
      </c>
      <c r="T98">
        <v>890903938</v>
      </c>
      <c r="U98" t="s">
        <v>342</v>
      </c>
      <c r="V98">
        <v>923245</v>
      </c>
      <c r="W98" t="s">
        <v>180</v>
      </c>
      <c r="X98" s="2" t="s">
        <v>29</v>
      </c>
      <c r="Y98" t="s">
        <v>30</v>
      </c>
      <c r="Z98" t="s">
        <v>31</v>
      </c>
      <c r="AA98" t="s">
        <v>32</v>
      </c>
      <c r="AB98" t="s">
        <v>33</v>
      </c>
      <c r="AC98" s="51">
        <v>3986243</v>
      </c>
      <c r="AD98">
        <v>0</v>
      </c>
      <c r="AE98" s="4">
        <v>0</v>
      </c>
      <c r="AF98" s="4">
        <v>0</v>
      </c>
      <c r="AG98" t="s">
        <v>462</v>
      </c>
      <c r="AH98">
        <v>0</v>
      </c>
      <c r="AI98">
        <v>0</v>
      </c>
      <c r="AJ98" s="2" t="s">
        <v>463</v>
      </c>
      <c r="AK98" s="2">
        <v>0</v>
      </c>
      <c r="AL98">
        <v>0</v>
      </c>
      <c r="AM98">
        <v>0</v>
      </c>
      <c r="AN98">
        <v>0</v>
      </c>
      <c r="AO98">
        <v>0</v>
      </c>
      <c r="AP98">
        <v>3825</v>
      </c>
      <c r="AQ98">
        <v>3825</v>
      </c>
      <c r="AR98">
        <v>7025</v>
      </c>
      <c r="AS98">
        <v>0</v>
      </c>
      <c r="AT98">
        <v>0</v>
      </c>
      <c r="AU98">
        <v>10125</v>
      </c>
      <c r="AV98">
        <v>64521525</v>
      </c>
      <c r="AW98">
        <v>0</v>
      </c>
      <c r="AX98" s="5">
        <v>45693</v>
      </c>
      <c r="AY98" t="s">
        <v>356</v>
      </c>
      <c r="AZ98" t="s">
        <v>835</v>
      </c>
      <c r="BA98" t="s">
        <v>748</v>
      </c>
    </row>
    <row r="99" spans="1:53" ht="15" customHeight="1" x14ac:dyDescent="0.2">
      <c r="A99" t="s">
        <v>4942</v>
      </c>
      <c r="B99" t="s">
        <v>2281</v>
      </c>
      <c r="C99" t="s">
        <v>4917</v>
      </c>
      <c r="D99">
        <v>64521625</v>
      </c>
      <c r="E99" s="5">
        <v>45726</v>
      </c>
      <c r="F99" s="5">
        <v>45728.07916666667</v>
      </c>
      <c r="G99" s="4" t="s">
        <v>460</v>
      </c>
      <c r="H99" s="49">
        <v>3986243</v>
      </c>
      <c r="I99" s="49">
        <v>21190</v>
      </c>
      <c r="J99" s="50">
        <v>3965053</v>
      </c>
      <c r="K99" t="s">
        <v>2615</v>
      </c>
      <c r="L99" s="4" t="s">
        <v>461</v>
      </c>
      <c r="M99" t="s">
        <v>351</v>
      </c>
      <c r="N99" s="2">
        <v>1072195097</v>
      </c>
      <c r="O99" t="s">
        <v>837</v>
      </c>
      <c r="P99" t="s">
        <v>316</v>
      </c>
      <c r="Q99" t="s">
        <v>317</v>
      </c>
      <c r="R99">
        <v>488401341877</v>
      </c>
      <c r="S99" t="s">
        <v>319</v>
      </c>
      <c r="T99">
        <v>860034313</v>
      </c>
      <c r="U99" t="s">
        <v>355</v>
      </c>
      <c r="V99">
        <v>923245</v>
      </c>
      <c r="W99" t="s">
        <v>180</v>
      </c>
      <c r="X99" s="2" t="s">
        <v>29</v>
      </c>
      <c r="Y99" t="s">
        <v>30</v>
      </c>
      <c r="Z99" t="s">
        <v>31</v>
      </c>
      <c r="AA99" t="s">
        <v>32</v>
      </c>
      <c r="AB99" t="s">
        <v>33</v>
      </c>
      <c r="AC99" s="51">
        <v>3986243</v>
      </c>
      <c r="AD99">
        <v>0</v>
      </c>
      <c r="AE99" s="4">
        <v>0</v>
      </c>
      <c r="AF99" s="4">
        <v>0</v>
      </c>
      <c r="AG99" t="s">
        <v>462</v>
      </c>
      <c r="AH99">
        <v>0</v>
      </c>
      <c r="AI99">
        <v>0</v>
      </c>
      <c r="AJ99" s="2" t="s">
        <v>463</v>
      </c>
      <c r="AK99" s="2">
        <v>0</v>
      </c>
      <c r="AL99">
        <v>0</v>
      </c>
      <c r="AM99">
        <v>0</v>
      </c>
      <c r="AN99">
        <v>0</v>
      </c>
      <c r="AO99">
        <v>0</v>
      </c>
      <c r="AP99">
        <v>3825</v>
      </c>
      <c r="AQ99">
        <v>3825</v>
      </c>
      <c r="AR99">
        <v>7125</v>
      </c>
      <c r="AS99">
        <v>0</v>
      </c>
      <c r="AT99">
        <v>0</v>
      </c>
      <c r="AU99">
        <v>10225</v>
      </c>
      <c r="AV99">
        <v>64521625</v>
      </c>
      <c r="AW99">
        <v>0</v>
      </c>
      <c r="AX99" s="5">
        <v>45693</v>
      </c>
      <c r="AY99" t="s">
        <v>356</v>
      </c>
      <c r="AZ99" t="s">
        <v>839</v>
      </c>
      <c r="BA99" t="s">
        <v>840</v>
      </c>
    </row>
    <row r="100" spans="1:53" ht="15" customHeight="1" x14ac:dyDescent="0.2">
      <c r="A100" t="s">
        <v>4943</v>
      </c>
      <c r="B100" t="s">
        <v>2282</v>
      </c>
      <c r="C100" t="s">
        <v>4917</v>
      </c>
      <c r="D100">
        <v>64521725</v>
      </c>
      <c r="E100" s="5">
        <v>45726</v>
      </c>
      <c r="F100" s="5">
        <v>45728.07708333333</v>
      </c>
      <c r="G100" s="4" t="s">
        <v>460</v>
      </c>
      <c r="H100" s="49">
        <v>3986243</v>
      </c>
      <c r="I100" s="49">
        <v>21190</v>
      </c>
      <c r="J100" s="50">
        <v>3965053</v>
      </c>
      <c r="K100" t="s">
        <v>2615</v>
      </c>
      <c r="L100" s="4" t="s">
        <v>461</v>
      </c>
      <c r="M100" t="s">
        <v>351</v>
      </c>
      <c r="N100" s="2">
        <v>35254472</v>
      </c>
      <c r="O100" t="s">
        <v>842</v>
      </c>
      <c r="P100" t="s">
        <v>316</v>
      </c>
      <c r="Q100" t="s">
        <v>317</v>
      </c>
      <c r="R100">
        <v>24016880485</v>
      </c>
      <c r="S100" t="s">
        <v>319</v>
      </c>
      <c r="T100">
        <v>860007335</v>
      </c>
      <c r="U100" t="s">
        <v>381</v>
      </c>
      <c r="V100">
        <v>923245</v>
      </c>
      <c r="W100" t="s">
        <v>180</v>
      </c>
      <c r="X100" s="2" t="s">
        <v>29</v>
      </c>
      <c r="Y100" t="s">
        <v>30</v>
      </c>
      <c r="Z100" t="s">
        <v>31</v>
      </c>
      <c r="AA100" t="s">
        <v>32</v>
      </c>
      <c r="AB100" t="s">
        <v>33</v>
      </c>
      <c r="AC100" s="51">
        <v>3986243</v>
      </c>
      <c r="AD100">
        <v>0</v>
      </c>
      <c r="AE100" s="4">
        <v>0</v>
      </c>
      <c r="AF100" s="4">
        <v>0</v>
      </c>
      <c r="AG100" t="s">
        <v>462</v>
      </c>
      <c r="AH100">
        <v>0</v>
      </c>
      <c r="AI100">
        <v>0</v>
      </c>
      <c r="AJ100" s="2" t="s">
        <v>463</v>
      </c>
      <c r="AK100" s="2">
        <v>0</v>
      </c>
      <c r="AL100">
        <v>0</v>
      </c>
      <c r="AM100">
        <v>0</v>
      </c>
      <c r="AN100">
        <v>0</v>
      </c>
      <c r="AO100">
        <v>0</v>
      </c>
      <c r="AP100">
        <v>3825</v>
      </c>
      <c r="AQ100">
        <v>3825</v>
      </c>
      <c r="AR100">
        <v>7225</v>
      </c>
      <c r="AS100">
        <v>0</v>
      </c>
      <c r="AT100">
        <v>0</v>
      </c>
      <c r="AU100">
        <v>10325</v>
      </c>
      <c r="AV100">
        <v>64521725</v>
      </c>
      <c r="AW100">
        <v>0</v>
      </c>
      <c r="AX100" s="5">
        <v>45693</v>
      </c>
      <c r="AY100" t="s">
        <v>356</v>
      </c>
      <c r="AZ100" t="s">
        <v>845</v>
      </c>
      <c r="BA100" t="s">
        <v>748</v>
      </c>
    </row>
    <row r="101" spans="1:53" ht="15" customHeight="1" x14ac:dyDescent="0.2">
      <c r="A101" t="s">
        <v>4944</v>
      </c>
      <c r="B101" t="s">
        <v>2283</v>
      </c>
      <c r="C101" t="s">
        <v>4917</v>
      </c>
      <c r="D101">
        <v>64521925</v>
      </c>
      <c r="E101" s="5">
        <v>45726</v>
      </c>
      <c r="F101" s="5">
        <v>45728.07708333333</v>
      </c>
      <c r="G101" s="4" t="s">
        <v>460</v>
      </c>
      <c r="H101" s="49">
        <v>3986243</v>
      </c>
      <c r="I101" s="49">
        <v>21190</v>
      </c>
      <c r="J101" s="50">
        <v>3965053</v>
      </c>
      <c r="K101" t="s">
        <v>2615</v>
      </c>
      <c r="L101" s="4" t="s">
        <v>461</v>
      </c>
      <c r="M101" t="s">
        <v>351</v>
      </c>
      <c r="N101" s="2">
        <v>65787530</v>
      </c>
      <c r="O101" t="s">
        <v>847</v>
      </c>
      <c r="P101" t="s">
        <v>316</v>
      </c>
      <c r="Q101" t="s">
        <v>317</v>
      </c>
      <c r="R101">
        <v>24090763773</v>
      </c>
      <c r="S101" t="s">
        <v>319</v>
      </c>
      <c r="T101">
        <v>860007335</v>
      </c>
      <c r="U101" t="s">
        <v>381</v>
      </c>
      <c r="V101">
        <v>923245</v>
      </c>
      <c r="W101" t="s">
        <v>180</v>
      </c>
      <c r="X101" s="2" t="s">
        <v>29</v>
      </c>
      <c r="Y101" t="s">
        <v>30</v>
      </c>
      <c r="Z101" t="s">
        <v>31</v>
      </c>
      <c r="AA101" t="s">
        <v>32</v>
      </c>
      <c r="AB101" t="s">
        <v>33</v>
      </c>
      <c r="AC101" s="51">
        <v>3986243</v>
      </c>
      <c r="AD101">
        <v>0</v>
      </c>
      <c r="AE101" s="4">
        <v>0</v>
      </c>
      <c r="AF101" s="4">
        <v>0</v>
      </c>
      <c r="AG101" t="s">
        <v>462</v>
      </c>
      <c r="AH101">
        <v>0</v>
      </c>
      <c r="AI101">
        <v>0</v>
      </c>
      <c r="AJ101" s="2" t="s">
        <v>463</v>
      </c>
      <c r="AK101" s="2">
        <v>0</v>
      </c>
      <c r="AL101">
        <v>0</v>
      </c>
      <c r="AM101">
        <v>0</v>
      </c>
      <c r="AN101">
        <v>0</v>
      </c>
      <c r="AO101">
        <v>0</v>
      </c>
      <c r="AP101">
        <v>3825</v>
      </c>
      <c r="AQ101">
        <v>3825</v>
      </c>
      <c r="AR101">
        <v>7325</v>
      </c>
      <c r="AS101">
        <v>0</v>
      </c>
      <c r="AT101">
        <v>0</v>
      </c>
      <c r="AU101">
        <v>10425</v>
      </c>
      <c r="AV101">
        <v>64521925</v>
      </c>
      <c r="AW101">
        <v>0</v>
      </c>
      <c r="AX101" s="5">
        <v>45693</v>
      </c>
      <c r="AY101" t="s">
        <v>356</v>
      </c>
      <c r="AZ101" t="s">
        <v>850</v>
      </c>
      <c r="BA101" t="s">
        <v>748</v>
      </c>
    </row>
    <row r="102" spans="1:53" ht="15" customHeight="1" x14ac:dyDescent="0.2">
      <c r="A102" t="s">
        <v>4945</v>
      </c>
      <c r="B102" t="s">
        <v>2284</v>
      </c>
      <c r="C102" t="s">
        <v>4917</v>
      </c>
      <c r="D102">
        <v>64522025</v>
      </c>
      <c r="E102" s="5">
        <v>45726</v>
      </c>
      <c r="F102" s="5">
        <v>45728.067361111112</v>
      </c>
      <c r="G102" s="4" t="s">
        <v>460</v>
      </c>
      <c r="H102" s="49">
        <v>3986243</v>
      </c>
      <c r="I102" s="49">
        <v>21190</v>
      </c>
      <c r="J102" s="50">
        <v>3965053</v>
      </c>
      <c r="K102" t="s">
        <v>2615</v>
      </c>
      <c r="L102" s="4" t="s">
        <v>461</v>
      </c>
      <c r="M102" t="s">
        <v>351</v>
      </c>
      <c r="N102" s="2">
        <v>12644439</v>
      </c>
      <c r="O102" t="s">
        <v>852</v>
      </c>
      <c r="P102" t="s">
        <v>316</v>
      </c>
      <c r="Q102" t="s">
        <v>317</v>
      </c>
      <c r="R102">
        <v>52384891829</v>
      </c>
      <c r="S102" t="s">
        <v>319</v>
      </c>
      <c r="T102">
        <v>890903938</v>
      </c>
      <c r="U102" t="s">
        <v>342</v>
      </c>
      <c r="V102">
        <v>923245</v>
      </c>
      <c r="W102" t="s">
        <v>180</v>
      </c>
      <c r="X102" s="2" t="s">
        <v>29</v>
      </c>
      <c r="Y102" t="s">
        <v>30</v>
      </c>
      <c r="Z102" t="s">
        <v>31</v>
      </c>
      <c r="AA102" t="s">
        <v>32</v>
      </c>
      <c r="AB102" t="s">
        <v>33</v>
      </c>
      <c r="AC102" s="51">
        <v>3986243</v>
      </c>
      <c r="AD102">
        <v>0</v>
      </c>
      <c r="AE102" s="4">
        <v>0</v>
      </c>
      <c r="AF102" s="4">
        <v>0</v>
      </c>
      <c r="AG102" t="s">
        <v>462</v>
      </c>
      <c r="AH102">
        <v>0</v>
      </c>
      <c r="AI102">
        <v>0</v>
      </c>
      <c r="AJ102" s="2" t="s">
        <v>463</v>
      </c>
      <c r="AK102" s="2">
        <v>0</v>
      </c>
      <c r="AL102">
        <v>0</v>
      </c>
      <c r="AM102">
        <v>0</v>
      </c>
      <c r="AN102">
        <v>0</v>
      </c>
      <c r="AO102">
        <v>0</v>
      </c>
      <c r="AP102">
        <v>3825</v>
      </c>
      <c r="AQ102">
        <v>3825</v>
      </c>
      <c r="AR102">
        <v>7425</v>
      </c>
      <c r="AS102">
        <v>0</v>
      </c>
      <c r="AT102">
        <v>0</v>
      </c>
      <c r="AU102">
        <v>10525</v>
      </c>
      <c r="AV102">
        <v>64522025</v>
      </c>
      <c r="AW102">
        <v>0</v>
      </c>
      <c r="AX102" s="5">
        <v>45693</v>
      </c>
      <c r="AY102" t="s">
        <v>356</v>
      </c>
      <c r="AZ102" t="s">
        <v>855</v>
      </c>
      <c r="BA102" t="s">
        <v>748</v>
      </c>
    </row>
    <row r="103" spans="1:53" ht="15" customHeight="1" x14ac:dyDescent="0.2">
      <c r="A103" t="s">
        <v>4946</v>
      </c>
      <c r="B103" t="s">
        <v>2285</v>
      </c>
      <c r="C103" t="s">
        <v>4859</v>
      </c>
      <c r="D103">
        <v>64522125</v>
      </c>
      <c r="E103" s="5">
        <v>45726</v>
      </c>
      <c r="F103" s="5">
        <v>45728.084722222222</v>
      </c>
      <c r="G103" s="4" t="s">
        <v>460</v>
      </c>
      <c r="H103" s="49">
        <v>2009233</v>
      </c>
      <c r="I103" s="49">
        <v>9621</v>
      </c>
      <c r="J103" s="50">
        <v>1999612</v>
      </c>
      <c r="K103" t="s">
        <v>2615</v>
      </c>
      <c r="L103" s="4" t="s">
        <v>461</v>
      </c>
      <c r="M103" t="s">
        <v>351</v>
      </c>
      <c r="N103" s="2">
        <v>39676109</v>
      </c>
      <c r="O103" t="s">
        <v>857</v>
      </c>
      <c r="P103" t="s">
        <v>316</v>
      </c>
      <c r="Q103" t="s">
        <v>317</v>
      </c>
      <c r="R103">
        <v>3020081456</v>
      </c>
      <c r="S103" t="s">
        <v>319</v>
      </c>
      <c r="T103">
        <v>890903938</v>
      </c>
      <c r="U103" t="s">
        <v>342</v>
      </c>
      <c r="V103">
        <v>923210</v>
      </c>
      <c r="W103" t="s">
        <v>56</v>
      </c>
      <c r="X103" s="2" t="s">
        <v>29</v>
      </c>
      <c r="Y103" t="s">
        <v>30</v>
      </c>
      <c r="Z103" t="s">
        <v>31</v>
      </c>
      <c r="AA103" t="s">
        <v>32</v>
      </c>
      <c r="AB103" t="s">
        <v>33</v>
      </c>
      <c r="AC103" s="51">
        <v>2009233</v>
      </c>
      <c r="AD103">
        <v>0</v>
      </c>
      <c r="AE103" s="4">
        <v>0</v>
      </c>
      <c r="AF103" s="4">
        <v>0</v>
      </c>
      <c r="AG103" t="s">
        <v>462</v>
      </c>
      <c r="AH103">
        <v>0</v>
      </c>
      <c r="AI103">
        <v>0</v>
      </c>
      <c r="AJ103" s="2" t="s">
        <v>463</v>
      </c>
      <c r="AK103" s="2">
        <v>0</v>
      </c>
      <c r="AL103">
        <v>0</v>
      </c>
      <c r="AM103">
        <v>0</v>
      </c>
      <c r="AN103">
        <v>0</v>
      </c>
      <c r="AO103">
        <v>0</v>
      </c>
      <c r="AP103">
        <v>1925</v>
      </c>
      <c r="AQ103">
        <v>1925</v>
      </c>
      <c r="AR103">
        <v>7525</v>
      </c>
      <c r="AS103">
        <v>0</v>
      </c>
      <c r="AT103">
        <v>0</v>
      </c>
      <c r="AU103">
        <v>10625</v>
      </c>
      <c r="AV103">
        <v>64522125</v>
      </c>
      <c r="AW103">
        <v>0</v>
      </c>
      <c r="AX103" s="5">
        <v>45693</v>
      </c>
      <c r="AY103" t="s">
        <v>356</v>
      </c>
      <c r="AZ103" t="s">
        <v>860</v>
      </c>
      <c r="BA103" t="s">
        <v>861</v>
      </c>
    </row>
    <row r="104" spans="1:53" ht="15" customHeight="1" x14ac:dyDescent="0.2">
      <c r="A104" t="s">
        <v>4947</v>
      </c>
      <c r="B104" t="s">
        <v>2286</v>
      </c>
      <c r="C104" t="s">
        <v>4917</v>
      </c>
      <c r="D104">
        <v>64522225</v>
      </c>
      <c r="E104" s="5">
        <v>45726</v>
      </c>
      <c r="F104" s="5">
        <v>45728.064583333333</v>
      </c>
      <c r="G104" s="4" t="s">
        <v>460</v>
      </c>
      <c r="H104" s="49">
        <v>3986243</v>
      </c>
      <c r="I104" s="49">
        <v>21190</v>
      </c>
      <c r="J104" s="50">
        <v>3965053</v>
      </c>
      <c r="K104" t="s">
        <v>2615</v>
      </c>
      <c r="L104" s="4" t="s">
        <v>461</v>
      </c>
      <c r="M104" t="s">
        <v>351</v>
      </c>
      <c r="N104" s="2">
        <v>53119149</v>
      </c>
      <c r="O104" t="s">
        <v>863</v>
      </c>
      <c r="P104" t="s">
        <v>316</v>
      </c>
      <c r="Q104" t="s">
        <v>317</v>
      </c>
      <c r="R104">
        <v>486480</v>
      </c>
      <c r="S104" t="s">
        <v>319</v>
      </c>
      <c r="T104">
        <v>860002964</v>
      </c>
      <c r="U104" t="s">
        <v>419</v>
      </c>
      <c r="V104">
        <v>923245</v>
      </c>
      <c r="W104" t="s">
        <v>180</v>
      </c>
      <c r="X104" s="2" t="s">
        <v>29</v>
      </c>
      <c r="Y104" t="s">
        <v>30</v>
      </c>
      <c r="Z104" t="s">
        <v>31</v>
      </c>
      <c r="AA104" t="s">
        <v>32</v>
      </c>
      <c r="AB104" t="s">
        <v>33</v>
      </c>
      <c r="AC104" s="51">
        <v>3986243</v>
      </c>
      <c r="AD104">
        <v>0</v>
      </c>
      <c r="AE104" s="4">
        <v>0</v>
      </c>
      <c r="AF104" s="4">
        <v>0</v>
      </c>
      <c r="AG104" t="s">
        <v>462</v>
      </c>
      <c r="AH104">
        <v>0</v>
      </c>
      <c r="AI104">
        <v>0</v>
      </c>
      <c r="AJ104" s="2" t="s">
        <v>463</v>
      </c>
      <c r="AK104" s="2">
        <v>0</v>
      </c>
      <c r="AL104">
        <v>0</v>
      </c>
      <c r="AM104">
        <v>0</v>
      </c>
      <c r="AN104">
        <v>0</v>
      </c>
      <c r="AO104">
        <v>0</v>
      </c>
      <c r="AP104">
        <v>3825</v>
      </c>
      <c r="AQ104">
        <v>3825</v>
      </c>
      <c r="AR104">
        <v>7625</v>
      </c>
      <c r="AS104">
        <v>0</v>
      </c>
      <c r="AT104">
        <v>0</v>
      </c>
      <c r="AU104">
        <v>10725</v>
      </c>
      <c r="AV104">
        <v>64522225</v>
      </c>
      <c r="AW104">
        <v>0</v>
      </c>
      <c r="AX104" s="5">
        <v>45693</v>
      </c>
      <c r="AY104" t="s">
        <v>356</v>
      </c>
      <c r="AZ104" t="s">
        <v>866</v>
      </c>
      <c r="BA104" t="s">
        <v>748</v>
      </c>
    </row>
    <row r="105" spans="1:53" ht="15" customHeight="1" x14ac:dyDescent="0.2">
      <c r="A105" t="s">
        <v>4948</v>
      </c>
      <c r="B105" t="s">
        <v>2287</v>
      </c>
      <c r="C105" t="s">
        <v>4917</v>
      </c>
      <c r="D105">
        <v>64522325</v>
      </c>
      <c r="E105" s="5">
        <v>45726</v>
      </c>
      <c r="F105" s="5">
        <v>45728.081944444442</v>
      </c>
      <c r="G105" s="4" t="s">
        <v>460</v>
      </c>
      <c r="H105" s="49">
        <v>3986243</v>
      </c>
      <c r="I105" s="49">
        <v>21190</v>
      </c>
      <c r="J105" s="50">
        <v>3965053</v>
      </c>
      <c r="K105" t="s">
        <v>2615</v>
      </c>
      <c r="L105" s="4" t="s">
        <v>461</v>
      </c>
      <c r="M105" t="s">
        <v>351</v>
      </c>
      <c r="N105" s="2">
        <v>80056517</v>
      </c>
      <c r="O105" t="s">
        <v>868</v>
      </c>
      <c r="P105" t="s">
        <v>316</v>
      </c>
      <c r="Q105" t="s">
        <v>317</v>
      </c>
      <c r="R105">
        <v>9900597467</v>
      </c>
      <c r="S105" t="s">
        <v>319</v>
      </c>
      <c r="T105">
        <v>860051894</v>
      </c>
      <c r="U105" t="s">
        <v>2868</v>
      </c>
      <c r="V105">
        <v>923245</v>
      </c>
      <c r="W105" t="s">
        <v>180</v>
      </c>
      <c r="X105" s="2" t="s">
        <v>29</v>
      </c>
      <c r="Y105" t="s">
        <v>30</v>
      </c>
      <c r="Z105" t="s">
        <v>31</v>
      </c>
      <c r="AA105" t="s">
        <v>32</v>
      </c>
      <c r="AB105" t="s">
        <v>33</v>
      </c>
      <c r="AC105" s="51">
        <v>3986243</v>
      </c>
      <c r="AD105">
        <v>0</v>
      </c>
      <c r="AE105" s="4">
        <v>0</v>
      </c>
      <c r="AF105" s="4">
        <v>0</v>
      </c>
      <c r="AG105" t="s">
        <v>462</v>
      </c>
      <c r="AH105">
        <v>0</v>
      </c>
      <c r="AI105">
        <v>0</v>
      </c>
      <c r="AJ105" s="2" t="s">
        <v>463</v>
      </c>
      <c r="AK105" s="2">
        <v>0</v>
      </c>
      <c r="AL105">
        <v>0</v>
      </c>
      <c r="AM105">
        <v>0</v>
      </c>
      <c r="AN105">
        <v>0</v>
      </c>
      <c r="AO105">
        <v>0</v>
      </c>
      <c r="AP105">
        <v>3825</v>
      </c>
      <c r="AQ105">
        <v>3825</v>
      </c>
      <c r="AR105">
        <v>7725</v>
      </c>
      <c r="AS105">
        <v>0</v>
      </c>
      <c r="AT105">
        <v>0</v>
      </c>
      <c r="AU105">
        <v>10825</v>
      </c>
      <c r="AV105">
        <v>64522325</v>
      </c>
      <c r="AW105">
        <v>0</v>
      </c>
      <c r="AX105" s="5">
        <v>45693</v>
      </c>
      <c r="AY105" t="s">
        <v>356</v>
      </c>
      <c r="AZ105" t="s">
        <v>870</v>
      </c>
      <c r="BA105" t="s">
        <v>748</v>
      </c>
    </row>
    <row r="106" spans="1:53" ht="15" customHeight="1" x14ac:dyDescent="0.2">
      <c r="A106" t="s">
        <v>4949</v>
      </c>
      <c r="B106" t="s">
        <v>2288</v>
      </c>
      <c r="C106" t="s">
        <v>4917</v>
      </c>
      <c r="D106">
        <v>64522425</v>
      </c>
      <c r="E106" s="5">
        <v>45726</v>
      </c>
      <c r="F106" s="5">
        <v>45728.081944444442</v>
      </c>
      <c r="G106" s="4" t="s">
        <v>460</v>
      </c>
      <c r="H106" s="49">
        <v>3986243</v>
      </c>
      <c r="I106" s="49">
        <v>21190</v>
      </c>
      <c r="J106" s="50">
        <v>3965053</v>
      </c>
      <c r="K106" t="s">
        <v>2615</v>
      </c>
      <c r="L106" s="4" t="s">
        <v>461</v>
      </c>
      <c r="M106" t="s">
        <v>351</v>
      </c>
      <c r="N106" s="2">
        <v>1022945222</v>
      </c>
      <c r="O106" t="s">
        <v>872</v>
      </c>
      <c r="P106" t="s">
        <v>316</v>
      </c>
      <c r="Q106" t="s">
        <v>317</v>
      </c>
      <c r="R106">
        <v>111150308222</v>
      </c>
      <c r="S106" t="s">
        <v>319</v>
      </c>
      <c r="T106">
        <v>900047981</v>
      </c>
      <c r="U106" t="s">
        <v>399</v>
      </c>
      <c r="V106">
        <v>923245</v>
      </c>
      <c r="W106" t="s">
        <v>180</v>
      </c>
      <c r="X106" s="2" t="s">
        <v>29</v>
      </c>
      <c r="Y106" t="s">
        <v>30</v>
      </c>
      <c r="Z106" t="s">
        <v>31</v>
      </c>
      <c r="AA106" t="s">
        <v>32</v>
      </c>
      <c r="AB106" t="s">
        <v>33</v>
      </c>
      <c r="AC106" s="51">
        <v>3986243</v>
      </c>
      <c r="AD106">
        <v>0</v>
      </c>
      <c r="AE106" s="4">
        <v>0</v>
      </c>
      <c r="AF106" s="4">
        <v>0</v>
      </c>
      <c r="AG106" t="s">
        <v>462</v>
      </c>
      <c r="AH106">
        <v>0</v>
      </c>
      <c r="AI106">
        <v>0</v>
      </c>
      <c r="AJ106" s="2" t="s">
        <v>463</v>
      </c>
      <c r="AK106" s="2">
        <v>0</v>
      </c>
      <c r="AL106">
        <v>0</v>
      </c>
      <c r="AM106">
        <v>0</v>
      </c>
      <c r="AN106">
        <v>0</v>
      </c>
      <c r="AO106">
        <v>0</v>
      </c>
      <c r="AP106">
        <v>3825</v>
      </c>
      <c r="AQ106">
        <v>3825</v>
      </c>
      <c r="AR106">
        <v>7825</v>
      </c>
      <c r="AS106">
        <v>0</v>
      </c>
      <c r="AT106">
        <v>0</v>
      </c>
      <c r="AU106">
        <v>10925</v>
      </c>
      <c r="AV106">
        <v>64522425</v>
      </c>
      <c r="AW106">
        <v>0</v>
      </c>
      <c r="AX106" s="5">
        <v>45693</v>
      </c>
      <c r="AY106" t="s">
        <v>356</v>
      </c>
      <c r="AZ106" t="s">
        <v>875</v>
      </c>
      <c r="BA106" t="s">
        <v>748</v>
      </c>
    </row>
    <row r="107" spans="1:53" ht="15" customHeight="1" x14ac:dyDescent="0.2">
      <c r="A107" t="s">
        <v>4950</v>
      </c>
      <c r="B107" t="s">
        <v>2289</v>
      </c>
      <c r="C107" t="s">
        <v>4917</v>
      </c>
      <c r="D107">
        <v>64522525</v>
      </c>
      <c r="E107" s="5">
        <v>45726</v>
      </c>
      <c r="F107" s="5">
        <v>45728.07916666667</v>
      </c>
      <c r="G107" s="4" t="s">
        <v>460</v>
      </c>
      <c r="H107" s="49">
        <v>3986243</v>
      </c>
      <c r="I107" s="49">
        <v>21190</v>
      </c>
      <c r="J107" s="50">
        <v>3965053</v>
      </c>
      <c r="K107" t="s">
        <v>2615</v>
      </c>
      <c r="L107" s="4" t="s">
        <v>461</v>
      </c>
      <c r="M107" t="s">
        <v>351</v>
      </c>
      <c r="N107" s="2">
        <v>80047546</v>
      </c>
      <c r="O107" t="s">
        <v>877</v>
      </c>
      <c r="P107" t="s">
        <v>316</v>
      </c>
      <c r="Q107" t="s">
        <v>317</v>
      </c>
      <c r="R107">
        <v>488414407293</v>
      </c>
      <c r="S107" t="s">
        <v>319</v>
      </c>
      <c r="T107">
        <v>860034313</v>
      </c>
      <c r="U107" t="s">
        <v>355</v>
      </c>
      <c r="V107">
        <v>923245</v>
      </c>
      <c r="W107" t="s">
        <v>180</v>
      </c>
      <c r="X107" s="2" t="s">
        <v>29</v>
      </c>
      <c r="Y107" t="s">
        <v>30</v>
      </c>
      <c r="Z107" t="s">
        <v>31</v>
      </c>
      <c r="AA107" t="s">
        <v>32</v>
      </c>
      <c r="AB107" t="s">
        <v>33</v>
      </c>
      <c r="AC107" s="51">
        <v>3986243</v>
      </c>
      <c r="AD107">
        <v>0</v>
      </c>
      <c r="AE107" s="4">
        <v>0</v>
      </c>
      <c r="AF107" s="4">
        <v>0</v>
      </c>
      <c r="AG107" t="s">
        <v>462</v>
      </c>
      <c r="AH107">
        <v>0</v>
      </c>
      <c r="AI107">
        <v>0</v>
      </c>
      <c r="AJ107" s="2" t="s">
        <v>463</v>
      </c>
      <c r="AK107" s="2">
        <v>0</v>
      </c>
      <c r="AL107">
        <v>0</v>
      </c>
      <c r="AM107">
        <v>0</v>
      </c>
      <c r="AN107">
        <v>0</v>
      </c>
      <c r="AO107">
        <v>0</v>
      </c>
      <c r="AP107">
        <v>3825</v>
      </c>
      <c r="AQ107">
        <v>3825</v>
      </c>
      <c r="AR107">
        <v>7925</v>
      </c>
      <c r="AS107">
        <v>0</v>
      </c>
      <c r="AT107">
        <v>0</v>
      </c>
      <c r="AU107">
        <v>11025</v>
      </c>
      <c r="AV107">
        <v>64522525</v>
      </c>
      <c r="AW107">
        <v>0</v>
      </c>
      <c r="AX107" s="5">
        <v>45693</v>
      </c>
      <c r="AY107" t="s">
        <v>356</v>
      </c>
      <c r="AZ107" t="s">
        <v>880</v>
      </c>
      <c r="BA107" t="s">
        <v>748</v>
      </c>
    </row>
    <row r="108" spans="1:53" ht="15" customHeight="1" x14ac:dyDescent="0.2">
      <c r="A108" t="s">
        <v>4951</v>
      </c>
      <c r="B108" t="s">
        <v>2290</v>
      </c>
      <c r="C108" t="s">
        <v>4917</v>
      </c>
      <c r="D108">
        <v>64522625</v>
      </c>
      <c r="E108" s="5">
        <v>45726</v>
      </c>
      <c r="F108" s="5">
        <v>45728.067361111112</v>
      </c>
      <c r="G108" s="4" t="s">
        <v>460</v>
      </c>
      <c r="H108" s="49">
        <v>3986243</v>
      </c>
      <c r="I108" s="49">
        <v>21190</v>
      </c>
      <c r="J108" s="50">
        <v>3965053</v>
      </c>
      <c r="K108" t="s">
        <v>2615</v>
      </c>
      <c r="L108" s="4" t="s">
        <v>461</v>
      </c>
      <c r="M108" t="s">
        <v>351</v>
      </c>
      <c r="N108" s="2">
        <v>1023876213</v>
      </c>
      <c r="O108" t="s">
        <v>882</v>
      </c>
      <c r="P108" t="s">
        <v>316</v>
      </c>
      <c r="Q108" t="s">
        <v>317</v>
      </c>
      <c r="R108">
        <v>64690127545</v>
      </c>
      <c r="S108" t="s">
        <v>319</v>
      </c>
      <c r="T108">
        <v>890903938</v>
      </c>
      <c r="U108" t="s">
        <v>342</v>
      </c>
      <c r="V108">
        <v>923245</v>
      </c>
      <c r="W108" t="s">
        <v>180</v>
      </c>
      <c r="X108" s="2" t="s">
        <v>29</v>
      </c>
      <c r="Y108" t="s">
        <v>30</v>
      </c>
      <c r="Z108" t="s">
        <v>31</v>
      </c>
      <c r="AA108" t="s">
        <v>32</v>
      </c>
      <c r="AB108" t="s">
        <v>33</v>
      </c>
      <c r="AC108" s="51">
        <v>3986243</v>
      </c>
      <c r="AD108">
        <v>0</v>
      </c>
      <c r="AE108" s="4">
        <v>0</v>
      </c>
      <c r="AF108" s="4">
        <v>0</v>
      </c>
      <c r="AG108" t="s">
        <v>462</v>
      </c>
      <c r="AH108">
        <v>0</v>
      </c>
      <c r="AI108">
        <v>0</v>
      </c>
      <c r="AJ108" s="2" t="s">
        <v>463</v>
      </c>
      <c r="AK108" s="2">
        <v>0</v>
      </c>
      <c r="AL108">
        <v>0</v>
      </c>
      <c r="AM108">
        <v>0</v>
      </c>
      <c r="AN108">
        <v>0</v>
      </c>
      <c r="AO108">
        <v>0</v>
      </c>
      <c r="AP108">
        <v>3825</v>
      </c>
      <c r="AQ108">
        <v>3825</v>
      </c>
      <c r="AR108">
        <v>8025</v>
      </c>
      <c r="AS108">
        <v>0</v>
      </c>
      <c r="AT108">
        <v>0</v>
      </c>
      <c r="AU108">
        <v>11125</v>
      </c>
      <c r="AV108">
        <v>64522625</v>
      </c>
      <c r="AW108">
        <v>0</v>
      </c>
      <c r="AX108" s="5">
        <v>45693</v>
      </c>
      <c r="AY108" t="s">
        <v>356</v>
      </c>
      <c r="AZ108" t="s">
        <v>885</v>
      </c>
      <c r="BA108" t="s">
        <v>748</v>
      </c>
    </row>
    <row r="109" spans="1:53" ht="15" customHeight="1" x14ac:dyDescent="0.2">
      <c r="A109" t="s">
        <v>4952</v>
      </c>
      <c r="B109" t="s">
        <v>2291</v>
      </c>
      <c r="C109" t="s">
        <v>4917</v>
      </c>
      <c r="D109">
        <v>64522725</v>
      </c>
      <c r="E109" s="5">
        <v>45726</v>
      </c>
      <c r="F109" s="5">
        <v>45728.07916666667</v>
      </c>
      <c r="G109" s="4" t="s">
        <v>460</v>
      </c>
      <c r="H109" s="49">
        <v>3986243</v>
      </c>
      <c r="I109" s="49">
        <v>21190</v>
      </c>
      <c r="J109" s="50">
        <v>3965053</v>
      </c>
      <c r="K109" t="s">
        <v>2615</v>
      </c>
      <c r="L109" s="4" t="s">
        <v>461</v>
      </c>
      <c r="M109" t="s">
        <v>887</v>
      </c>
      <c r="N109" s="2">
        <v>474259</v>
      </c>
      <c r="O109" t="s">
        <v>888</v>
      </c>
      <c r="P109" t="s">
        <v>316</v>
      </c>
      <c r="Q109" t="s">
        <v>317</v>
      </c>
      <c r="R109">
        <v>472970078730</v>
      </c>
      <c r="S109" t="s">
        <v>319</v>
      </c>
      <c r="T109">
        <v>860034313</v>
      </c>
      <c r="U109" t="s">
        <v>355</v>
      </c>
      <c r="V109">
        <v>923245</v>
      </c>
      <c r="W109" t="s">
        <v>180</v>
      </c>
      <c r="X109" s="2" t="s">
        <v>29</v>
      </c>
      <c r="Y109" t="s">
        <v>30</v>
      </c>
      <c r="Z109" t="s">
        <v>31</v>
      </c>
      <c r="AA109" t="s">
        <v>32</v>
      </c>
      <c r="AB109" t="s">
        <v>33</v>
      </c>
      <c r="AC109" s="51">
        <v>3986243</v>
      </c>
      <c r="AD109">
        <v>0</v>
      </c>
      <c r="AE109" s="4">
        <v>0</v>
      </c>
      <c r="AF109" s="4">
        <v>0</v>
      </c>
      <c r="AG109" t="s">
        <v>462</v>
      </c>
      <c r="AH109">
        <v>0</v>
      </c>
      <c r="AI109">
        <v>0</v>
      </c>
      <c r="AJ109" s="2" t="s">
        <v>463</v>
      </c>
      <c r="AK109" s="2">
        <v>0</v>
      </c>
      <c r="AL109">
        <v>0</v>
      </c>
      <c r="AM109">
        <v>0</v>
      </c>
      <c r="AN109">
        <v>0</v>
      </c>
      <c r="AO109">
        <v>0</v>
      </c>
      <c r="AP109">
        <v>3825</v>
      </c>
      <c r="AQ109">
        <v>3825</v>
      </c>
      <c r="AR109">
        <v>8125</v>
      </c>
      <c r="AS109">
        <v>0</v>
      </c>
      <c r="AT109">
        <v>0</v>
      </c>
      <c r="AU109">
        <v>11225</v>
      </c>
      <c r="AV109">
        <v>64522725</v>
      </c>
      <c r="AW109">
        <v>0</v>
      </c>
      <c r="AX109" s="5">
        <v>45693</v>
      </c>
      <c r="AY109" t="s">
        <v>356</v>
      </c>
      <c r="AZ109" t="s">
        <v>891</v>
      </c>
      <c r="BA109" t="s">
        <v>748</v>
      </c>
    </row>
    <row r="110" spans="1:53" ht="15" customHeight="1" x14ac:dyDescent="0.2">
      <c r="A110" t="s">
        <v>4953</v>
      </c>
      <c r="B110" t="s">
        <v>2292</v>
      </c>
      <c r="C110" t="s">
        <v>4917</v>
      </c>
      <c r="D110">
        <v>64522825</v>
      </c>
      <c r="E110" s="5">
        <v>45726</v>
      </c>
      <c r="F110" s="5">
        <v>45728.07916666667</v>
      </c>
      <c r="G110" s="4" t="s">
        <v>460</v>
      </c>
      <c r="H110" s="49">
        <v>3986243</v>
      </c>
      <c r="I110" s="49">
        <v>21190</v>
      </c>
      <c r="J110" s="50">
        <v>3965053</v>
      </c>
      <c r="K110" t="s">
        <v>2615</v>
      </c>
      <c r="L110" s="4" t="s">
        <v>461</v>
      </c>
      <c r="M110" t="s">
        <v>351</v>
      </c>
      <c r="N110" s="2">
        <v>1024470479</v>
      </c>
      <c r="O110" t="s">
        <v>893</v>
      </c>
      <c r="P110" t="s">
        <v>316</v>
      </c>
      <c r="Q110" t="s">
        <v>317</v>
      </c>
      <c r="R110">
        <v>456800122107</v>
      </c>
      <c r="S110" t="s">
        <v>319</v>
      </c>
      <c r="T110">
        <v>860034313</v>
      </c>
      <c r="U110" t="s">
        <v>355</v>
      </c>
      <c r="V110">
        <v>923245</v>
      </c>
      <c r="W110" t="s">
        <v>180</v>
      </c>
      <c r="X110" s="2" t="s">
        <v>29</v>
      </c>
      <c r="Y110" t="s">
        <v>30</v>
      </c>
      <c r="Z110" t="s">
        <v>31</v>
      </c>
      <c r="AA110" t="s">
        <v>32</v>
      </c>
      <c r="AB110" t="s">
        <v>33</v>
      </c>
      <c r="AC110" s="51">
        <v>3986243</v>
      </c>
      <c r="AD110">
        <v>0</v>
      </c>
      <c r="AE110" s="4">
        <v>0</v>
      </c>
      <c r="AF110" s="4">
        <v>0</v>
      </c>
      <c r="AG110" t="s">
        <v>462</v>
      </c>
      <c r="AH110">
        <v>0</v>
      </c>
      <c r="AI110">
        <v>0</v>
      </c>
      <c r="AJ110" s="2" t="s">
        <v>463</v>
      </c>
      <c r="AK110" s="2">
        <v>0</v>
      </c>
      <c r="AL110">
        <v>0</v>
      </c>
      <c r="AM110">
        <v>0</v>
      </c>
      <c r="AN110">
        <v>0</v>
      </c>
      <c r="AO110">
        <v>0</v>
      </c>
      <c r="AP110">
        <v>3825</v>
      </c>
      <c r="AQ110">
        <v>3825</v>
      </c>
      <c r="AR110">
        <v>8225</v>
      </c>
      <c r="AS110">
        <v>0</v>
      </c>
      <c r="AT110">
        <v>0</v>
      </c>
      <c r="AU110">
        <v>11325</v>
      </c>
      <c r="AV110">
        <v>64522825</v>
      </c>
      <c r="AW110">
        <v>0</v>
      </c>
      <c r="AX110" s="5">
        <v>45693</v>
      </c>
      <c r="AY110" t="s">
        <v>356</v>
      </c>
      <c r="AZ110" t="s">
        <v>896</v>
      </c>
      <c r="BA110" t="s">
        <v>748</v>
      </c>
    </row>
    <row r="111" spans="1:53" ht="15" customHeight="1" x14ac:dyDescent="0.2">
      <c r="A111" t="s">
        <v>4954</v>
      </c>
      <c r="B111" t="s">
        <v>2293</v>
      </c>
      <c r="C111" t="s">
        <v>4917</v>
      </c>
      <c r="D111">
        <v>64522925</v>
      </c>
      <c r="E111" s="5">
        <v>45726</v>
      </c>
      <c r="F111" s="5">
        <v>45728.067361111112</v>
      </c>
      <c r="G111" s="4" t="s">
        <v>460</v>
      </c>
      <c r="H111" s="49">
        <v>3986243</v>
      </c>
      <c r="I111" s="49">
        <v>21190</v>
      </c>
      <c r="J111" s="50">
        <v>3965053</v>
      </c>
      <c r="K111" t="s">
        <v>2615</v>
      </c>
      <c r="L111" s="4" t="s">
        <v>461</v>
      </c>
      <c r="M111" t="s">
        <v>351</v>
      </c>
      <c r="N111" s="2">
        <v>1022415410</v>
      </c>
      <c r="O111" t="s">
        <v>898</v>
      </c>
      <c r="P111" t="s">
        <v>316</v>
      </c>
      <c r="Q111" t="s">
        <v>317</v>
      </c>
      <c r="R111">
        <v>52546562026</v>
      </c>
      <c r="S111" t="s">
        <v>319</v>
      </c>
      <c r="T111">
        <v>890903938</v>
      </c>
      <c r="U111" t="s">
        <v>342</v>
      </c>
      <c r="V111">
        <v>923245</v>
      </c>
      <c r="W111" t="s">
        <v>180</v>
      </c>
      <c r="X111" s="2" t="s">
        <v>29</v>
      </c>
      <c r="Y111" t="s">
        <v>30</v>
      </c>
      <c r="Z111" t="s">
        <v>31</v>
      </c>
      <c r="AA111" t="s">
        <v>32</v>
      </c>
      <c r="AB111" t="s">
        <v>33</v>
      </c>
      <c r="AC111" s="51">
        <v>3986243</v>
      </c>
      <c r="AD111">
        <v>0</v>
      </c>
      <c r="AE111" s="4">
        <v>0</v>
      </c>
      <c r="AF111" s="4">
        <v>0</v>
      </c>
      <c r="AG111" t="s">
        <v>462</v>
      </c>
      <c r="AH111">
        <v>0</v>
      </c>
      <c r="AI111">
        <v>0</v>
      </c>
      <c r="AJ111" s="2" t="s">
        <v>463</v>
      </c>
      <c r="AK111" s="2">
        <v>0</v>
      </c>
      <c r="AL111">
        <v>0</v>
      </c>
      <c r="AM111">
        <v>0</v>
      </c>
      <c r="AN111">
        <v>0</v>
      </c>
      <c r="AO111">
        <v>0</v>
      </c>
      <c r="AP111">
        <v>3825</v>
      </c>
      <c r="AQ111">
        <v>3825</v>
      </c>
      <c r="AR111">
        <v>8325</v>
      </c>
      <c r="AS111">
        <v>0</v>
      </c>
      <c r="AT111">
        <v>0</v>
      </c>
      <c r="AU111">
        <v>11425</v>
      </c>
      <c r="AV111">
        <v>64522925</v>
      </c>
      <c r="AW111">
        <v>0</v>
      </c>
      <c r="AX111" s="5">
        <v>45693</v>
      </c>
      <c r="AY111" t="s">
        <v>356</v>
      </c>
      <c r="AZ111" t="s">
        <v>901</v>
      </c>
      <c r="BA111" t="s">
        <v>748</v>
      </c>
    </row>
    <row r="112" spans="1:53" ht="15" customHeight="1" x14ac:dyDescent="0.2">
      <c r="A112" t="s">
        <v>4955</v>
      </c>
      <c r="B112" t="s">
        <v>2294</v>
      </c>
      <c r="C112" t="s">
        <v>4917</v>
      </c>
      <c r="D112">
        <v>64523025</v>
      </c>
      <c r="E112" s="5">
        <v>45726</v>
      </c>
      <c r="F112" s="5">
        <v>45728.067361111112</v>
      </c>
      <c r="G112" s="4" t="s">
        <v>460</v>
      </c>
      <c r="H112" s="49">
        <v>3986243</v>
      </c>
      <c r="I112" s="49">
        <v>21190</v>
      </c>
      <c r="J112" s="50">
        <v>3965053</v>
      </c>
      <c r="K112" t="s">
        <v>2615</v>
      </c>
      <c r="L112" s="4" t="s">
        <v>461</v>
      </c>
      <c r="M112" t="s">
        <v>351</v>
      </c>
      <c r="N112" s="2">
        <v>91238336</v>
      </c>
      <c r="O112" t="s">
        <v>903</v>
      </c>
      <c r="P112" t="s">
        <v>316</v>
      </c>
      <c r="Q112" t="s">
        <v>317</v>
      </c>
      <c r="R112">
        <v>19247280971</v>
      </c>
      <c r="S112" t="s">
        <v>319</v>
      </c>
      <c r="T112">
        <v>890903938</v>
      </c>
      <c r="U112" t="s">
        <v>342</v>
      </c>
      <c r="V112">
        <v>923245</v>
      </c>
      <c r="W112" t="s">
        <v>180</v>
      </c>
      <c r="X112" s="2" t="s">
        <v>29</v>
      </c>
      <c r="Y112" t="s">
        <v>30</v>
      </c>
      <c r="Z112" t="s">
        <v>31</v>
      </c>
      <c r="AA112" t="s">
        <v>32</v>
      </c>
      <c r="AB112" t="s">
        <v>33</v>
      </c>
      <c r="AC112" s="51">
        <v>3986243</v>
      </c>
      <c r="AD112">
        <v>0</v>
      </c>
      <c r="AE112" s="4">
        <v>0</v>
      </c>
      <c r="AF112" s="4">
        <v>0</v>
      </c>
      <c r="AG112" t="s">
        <v>462</v>
      </c>
      <c r="AH112">
        <v>0</v>
      </c>
      <c r="AI112">
        <v>0</v>
      </c>
      <c r="AJ112" s="2" t="s">
        <v>463</v>
      </c>
      <c r="AK112" s="2">
        <v>0</v>
      </c>
      <c r="AL112">
        <v>0</v>
      </c>
      <c r="AM112">
        <v>0</v>
      </c>
      <c r="AN112">
        <v>0</v>
      </c>
      <c r="AO112">
        <v>0</v>
      </c>
      <c r="AP112">
        <v>3825</v>
      </c>
      <c r="AQ112">
        <v>3825</v>
      </c>
      <c r="AR112">
        <v>8425</v>
      </c>
      <c r="AS112">
        <v>0</v>
      </c>
      <c r="AT112">
        <v>0</v>
      </c>
      <c r="AU112">
        <v>11525</v>
      </c>
      <c r="AV112">
        <v>64523025</v>
      </c>
      <c r="AW112">
        <v>0</v>
      </c>
      <c r="AX112" s="5">
        <v>45693</v>
      </c>
      <c r="AY112" t="s">
        <v>356</v>
      </c>
      <c r="AZ112" t="s">
        <v>906</v>
      </c>
      <c r="BA112" t="s">
        <v>748</v>
      </c>
    </row>
    <row r="113" spans="1:53" ht="15" customHeight="1" x14ac:dyDescent="0.2">
      <c r="A113" t="s">
        <v>4956</v>
      </c>
      <c r="B113" t="s">
        <v>2295</v>
      </c>
      <c r="C113" t="s">
        <v>4917</v>
      </c>
      <c r="D113">
        <v>64523125</v>
      </c>
      <c r="E113" s="5">
        <v>45726</v>
      </c>
      <c r="F113" s="5">
        <v>45728.067361111112</v>
      </c>
      <c r="G113" s="4" t="s">
        <v>460</v>
      </c>
      <c r="H113" s="49">
        <v>3986243</v>
      </c>
      <c r="I113" s="49">
        <v>21190</v>
      </c>
      <c r="J113" s="50">
        <v>3965053</v>
      </c>
      <c r="K113" t="s">
        <v>2615</v>
      </c>
      <c r="L113" s="4" t="s">
        <v>461</v>
      </c>
      <c r="M113" t="s">
        <v>351</v>
      </c>
      <c r="N113" s="2">
        <v>91536012</v>
      </c>
      <c r="O113" t="s">
        <v>908</v>
      </c>
      <c r="P113" t="s">
        <v>316</v>
      </c>
      <c r="Q113" t="s">
        <v>317</v>
      </c>
      <c r="R113">
        <v>20323621200</v>
      </c>
      <c r="S113" t="s">
        <v>319</v>
      </c>
      <c r="T113">
        <v>890903938</v>
      </c>
      <c r="U113" t="s">
        <v>342</v>
      </c>
      <c r="V113">
        <v>923245</v>
      </c>
      <c r="W113" t="s">
        <v>180</v>
      </c>
      <c r="X113" s="2" t="s">
        <v>29</v>
      </c>
      <c r="Y113" t="s">
        <v>30</v>
      </c>
      <c r="Z113" t="s">
        <v>31</v>
      </c>
      <c r="AA113" t="s">
        <v>32</v>
      </c>
      <c r="AB113" t="s">
        <v>33</v>
      </c>
      <c r="AC113" s="51">
        <v>3986243</v>
      </c>
      <c r="AD113">
        <v>0</v>
      </c>
      <c r="AE113" s="4">
        <v>0</v>
      </c>
      <c r="AF113" s="4">
        <v>0</v>
      </c>
      <c r="AG113" t="s">
        <v>462</v>
      </c>
      <c r="AH113">
        <v>0</v>
      </c>
      <c r="AI113">
        <v>0</v>
      </c>
      <c r="AJ113" s="2" t="s">
        <v>463</v>
      </c>
      <c r="AK113" s="2">
        <v>0</v>
      </c>
      <c r="AL113">
        <v>0</v>
      </c>
      <c r="AM113">
        <v>0</v>
      </c>
      <c r="AN113">
        <v>0</v>
      </c>
      <c r="AO113">
        <v>0</v>
      </c>
      <c r="AP113">
        <v>3825</v>
      </c>
      <c r="AQ113">
        <v>3825</v>
      </c>
      <c r="AR113">
        <v>8525</v>
      </c>
      <c r="AS113">
        <v>0</v>
      </c>
      <c r="AT113">
        <v>0</v>
      </c>
      <c r="AU113">
        <v>11625</v>
      </c>
      <c r="AV113">
        <v>64523125</v>
      </c>
      <c r="AW113">
        <v>0</v>
      </c>
      <c r="AX113" s="5">
        <v>45693</v>
      </c>
      <c r="AY113" t="s">
        <v>356</v>
      </c>
      <c r="AZ113" t="s">
        <v>911</v>
      </c>
      <c r="BA113" t="s">
        <v>748</v>
      </c>
    </row>
    <row r="114" spans="1:53" ht="15" customHeight="1" x14ac:dyDescent="0.2">
      <c r="A114" t="s">
        <v>4957</v>
      </c>
      <c r="B114" t="s">
        <v>2296</v>
      </c>
      <c r="C114" t="s">
        <v>4917</v>
      </c>
      <c r="D114">
        <v>64523225</v>
      </c>
      <c r="E114" s="5">
        <v>45726</v>
      </c>
      <c r="F114" s="5">
        <v>45728.081250000003</v>
      </c>
      <c r="G114" s="4" t="s">
        <v>460</v>
      </c>
      <c r="H114" s="49">
        <v>3986243</v>
      </c>
      <c r="I114" s="49">
        <v>22721</v>
      </c>
      <c r="J114" s="50">
        <v>3963522</v>
      </c>
      <c r="K114" t="s">
        <v>2615</v>
      </c>
      <c r="L114" s="4" t="s">
        <v>461</v>
      </c>
      <c r="M114" t="s">
        <v>351</v>
      </c>
      <c r="N114" s="2">
        <v>19288738</v>
      </c>
      <c r="O114" t="s">
        <v>913</v>
      </c>
      <c r="P114" t="s">
        <v>316</v>
      </c>
      <c r="Q114" t="s">
        <v>317</v>
      </c>
      <c r="R114">
        <v>477900060849</v>
      </c>
      <c r="S114" t="s">
        <v>319</v>
      </c>
      <c r="T114">
        <v>860034313</v>
      </c>
      <c r="U114" t="s">
        <v>355</v>
      </c>
      <c r="V114">
        <v>923245</v>
      </c>
      <c r="W114" t="s">
        <v>180</v>
      </c>
      <c r="X114" s="2" t="s">
        <v>29</v>
      </c>
      <c r="Y114" t="s">
        <v>30</v>
      </c>
      <c r="Z114" t="s">
        <v>31</v>
      </c>
      <c r="AA114" t="s">
        <v>32</v>
      </c>
      <c r="AB114" t="s">
        <v>33</v>
      </c>
      <c r="AC114" s="51">
        <v>3986243</v>
      </c>
      <c r="AD114">
        <v>0</v>
      </c>
      <c r="AE114" s="4">
        <v>0</v>
      </c>
      <c r="AF114" s="4">
        <v>0</v>
      </c>
      <c r="AG114" t="s">
        <v>462</v>
      </c>
      <c r="AH114">
        <v>0</v>
      </c>
      <c r="AI114">
        <v>0</v>
      </c>
      <c r="AJ114" s="2" t="s">
        <v>463</v>
      </c>
      <c r="AK114" s="2">
        <v>0</v>
      </c>
      <c r="AL114">
        <v>0</v>
      </c>
      <c r="AM114">
        <v>0</v>
      </c>
      <c r="AN114">
        <v>0</v>
      </c>
      <c r="AO114">
        <v>0</v>
      </c>
      <c r="AP114">
        <v>3825</v>
      </c>
      <c r="AQ114">
        <v>3825</v>
      </c>
      <c r="AR114">
        <v>8625</v>
      </c>
      <c r="AS114">
        <v>0</v>
      </c>
      <c r="AT114">
        <v>0</v>
      </c>
      <c r="AU114">
        <v>11725</v>
      </c>
      <c r="AV114">
        <v>64523225</v>
      </c>
      <c r="AW114">
        <v>0</v>
      </c>
      <c r="AX114" s="5">
        <v>45693</v>
      </c>
      <c r="AY114" t="s">
        <v>356</v>
      </c>
      <c r="AZ114" t="s">
        <v>916</v>
      </c>
      <c r="BA114" t="s">
        <v>748</v>
      </c>
    </row>
    <row r="115" spans="1:53" ht="15" customHeight="1" x14ac:dyDescent="0.2">
      <c r="A115" t="s">
        <v>4958</v>
      </c>
      <c r="B115" t="s">
        <v>2297</v>
      </c>
      <c r="C115" t="s">
        <v>4917</v>
      </c>
      <c r="D115">
        <v>64523325</v>
      </c>
      <c r="E115" s="5">
        <v>45726</v>
      </c>
      <c r="F115" s="5">
        <v>45728.067361111112</v>
      </c>
      <c r="G115" s="4" t="s">
        <v>460</v>
      </c>
      <c r="H115" s="49">
        <v>3986243</v>
      </c>
      <c r="I115" s="49">
        <v>21190</v>
      </c>
      <c r="J115" s="50">
        <v>3965053</v>
      </c>
      <c r="K115" t="s">
        <v>2615</v>
      </c>
      <c r="L115" s="4" t="s">
        <v>461</v>
      </c>
      <c r="M115" t="s">
        <v>351</v>
      </c>
      <c r="N115" s="2">
        <v>51902634</v>
      </c>
      <c r="O115" t="s">
        <v>918</v>
      </c>
      <c r="P115" t="s">
        <v>316</v>
      </c>
      <c r="Q115" t="s">
        <v>328</v>
      </c>
      <c r="R115">
        <v>20334661542</v>
      </c>
      <c r="S115" t="s">
        <v>319</v>
      </c>
      <c r="T115">
        <v>890903938</v>
      </c>
      <c r="U115" t="s">
        <v>342</v>
      </c>
      <c r="V115">
        <v>923245</v>
      </c>
      <c r="W115" t="s">
        <v>180</v>
      </c>
      <c r="X115" s="2" t="s">
        <v>29</v>
      </c>
      <c r="Y115" t="s">
        <v>30</v>
      </c>
      <c r="Z115" t="s">
        <v>31</v>
      </c>
      <c r="AA115" t="s">
        <v>32</v>
      </c>
      <c r="AB115" t="s">
        <v>33</v>
      </c>
      <c r="AC115" s="51">
        <v>3986243</v>
      </c>
      <c r="AD115">
        <v>0</v>
      </c>
      <c r="AE115" s="4">
        <v>0</v>
      </c>
      <c r="AF115" s="4">
        <v>0</v>
      </c>
      <c r="AG115" t="s">
        <v>462</v>
      </c>
      <c r="AH115">
        <v>0</v>
      </c>
      <c r="AI115">
        <v>0</v>
      </c>
      <c r="AJ115" s="2" t="s">
        <v>463</v>
      </c>
      <c r="AK115" s="2">
        <v>0</v>
      </c>
      <c r="AL115">
        <v>0</v>
      </c>
      <c r="AM115">
        <v>0</v>
      </c>
      <c r="AN115">
        <v>0</v>
      </c>
      <c r="AO115">
        <v>0</v>
      </c>
      <c r="AP115">
        <v>3825</v>
      </c>
      <c r="AQ115">
        <v>3825</v>
      </c>
      <c r="AR115">
        <v>8725</v>
      </c>
      <c r="AS115">
        <v>0</v>
      </c>
      <c r="AT115">
        <v>0</v>
      </c>
      <c r="AU115">
        <v>11825</v>
      </c>
      <c r="AV115">
        <v>64523325</v>
      </c>
      <c r="AW115">
        <v>0</v>
      </c>
      <c r="AX115" s="5">
        <v>45693</v>
      </c>
      <c r="AY115" t="s">
        <v>356</v>
      </c>
      <c r="AZ115" t="s">
        <v>921</v>
      </c>
      <c r="BA115" t="s">
        <v>748</v>
      </c>
    </row>
    <row r="116" spans="1:53" ht="15" customHeight="1" x14ac:dyDescent="0.2">
      <c r="A116" t="s">
        <v>4959</v>
      </c>
      <c r="B116" t="s">
        <v>2298</v>
      </c>
      <c r="C116" t="s">
        <v>4917</v>
      </c>
      <c r="D116">
        <v>64523425</v>
      </c>
      <c r="E116" s="5">
        <v>45726</v>
      </c>
      <c r="F116" s="5">
        <v>45728.073611111111</v>
      </c>
      <c r="G116" s="4" t="s">
        <v>460</v>
      </c>
      <c r="H116" s="49">
        <v>3986243</v>
      </c>
      <c r="I116" s="49">
        <v>21190</v>
      </c>
      <c r="J116" s="50">
        <v>3965053</v>
      </c>
      <c r="K116" t="s">
        <v>2615</v>
      </c>
      <c r="L116" s="4" t="s">
        <v>461</v>
      </c>
      <c r="M116" t="s">
        <v>351</v>
      </c>
      <c r="N116" s="2">
        <v>79805062</v>
      </c>
      <c r="O116" t="s">
        <v>923</v>
      </c>
      <c r="P116" t="s">
        <v>316</v>
      </c>
      <c r="Q116" t="s">
        <v>317</v>
      </c>
      <c r="R116">
        <v>83227454</v>
      </c>
      <c r="S116" t="s">
        <v>319</v>
      </c>
      <c r="T116">
        <v>860003020</v>
      </c>
      <c r="U116" t="s">
        <v>393</v>
      </c>
      <c r="V116">
        <v>923245</v>
      </c>
      <c r="W116" t="s">
        <v>180</v>
      </c>
      <c r="X116" s="2" t="s">
        <v>29</v>
      </c>
      <c r="Y116" t="s">
        <v>30</v>
      </c>
      <c r="Z116" t="s">
        <v>31</v>
      </c>
      <c r="AA116" t="s">
        <v>32</v>
      </c>
      <c r="AB116" t="s">
        <v>33</v>
      </c>
      <c r="AC116" s="51">
        <v>3986243</v>
      </c>
      <c r="AD116">
        <v>0</v>
      </c>
      <c r="AE116" s="4">
        <v>0</v>
      </c>
      <c r="AF116" s="4">
        <v>0</v>
      </c>
      <c r="AG116" t="s">
        <v>462</v>
      </c>
      <c r="AH116">
        <v>0</v>
      </c>
      <c r="AI116">
        <v>0</v>
      </c>
      <c r="AJ116" s="2" t="s">
        <v>463</v>
      </c>
      <c r="AK116" s="2">
        <v>0</v>
      </c>
      <c r="AL116">
        <v>0</v>
      </c>
      <c r="AM116">
        <v>0</v>
      </c>
      <c r="AN116">
        <v>0</v>
      </c>
      <c r="AO116">
        <v>0</v>
      </c>
      <c r="AP116">
        <v>3825</v>
      </c>
      <c r="AQ116">
        <v>3825</v>
      </c>
      <c r="AR116">
        <v>8825</v>
      </c>
      <c r="AS116">
        <v>0</v>
      </c>
      <c r="AT116">
        <v>0</v>
      </c>
      <c r="AU116">
        <v>11925</v>
      </c>
      <c r="AV116">
        <v>64523425</v>
      </c>
      <c r="AW116">
        <v>0</v>
      </c>
      <c r="AX116" s="5">
        <v>45693</v>
      </c>
      <c r="AY116" t="s">
        <v>356</v>
      </c>
      <c r="AZ116" t="s">
        <v>926</v>
      </c>
      <c r="BA116" t="s">
        <v>748</v>
      </c>
    </row>
    <row r="117" spans="1:53" ht="15" customHeight="1" x14ac:dyDescent="0.2">
      <c r="A117" t="s">
        <v>4960</v>
      </c>
      <c r="B117" t="s">
        <v>2299</v>
      </c>
      <c r="C117" t="s">
        <v>4917</v>
      </c>
      <c r="D117">
        <v>64523525</v>
      </c>
      <c r="E117" s="5">
        <v>45726</v>
      </c>
      <c r="F117" s="5">
        <v>45728.067361111112</v>
      </c>
      <c r="G117" s="4" t="s">
        <v>460</v>
      </c>
      <c r="H117" s="49">
        <v>3986243</v>
      </c>
      <c r="I117" s="49">
        <v>21190</v>
      </c>
      <c r="J117" s="50">
        <v>3965053</v>
      </c>
      <c r="K117" t="s">
        <v>2615</v>
      </c>
      <c r="L117" s="4" t="s">
        <v>461</v>
      </c>
      <c r="M117" t="s">
        <v>351</v>
      </c>
      <c r="N117" s="2">
        <v>79218271</v>
      </c>
      <c r="O117" t="s">
        <v>928</v>
      </c>
      <c r="P117" t="s">
        <v>316</v>
      </c>
      <c r="Q117" t="s">
        <v>317</v>
      </c>
      <c r="R117">
        <v>22191626668</v>
      </c>
      <c r="S117" t="s">
        <v>319</v>
      </c>
      <c r="T117">
        <v>890903938</v>
      </c>
      <c r="U117" t="s">
        <v>342</v>
      </c>
      <c r="V117">
        <v>923245</v>
      </c>
      <c r="W117" t="s">
        <v>180</v>
      </c>
      <c r="X117" s="2" t="s">
        <v>29</v>
      </c>
      <c r="Y117" t="s">
        <v>30</v>
      </c>
      <c r="Z117" t="s">
        <v>31</v>
      </c>
      <c r="AA117" t="s">
        <v>32</v>
      </c>
      <c r="AB117" t="s">
        <v>33</v>
      </c>
      <c r="AC117" s="51">
        <v>3986243</v>
      </c>
      <c r="AD117">
        <v>0</v>
      </c>
      <c r="AE117" s="4">
        <v>0</v>
      </c>
      <c r="AF117" s="4">
        <v>0</v>
      </c>
      <c r="AG117" t="s">
        <v>462</v>
      </c>
      <c r="AH117">
        <v>0</v>
      </c>
      <c r="AI117">
        <v>0</v>
      </c>
      <c r="AJ117" s="2" t="s">
        <v>463</v>
      </c>
      <c r="AK117" s="2">
        <v>0</v>
      </c>
      <c r="AL117">
        <v>0</v>
      </c>
      <c r="AM117">
        <v>0</v>
      </c>
      <c r="AN117">
        <v>0</v>
      </c>
      <c r="AO117">
        <v>0</v>
      </c>
      <c r="AP117">
        <v>3825</v>
      </c>
      <c r="AQ117">
        <v>3825</v>
      </c>
      <c r="AR117">
        <v>8925</v>
      </c>
      <c r="AS117">
        <v>0</v>
      </c>
      <c r="AT117">
        <v>0</v>
      </c>
      <c r="AU117">
        <v>12025</v>
      </c>
      <c r="AV117">
        <v>64523525</v>
      </c>
      <c r="AW117">
        <v>0</v>
      </c>
      <c r="AX117" s="5">
        <v>45693</v>
      </c>
      <c r="AY117" t="s">
        <v>356</v>
      </c>
      <c r="AZ117" t="s">
        <v>931</v>
      </c>
      <c r="BA117" t="s">
        <v>748</v>
      </c>
    </row>
    <row r="118" spans="1:53" ht="15" customHeight="1" x14ac:dyDescent="0.2">
      <c r="A118" t="s">
        <v>4961</v>
      </c>
      <c r="B118" t="s">
        <v>2300</v>
      </c>
      <c r="C118" t="s">
        <v>4917</v>
      </c>
      <c r="D118">
        <v>64523625</v>
      </c>
      <c r="E118" s="5">
        <v>45726</v>
      </c>
      <c r="F118" s="5">
        <v>45728.07708333333</v>
      </c>
      <c r="G118" s="4" t="s">
        <v>460</v>
      </c>
      <c r="H118" s="49">
        <v>3986243</v>
      </c>
      <c r="I118" s="49">
        <v>21190</v>
      </c>
      <c r="J118" s="50">
        <v>3965053</v>
      </c>
      <c r="K118" t="s">
        <v>2615</v>
      </c>
      <c r="L118" s="4" t="s">
        <v>461</v>
      </c>
      <c r="M118" t="s">
        <v>351</v>
      </c>
      <c r="N118" s="2">
        <v>53116478</v>
      </c>
      <c r="O118" t="s">
        <v>933</v>
      </c>
      <c r="P118" t="s">
        <v>316</v>
      </c>
      <c r="Q118" t="s">
        <v>317</v>
      </c>
      <c r="R118">
        <v>24073326535</v>
      </c>
      <c r="S118" t="s">
        <v>319</v>
      </c>
      <c r="T118">
        <v>860007335</v>
      </c>
      <c r="U118" t="s">
        <v>381</v>
      </c>
      <c r="V118">
        <v>923245</v>
      </c>
      <c r="W118" t="s">
        <v>180</v>
      </c>
      <c r="X118" s="2" t="s">
        <v>29</v>
      </c>
      <c r="Y118" t="s">
        <v>30</v>
      </c>
      <c r="Z118" t="s">
        <v>31</v>
      </c>
      <c r="AA118" t="s">
        <v>32</v>
      </c>
      <c r="AB118" t="s">
        <v>33</v>
      </c>
      <c r="AC118" s="51">
        <v>3986243</v>
      </c>
      <c r="AD118">
        <v>0</v>
      </c>
      <c r="AE118" s="4">
        <v>0</v>
      </c>
      <c r="AF118" s="4">
        <v>0</v>
      </c>
      <c r="AG118" t="s">
        <v>462</v>
      </c>
      <c r="AH118">
        <v>0</v>
      </c>
      <c r="AI118">
        <v>0</v>
      </c>
      <c r="AJ118" s="2" t="s">
        <v>463</v>
      </c>
      <c r="AK118" s="2">
        <v>0</v>
      </c>
      <c r="AL118">
        <v>0</v>
      </c>
      <c r="AM118">
        <v>0</v>
      </c>
      <c r="AN118">
        <v>0</v>
      </c>
      <c r="AO118">
        <v>0</v>
      </c>
      <c r="AP118">
        <v>3825</v>
      </c>
      <c r="AQ118">
        <v>3825</v>
      </c>
      <c r="AR118">
        <v>9025</v>
      </c>
      <c r="AS118">
        <v>0</v>
      </c>
      <c r="AT118">
        <v>0</v>
      </c>
      <c r="AU118">
        <v>12125</v>
      </c>
      <c r="AV118">
        <v>64523625</v>
      </c>
      <c r="AW118">
        <v>0</v>
      </c>
      <c r="AX118" s="5">
        <v>45693</v>
      </c>
      <c r="AY118" t="s">
        <v>356</v>
      </c>
      <c r="AZ118" t="s">
        <v>936</v>
      </c>
      <c r="BA118" t="s">
        <v>748</v>
      </c>
    </row>
    <row r="119" spans="1:53" ht="15" customHeight="1" x14ac:dyDescent="0.2">
      <c r="A119" t="s">
        <v>4962</v>
      </c>
      <c r="B119" t="s">
        <v>2301</v>
      </c>
      <c r="C119" t="s">
        <v>4917</v>
      </c>
      <c r="D119">
        <v>64523725</v>
      </c>
      <c r="E119" s="5">
        <v>45726</v>
      </c>
      <c r="F119" s="5">
        <v>45728.07916666667</v>
      </c>
      <c r="G119" s="4" t="s">
        <v>460</v>
      </c>
      <c r="H119" s="49">
        <v>3986243</v>
      </c>
      <c r="I119" s="49">
        <v>21190</v>
      </c>
      <c r="J119" s="50">
        <v>3965053</v>
      </c>
      <c r="K119" t="s">
        <v>2615</v>
      </c>
      <c r="L119" s="4" t="s">
        <v>461</v>
      </c>
      <c r="M119" t="s">
        <v>351</v>
      </c>
      <c r="N119" s="2">
        <v>1075254883</v>
      </c>
      <c r="O119" t="s">
        <v>938</v>
      </c>
      <c r="P119" t="s">
        <v>316</v>
      </c>
      <c r="Q119" t="s">
        <v>317</v>
      </c>
      <c r="R119">
        <v>76200118156</v>
      </c>
      <c r="S119" t="s">
        <v>319</v>
      </c>
      <c r="T119">
        <v>860034313</v>
      </c>
      <c r="U119" t="s">
        <v>355</v>
      </c>
      <c r="V119">
        <v>923245</v>
      </c>
      <c r="W119" t="s">
        <v>180</v>
      </c>
      <c r="X119" s="2" t="s">
        <v>29</v>
      </c>
      <c r="Y119" t="s">
        <v>30</v>
      </c>
      <c r="Z119" t="s">
        <v>31</v>
      </c>
      <c r="AA119" t="s">
        <v>32</v>
      </c>
      <c r="AB119" t="s">
        <v>33</v>
      </c>
      <c r="AC119" s="51">
        <v>3986243</v>
      </c>
      <c r="AD119">
        <v>0</v>
      </c>
      <c r="AE119" s="4">
        <v>0</v>
      </c>
      <c r="AF119" s="4">
        <v>0</v>
      </c>
      <c r="AG119" t="s">
        <v>462</v>
      </c>
      <c r="AH119">
        <v>0</v>
      </c>
      <c r="AI119">
        <v>0</v>
      </c>
      <c r="AJ119" s="2" t="s">
        <v>463</v>
      </c>
      <c r="AK119" s="2">
        <v>0</v>
      </c>
      <c r="AL119">
        <v>0</v>
      </c>
      <c r="AM119">
        <v>0</v>
      </c>
      <c r="AN119">
        <v>0</v>
      </c>
      <c r="AO119">
        <v>0</v>
      </c>
      <c r="AP119">
        <v>3825</v>
      </c>
      <c r="AQ119">
        <v>3825</v>
      </c>
      <c r="AR119">
        <v>9125</v>
      </c>
      <c r="AS119">
        <v>0</v>
      </c>
      <c r="AT119">
        <v>0</v>
      </c>
      <c r="AU119">
        <v>12225</v>
      </c>
      <c r="AV119">
        <v>64523725</v>
      </c>
      <c r="AW119">
        <v>0</v>
      </c>
      <c r="AX119" s="5">
        <v>45693</v>
      </c>
      <c r="AY119" t="s">
        <v>356</v>
      </c>
      <c r="AZ119" t="s">
        <v>941</v>
      </c>
      <c r="BA119" t="s">
        <v>748</v>
      </c>
    </row>
    <row r="120" spans="1:53" ht="15" customHeight="1" x14ac:dyDescent="0.2">
      <c r="A120" t="s">
        <v>4963</v>
      </c>
      <c r="B120" t="s">
        <v>2302</v>
      </c>
      <c r="C120" t="s">
        <v>4917</v>
      </c>
      <c r="D120">
        <v>64523825</v>
      </c>
      <c r="E120" s="5">
        <v>45726</v>
      </c>
      <c r="F120" s="5">
        <v>45728.067361111112</v>
      </c>
      <c r="G120" s="4" t="s">
        <v>460</v>
      </c>
      <c r="H120" s="49">
        <v>3986243</v>
      </c>
      <c r="I120" s="49">
        <v>21190</v>
      </c>
      <c r="J120" s="50">
        <v>3965053</v>
      </c>
      <c r="K120" t="s">
        <v>2615</v>
      </c>
      <c r="L120" s="4" t="s">
        <v>461</v>
      </c>
      <c r="M120" t="s">
        <v>351</v>
      </c>
      <c r="N120" s="2">
        <v>1069715619</v>
      </c>
      <c r="O120" t="s">
        <v>943</v>
      </c>
      <c r="P120" t="s">
        <v>316</v>
      </c>
      <c r="Q120" t="s">
        <v>317</v>
      </c>
      <c r="R120">
        <v>89292734051</v>
      </c>
      <c r="S120" t="s">
        <v>319</v>
      </c>
      <c r="T120">
        <v>890903938</v>
      </c>
      <c r="U120" t="s">
        <v>342</v>
      </c>
      <c r="V120">
        <v>923245</v>
      </c>
      <c r="W120" t="s">
        <v>180</v>
      </c>
      <c r="X120" s="2" t="s">
        <v>29</v>
      </c>
      <c r="Y120" t="s">
        <v>30</v>
      </c>
      <c r="Z120" t="s">
        <v>31</v>
      </c>
      <c r="AA120" t="s">
        <v>32</v>
      </c>
      <c r="AB120" t="s">
        <v>33</v>
      </c>
      <c r="AC120" s="51">
        <v>3986243</v>
      </c>
      <c r="AD120">
        <v>0</v>
      </c>
      <c r="AE120" s="4">
        <v>0</v>
      </c>
      <c r="AF120" s="4">
        <v>0</v>
      </c>
      <c r="AG120" t="s">
        <v>462</v>
      </c>
      <c r="AH120">
        <v>0</v>
      </c>
      <c r="AI120">
        <v>0</v>
      </c>
      <c r="AJ120" s="2" t="s">
        <v>463</v>
      </c>
      <c r="AK120" s="2">
        <v>0</v>
      </c>
      <c r="AL120">
        <v>0</v>
      </c>
      <c r="AM120">
        <v>0</v>
      </c>
      <c r="AN120">
        <v>0</v>
      </c>
      <c r="AO120">
        <v>0</v>
      </c>
      <c r="AP120">
        <v>3825</v>
      </c>
      <c r="AQ120">
        <v>3825</v>
      </c>
      <c r="AR120">
        <v>9225</v>
      </c>
      <c r="AS120">
        <v>0</v>
      </c>
      <c r="AT120">
        <v>0</v>
      </c>
      <c r="AU120">
        <v>12325</v>
      </c>
      <c r="AV120">
        <v>64523825</v>
      </c>
      <c r="AW120">
        <v>0</v>
      </c>
      <c r="AX120" s="5">
        <v>45693</v>
      </c>
      <c r="AY120" t="s">
        <v>356</v>
      </c>
      <c r="AZ120" t="s">
        <v>946</v>
      </c>
      <c r="BA120" t="s">
        <v>748</v>
      </c>
    </row>
    <row r="121" spans="1:53" ht="15" customHeight="1" x14ac:dyDescent="0.2">
      <c r="A121" t="s">
        <v>4964</v>
      </c>
      <c r="B121" t="s">
        <v>2303</v>
      </c>
      <c r="C121" t="s">
        <v>4917</v>
      </c>
      <c r="D121">
        <v>64523925</v>
      </c>
      <c r="E121" s="5">
        <v>45726</v>
      </c>
      <c r="F121" s="5">
        <v>45728.067361111112</v>
      </c>
      <c r="G121" s="4" t="s">
        <v>460</v>
      </c>
      <c r="H121" s="49">
        <v>3986243</v>
      </c>
      <c r="I121" s="49">
        <v>21190</v>
      </c>
      <c r="J121" s="50">
        <v>3965053</v>
      </c>
      <c r="K121" t="s">
        <v>2615</v>
      </c>
      <c r="L121" s="4" t="s">
        <v>461</v>
      </c>
      <c r="M121" t="s">
        <v>351</v>
      </c>
      <c r="N121" s="2">
        <v>13478907</v>
      </c>
      <c r="O121" t="s">
        <v>948</v>
      </c>
      <c r="P121" t="s">
        <v>316</v>
      </c>
      <c r="Q121" t="s">
        <v>317</v>
      </c>
      <c r="R121">
        <v>31791837408</v>
      </c>
      <c r="S121" t="s">
        <v>319</v>
      </c>
      <c r="T121">
        <v>890903938</v>
      </c>
      <c r="U121" t="s">
        <v>342</v>
      </c>
      <c r="V121">
        <v>923245</v>
      </c>
      <c r="W121" t="s">
        <v>180</v>
      </c>
      <c r="X121" s="2" t="s">
        <v>29</v>
      </c>
      <c r="Y121" t="s">
        <v>30</v>
      </c>
      <c r="Z121" t="s">
        <v>31</v>
      </c>
      <c r="AA121" t="s">
        <v>32</v>
      </c>
      <c r="AB121" t="s">
        <v>33</v>
      </c>
      <c r="AC121" s="51">
        <v>3986243</v>
      </c>
      <c r="AD121">
        <v>0</v>
      </c>
      <c r="AE121" s="4">
        <v>0</v>
      </c>
      <c r="AF121" s="4">
        <v>0</v>
      </c>
      <c r="AG121" t="s">
        <v>462</v>
      </c>
      <c r="AH121">
        <v>0</v>
      </c>
      <c r="AI121">
        <v>0</v>
      </c>
      <c r="AJ121" s="2" t="s">
        <v>463</v>
      </c>
      <c r="AK121" s="2">
        <v>0</v>
      </c>
      <c r="AL121">
        <v>0</v>
      </c>
      <c r="AM121">
        <v>0</v>
      </c>
      <c r="AN121">
        <v>0</v>
      </c>
      <c r="AO121">
        <v>0</v>
      </c>
      <c r="AP121">
        <v>3825</v>
      </c>
      <c r="AQ121">
        <v>3825</v>
      </c>
      <c r="AR121">
        <v>9325</v>
      </c>
      <c r="AS121">
        <v>0</v>
      </c>
      <c r="AT121">
        <v>0</v>
      </c>
      <c r="AU121">
        <v>12425</v>
      </c>
      <c r="AV121">
        <v>64523925</v>
      </c>
      <c r="AW121">
        <v>0</v>
      </c>
      <c r="AX121" s="5">
        <v>45693</v>
      </c>
      <c r="AY121" t="s">
        <v>356</v>
      </c>
      <c r="AZ121" t="s">
        <v>951</v>
      </c>
      <c r="BA121" t="s">
        <v>748</v>
      </c>
    </row>
    <row r="122" spans="1:53" ht="15" customHeight="1" x14ac:dyDescent="0.2">
      <c r="A122" t="s">
        <v>4965</v>
      </c>
      <c r="B122" t="s">
        <v>2304</v>
      </c>
      <c r="C122" t="s">
        <v>4917</v>
      </c>
      <c r="D122">
        <v>64524025</v>
      </c>
      <c r="E122" s="5">
        <v>45726</v>
      </c>
      <c r="F122" s="5">
        <v>45728.095833333333</v>
      </c>
      <c r="G122" s="4" t="s">
        <v>460</v>
      </c>
      <c r="H122" s="49">
        <v>3081756</v>
      </c>
      <c r="I122" s="49">
        <v>16056</v>
      </c>
      <c r="J122" s="50">
        <v>3065700</v>
      </c>
      <c r="K122" t="s">
        <v>2615</v>
      </c>
      <c r="L122" s="4" t="s">
        <v>461</v>
      </c>
      <c r="M122" t="s">
        <v>351</v>
      </c>
      <c r="N122" s="2">
        <v>31497288</v>
      </c>
      <c r="O122" t="s">
        <v>953</v>
      </c>
      <c r="P122" t="s">
        <v>316</v>
      </c>
      <c r="Q122" t="s">
        <v>317</v>
      </c>
      <c r="R122">
        <v>24013476724</v>
      </c>
      <c r="S122" t="s">
        <v>319</v>
      </c>
      <c r="T122">
        <v>860007335</v>
      </c>
      <c r="U122" t="s">
        <v>381</v>
      </c>
      <c r="V122">
        <v>923245</v>
      </c>
      <c r="W122" t="s">
        <v>180</v>
      </c>
      <c r="X122" s="2" t="s">
        <v>29</v>
      </c>
      <c r="Y122" t="s">
        <v>30</v>
      </c>
      <c r="Z122" t="s">
        <v>31</v>
      </c>
      <c r="AA122" t="s">
        <v>32</v>
      </c>
      <c r="AB122" t="s">
        <v>33</v>
      </c>
      <c r="AC122" s="51">
        <v>3081756</v>
      </c>
      <c r="AD122">
        <v>0</v>
      </c>
      <c r="AE122" s="4">
        <v>0</v>
      </c>
      <c r="AF122" s="4">
        <v>0</v>
      </c>
      <c r="AG122" t="s">
        <v>462</v>
      </c>
      <c r="AH122">
        <v>0</v>
      </c>
      <c r="AI122">
        <v>0</v>
      </c>
      <c r="AJ122" s="2" t="s">
        <v>463</v>
      </c>
      <c r="AK122" s="2">
        <v>0</v>
      </c>
      <c r="AL122">
        <v>0</v>
      </c>
      <c r="AM122">
        <v>0</v>
      </c>
      <c r="AN122">
        <v>0</v>
      </c>
      <c r="AO122">
        <v>0</v>
      </c>
      <c r="AP122">
        <v>3825</v>
      </c>
      <c r="AQ122">
        <v>3825</v>
      </c>
      <c r="AR122">
        <v>9425</v>
      </c>
      <c r="AS122">
        <v>0</v>
      </c>
      <c r="AT122">
        <v>0</v>
      </c>
      <c r="AU122">
        <v>12525</v>
      </c>
      <c r="AV122">
        <v>64524025</v>
      </c>
      <c r="AW122">
        <v>0</v>
      </c>
      <c r="AX122" s="5">
        <v>45693</v>
      </c>
      <c r="AY122" t="s">
        <v>356</v>
      </c>
      <c r="AZ122" t="s">
        <v>956</v>
      </c>
      <c r="BA122" t="s">
        <v>748</v>
      </c>
    </row>
    <row r="123" spans="1:53" ht="15" customHeight="1" x14ac:dyDescent="0.2">
      <c r="A123" t="s">
        <v>4966</v>
      </c>
      <c r="B123" t="s">
        <v>2305</v>
      </c>
      <c r="C123" t="s">
        <v>4917</v>
      </c>
      <c r="D123">
        <v>64524125</v>
      </c>
      <c r="E123" s="5">
        <v>45726</v>
      </c>
      <c r="F123" s="5">
        <v>45728.075694444444</v>
      </c>
      <c r="G123" s="4" t="s">
        <v>460</v>
      </c>
      <c r="H123" s="49">
        <v>3986243</v>
      </c>
      <c r="I123" s="49">
        <v>21190</v>
      </c>
      <c r="J123" s="50">
        <v>3965053</v>
      </c>
      <c r="K123" t="s">
        <v>2615</v>
      </c>
      <c r="L123" s="4" t="s">
        <v>461</v>
      </c>
      <c r="M123" t="s">
        <v>351</v>
      </c>
      <c r="N123" s="2">
        <v>79806253</v>
      </c>
      <c r="O123" t="s">
        <v>958</v>
      </c>
      <c r="P123" t="s">
        <v>316</v>
      </c>
      <c r="Q123" t="s">
        <v>317</v>
      </c>
      <c r="R123">
        <v>4722136409</v>
      </c>
      <c r="S123" t="s">
        <v>319</v>
      </c>
      <c r="T123">
        <v>860034594</v>
      </c>
      <c r="U123" t="s">
        <v>374</v>
      </c>
      <c r="V123">
        <v>923245</v>
      </c>
      <c r="W123" t="s">
        <v>180</v>
      </c>
      <c r="X123" s="2" t="s">
        <v>29</v>
      </c>
      <c r="Y123" t="s">
        <v>30</v>
      </c>
      <c r="Z123" t="s">
        <v>31</v>
      </c>
      <c r="AA123" t="s">
        <v>32</v>
      </c>
      <c r="AB123" t="s">
        <v>33</v>
      </c>
      <c r="AC123" s="51">
        <v>3986243</v>
      </c>
      <c r="AD123">
        <v>0</v>
      </c>
      <c r="AE123" s="4">
        <v>0</v>
      </c>
      <c r="AF123" s="4">
        <v>0</v>
      </c>
      <c r="AG123" t="s">
        <v>462</v>
      </c>
      <c r="AH123">
        <v>0</v>
      </c>
      <c r="AI123">
        <v>0</v>
      </c>
      <c r="AJ123" s="2" t="s">
        <v>463</v>
      </c>
      <c r="AK123" s="2">
        <v>0</v>
      </c>
      <c r="AL123">
        <v>0</v>
      </c>
      <c r="AM123">
        <v>0</v>
      </c>
      <c r="AN123">
        <v>0</v>
      </c>
      <c r="AO123">
        <v>0</v>
      </c>
      <c r="AP123">
        <v>3825</v>
      </c>
      <c r="AQ123">
        <v>3825</v>
      </c>
      <c r="AR123">
        <v>9525</v>
      </c>
      <c r="AS123">
        <v>0</v>
      </c>
      <c r="AT123">
        <v>0</v>
      </c>
      <c r="AU123">
        <v>12625</v>
      </c>
      <c r="AV123">
        <v>64524125</v>
      </c>
      <c r="AW123">
        <v>0</v>
      </c>
      <c r="AX123" s="5">
        <v>45693</v>
      </c>
      <c r="AY123" t="s">
        <v>356</v>
      </c>
      <c r="AZ123" t="s">
        <v>961</v>
      </c>
      <c r="BA123" t="s">
        <v>748</v>
      </c>
    </row>
    <row r="124" spans="1:53" ht="15" customHeight="1" x14ac:dyDescent="0.2">
      <c r="A124" t="s">
        <v>4967</v>
      </c>
      <c r="B124" t="s">
        <v>2306</v>
      </c>
      <c r="C124" t="s">
        <v>4917</v>
      </c>
      <c r="D124">
        <v>64524225</v>
      </c>
      <c r="E124" s="5">
        <v>45726</v>
      </c>
      <c r="F124" s="5">
        <v>45728.064583333333</v>
      </c>
      <c r="G124" s="4" t="s">
        <v>460</v>
      </c>
      <c r="H124" s="49">
        <v>3986243</v>
      </c>
      <c r="I124" s="49">
        <v>21190</v>
      </c>
      <c r="J124" s="50">
        <v>3965053</v>
      </c>
      <c r="K124" t="s">
        <v>2615</v>
      </c>
      <c r="L124" s="4" t="s">
        <v>461</v>
      </c>
      <c r="M124" t="s">
        <v>351</v>
      </c>
      <c r="N124" s="2">
        <v>39674828</v>
      </c>
      <c r="O124" t="s">
        <v>963</v>
      </c>
      <c r="P124" t="s">
        <v>316</v>
      </c>
      <c r="Q124" t="s">
        <v>317</v>
      </c>
      <c r="R124">
        <v>43507656</v>
      </c>
      <c r="S124" t="s">
        <v>319</v>
      </c>
      <c r="T124">
        <v>860002964</v>
      </c>
      <c r="U124" t="s">
        <v>419</v>
      </c>
      <c r="V124">
        <v>923245</v>
      </c>
      <c r="W124" t="s">
        <v>180</v>
      </c>
      <c r="X124" s="2" t="s">
        <v>29</v>
      </c>
      <c r="Y124" t="s">
        <v>30</v>
      </c>
      <c r="Z124" t="s">
        <v>31</v>
      </c>
      <c r="AA124" t="s">
        <v>32</v>
      </c>
      <c r="AB124" t="s">
        <v>33</v>
      </c>
      <c r="AC124" s="51">
        <v>3986243</v>
      </c>
      <c r="AD124">
        <v>0</v>
      </c>
      <c r="AE124" s="4">
        <v>0</v>
      </c>
      <c r="AF124" s="4">
        <v>0</v>
      </c>
      <c r="AG124" t="s">
        <v>462</v>
      </c>
      <c r="AH124">
        <v>0</v>
      </c>
      <c r="AI124">
        <v>0</v>
      </c>
      <c r="AJ124" s="2" t="s">
        <v>463</v>
      </c>
      <c r="AK124" s="2">
        <v>0</v>
      </c>
      <c r="AL124">
        <v>0</v>
      </c>
      <c r="AM124">
        <v>0</v>
      </c>
      <c r="AN124">
        <v>0</v>
      </c>
      <c r="AO124">
        <v>0</v>
      </c>
      <c r="AP124">
        <v>3825</v>
      </c>
      <c r="AQ124">
        <v>3825</v>
      </c>
      <c r="AR124">
        <v>9625</v>
      </c>
      <c r="AS124">
        <v>0</v>
      </c>
      <c r="AT124">
        <v>0</v>
      </c>
      <c r="AU124">
        <v>12725</v>
      </c>
      <c r="AV124">
        <v>64524225</v>
      </c>
      <c r="AW124">
        <v>0</v>
      </c>
      <c r="AX124" s="5">
        <v>45693</v>
      </c>
      <c r="AY124" t="s">
        <v>356</v>
      </c>
      <c r="AZ124" t="s">
        <v>966</v>
      </c>
      <c r="BA124" t="s">
        <v>748</v>
      </c>
    </row>
    <row r="125" spans="1:53" ht="15" customHeight="1" x14ac:dyDescent="0.2">
      <c r="A125" t="s">
        <v>4968</v>
      </c>
      <c r="B125" t="s">
        <v>2307</v>
      </c>
      <c r="C125" t="s">
        <v>4917</v>
      </c>
      <c r="D125">
        <v>64524325</v>
      </c>
      <c r="E125" s="5">
        <v>45726</v>
      </c>
      <c r="F125" s="5">
        <v>45728.075694444444</v>
      </c>
      <c r="G125" s="4" t="s">
        <v>460</v>
      </c>
      <c r="H125" s="49">
        <v>3986243</v>
      </c>
      <c r="I125" s="49">
        <v>21190</v>
      </c>
      <c r="J125" s="50">
        <v>3965053</v>
      </c>
      <c r="K125" t="s">
        <v>2615</v>
      </c>
      <c r="L125" s="4" t="s">
        <v>461</v>
      </c>
      <c r="M125" t="s">
        <v>351</v>
      </c>
      <c r="N125" s="2">
        <v>81740592</v>
      </c>
      <c r="O125" t="s">
        <v>968</v>
      </c>
      <c r="P125" t="s">
        <v>316</v>
      </c>
      <c r="Q125" t="s">
        <v>317</v>
      </c>
      <c r="R125">
        <v>378262299</v>
      </c>
      <c r="S125" t="s">
        <v>319</v>
      </c>
      <c r="T125">
        <v>860003020</v>
      </c>
      <c r="U125" t="s">
        <v>393</v>
      </c>
      <c r="V125">
        <v>923245</v>
      </c>
      <c r="W125" t="s">
        <v>180</v>
      </c>
      <c r="X125" s="2" t="s">
        <v>29</v>
      </c>
      <c r="Y125" t="s">
        <v>30</v>
      </c>
      <c r="Z125" t="s">
        <v>31</v>
      </c>
      <c r="AA125" t="s">
        <v>32</v>
      </c>
      <c r="AB125" t="s">
        <v>33</v>
      </c>
      <c r="AC125" s="51">
        <v>3986243</v>
      </c>
      <c r="AD125">
        <v>0</v>
      </c>
      <c r="AE125" s="4">
        <v>0</v>
      </c>
      <c r="AF125" s="4">
        <v>0</v>
      </c>
      <c r="AG125" t="s">
        <v>462</v>
      </c>
      <c r="AH125">
        <v>0</v>
      </c>
      <c r="AI125">
        <v>0</v>
      </c>
      <c r="AJ125" s="2" t="s">
        <v>463</v>
      </c>
      <c r="AK125" s="2">
        <v>0</v>
      </c>
      <c r="AL125">
        <v>0</v>
      </c>
      <c r="AM125">
        <v>0</v>
      </c>
      <c r="AN125">
        <v>0</v>
      </c>
      <c r="AO125">
        <v>0</v>
      </c>
      <c r="AP125">
        <v>3825</v>
      </c>
      <c r="AQ125">
        <v>3825</v>
      </c>
      <c r="AR125">
        <v>9725</v>
      </c>
      <c r="AS125">
        <v>0</v>
      </c>
      <c r="AT125">
        <v>0</v>
      </c>
      <c r="AU125">
        <v>12825</v>
      </c>
      <c r="AV125">
        <v>64524325</v>
      </c>
      <c r="AW125">
        <v>0</v>
      </c>
      <c r="AX125" s="5">
        <v>45693</v>
      </c>
      <c r="AY125" t="s">
        <v>356</v>
      </c>
      <c r="AZ125" t="s">
        <v>971</v>
      </c>
      <c r="BA125" t="s">
        <v>748</v>
      </c>
    </row>
    <row r="126" spans="1:53" ht="15" customHeight="1" x14ac:dyDescent="0.2">
      <c r="A126" t="s">
        <v>4969</v>
      </c>
      <c r="B126" t="s">
        <v>505</v>
      </c>
      <c r="C126" t="s">
        <v>4859</v>
      </c>
      <c r="D126">
        <v>64524425</v>
      </c>
      <c r="E126" s="5">
        <v>45726</v>
      </c>
      <c r="F126" s="5">
        <v>45728.061111111114</v>
      </c>
      <c r="G126" s="4" t="s">
        <v>460</v>
      </c>
      <c r="H126" s="49">
        <v>6180000</v>
      </c>
      <c r="I126" s="49">
        <v>32852</v>
      </c>
      <c r="J126" s="50">
        <v>6147148</v>
      </c>
      <c r="K126" t="s">
        <v>2615</v>
      </c>
      <c r="L126" s="4" t="s">
        <v>461</v>
      </c>
      <c r="M126" t="s">
        <v>351</v>
      </c>
      <c r="N126" s="2">
        <v>1072428066</v>
      </c>
      <c r="O126" t="s">
        <v>352</v>
      </c>
      <c r="P126" t="s">
        <v>316</v>
      </c>
      <c r="Q126" t="s">
        <v>317</v>
      </c>
      <c r="R126">
        <v>266000310711</v>
      </c>
      <c r="S126" t="s">
        <v>319</v>
      </c>
      <c r="T126">
        <v>860034313</v>
      </c>
      <c r="U126" t="s">
        <v>355</v>
      </c>
      <c r="V126">
        <v>923210</v>
      </c>
      <c r="W126" t="s">
        <v>56</v>
      </c>
      <c r="X126" s="2" t="s">
        <v>29</v>
      </c>
      <c r="Y126" t="s">
        <v>30</v>
      </c>
      <c r="Z126" t="s">
        <v>31</v>
      </c>
      <c r="AA126" t="s">
        <v>32</v>
      </c>
      <c r="AB126" t="s">
        <v>33</v>
      </c>
      <c r="AC126" s="51">
        <v>6180000</v>
      </c>
      <c r="AD126">
        <v>0</v>
      </c>
      <c r="AE126" s="4">
        <v>0</v>
      </c>
      <c r="AF126" s="4">
        <v>0</v>
      </c>
      <c r="AG126" t="s">
        <v>462</v>
      </c>
      <c r="AH126">
        <v>0</v>
      </c>
      <c r="AI126">
        <v>0</v>
      </c>
      <c r="AJ126" s="2" t="s">
        <v>463</v>
      </c>
      <c r="AK126" s="2">
        <v>0</v>
      </c>
      <c r="AL126">
        <v>0</v>
      </c>
      <c r="AM126">
        <v>0</v>
      </c>
      <c r="AN126">
        <v>0</v>
      </c>
      <c r="AO126">
        <v>0</v>
      </c>
      <c r="AP126">
        <v>1925</v>
      </c>
      <c r="AQ126">
        <v>1925</v>
      </c>
      <c r="AR126">
        <v>625</v>
      </c>
      <c r="AS126">
        <v>0</v>
      </c>
      <c r="AT126">
        <v>0</v>
      </c>
      <c r="AU126">
        <v>12925</v>
      </c>
      <c r="AV126">
        <v>64524425</v>
      </c>
      <c r="AW126">
        <v>0</v>
      </c>
      <c r="AX126" s="5">
        <v>45673</v>
      </c>
      <c r="AY126" t="s">
        <v>356</v>
      </c>
      <c r="AZ126" t="s">
        <v>357</v>
      </c>
      <c r="BA126" t="s">
        <v>358</v>
      </c>
    </row>
    <row r="127" spans="1:53" ht="15" customHeight="1" x14ac:dyDescent="0.2">
      <c r="A127" t="s">
        <v>4970</v>
      </c>
      <c r="B127" t="s">
        <v>506</v>
      </c>
      <c r="C127" t="s">
        <v>4859</v>
      </c>
      <c r="D127">
        <v>64524525</v>
      </c>
      <c r="E127" s="5">
        <v>45726</v>
      </c>
      <c r="F127" s="5">
        <v>45728.097916666666</v>
      </c>
      <c r="G127" s="4" t="s">
        <v>460</v>
      </c>
      <c r="H127" s="49">
        <v>2369000</v>
      </c>
      <c r="I127" s="49">
        <v>11779</v>
      </c>
      <c r="J127" s="50">
        <v>2357221</v>
      </c>
      <c r="K127" t="s">
        <v>2615</v>
      </c>
      <c r="L127" s="4" t="s">
        <v>461</v>
      </c>
      <c r="M127" t="s">
        <v>351</v>
      </c>
      <c r="N127" s="2">
        <v>1023367986</v>
      </c>
      <c r="O127" t="s">
        <v>360</v>
      </c>
      <c r="P127" t="s">
        <v>316</v>
      </c>
      <c r="Q127" t="s">
        <v>317</v>
      </c>
      <c r="R127">
        <v>466670012908</v>
      </c>
      <c r="S127" t="s">
        <v>319</v>
      </c>
      <c r="T127">
        <v>860034313</v>
      </c>
      <c r="U127" t="s">
        <v>355</v>
      </c>
      <c r="V127">
        <v>923210</v>
      </c>
      <c r="W127" t="s">
        <v>56</v>
      </c>
      <c r="X127" s="2" t="s">
        <v>29</v>
      </c>
      <c r="Y127" t="s">
        <v>30</v>
      </c>
      <c r="Z127" t="s">
        <v>31</v>
      </c>
      <c r="AA127" t="s">
        <v>32</v>
      </c>
      <c r="AB127" t="s">
        <v>33</v>
      </c>
      <c r="AC127" s="51">
        <v>2369000</v>
      </c>
      <c r="AD127">
        <v>0</v>
      </c>
      <c r="AE127" s="4">
        <v>0</v>
      </c>
      <c r="AF127" s="4">
        <v>0</v>
      </c>
      <c r="AG127" t="s">
        <v>462</v>
      </c>
      <c r="AH127">
        <v>0</v>
      </c>
      <c r="AI127">
        <v>0</v>
      </c>
      <c r="AJ127" s="2" t="s">
        <v>463</v>
      </c>
      <c r="AK127" s="2">
        <v>0</v>
      </c>
      <c r="AL127">
        <v>0</v>
      </c>
      <c r="AM127">
        <v>0</v>
      </c>
      <c r="AN127">
        <v>0</v>
      </c>
      <c r="AO127">
        <v>0</v>
      </c>
      <c r="AP127">
        <v>1925</v>
      </c>
      <c r="AQ127">
        <v>1925</v>
      </c>
      <c r="AR127">
        <v>725</v>
      </c>
      <c r="AS127">
        <v>0</v>
      </c>
      <c r="AT127">
        <v>0</v>
      </c>
      <c r="AU127">
        <v>13025</v>
      </c>
      <c r="AV127">
        <v>64524525</v>
      </c>
      <c r="AW127">
        <v>0</v>
      </c>
      <c r="AX127" s="5">
        <v>45673</v>
      </c>
      <c r="AY127" t="s">
        <v>362</v>
      </c>
      <c r="AZ127" t="s">
        <v>363</v>
      </c>
      <c r="BA127" t="s">
        <v>364</v>
      </c>
    </row>
    <row r="128" spans="1:53" ht="15" customHeight="1" x14ac:dyDescent="0.2">
      <c r="A128" t="s">
        <v>4971</v>
      </c>
      <c r="B128" t="s">
        <v>507</v>
      </c>
      <c r="C128" t="s">
        <v>4862</v>
      </c>
      <c r="D128">
        <v>64524625</v>
      </c>
      <c r="E128" s="5">
        <v>45726</v>
      </c>
      <c r="F128" s="5">
        <v>45728.071527777778</v>
      </c>
      <c r="G128" s="4" t="s">
        <v>460</v>
      </c>
      <c r="H128" s="49">
        <v>5033600</v>
      </c>
      <c r="I128" s="49">
        <v>26758</v>
      </c>
      <c r="J128" s="50">
        <v>5006842</v>
      </c>
      <c r="K128" t="s">
        <v>2615</v>
      </c>
      <c r="L128" s="4" t="s">
        <v>461</v>
      </c>
      <c r="M128" t="s">
        <v>351</v>
      </c>
      <c r="N128" s="2">
        <v>1070592669</v>
      </c>
      <c r="O128" t="s">
        <v>366</v>
      </c>
      <c r="P128" t="s">
        <v>316</v>
      </c>
      <c r="Q128" t="s">
        <v>317</v>
      </c>
      <c r="R128">
        <v>65902598981</v>
      </c>
      <c r="S128" t="s">
        <v>319</v>
      </c>
      <c r="T128">
        <v>890903938</v>
      </c>
      <c r="U128" t="s">
        <v>342</v>
      </c>
      <c r="V128">
        <v>923224</v>
      </c>
      <c r="W128" t="s">
        <v>239</v>
      </c>
      <c r="X128" s="2" t="s">
        <v>240</v>
      </c>
      <c r="Y128" t="s">
        <v>241</v>
      </c>
      <c r="Z128" t="s">
        <v>47</v>
      </c>
      <c r="AA128" t="s">
        <v>76</v>
      </c>
      <c r="AB128" t="s">
        <v>33</v>
      </c>
      <c r="AC128" s="51">
        <v>5033600</v>
      </c>
      <c r="AD128">
        <v>0</v>
      </c>
      <c r="AE128" s="4">
        <v>0</v>
      </c>
      <c r="AF128" s="4">
        <v>0</v>
      </c>
      <c r="AG128" t="s">
        <v>462</v>
      </c>
      <c r="AH128">
        <v>0</v>
      </c>
      <c r="AI128">
        <v>0</v>
      </c>
      <c r="AJ128" s="2" t="s">
        <v>463</v>
      </c>
      <c r="AK128" s="2">
        <v>0</v>
      </c>
      <c r="AL128">
        <v>0</v>
      </c>
      <c r="AM128">
        <v>0</v>
      </c>
      <c r="AN128">
        <v>0</v>
      </c>
      <c r="AO128">
        <v>0</v>
      </c>
      <c r="AP128">
        <v>5425</v>
      </c>
      <c r="AQ128">
        <v>5425</v>
      </c>
      <c r="AR128">
        <v>825</v>
      </c>
      <c r="AS128">
        <v>0</v>
      </c>
      <c r="AT128">
        <v>0</v>
      </c>
      <c r="AU128">
        <v>13125</v>
      </c>
      <c r="AV128">
        <v>64524625</v>
      </c>
      <c r="AW128">
        <v>0</v>
      </c>
      <c r="AX128" s="5">
        <v>45673</v>
      </c>
      <c r="AY128" t="s">
        <v>356</v>
      </c>
      <c r="AZ128" t="s">
        <v>368</v>
      </c>
      <c r="BA128" t="s">
        <v>369</v>
      </c>
    </row>
    <row r="129" spans="1:53" ht="15" customHeight="1" x14ac:dyDescent="0.2">
      <c r="A129" t="s">
        <v>4972</v>
      </c>
      <c r="B129" t="s">
        <v>508</v>
      </c>
      <c r="C129" t="s">
        <v>4859</v>
      </c>
      <c r="D129">
        <v>64524725</v>
      </c>
      <c r="E129" s="5">
        <v>45726</v>
      </c>
      <c r="F129" s="5">
        <v>45728.075694444444</v>
      </c>
      <c r="G129" s="4" t="s">
        <v>460</v>
      </c>
      <c r="H129" s="49">
        <v>4635000</v>
      </c>
      <c r="I129" s="49">
        <v>24639</v>
      </c>
      <c r="J129" s="50">
        <v>4610361</v>
      </c>
      <c r="K129" t="s">
        <v>2615</v>
      </c>
      <c r="L129" s="4" t="s">
        <v>461</v>
      </c>
      <c r="M129" t="s">
        <v>351</v>
      </c>
      <c r="N129" s="2">
        <v>1010244141</v>
      </c>
      <c r="O129" t="s">
        <v>371</v>
      </c>
      <c r="P129" t="s">
        <v>316</v>
      </c>
      <c r="Q129" t="s">
        <v>317</v>
      </c>
      <c r="R129">
        <v>1562044056</v>
      </c>
      <c r="S129" t="s">
        <v>319</v>
      </c>
      <c r="T129">
        <v>860034594</v>
      </c>
      <c r="U129" t="s">
        <v>374</v>
      </c>
      <c r="V129">
        <v>923210</v>
      </c>
      <c r="W129" t="s">
        <v>56</v>
      </c>
      <c r="X129" s="2" t="s">
        <v>29</v>
      </c>
      <c r="Y129" t="s">
        <v>30</v>
      </c>
      <c r="Z129" t="s">
        <v>31</v>
      </c>
      <c r="AA129" t="s">
        <v>32</v>
      </c>
      <c r="AB129" t="s">
        <v>33</v>
      </c>
      <c r="AC129" s="51">
        <v>4635000</v>
      </c>
      <c r="AD129">
        <v>0</v>
      </c>
      <c r="AE129" s="4">
        <v>0</v>
      </c>
      <c r="AF129" s="4">
        <v>0</v>
      </c>
      <c r="AG129" t="s">
        <v>462</v>
      </c>
      <c r="AH129">
        <v>0</v>
      </c>
      <c r="AI129">
        <v>0</v>
      </c>
      <c r="AJ129" s="2" t="s">
        <v>463</v>
      </c>
      <c r="AK129" s="2">
        <v>0</v>
      </c>
      <c r="AL129">
        <v>0</v>
      </c>
      <c r="AM129">
        <v>0</v>
      </c>
      <c r="AN129">
        <v>0</v>
      </c>
      <c r="AO129">
        <v>0</v>
      </c>
      <c r="AP129">
        <v>1925</v>
      </c>
      <c r="AQ129">
        <v>1925</v>
      </c>
      <c r="AR129">
        <v>925</v>
      </c>
      <c r="AS129">
        <v>0</v>
      </c>
      <c r="AT129">
        <v>0</v>
      </c>
      <c r="AU129">
        <v>13225</v>
      </c>
      <c r="AV129">
        <v>64524725</v>
      </c>
      <c r="AW129">
        <v>0</v>
      </c>
      <c r="AX129" s="5">
        <v>45673</v>
      </c>
      <c r="AY129" t="s">
        <v>356</v>
      </c>
      <c r="AZ129" t="s">
        <v>375</v>
      </c>
      <c r="BA129" t="s">
        <v>376</v>
      </c>
    </row>
    <row r="130" spans="1:53" ht="15" customHeight="1" x14ac:dyDescent="0.2">
      <c r="A130" t="s">
        <v>4973</v>
      </c>
      <c r="B130" t="s">
        <v>509</v>
      </c>
      <c r="C130" t="s">
        <v>4859</v>
      </c>
      <c r="D130">
        <v>64524825</v>
      </c>
      <c r="E130" s="5">
        <v>45726</v>
      </c>
      <c r="F130" s="5">
        <v>45728.076388888891</v>
      </c>
      <c r="G130" s="4" t="s">
        <v>460</v>
      </c>
      <c r="H130" s="49">
        <v>4547675</v>
      </c>
      <c r="I130" s="49">
        <v>24175</v>
      </c>
      <c r="J130" s="50">
        <v>4523500</v>
      </c>
      <c r="K130" t="s">
        <v>2615</v>
      </c>
      <c r="L130" s="4" t="s">
        <v>461</v>
      </c>
      <c r="M130" t="s">
        <v>351</v>
      </c>
      <c r="N130" s="2">
        <v>1121825496</v>
      </c>
      <c r="O130" t="s">
        <v>378</v>
      </c>
      <c r="P130" t="s">
        <v>316</v>
      </c>
      <c r="Q130" t="s">
        <v>317</v>
      </c>
      <c r="R130">
        <v>24130898971</v>
      </c>
      <c r="S130" t="s">
        <v>319</v>
      </c>
      <c r="T130">
        <v>860007335</v>
      </c>
      <c r="U130" t="s">
        <v>381</v>
      </c>
      <c r="V130">
        <v>923210</v>
      </c>
      <c r="W130" t="s">
        <v>56</v>
      </c>
      <c r="X130" s="2" t="s">
        <v>29</v>
      </c>
      <c r="Y130" t="s">
        <v>30</v>
      </c>
      <c r="Z130" t="s">
        <v>31</v>
      </c>
      <c r="AA130" t="s">
        <v>32</v>
      </c>
      <c r="AB130" t="s">
        <v>33</v>
      </c>
      <c r="AC130" s="51">
        <v>4547675</v>
      </c>
      <c r="AD130">
        <v>0</v>
      </c>
      <c r="AE130" s="4">
        <v>0</v>
      </c>
      <c r="AF130" s="4">
        <v>0</v>
      </c>
      <c r="AG130" t="s">
        <v>462</v>
      </c>
      <c r="AH130">
        <v>0</v>
      </c>
      <c r="AI130">
        <v>0</v>
      </c>
      <c r="AJ130" s="2" t="s">
        <v>463</v>
      </c>
      <c r="AK130" s="2">
        <v>0</v>
      </c>
      <c r="AL130">
        <v>0</v>
      </c>
      <c r="AM130">
        <v>0</v>
      </c>
      <c r="AN130">
        <v>0</v>
      </c>
      <c r="AO130">
        <v>0</v>
      </c>
      <c r="AP130">
        <v>1925</v>
      </c>
      <c r="AQ130">
        <v>1925</v>
      </c>
      <c r="AR130">
        <v>1025</v>
      </c>
      <c r="AS130">
        <v>0</v>
      </c>
      <c r="AT130">
        <v>0</v>
      </c>
      <c r="AU130">
        <v>13325</v>
      </c>
      <c r="AV130">
        <v>64524825</v>
      </c>
      <c r="AW130">
        <v>0</v>
      </c>
      <c r="AX130" s="5">
        <v>45673</v>
      </c>
      <c r="AY130" t="s">
        <v>356</v>
      </c>
      <c r="AZ130" t="s">
        <v>382</v>
      </c>
      <c r="BA130" t="s">
        <v>383</v>
      </c>
    </row>
    <row r="131" spans="1:53" ht="15" customHeight="1" x14ac:dyDescent="0.2">
      <c r="A131" t="s">
        <v>4974</v>
      </c>
      <c r="B131" t="s">
        <v>510</v>
      </c>
      <c r="C131" t="s">
        <v>4862</v>
      </c>
      <c r="D131">
        <v>64524925</v>
      </c>
      <c r="E131" s="5">
        <v>45726</v>
      </c>
      <c r="F131" s="5">
        <v>45728.099305555559</v>
      </c>
      <c r="G131" s="4" t="s">
        <v>460</v>
      </c>
      <c r="H131" s="49">
        <v>3024111</v>
      </c>
      <c r="I131" s="49">
        <v>15710</v>
      </c>
      <c r="J131" s="50">
        <v>3008401</v>
      </c>
      <c r="K131" t="s">
        <v>2615</v>
      </c>
      <c r="L131" s="4" t="s">
        <v>461</v>
      </c>
      <c r="M131" t="s">
        <v>351</v>
      </c>
      <c r="N131" s="2">
        <v>1019101173</v>
      </c>
      <c r="O131" t="s">
        <v>385</v>
      </c>
      <c r="P131" t="s">
        <v>316</v>
      </c>
      <c r="Q131" t="s">
        <v>317</v>
      </c>
      <c r="R131">
        <v>5000237445</v>
      </c>
      <c r="S131" t="s">
        <v>319</v>
      </c>
      <c r="T131">
        <v>860034313</v>
      </c>
      <c r="U131" t="s">
        <v>355</v>
      </c>
      <c r="V131">
        <v>923224</v>
      </c>
      <c r="W131" t="s">
        <v>239</v>
      </c>
      <c r="X131" s="2" t="s">
        <v>240</v>
      </c>
      <c r="Y131" t="s">
        <v>241</v>
      </c>
      <c r="Z131" t="s">
        <v>47</v>
      </c>
      <c r="AA131" t="s">
        <v>76</v>
      </c>
      <c r="AB131" t="s">
        <v>33</v>
      </c>
      <c r="AC131" s="51">
        <v>3024111</v>
      </c>
      <c r="AD131">
        <v>0</v>
      </c>
      <c r="AE131" s="4">
        <v>0</v>
      </c>
      <c r="AF131" s="4">
        <v>0</v>
      </c>
      <c r="AG131" t="s">
        <v>462</v>
      </c>
      <c r="AH131">
        <v>0</v>
      </c>
      <c r="AI131">
        <v>0</v>
      </c>
      <c r="AJ131" s="2" t="s">
        <v>463</v>
      </c>
      <c r="AK131" s="2">
        <v>0</v>
      </c>
      <c r="AL131">
        <v>0</v>
      </c>
      <c r="AM131">
        <v>0</v>
      </c>
      <c r="AN131">
        <v>0</v>
      </c>
      <c r="AO131">
        <v>0</v>
      </c>
      <c r="AP131">
        <v>5425</v>
      </c>
      <c r="AQ131">
        <v>5425</v>
      </c>
      <c r="AR131">
        <v>1125</v>
      </c>
      <c r="AS131">
        <v>0</v>
      </c>
      <c r="AT131">
        <v>0</v>
      </c>
      <c r="AU131">
        <v>13425</v>
      </c>
      <c r="AV131">
        <v>64524925</v>
      </c>
      <c r="AW131">
        <v>0</v>
      </c>
      <c r="AX131" s="5">
        <v>45673</v>
      </c>
      <c r="AY131" t="s">
        <v>356</v>
      </c>
      <c r="AZ131" t="s">
        <v>387</v>
      </c>
      <c r="BA131" t="s">
        <v>388</v>
      </c>
    </row>
    <row r="132" spans="1:53" ht="15" customHeight="1" x14ac:dyDescent="0.2">
      <c r="A132" t="s">
        <v>4975</v>
      </c>
      <c r="B132" t="s">
        <v>511</v>
      </c>
      <c r="C132" t="s">
        <v>4867</v>
      </c>
      <c r="D132">
        <v>64525025</v>
      </c>
      <c r="E132" s="5">
        <v>45726</v>
      </c>
      <c r="F132" s="5">
        <v>45728.074999999997</v>
      </c>
      <c r="G132" s="4" t="s">
        <v>460</v>
      </c>
      <c r="H132" s="49">
        <v>5300000</v>
      </c>
      <c r="I132" s="49">
        <v>28175</v>
      </c>
      <c r="J132" s="50">
        <v>5271825</v>
      </c>
      <c r="K132" t="s">
        <v>2615</v>
      </c>
      <c r="L132" s="4" t="s">
        <v>461</v>
      </c>
      <c r="M132" t="s">
        <v>351</v>
      </c>
      <c r="N132" s="2">
        <v>1012449137</v>
      </c>
      <c r="O132" t="s">
        <v>390</v>
      </c>
      <c r="P132" t="s">
        <v>316</v>
      </c>
      <c r="Q132" t="s">
        <v>317</v>
      </c>
      <c r="R132">
        <v>883150385</v>
      </c>
      <c r="S132" t="s">
        <v>319</v>
      </c>
      <c r="T132">
        <v>860003020</v>
      </c>
      <c r="U132" t="s">
        <v>393</v>
      </c>
      <c r="V132">
        <v>923290</v>
      </c>
      <c r="W132" t="s">
        <v>208</v>
      </c>
      <c r="X132" s="2" t="s">
        <v>29</v>
      </c>
      <c r="Y132" t="s">
        <v>30</v>
      </c>
      <c r="Z132" t="s">
        <v>31</v>
      </c>
      <c r="AA132" t="s">
        <v>32</v>
      </c>
      <c r="AB132" t="s">
        <v>33</v>
      </c>
      <c r="AC132" s="51">
        <v>5300000</v>
      </c>
      <c r="AD132">
        <v>0</v>
      </c>
      <c r="AE132" s="4">
        <v>0</v>
      </c>
      <c r="AF132" s="4">
        <v>0</v>
      </c>
      <c r="AG132" t="s">
        <v>462</v>
      </c>
      <c r="AH132">
        <v>0</v>
      </c>
      <c r="AI132">
        <v>0</v>
      </c>
      <c r="AJ132" s="2" t="s">
        <v>463</v>
      </c>
      <c r="AK132" s="2">
        <v>0</v>
      </c>
      <c r="AL132">
        <v>0</v>
      </c>
      <c r="AM132">
        <v>0</v>
      </c>
      <c r="AN132">
        <v>0</v>
      </c>
      <c r="AO132">
        <v>0</v>
      </c>
      <c r="AP132">
        <v>5025</v>
      </c>
      <c r="AQ132">
        <v>5025</v>
      </c>
      <c r="AR132">
        <v>1225</v>
      </c>
      <c r="AS132">
        <v>0</v>
      </c>
      <c r="AT132">
        <v>0</v>
      </c>
      <c r="AU132">
        <v>13525</v>
      </c>
      <c r="AV132">
        <v>64525025</v>
      </c>
      <c r="AW132">
        <v>0</v>
      </c>
      <c r="AX132" s="5">
        <v>45673</v>
      </c>
      <c r="AY132" t="s">
        <v>356</v>
      </c>
      <c r="AZ132" t="s">
        <v>394</v>
      </c>
      <c r="BA132" t="s">
        <v>395</v>
      </c>
    </row>
    <row r="133" spans="1:53" ht="15" customHeight="1" x14ac:dyDescent="0.2">
      <c r="A133" t="s">
        <v>4976</v>
      </c>
      <c r="B133" t="s">
        <v>512</v>
      </c>
      <c r="C133" t="s">
        <v>4869</v>
      </c>
      <c r="D133">
        <v>64525125</v>
      </c>
      <c r="E133" s="5">
        <v>45726</v>
      </c>
      <c r="F133" s="5">
        <v>45728.081944444442</v>
      </c>
      <c r="G133" s="4" t="s">
        <v>460</v>
      </c>
      <c r="H133" s="49">
        <v>5150000</v>
      </c>
      <c r="I133" s="49">
        <v>27377</v>
      </c>
      <c r="J133" s="50">
        <v>5122623</v>
      </c>
      <c r="K133" t="s">
        <v>2615</v>
      </c>
      <c r="L133" s="4" t="s">
        <v>461</v>
      </c>
      <c r="M133" t="s">
        <v>351</v>
      </c>
      <c r="N133" s="2">
        <v>40325709</v>
      </c>
      <c r="O133" t="s">
        <v>397</v>
      </c>
      <c r="P133" t="s">
        <v>316</v>
      </c>
      <c r="Q133" t="s">
        <v>317</v>
      </c>
      <c r="R133">
        <v>111160363399</v>
      </c>
      <c r="S133" t="s">
        <v>319</v>
      </c>
      <c r="T133">
        <v>900047981</v>
      </c>
      <c r="U133" t="s">
        <v>399</v>
      </c>
      <c r="V133">
        <v>923227</v>
      </c>
      <c r="W133" t="s">
        <v>141</v>
      </c>
      <c r="X133" s="2" t="s">
        <v>142</v>
      </c>
      <c r="Y133" t="s">
        <v>143</v>
      </c>
      <c r="Z133" t="s">
        <v>31</v>
      </c>
      <c r="AA133" t="s">
        <v>32</v>
      </c>
      <c r="AB133" t="s">
        <v>33</v>
      </c>
      <c r="AC133" s="51">
        <v>5150000</v>
      </c>
      <c r="AD133">
        <v>0</v>
      </c>
      <c r="AE133" s="4">
        <v>0</v>
      </c>
      <c r="AF133" s="4">
        <v>0</v>
      </c>
      <c r="AG133" t="s">
        <v>462</v>
      </c>
      <c r="AH133">
        <v>0</v>
      </c>
      <c r="AI133">
        <v>0</v>
      </c>
      <c r="AJ133" s="2" t="s">
        <v>463</v>
      </c>
      <c r="AK133" s="2">
        <v>0</v>
      </c>
      <c r="AL133">
        <v>0</v>
      </c>
      <c r="AM133">
        <v>0</v>
      </c>
      <c r="AN133">
        <v>0</v>
      </c>
      <c r="AO133">
        <v>0</v>
      </c>
      <c r="AP133">
        <v>3225</v>
      </c>
      <c r="AQ133">
        <v>3225</v>
      </c>
      <c r="AR133">
        <v>1325</v>
      </c>
      <c r="AS133">
        <v>0</v>
      </c>
      <c r="AT133">
        <v>0</v>
      </c>
      <c r="AU133">
        <v>13625</v>
      </c>
      <c r="AV133">
        <v>64525125</v>
      </c>
      <c r="AW133">
        <v>0</v>
      </c>
      <c r="AX133" s="5">
        <v>45673</v>
      </c>
      <c r="AY133" t="s">
        <v>356</v>
      </c>
      <c r="AZ133" t="s">
        <v>602</v>
      </c>
      <c r="BA133" t="s">
        <v>401</v>
      </c>
    </row>
    <row r="134" spans="1:53" ht="15" customHeight="1" x14ac:dyDescent="0.2">
      <c r="A134" t="s">
        <v>4977</v>
      </c>
      <c r="B134" t="s">
        <v>513</v>
      </c>
      <c r="C134" t="s">
        <v>4862</v>
      </c>
      <c r="D134">
        <v>64525225</v>
      </c>
      <c r="E134" s="5">
        <v>45726</v>
      </c>
      <c r="F134" s="5">
        <v>45728.071527777778</v>
      </c>
      <c r="G134" s="4" t="s">
        <v>460</v>
      </c>
      <c r="H134" s="49">
        <v>5033600</v>
      </c>
      <c r="I134" s="49">
        <v>26758</v>
      </c>
      <c r="J134" s="50">
        <v>5006842</v>
      </c>
      <c r="K134" t="s">
        <v>2615</v>
      </c>
      <c r="L134" s="4" t="s">
        <v>461</v>
      </c>
      <c r="M134" t="s">
        <v>351</v>
      </c>
      <c r="N134" s="2">
        <v>53093999</v>
      </c>
      <c r="O134" t="s">
        <v>403</v>
      </c>
      <c r="P134" t="s">
        <v>316</v>
      </c>
      <c r="Q134" t="s">
        <v>317</v>
      </c>
      <c r="R134">
        <v>63440868349</v>
      </c>
      <c r="S134" t="s">
        <v>319</v>
      </c>
      <c r="T134">
        <v>890903938</v>
      </c>
      <c r="U134" t="s">
        <v>342</v>
      </c>
      <c r="V134">
        <v>923224</v>
      </c>
      <c r="W134" t="s">
        <v>239</v>
      </c>
      <c r="X134" s="2" t="s">
        <v>240</v>
      </c>
      <c r="Y134" t="s">
        <v>241</v>
      </c>
      <c r="Z134" t="s">
        <v>47</v>
      </c>
      <c r="AA134" t="s">
        <v>76</v>
      </c>
      <c r="AB134" t="s">
        <v>33</v>
      </c>
      <c r="AC134" s="51">
        <v>5033600</v>
      </c>
      <c r="AD134">
        <v>0</v>
      </c>
      <c r="AE134" s="4">
        <v>0</v>
      </c>
      <c r="AF134" s="4">
        <v>0</v>
      </c>
      <c r="AG134" t="s">
        <v>462</v>
      </c>
      <c r="AH134">
        <v>0</v>
      </c>
      <c r="AI134">
        <v>0</v>
      </c>
      <c r="AJ134" s="2" t="s">
        <v>463</v>
      </c>
      <c r="AK134" s="2">
        <v>0</v>
      </c>
      <c r="AL134">
        <v>0</v>
      </c>
      <c r="AM134">
        <v>0</v>
      </c>
      <c r="AN134">
        <v>0</v>
      </c>
      <c r="AO134">
        <v>0</v>
      </c>
      <c r="AP134">
        <v>5425</v>
      </c>
      <c r="AQ134">
        <v>5425</v>
      </c>
      <c r="AR134">
        <v>1425</v>
      </c>
      <c r="AS134">
        <v>0</v>
      </c>
      <c r="AT134">
        <v>0</v>
      </c>
      <c r="AU134">
        <v>13725</v>
      </c>
      <c r="AV134">
        <v>64525225</v>
      </c>
      <c r="AW134">
        <v>0</v>
      </c>
      <c r="AX134" s="5">
        <v>45673</v>
      </c>
      <c r="AY134" t="s">
        <v>356</v>
      </c>
      <c r="AZ134" t="s">
        <v>400</v>
      </c>
      <c r="BA134" t="s">
        <v>405</v>
      </c>
    </row>
    <row r="135" spans="1:53" ht="15" customHeight="1" x14ac:dyDescent="0.2">
      <c r="A135" t="s">
        <v>4978</v>
      </c>
      <c r="B135" t="s">
        <v>514</v>
      </c>
      <c r="C135" t="s">
        <v>4869</v>
      </c>
      <c r="D135">
        <v>64525325</v>
      </c>
      <c r="E135" s="5">
        <v>45726</v>
      </c>
      <c r="F135" s="5">
        <v>45728.095833333333</v>
      </c>
      <c r="G135" s="4" t="s">
        <v>460</v>
      </c>
      <c r="H135" s="49">
        <v>3043650</v>
      </c>
      <c r="I135" s="49">
        <v>15827</v>
      </c>
      <c r="J135" s="50">
        <v>3027823</v>
      </c>
      <c r="K135" t="s">
        <v>2615</v>
      </c>
      <c r="L135" s="4" t="s">
        <v>461</v>
      </c>
      <c r="M135" t="s">
        <v>351</v>
      </c>
      <c r="N135" s="2">
        <v>1012379960</v>
      </c>
      <c r="O135" t="s">
        <v>407</v>
      </c>
      <c r="P135" t="s">
        <v>316</v>
      </c>
      <c r="Q135" t="s">
        <v>317</v>
      </c>
      <c r="R135">
        <v>24082422615</v>
      </c>
      <c r="S135" t="s">
        <v>319</v>
      </c>
      <c r="T135">
        <v>860007335</v>
      </c>
      <c r="U135" t="s">
        <v>381</v>
      </c>
      <c r="V135">
        <v>923227</v>
      </c>
      <c r="W135" t="s">
        <v>141</v>
      </c>
      <c r="X135" s="2" t="s">
        <v>142</v>
      </c>
      <c r="Y135" t="s">
        <v>143</v>
      </c>
      <c r="Z135" t="s">
        <v>31</v>
      </c>
      <c r="AA135" t="s">
        <v>32</v>
      </c>
      <c r="AB135" t="s">
        <v>33</v>
      </c>
      <c r="AC135" s="51">
        <v>3043650</v>
      </c>
      <c r="AD135">
        <v>0</v>
      </c>
      <c r="AE135" s="4">
        <v>0</v>
      </c>
      <c r="AF135" s="4">
        <v>0</v>
      </c>
      <c r="AG135" t="s">
        <v>462</v>
      </c>
      <c r="AH135">
        <v>0</v>
      </c>
      <c r="AI135">
        <v>0</v>
      </c>
      <c r="AJ135" s="2" t="s">
        <v>463</v>
      </c>
      <c r="AK135" s="2">
        <v>0</v>
      </c>
      <c r="AL135">
        <v>0</v>
      </c>
      <c r="AM135">
        <v>0</v>
      </c>
      <c r="AN135">
        <v>0</v>
      </c>
      <c r="AO135">
        <v>0</v>
      </c>
      <c r="AP135">
        <v>3225</v>
      </c>
      <c r="AQ135">
        <v>3225</v>
      </c>
      <c r="AR135">
        <v>1525</v>
      </c>
      <c r="AS135">
        <v>0</v>
      </c>
      <c r="AT135">
        <v>0</v>
      </c>
      <c r="AU135">
        <v>13825</v>
      </c>
      <c r="AV135">
        <v>64525325</v>
      </c>
      <c r="AW135">
        <v>0</v>
      </c>
      <c r="AX135" s="5">
        <v>45673</v>
      </c>
      <c r="AY135" t="s">
        <v>362</v>
      </c>
      <c r="AZ135" t="s">
        <v>409</v>
      </c>
      <c r="BA135" t="s">
        <v>410</v>
      </c>
    </row>
    <row r="136" spans="1:53" ht="15" customHeight="1" x14ac:dyDescent="0.2">
      <c r="A136" t="s">
        <v>4979</v>
      </c>
      <c r="B136" t="s">
        <v>515</v>
      </c>
      <c r="C136" t="s">
        <v>4869</v>
      </c>
      <c r="D136">
        <v>64525425</v>
      </c>
      <c r="E136" s="5">
        <v>45726</v>
      </c>
      <c r="F136" s="5">
        <v>45728.099305555559</v>
      </c>
      <c r="G136" s="4" t="s">
        <v>460</v>
      </c>
      <c r="H136" s="49">
        <v>3043650</v>
      </c>
      <c r="I136" s="49">
        <v>15827</v>
      </c>
      <c r="J136" s="50">
        <v>3027823</v>
      </c>
      <c r="K136" t="s">
        <v>2615</v>
      </c>
      <c r="L136" s="4" t="s">
        <v>461</v>
      </c>
      <c r="M136" t="s">
        <v>351</v>
      </c>
      <c r="N136" s="2">
        <v>1073697700</v>
      </c>
      <c r="O136" t="s">
        <v>412</v>
      </c>
      <c r="P136" t="s">
        <v>316</v>
      </c>
      <c r="Q136" t="s">
        <v>317</v>
      </c>
      <c r="R136">
        <v>488423979498</v>
      </c>
      <c r="S136" t="s">
        <v>319</v>
      </c>
      <c r="T136">
        <v>860034313</v>
      </c>
      <c r="U136" t="s">
        <v>355</v>
      </c>
      <c r="V136">
        <v>923227</v>
      </c>
      <c r="W136" t="s">
        <v>141</v>
      </c>
      <c r="X136" s="2" t="s">
        <v>142</v>
      </c>
      <c r="Y136" t="s">
        <v>143</v>
      </c>
      <c r="Z136" t="s">
        <v>31</v>
      </c>
      <c r="AA136" t="s">
        <v>32</v>
      </c>
      <c r="AB136" t="s">
        <v>33</v>
      </c>
      <c r="AC136" s="51">
        <v>3043650</v>
      </c>
      <c r="AD136">
        <v>0</v>
      </c>
      <c r="AE136" s="4">
        <v>0</v>
      </c>
      <c r="AF136" s="4">
        <v>0</v>
      </c>
      <c r="AG136" t="s">
        <v>462</v>
      </c>
      <c r="AH136">
        <v>0</v>
      </c>
      <c r="AI136">
        <v>0</v>
      </c>
      <c r="AJ136" s="2" t="s">
        <v>463</v>
      </c>
      <c r="AK136" s="2">
        <v>0</v>
      </c>
      <c r="AL136">
        <v>0</v>
      </c>
      <c r="AM136">
        <v>0</v>
      </c>
      <c r="AN136">
        <v>0</v>
      </c>
      <c r="AO136">
        <v>0</v>
      </c>
      <c r="AP136">
        <v>3225</v>
      </c>
      <c r="AQ136">
        <v>3225</v>
      </c>
      <c r="AR136">
        <v>1625</v>
      </c>
      <c r="AS136">
        <v>0</v>
      </c>
      <c r="AT136">
        <v>0</v>
      </c>
      <c r="AU136">
        <v>13925</v>
      </c>
      <c r="AV136">
        <v>64525425</v>
      </c>
      <c r="AW136">
        <v>0</v>
      </c>
      <c r="AX136" s="5">
        <v>45673</v>
      </c>
      <c r="AY136" t="s">
        <v>362</v>
      </c>
      <c r="AZ136" t="s">
        <v>414</v>
      </c>
      <c r="BA136" t="s">
        <v>410</v>
      </c>
    </row>
    <row r="137" spans="1:53" ht="15" customHeight="1" x14ac:dyDescent="0.2">
      <c r="A137" t="s">
        <v>4980</v>
      </c>
      <c r="B137" t="s">
        <v>516</v>
      </c>
      <c r="C137" t="s">
        <v>4869</v>
      </c>
      <c r="D137">
        <v>64525525</v>
      </c>
      <c r="E137" s="5">
        <v>45726</v>
      </c>
      <c r="F137" s="5">
        <v>45728.083333333336</v>
      </c>
      <c r="G137" s="4" t="s">
        <v>460</v>
      </c>
      <c r="H137" s="49">
        <v>3043650</v>
      </c>
      <c r="I137" s="49">
        <v>15827</v>
      </c>
      <c r="J137" s="50">
        <v>3027823</v>
      </c>
      <c r="K137" t="s">
        <v>2615</v>
      </c>
      <c r="L137" s="4" t="s">
        <v>461</v>
      </c>
      <c r="M137" t="s">
        <v>351</v>
      </c>
      <c r="N137" s="2">
        <v>80030739</v>
      </c>
      <c r="O137" t="s">
        <v>416</v>
      </c>
      <c r="P137" t="s">
        <v>316</v>
      </c>
      <c r="Q137" t="s">
        <v>317</v>
      </c>
      <c r="R137">
        <v>9548892</v>
      </c>
      <c r="S137" t="s">
        <v>319</v>
      </c>
      <c r="T137">
        <v>860002964</v>
      </c>
      <c r="U137" t="s">
        <v>419</v>
      </c>
      <c r="V137">
        <v>923227</v>
      </c>
      <c r="W137" t="s">
        <v>141</v>
      </c>
      <c r="X137" s="2" t="s">
        <v>142</v>
      </c>
      <c r="Y137" t="s">
        <v>143</v>
      </c>
      <c r="Z137" t="s">
        <v>31</v>
      </c>
      <c r="AA137" t="s">
        <v>32</v>
      </c>
      <c r="AB137" t="s">
        <v>33</v>
      </c>
      <c r="AC137" s="51">
        <v>3043650</v>
      </c>
      <c r="AD137">
        <v>0</v>
      </c>
      <c r="AE137" s="4">
        <v>0</v>
      </c>
      <c r="AF137" s="4">
        <v>0</v>
      </c>
      <c r="AG137" t="s">
        <v>462</v>
      </c>
      <c r="AH137">
        <v>0</v>
      </c>
      <c r="AI137">
        <v>0</v>
      </c>
      <c r="AJ137" s="2" t="s">
        <v>463</v>
      </c>
      <c r="AK137" s="2">
        <v>0</v>
      </c>
      <c r="AL137">
        <v>0</v>
      </c>
      <c r="AM137">
        <v>0</v>
      </c>
      <c r="AN137">
        <v>0</v>
      </c>
      <c r="AO137">
        <v>0</v>
      </c>
      <c r="AP137">
        <v>3225</v>
      </c>
      <c r="AQ137">
        <v>3225</v>
      </c>
      <c r="AR137">
        <v>1725</v>
      </c>
      <c r="AS137">
        <v>0</v>
      </c>
      <c r="AT137">
        <v>0</v>
      </c>
      <c r="AU137">
        <v>14025</v>
      </c>
      <c r="AV137">
        <v>64525525</v>
      </c>
      <c r="AW137">
        <v>0</v>
      </c>
      <c r="AX137" s="5">
        <v>45673</v>
      </c>
      <c r="AY137" t="s">
        <v>362</v>
      </c>
      <c r="AZ137" t="s">
        <v>420</v>
      </c>
      <c r="BA137" t="s">
        <v>410</v>
      </c>
    </row>
    <row r="138" spans="1:53" ht="15" customHeight="1" x14ac:dyDescent="0.2">
      <c r="A138" t="s">
        <v>4981</v>
      </c>
      <c r="B138" t="s">
        <v>517</v>
      </c>
      <c r="C138" t="s">
        <v>4859</v>
      </c>
      <c r="D138">
        <v>64525625</v>
      </c>
      <c r="E138" s="5">
        <v>45726</v>
      </c>
      <c r="F138" s="5">
        <v>45728.083333333336</v>
      </c>
      <c r="G138" s="4" t="s">
        <v>460</v>
      </c>
      <c r="H138" s="49">
        <v>3180288</v>
      </c>
      <c r="I138" s="49">
        <v>16647</v>
      </c>
      <c r="J138" s="50">
        <v>3163641</v>
      </c>
      <c r="K138" t="s">
        <v>2615</v>
      </c>
      <c r="L138" s="4" t="s">
        <v>461</v>
      </c>
      <c r="M138" t="s">
        <v>351</v>
      </c>
      <c r="N138" s="2">
        <v>1024533099</v>
      </c>
      <c r="O138" t="s">
        <v>423</v>
      </c>
      <c r="P138" t="s">
        <v>316</v>
      </c>
      <c r="Q138" t="s">
        <v>317</v>
      </c>
      <c r="R138">
        <v>272245820</v>
      </c>
      <c r="S138" t="s">
        <v>319</v>
      </c>
      <c r="T138">
        <v>860002964</v>
      </c>
      <c r="U138" t="s">
        <v>419</v>
      </c>
      <c r="V138">
        <v>923210</v>
      </c>
      <c r="W138" t="s">
        <v>56</v>
      </c>
      <c r="X138" s="2" t="s">
        <v>29</v>
      </c>
      <c r="Y138" t="s">
        <v>30</v>
      </c>
      <c r="Z138" t="s">
        <v>31</v>
      </c>
      <c r="AA138" t="s">
        <v>32</v>
      </c>
      <c r="AB138" t="s">
        <v>33</v>
      </c>
      <c r="AC138" s="51">
        <v>3180288</v>
      </c>
      <c r="AD138">
        <v>0</v>
      </c>
      <c r="AE138" s="4">
        <v>0</v>
      </c>
      <c r="AF138" s="4">
        <v>0</v>
      </c>
      <c r="AG138" t="s">
        <v>462</v>
      </c>
      <c r="AH138">
        <v>0</v>
      </c>
      <c r="AI138">
        <v>0</v>
      </c>
      <c r="AJ138" s="2" t="s">
        <v>463</v>
      </c>
      <c r="AK138" s="2">
        <v>0</v>
      </c>
      <c r="AL138">
        <v>0</v>
      </c>
      <c r="AM138">
        <v>0</v>
      </c>
      <c r="AN138">
        <v>0</v>
      </c>
      <c r="AO138">
        <v>0</v>
      </c>
      <c r="AP138">
        <v>1925</v>
      </c>
      <c r="AQ138">
        <v>1925</v>
      </c>
      <c r="AR138">
        <v>1825</v>
      </c>
      <c r="AS138">
        <v>0</v>
      </c>
      <c r="AT138">
        <v>0</v>
      </c>
      <c r="AU138">
        <v>14125</v>
      </c>
      <c r="AV138">
        <v>64525625</v>
      </c>
      <c r="AW138">
        <v>0</v>
      </c>
      <c r="AX138" s="5">
        <v>45679</v>
      </c>
      <c r="AY138" t="s">
        <v>362</v>
      </c>
      <c r="AZ138" t="s">
        <v>425</v>
      </c>
      <c r="BA138" t="s">
        <v>426</v>
      </c>
    </row>
    <row r="139" spans="1:53" ht="15" customHeight="1" x14ac:dyDescent="0.2">
      <c r="A139" t="s">
        <v>4982</v>
      </c>
      <c r="B139" t="s">
        <v>2234</v>
      </c>
      <c r="C139" t="s">
        <v>4859</v>
      </c>
      <c r="D139">
        <v>64541225</v>
      </c>
      <c r="E139" s="5">
        <v>45726</v>
      </c>
      <c r="F139" s="5">
        <v>45728.099305555559</v>
      </c>
      <c r="G139" s="4" t="s">
        <v>460</v>
      </c>
      <c r="H139" s="49">
        <v>2692045</v>
      </c>
      <c r="I139" s="49">
        <v>13717</v>
      </c>
      <c r="J139" s="50">
        <v>2678328</v>
      </c>
      <c r="K139" t="s">
        <v>2615</v>
      </c>
      <c r="L139" s="4" t="s">
        <v>461</v>
      </c>
      <c r="M139" t="s">
        <v>351</v>
      </c>
      <c r="N139" s="2">
        <v>1007695451</v>
      </c>
      <c r="O139" t="s">
        <v>608</v>
      </c>
      <c r="P139" t="s">
        <v>316</v>
      </c>
      <c r="Q139" t="s">
        <v>317</v>
      </c>
      <c r="R139">
        <v>488417369508</v>
      </c>
      <c r="S139" t="s">
        <v>319</v>
      </c>
      <c r="T139">
        <v>860034313</v>
      </c>
      <c r="U139" t="s">
        <v>355</v>
      </c>
      <c r="V139">
        <v>923210</v>
      </c>
      <c r="W139" t="s">
        <v>56</v>
      </c>
      <c r="X139" s="2" t="s">
        <v>29</v>
      </c>
      <c r="Y139" t="s">
        <v>30</v>
      </c>
      <c r="Z139" t="s">
        <v>31</v>
      </c>
      <c r="AA139" t="s">
        <v>32</v>
      </c>
      <c r="AB139" t="s">
        <v>33</v>
      </c>
      <c r="AC139" s="51">
        <v>2692045</v>
      </c>
      <c r="AD139">
        <v>0</v>
      </c>
      <c r="AE139" s="4">
        <v>0</v>
      </c>
      <c r="AF139" s="4">
        <v>0</v>
      </c>
      <c r="AG139" t="s">
        <v>462</v>
      </c>
      <c r="AH139">
        <v>0</v>
      </c>
      <c r="AI139">
        <v>0</v>
      </c>
      <c r="AJ139" s="2" t="s">
        <v>463</v>
      </c>
      <c r="AK139" s="2">
        <v>0</v>
      </c>
      <c r="AL139">
        <v>0</v>
      </c>
      <c r="AM139">
        <v>0</v>
      </c>
      <c r="AN139">
        <v>0</v>
      </c>
      <c r="AO139">
        <v>0</v>
      </c>
      <c r="AP139">
        <v>1925</v>
      </c>
      <c r="AQ139">
        <v>1925</v>
      </c>
      <c r="AR139">
        <v>2225</v>
      </c>
      <c r="AS139">
        <v>0</v>
      </c>
      <c r="AT139">
        <v>0</v>
      </c>
      <c r="AU139">
        <v>14225</v>
      </c>
      <c r="AV139">
        <v>64541225</v>
      </c>
      <c r="AW139">
        <v>0</v>
      </c>
      <c r="AX139" s="5">
        <v>45686</v>
      </c>
      <c r="AY139" t="s">
        <v>362</v>
      </c>
      <c r="AZ139" t="s">
        <v>610</v>
      </c>
      <c r="BA139" t="s">
        <v>611</v>
      </c>
    </row>
    <row r="140" spans="1:53" ht="15" customHeight="1" x14ac:dyDescent="0.2">
      <c r="A140" t="s">
        <v>4983</v>
      </c>
      <c r="B140" t="s">
        <v>2235</v>
      </c>
      <c r="C140" t="s">
        <v>4859</v>
      </c>
      <c r="D140">
        <v>64541325</v>
      </c>
      <c r="E140" s="5">
        <v>45726</v>
      </c>
      <c r="F140" s="5">
        <v>45728.095138888886</v>
      </c>
      <c r="G140" s="4" t="s">
        <v>460</v>
      </c>
      <c r="H140" s="49">
        <v>2300000</v>
      </c>
      <c r="I140" s="49">
        <v>11365</v>
      </c>
      <c r="J140" s="50">
        <v>2288635</v>
      </c>
      <c r="K140" t="s">
        <v>2615</v>
      </c>
      <c r="L140" s="4" t="s">
        <v>461</v>
      </c>
      <c r="M140" t="s">
        <v>351</v>
      </c>
      <c r="N140" s="2">
        <v>1073672380</v>
      </c>
      <c r="O140" t="s">
        <v>613</v>
      </c>
      <c r="P140" t="s">
        <v>316</v>
      </c>
      <c r="Q140" t="s">
        <v>317</v>
      </c>
      <c r="R140">
        <v>24124665253</v>
      </c>
      <c r="S140" t="s">
        <v>319</v>
      </c>
      <c r="T140">
        <v>860007335</v>
      </c>
      <c r="U140" t="s">
        <v>381</v>
      </c>
      <c r="V140">
        <v>923210</v>
      </c>
      <c r="W140" t="s">
        <v>56</v>
      </c>
      <c r="X140" s="2" t="s">
        <v>29</v>
      </c>
      <c r="Y140" t="s">
        <v>30</v>
      </c>
      <c r="Z140" t="s">
        <v>31</v>
      </c>
      <c r="AA140" t="s">
        <v>32</v>
      </c>
      <c r="AB140" t="s">
        <v>33</v>
      </c>
      <c r="AC140" s="51">
        <v>2300000</v>
      </c>
      <c r="AD140">
        <v>0</v>
      </c>
      <c r="AE140" s="4">
        <v>0</v>
      </c>
      <c r="AF140" s="4">
        <v>0</v>
      </c>
      <c r="AG140" t="s">
        <v>462</v>
      </c>
      <c r="AH140">
        <v>0</v>
      </c>
      <c r="AI140">
        <v>0</v>
      </c>
      <c r="AJ140" s="2" t="s">
        <v>463</v>
      </c>
      <c r="AK140" s="2">
        <v>0</v>
      </c>
      <c r="AL140">
        <v>0</v>
      </c>
      <c r="AM140">
        <v>0</v>
      </c>
      <c r="AN140">
        <v>0</v>
      </c>
      <c r="AO140">
        <v>0</v>
      </c>
      <c r="AP140">
        <v>1925</v>
      </c>
      <c r="AQ140">
        <v>1925</v>
      </c>
      <c r="AR140">
        <v>2325</v>
      </c>
      <c r="AS140">
        <v>0</v>
      </c>
      <c r="AT140">
        <v>0</v>
      </c>
      <c r="AU140">
        <v>14325</v>
      </c>
      <c r="AV140">
        <v>64541325</v>
      </c>
      <c r="AW140">
        <v>0</v>
      </c>
      <c r="AX140" s="5">
        <v>45686</v>
      </c>
      <c r="AY140" t="s">
        <v>362</v>
      </c>
      <c r="AZ140" t="s">
        <v>615</v>
      </c>
      <c r="BA140" t="s">
        <v>616</v>
      </c>
    </row>
    <row r="141" spans="1:53" ht="15" customHeight="1" x14ac:dyDescent="0.2">
      <c r="A141" t="s">
        <v>4984</v>
      </c>
      <c r="B141" t="s">
        <v>2236</v>
      </c>
      <c r="C141" t="s">
        <v>4859</v>
      </c>
      <c r="D141">
        <v>64541425</v>
      </c>
      <c r="E141" s="5">
        <v>45726</v>
      </c>
      <c r="F141" s="5">
        <v>45728.090277777781</v>
      </c>
      <c r="G141" s="4" t="s">
        <v>460</v>
      </c>
      <c r="H141" s="49">
        <v>2692045</v>
      </c>
      <c r="I141" s="49">
        <v>13717</v>
      </c>
      <c r="J141" s="50">
        <v>2678328</v>
      </c>
      <c r="K141" t="s">
        <v>2615</v>
      </c>
      <c r="L141" s="4" t="s">
        <v>461</v>
      </c>
      <c r="M141" t="s">
        <v>351</v>
      </c>
      <c r="N141" s="2">
        <v>1030689405</v>
      </c>
      <c r="O141" t="s">
        <v>618</v>
      </c>
      <c r="P141" t="s">
        <v>316</v>
      </c>
      <c r="Q141" t="s">
        <v>317</v>
      </c>
      <c r="R141">
        <v>23789958866</v>
      </c>
      <c r="S141" t="s">
        <v>319</v>
      </c>
      <c r="T141">
        <v>890903938</v>
      </c>
      <c r="U141" t="s">
        <v>342</v>
      </c>
      <c r="V141">
        <v>923210</v>
      </c>
      <c r="W141" t="s">
        <v>56</v>
      </c>
      <c r="X141" s="2" t="s">
        <v>29</v>
      </c>
      <c r="Y141" t="s">
        <v>30</v>
      </c>
      <c r="Z141" t="s">
        <v>31</v>
      </c>
      <c r="AA141" t="s">
        <v>32</v>
      </c>
      <c r="AB141" t="s">
        <v>33</v>
      </c>
      <c r="AC141" s="51">
        <v>2692045</v>
      </c>
      <c r="AD141">
        <v>0</v>
      </c>
      <c r="AE141" s="4">
        <v>0</v>
      </c>
      <c r="AF141" s="4">
        <v>0</v>
      </c>
      <c r="AG141" t="s">
        <v>462</v>
      </c>
      <c r="AH141">
        <v>0</v>
      </c>
      <c r="AI141">
        <v>0</v>
      </c>
      <c r="AJ141" s="2" t="s">
        <v>463</v>
      </c>
      <c r="AK141" s="2">
        <v>0</v>
      </c>
      <c r="AL141">
        <v>0</v>
      </c>
      <c r="AM141">
        <v>0</v>
      </c>
      <c r="AN141">
        <v>0</v>
      </c>
      <c r="AO141">
        <v>0</v>
      </c>
      <c r="AP141">
        <v>1925</v>
      </c>
      <c r="AQ141">
        <v>1925</v>
      </c>
      <c r="AR141">
        <v>2425</v>
      </c>
      <c r="AS141">
        <v>0</v>
      </c>
      <c r="AT141">
        <v>0</v>
      </c>
      <c r="AU141">
        <v>14425</v>
      </c>
      <c r="AV141">
        <v>64541425</v>
      </c>
      <c r="AW141">
        <v>0</v>
      </c>
      <c r="AX141" s="5">
        <v>45686</v>
      </c>
      <c r="AY141" t="s">
        <v>362</v>
      </c>
      <c r="AZ141" t="s">
        <v>620</v>
      </c>
      <c r="BA141" t="s">
        <v>621</v>
      </c>
    </row>
    <row r="142" spans="1:53" ht="15" customHeight="1" x14ac:dyDescent="0.2">
      <c r="A142" t="s">
        <v>4985</v>
      </c>
      <c r="B142" t="s">
        <v>2237</v>
      </c>
      <c r="C142" t="s">
        <v>4859</v>
      </c>
      <c r="D142">
        <v>64541525</v>
      </c>
      <c r="E142" s="5">
        <v>45726</v>
      </c>
      <c r="F142" s="5">
        <v>45728.09097222222</v>
      </c>
      <c r="G142" s="4" t="s">
        <v>460</v>
      </c>
      <c r="H142" s="49">
        <v>2692045</v>
      </c>
      <c r="I142" s="49">
        <v>13717</v>
      </c>
      <c r="J142" s="50">
        <v>2678328</v>
      </c>
      <c r="K142" t="s">
        <v>2615</v>
      </c>
      <c r="L142" s="4" t="s">
        <v>461</v>
      </c>
      <c r="M142" t="s">
        <v>351</v>
      </c>
      <c r="N142" s="2">
        <v>1024473687</v>
      </c>
      <c r="O142" t="s">
        <v>623</v>
      </c>
      <c r="P142" t="s">
        <v>316</v>
      </c>
      <c r="Q142" t="s">
        <v>317</v>
      </c>
      <c r="R142">
        <v>17475264495</v>
      </c>
      <c r="S142" t="s">
        <v>319</v>
      </c>
      <c r="T142">
        <v>890903938</v>
      </c>
      <c r="U142" t="s">
        <v>342</v>
      </c>
      <c r="V142">
        <v>923210</v>
      </c>
      <c r="W142" t="s">
        <v>56</v>
      </c>
      <c r="X142" s="2" t="s">
        <v>29</v>
      </c>
      <c r="Y142" t="s">
        <v>30</v>
      </c>
      <c r="Z142" t="s">
        <v>31</v>
      </c>
      <c r="AA142" t="s">
        <v>32</v>
      </c>
      <c r="AB142" t="s">
        <v>33</v>
      </c>
      <c r="AC142" s="51">
        <v>2692045</v>
      </c>
      <c r="AD142">
        <v>0</v>
      </c>
      <c r="AE142" s="4">
        <v>0</v>
      </c>
      <c r="AF142" s="4">
        <v>0</v>
      </c>
      <c r="AG142" t="s">
        <v>462</v>
      </c>
      <c r="AH142">
        <v>0</v>
      </c>
      <c r="AI142">
        <v>0</v>
      </c>
      <c r="AJ142" s="2" t="s">
        <v>463</v>
      </c>
      <c r="AK142" s="2">
        <v>0</v>
      </c>
      <c r="AL142">
        <v>0</v>
      </c>
      <c r="AM142">
        <v>0</v>
      </c>
      <c r="AN142">
        <v>0</v>
      </c>
      <c r="AO142">
        <v>0</v>
      </c>
      <c r="AP142">
        <v>1925</v>
      </c>
      <c r="AQ142">
        <v>1925</v>
      </c>
      <c r="AR142">
        <v>2525</v>
      </c>
      <c r="AS142">
        <v>0</v>
      </c>
      <c r="AT142">
        <v>0</v>
      </c>
      <c r="AU142">
        <v>14525</v>
      </c>
      <c r="AV142">
        <v>64541525</v>
      </c>
      <c r="AW142">
        <v>0</v>
      </c>
      <c r="AX142" s="5">
        <v>45686</v>
      </c>
      <c r="AY142" t="s">
        <v>362</v>
      </c>
      <c r="AZ142" t="s">
        <v>625</v>
      </c>
      <c r="BA142" t="s">
        <v>626</v>
      </c>
    </row>
    <row r="143" spans="1:53" ht="15" customHeight="1" x14ac:dyDescent="0.2">
      <c r="A143" t="s">
        <v>4986</v>
      </c>
      <c r="B143" t="s">
        <v>2238</v>
      </c>
      <c r="C143" t="s">
        <v>4859</v>
      </c>
      <c r="D143">
        <v>64541625</v>
      </c>
      <c r="E143" s="5">
        <v>45726</v>
      </c>
      <c r="F143" s="5">
        <v>45728.079861111109</v>
      </c>
      <c r="G143" s="4" t="s">
        <v>460</v>
      </c>
      <c r="H143" s="49">
        <v>5333238</v>
      </c>
      <c r="I143" s="49">
        <v>28351</v>
      </c>
      <c r="J143" s="50">
        <v>5304887</v>
      </c>
      <c r="K143" t="s">
        <v>2615</v>
      </c>
      <c r="L143" s="4" t="s">
        <v>461</v>
      </c>
      <c r="M143" t="s">
        <v>351</v>
      </c>
      <c r="N143" s="2">
        <v>1069745447</v>
      </c>
      <c r="O143" t="s">
        <v>628</v>
      </c>
      <c r="P143" t="s">
        <v>316</v>
      </c>
      <c r="Q143" t="s">
        <v>317</v>
      </c>
      <c r="R143">
        <v>406070120125</v>
      </c>
      <c r="S143" t="s">
        <v>319</v>
      </c>
      <c r="T143">
        <v>860034313</v>
      </c>
      <c r="U143" t="s">
        <v>355</v>
      </c>
      <c r="V143">
        <v>923210</v>
      </c>
      <c r="W143" t="s">
        <v>56</v>
      </c>
      <c r="X143" s="2" t="s">
        <v>29</v>
      </c>
      <c r="Y143" t="s">
        <v>30</v>
      </c>
      <c r="Z143" t="s">
        <v>31</v>
      </c>
      <c r="AA143" t="s">
        <v>32</v>
      </c>
      <c r="AB143" t="s">
        <v>33</v>
      </c>
      <c r="AC143" s="51">
        <v>5333238</v>
      </c>
      <c r="AD143">
        <v>0</v>
      </c>
      <c r="AE143" s="4">
        <v>0</v>
      </c>
      <c r="AF143" s="4">
        <v>0</v>
      </c>
      <c r="AG143" t="s">
        <v>462</v>
      </c>
      <c r="AH143">
        <v>0</v>
      </c>
      <c r="AI143">
        <v>0</v>
      </c>
      <c r="AJ143" s="2" t="s">
        <v>463</v>
      </c>
      <c r="AK143" s="2">
        <v>0</v>
      </c>
      <c r="AL143">
        <v>0</v>
      </c>
      <c r="AM143">
        <v>0</v>
      </c>
      <c r="AN143">
        <v>0</v>
      </c>
      <c r="AO143">
        <v>0</v>
      </c>
      <c r="AP143">
        <v>1925</v>
      </c>
      <c r="AQ143">
        <v>1925</v>
      </c>
      <c r="AR143">
        <v>2625</v>
      </c>
      <c r="AS143">
        <v>0</v>
      </c>
      <c r="AT143">
        <v>0</v>
      </c>
      <c r="AU143">
        <v>14625</v>
      </c>
      <c r="AV143">
        <v>64541625</v>
      </c>
      <c r="AW143">
        <v>0</v>
      </c>
      <c r="AX143" s="5">
        <v>45686</v>
      </c>
      <c r="AY143" t="s">
        <v>362</v>
      </c>
      <c r="AZ143" t="s">
        <v>630</v>
      </c>
      <c r="BA143" t="s">
        <v>631</v>
      </c>
    </row>
    <row r="144" spans="1:53" ht="15" customHeight="1" x14ac:dyDescent="0.2">
      <c r="A144" t="s">
        <v>4987</v>
      </c>
      <c r="B144" t="s">
        <v>2239</v>
      </c>
      <c r="C144" t="s">
        <v>4892</v>
      </c>
      <c r="D144">
        <v>64541725</v>
      </c>
      <c r="E144" s="5">
        <v>45726</v>
      </c>
      <c r="F144" s="5">
        <v>45728.095833333333</v>
      </c>
      <c r="G144" s="4" t="s">
        <v>460</v>
      </c>
      <c r="H144" s="49">
        <v>3219658</v>
      </c>
      <c r="I144" s="49">
        <v>16883</v>
      </c>
      <c r="J144" s="50">
        <v>3202775</v>
      </c>
      <c r="K144" t="s">
        <v>2615</v>
      </c>
      <c r="L144" s="4" t="s">
        <v>461</v>
      </c>
      <c r="M144" t="s">
        <v>351</v>
      </c>
      <c r="N144" s="2">
        <v>10261633</v>
      </c>
      <c r="O144" t="s">
        <v>641</v>
      </c>
      <c r="P144" t="s">
        <v>316</v>
      </c>
      <c r="Q144" t="s">
        <v>317</v>
      </c>
      <c r="R144">
        <v>24061350744</v>
      </c>
      <c r="S144" t="s">
        <v>319</v>
      </c>
      <c r="T144">
        <v>860007335</v>
      </c>
      <c r="U144" t="s">
        <v>381</v>
      </c>
      <c r="V144">
        <v>923211</v>
      </c>
      <c r="W144" t="s">
        <v>69</v>
      </c>
      <c r="X144" s="2" t="s">
        <v>29</v>
      </c>
      <c r="Y144" t="s">
        <v>30</v>
      </c>
      <c r="Z144" t="s">
        <v>31</v>
      </c>
      <c r="AA144" t="s">
        <v>32</v>
      </c>
      <c r="AB144" t="s">
        <v>33</v>
      </c>
      <c r="AC144" s="51">
        <v>3219658</v>
      </c>
      <c r="AD144">
        <v>0</v>
      </c>
      <c r="AE144" s="4">
        <v>0</v>
      </c>
      <c r="AF144" s="4">
        <v>0</v>
      </c>
      <c r="AG144" t="s">
        <v>462</v>
      </c>
      <c r="AH144">
        <v>0</v>
      </c>
      <c r="AI144">
        <v>0</v>
      </c>
      <c r="AJ144" s="2" t="s">
        <v>463</v>
      </c>
      <c r="AK144" s="2">
        <v>0</v>
      </c>
      <c r="AL144">
        <v>0</v>
      </c>
      <c r="AM144">
        <v>0</v>
      </c>
      <c r="AN144">
        <v>0</v>
      </c>
      <c r="AO144">
        <v>0</v>
      </c>
      <c r="AP144">
        <v>2125</v>
      </c>
      <c r="AQ144">
        <v>2125</v>
      </c>
      <c r="AR144">
        <v>2825</v>
      </c>
      <c r="AS144">
        <v>0</v>
      </c>
      <c r="AT144">
        <v>0</v>
      </c>
      <c r="AU144">
        <v>14725</v>
      </c>
      <c r="AV144">
        <v>64541725</v>
      </c>
      <c r="AW144">
        <v>0</v>
      </c>
      <c r="AX144" s="5">
        <v>45688</v>
      </c>
      <c r="AY144" t="s">
        <v>356</v>
      </c>
      <c r="AZ144" t="s">
        <v>643</v>
      </c>
      <c r="BA144" t="s">
        <v>644</v>
      </c>
    </row>
    <row r="145" spans="1:53" ht="15" customHeight="1" x14ac:dyDescent="0.2">
      <c r="A145" t="s">
        <v>4988</v>
      </c>
      <c r="B145" t="s">
        <v>2240</v>
      </c>
      <c r="C145" t="s">
        <v>4892</v>
      </c>
      <c r="D145">
        <v>64541825</v>
      </c>
      <c r="E145" s="5">
        <v>45726</v>
      </c>
      <c r="F145" s="5">
        <v>45728.088888888888</v>
      </c>
      <c r="G145" s="4" t="s">
        <v>460</v>
      </c>
      <c r="H145" s="49">
        <v>3219658</v>
      </c>
      <c r="I145" s="49">
        <v>16883</v>
      </c>
      <c r="J145" s="50">
        <v>3202775</v>
      </c>
      <c r="K145" t="s">
        <v>2615</v>
      </c>
      <c r="L145" s="4" t="s">
        <v>461</v>
      </c>
      <c r="M145" t="s">
        <v>351</v>
      </c>
      <c r="N145" s="2">
        <v>38254826</v>
      </c>
      <c r="O145" t="s">
        <v>646</v>
      </c>
      <c r="P145" t="s">
        <v>316</v>
      </c>
      <c r="Q145" t="s">
        <v>317</v>
      </c>
      <c r="R145">
        <v>65941737549</v>
      </c>
      <c r="S145" t="s">
        <v>319</v>
      </c>
      <c r="T145">
        <v>890903938</v>
      </c>
      <c r="U145" t="s">
        <v>342</v>
      </c>
      <c r="V145">
        <v>923211</v>
      </c>
      <c r="W145" t="s">
        <v>69</v>
      </c>
      <c r="X145" s="2" t="s">
        <v>29</v>
      </c>
      <c r="Y145" t="s">
        <v>30</v>
      </c>
      <c r="Z145" t="s">
        <v>31</v>
      </c>
      <c r="AA145" t="s">
        <v>32</v>
      </c>
      <c r="AB145" t="s">
        <v>33</v>
      </c>
      <c r="AC145" s="51">
        <v>3219658</v>
      </c>
      <c r="AD145">
        <v>0</v>
      </c>
      <c r="AE145" s="4">
        <v>0</v>
      </c>
      <c r="AF145" s="4">
        <v>0</v>
      </c>
      <c r="AG145" t="s">
        <v>462</v>
      </c>
      <c r="AH145">
        <v>0</v>
      </c>
      <c r="AI145">
        <v>0</v>
      </c>
      <c r="AJ145" s="2" t="s">
        <v>463</v>
      </c>
      <c r="AK145" s="2">
        <v>0</v>
      </c>
      <c r="AL145">
        <v>0</v>
      </c>
      <c r="AM145">
        <v>0</v>
      </c>
      <c r="AN145">
        <v>0</v>
      </c>
      <c r="AO145">
        <v>0</v>
      </c>
      <c r="AP145">
        <v>2125</v>
      </c>
      <c r="AQ145">
        <v>2125</v>
      </c>
      <c r="AR145">
        <v>2925</v>
      </c>
      <c r="AS145">
        <v>0</v>
      </c>
      <c r="AT145">
        <v>0</v>
      </c>
      <c r="AU145">
        <v>14825</v>
      </c>
      <c r="AV145">
        <v>64541825</v>
      </c>
      <c r="AW145">
        <v>0</v>
      </c>
      <c r="AX145" s="5">
        <v>45688</v>
      </c>
      <c r="AY145" t="s">
        <v>356</v>
      </c>
      <c r="AZ145" t="s">
        <v>648</v>
      </c>
      <c r="BA145" t="s">
        <v>644</v>
      </c>
    </row>
    <row r="146" spans="1:53" ht="15" customHeight="1" x14ac:dyDescent="0.2">
      <c r="A146" t="s">
        <v>4989</v>
      </c>
      <c r="B146" t="s">
        <v>2241</v>
      </c>
      <c r="C146" t="s">
        <v>4892</v>
      </c>
      <c r="D146">
        <v>64541925</v>
      </c>
      <c r="E146" s="5">
        <v>45726</v>
      </c>
      <c r="F146" s="5">
        <v>45728.09652777778</v>
      </c>
      <c r="G146" s="4" t="s">
        <v>460</v>
      </c>
      <c r="H146" s="49">
        <v>3219658</v>
      </c>
      <c r="I146" s="49">
        <v>16883</v>
      </c>
      <c r="J146" s="50">
        <v>3202775</v>
      </c>
      <c r="K146" t="s">
        <v>2615</v>
      </c>
      <c r="L146" s="4" t="s">
        <v>461</v>
      </c>
      <c r="M146" t="s">
        <v>351</v>
      </c>
      <c r="N146" s="2">
        <v>39545179</v>
      </c>
      <c r="O146" t="s">
        <v>650</v>
      </c>
      <c r="P146" t="s">
        <v>316</v>
      </c>
      <c r="Q146" t="s">
        <v>317</v>
      </c>
      <c r="R146">
        <v>185845968</v>
      </c>
      <c r="S146" t="s">
        <v>319</v>
      </c>
      <c r="T146">
        <v>860035827</v>
      </c>
      <c r="U146" t="s">
        <v>653</v>
      </c>
      <c r="V146">
        <v>923211</v>
      </c>
      <c r="W146" t="s">
        <v>69</v>
      </c>
      <c r="X146" s="2" t="s">
        <v>29</v>
      </c>
      <c r="Y146" t="s">
        <v>30</v>
      </c>
      <c r="Z146" t="s">
        <v>31</v>
      </c>
      <c r="AA146" t="s">
        <v>32</v>
      </c>
      <c r="AB146" t="s">
        <v>33</v>
      </c>
      <c r="AC146" s="51">
        <v>3219658</v>
      </c>
      <c r="AD146">
        <v>0</v>
      </c>
      <c r="AE146" s="4">
        <v>0</v>
      </c>
      <c r="AF146" s="4">
        <v>0</v>
      </c>
      <c r="AG146" t="s">
        <v>462</v>
      </c>
      <c r="AH146">
        <v>0</v>
      </c>
      <c r="AI146">
        <v>0</v>
      </c>
      <c r="AJ146" s="2" t="s">
        <v>463</v>
      </c>
      <c r="AK146" s="2">
        <v>0</v>
      </c>
      <c r="AL146">
        <v>0</v>
      </c>
      <c r="AM146">
        <v>0</v>
      </c>
      <c r="AN146">
        <v>0</v>
      </c>
      <c r="AO146">
        <v>0</v>
      </c>
      <c r="AP146">
        <v>2125</v>
      </c>
      <c r="AQ146">
        <v>2125</v>
      </c>
      <c r="AR146">
        <v>3025</v>
      </c>
      <c r="AS146">
        <v>0</v>
      </c>
      <c r="AT146">
        <v>0</v>
      </c>
      <c r="AU146">
        <v>14925</v>
      </c>
      <c r="AV146">
        <v>64541925</v>
      </c>
      <c r="AW146">
        <v>0</v>
      </c>
      <c r="AX146" s="5">
        <v>45688</v>
      </c>
      <c r="AY146" t="s">
        <v>356</v>
      </c>
      <c r="AZ146" t="s">
        <v>654</v>
      </c>
      <c r="BA146" t="s">
        <v>655</v>
      </c>
    </row>
    <row r="147" spans="1:53" ht="15" customHeight="1" x14ac:dyDescent="0.2">
      <c r="A147" t="s">
        <v>4990</v>
      </c>
      <c r="B147" t="s">
        <v>2242</v>
      </c>
      <c r="C147" t="s">
        <v>4892</v>
      </c>
      <c r="D147">
        <v>64542025</v>
      </c>
      <c r="E147" s="5">
        <v>45726</v>
      </c>
      <c r="F147" s="5">
        <v>45728.082638888889</v>
      </c>
      <c r="G147" s="4" t="s">
        <v>460</v>
      </c>
      <c r="H147" s="49">
        <v>3219658</v>
      </c>
      <c r="I147" s="49">
        <v>16883</v>
      </c>
      <c r="J147" s="50">
        <v>3202775</v>
      </c>
      <c r="K147" t="s">
        <v>2615</v>
      </c>
      <c r="L147" s="4" t="s">
        <v>461</v>
      </c>
      <c r="M147" t="s">
        <v>351</v>
      </c>
      <c r="N147" s="2">
        <v>93127405</v>
      </c>
      <c r="O147" t="s">
        <v>657</v>
      </c>
      <c r="P147" t="s">
        <v>316</v>
      </c>
      <c r="Q147" t="s">
        <v>317</v>
      </c>
      <c r="R147">
        <v>402300056981</v>
      </c>
      <c r="S147" t="s">
        <v>319</v>
      </c>
      <c r="T147">
        <v>800037800</v>
      </c>
      <c r="U147" t="s">
        <v>660</v>
      </c>
      <c r="V147">
        <v>923211</v>
      </c>
      <c r="W147" t="s">
        <v>69</v>
      </c>
      <c r="X147" s="2" t="s">
        <v>29</v>
      </c>
      <c r="Y147" t="s">
        <v>30</v>
      </c>
      <c r="Z147" t="s">
        <v>31</v>
      </c>
      <c r="AA147" t="s">
        <v>32</v>
      </c>
      <c r="AB147" t="s">
        <v>33</v>
      </c>
      <c r="AC147" s="51">
        <v>3219658</v>
      </c>
      <c r="AD147">
        <v>0</v>
      </c>
      <c r="AE147" s="4">
        <v>0</v>
      </c>
      <c r="AF147" s="4">
        <v>0</v>
      </c>
      <c r="AG147" t="s">
        <v>462</v>
      </c>
      <c r="AH147">
        <v>0</v>
      </c>
      <c r="AI147">
        <v>0</v>
      </c>
      <c r="AJ147" s="2" t="s">
        <v>463</v>
      </c>
      <c r="AK147" s="2">
        <v>0</v>
      </c>
      <c r="AL147">
        <v>0</v>
      </c>
      <c r="AM147">
        <v>0</v>
      </c>
      <c r="AN147">
        <v>0</v>
      </c>
      <c r="AO147">
        <v>0</v>
      </c>
      <c r="AP147">
        <v>2125</v>
      </c>
      <c r="AQ147">
        <v>2125</v>
      </c>
      <c r="AR147">
        <v>3125</v>
      </c>
      <c r="AS147">
        <v>0</v>
      </c>
      <c r="AT147">
        <v>0</v>
      </c>
      <c r="AU147">
        <v>15025</v>
      </c>
      <c r="AV147">
        <v>64542025</v>
      </c>
      <c r="AW147">
        <v>0</v>
      </c>
      <c r="AX147" s="5">
        <v>45688</v>
      </c>
      <c r="AY147" t="s">
        <v>356</v>
      </c>
      <c r="AZ147" t="s">
        <v>661</v>
      </c>
      <c r="BA147" t="s">
        <v>644</v>
      </c>
    </row>
    <row r="148" spans="1:53" ht="15" customHeight="1" x14ac:dyDescent="0.2">
      <c r="A148" t="s">
        <v>4991</v>
      </c>
      <c r="B148" t="s">
        <v>2243</v>
      </c>
      <c r="C148" t="s">
        <v>4892</v>
      </c>
      <c r="D148">
        <v>64542125</v>
      </c>
      <c r="E148" s="5">
        <v>45726</v>
      </c>
      <c r="F148" s="5">
        <v>45728.088888888888</v>
      </c>
      <c r="G148" s="4" t="s">
        <v>460</v>
      </c>
      <c r="H148" s="49">
        <v>3219658</v>
      </c>
      <c r="I148" s="49">
        <v>16883</v>
      </c>
      <c r="J148" s="50">
        <v>3202775</v>
      </c>
      <c r="K148" t="s">
        <v>2615</v>
      </c>
      <c r="L148" s="4" t="s">
        <v>461</v>
      </c>
      <c r="M148" t="s">
        <v>351</v>
      </c>
      <c r="N148" s="2">
        <v>18224037</v>
      </c>
      <c r="O148" t="s">
        <v>663</v>
      </c>
      <c r="P148" t="s">
        <v>316</v>
      </c>
      <c r="Q148" t="s">
        <v>317</v>
      </c>
      <c r="R148">
        <v>82869397829</v>
      </c>
      <c r="S148" t="s">
        <v>319</v>
      </c>
      <c r="T148">
        <v>890903938</v>
      </c>
      <c r="U148" t="s">
        <v>342</v>
      </c>
      <c r="V148">
        <v>923211</v>
      </c>
      <c r="W148" t="s">
        <v>69</v>
      </c>
      <c r="X148" s="2" t="s">
        <v>29</v>
      </c>
      <c r="Y148" t="s">
        <v>30</v>
      </c>
      <c r="Z148" t="s">
        <v>31</v>
      </c>
      <c r="AA148" t="s">
        <v>32</v>
      </c>
      <c r="AB148" t="s">
        <v>33</v>
      </c>
      <c r="AC148" s="51">
        <v>3219658</v>
      </c>
      <c r="AD148">
        <v>0</v>
      </c>
      <c r="AE148" s="4">
        <v>0</v>
      </c>
      <c r="AF148" s="4">
        <v>0</v>
      </c>
      <c r="AG148" t="s">
        <v>462</v>
      </c>
      <c r="AH148">
        <v>0</v>
      </c>
      <c r="AI148">
        <v>0</v>
      </c>
      <c r="AJ148" s="2" t="s">
        <v>463</v>
      </c>
      <c r="AK148" s="2">
        <v>0</v>
      </c>
      <c r="AL148">
        <v>0</v>
      </c>
      <c r="AM148">
        <v>0</v>
      </c>
      <c r="AN148">
        <v>0</v>
      </c>
      <c r="AO148">
        <v>0</v>
      </c>
      <c r="AP148">
        <v>2125</v>
      </c>
      <c r="AQ148">
        <v>2125</v>
      </c>
      <c r="AR148">
        <v>3225</v>
      </c>
      <c r="AS148">
        <v>0</v>
      </c>
      <c r="AT148">
        <v>0</v>
      </c>
      <c r="AU148">
        <v>15125</v>
      </c>
      <c r="AV148">
        <v>64542125</v>
      </c>
      <c r="AW148">
        <v>0</v>
      </c>
      <c r="AX148" s="5">
        <v>45688</v>
      </c>
      <c r="AY148" t="s">
        <v>356</v>
      </c>
      <c r="AZ148" t="s">
        <v>665</v>
      </c>
      <c r="BA148" t="s">
        <v>644</v>
      </c>
    </row>
    <row r="149" spans="1:53" ht="15" customHeight="1" x14ac:dyDescent="0.2">
      <c r="A149" t="s">
        <v>4992</v>
      </c>
      <c r="B149" t="s">
        <v>2244</v>
      </c>
      <c r="C149" t="s">
        <v>4892</v>
      </c>
      <c r="D149">
        <v>64542225</v>
      </c>
      <c r="E149" s="5">
        <v>45726</v>
      </c>
      <c r="F149" s="5">
        <v>45728.099305555559</v>
      </c>
      <c r="G149" s="4" t="s">
        <v>460</v>
      </c>
      <c r="H149" s="49">
        <v>3219658</v>
      </c>
      <c r="I149" s="49">
        <v>18101</v>
      </c>
      <c r="J149" s="50">
        <v>3201557</v>
      </c>
      <c r="K149" t="s">
        <v>2615</v>
      </c>
      <c r="L149" s="4" t="s">
        <v>461</v>
      </c>
      <c r="M149" t="s">
        <v>351</v>
      </c>
      <c r="N149" s="2">
        <v>71310631</v>
      </c>
      <c r="O149" t="s">
        <v>667</v>
      </c>
      <c r="P149" t="s">
        <v>316</v>
      </c>
      <c r="Q149" t="s">
        <v>317</v>
      </c>
      <c r="R149">
        <v>1470048743</v>
      </c>
      <c r="S149" t="s">
        <v>319</v>
      </c>
      <c r="T149">
        <v>860034313</v>
      </c>
      <c r="U149" t="s">
        <v>355</v>
      </c>
      <c r="V149">
        <v>923211</v>
      </c>
      <c r="W149" t="s">
        <v>69</v>
      </c>
      <c r="X149" s="2" t="s">
        <v>29</v>
      </c>
      <c r="Y149" t="s">
        <v>30</v>
      </c>
      <c r="Z149" t="s">
        <v>31</v>
      </c>
      <c r="AA149" t="s">
        <v>32</v>
      </c>
      <c r="AB149" t="s">
        <v>33</v>
      </c>
      <c r="AC149" s="51">
        <v>3219658</v>
      </c>
      <c r="AD149">
        <v>0</v>
      </c>
      <c r="AE149" s="4">
        <v>0</v>
      </c>
      <c r="AF149" s="4">
        <v>0</v>
      </c>
      <c r="AG149" t="s">
        <v>462</v>
      </c>
      <c r="AH149">
        <v>0</v>
      </c>
      <c r="AI149">
        <v>0</v>
      </c>
      <c r="AJ149" s="2" t="s">
        <v>463</v>
      </c>
      <c r="AK149" s="2">
        <v>0</v>
      </c>
      <c r="AL149">
        <v>0</v>
      </c>
      <c r="AM149">
        <v>0</v>
      </c>
      <c r="AN149">
        <v>0</v>
      </c>
      <c r="AO149">
        <v>0</v>
      </c>
      <c r="AP149">
        <v>2125</v>
      </c>
      <c r="AQ149">
        <v>2125</v>
      </c>
      <c r="AR149">
        <v>3325</v>
      </c>
      <c r="AS149">
        <v>0</v>
      </c>
      <c r="AT149">
        <v>0</v>
      </c>
      <c r="AU149">
        <v>15225</v>
      </c>
      <c r="AV149">
        <v>64542225</v>
      </c>
      <c r="AW149">
        <v>0</v>
      </c>
      <c r="AX149" s="5">
        <v>45688</v>
      </c>
      <c r="AY149" t="s">
        <v>356</v>
      </c>
      <c r="AZ149" t="s">
        <v>669</v>
      </c>
      <c r="BA149" t="s">
        <v>644</v>
      </c>
    </row>
    <row r="150" spans="1:53" ht="15" customHeight="1" x14ac:dyDescent="0.2">
      <c r="A150" t="s">
        <v>4993</v>
      </c>
      <c r="B150" t="s">
        <v>2245</v>
      </c>
      <c r="C150" t="s">
        <v>4892</v>
      </c>
      <c r="D150">
        <v>64542325</v>
      </c>
      <c r="E150" s="5">
        <v>45726</v>
      </c>
      <c r="F150" s="5">
        <v>45728.067361111112</v>
      </c>
      <c r="G150" s="4" t="s">
        <v>460</v>
      </c>
      <c r="H150" s="49">
        <v>4671695</v>
      </c>
      <c r="I150" s="49">
        <v>24835</v>
      </c>
      <c r="J150" s="50">
        <v>4646860</v>
      </c>
      <c r="K150" t="s">
        <v>2615</v>
      </c>
      <c r="L150" s="4" t="s">
        <v>461</v>
      </c>
      <c r="M150" t="s">
        <v>351</v>
      </c>
      <c r="N150" s="2">
        <v>11223758</v>
      </c>
      <c r="O150" t="s">
        <v>671</v>
      </c>
      <c r="P150" t="s">
        <v>316</v>
      </c>
      <c r="Q150" t="s">
        <v>317</v>
      </c>
      <c r="R150">
        <v>26470274475</v>
      </c>
      <c r="S150" t="s">
        <v>319</v>
      </c>
      <c r="T150">
        <v>890903938</v>
      </c>
      <c r="U150" t="s">
        <v>342</v>
      </c>
      <c r="V150">
        <v>923211</v>
      </c>
      <c r="W150" t="s">
        <v>69</v>
      </c>
      <c r="X150" s="2" t="s">
        <v>29</v>
      </c>
      <c r="Y150" t="s">
        <v>30</v>
      </c>
      <c r="Z150" t="s">
        <v>31</v>
      </c>
      <c r="AA150" t="s">
        <v>32</v>
      </c>
      <c r="AB150" t="s">
        <v>33</v>
      </c>
      <c r="AC150" s="51">
        <v>4671695</v>
      </c>
      <c r="AD150">
        <v>0</v>
      </c>
      <c r="AE150" s="4">
        <v>0</v>
      </c>
      <c r="AF150" s="4">
        <v>0</v>
      </c>
      <c r="AG150" t="s">
        <v>462</v>
      </c>
      <c r="AH150">
        <v>0</v>
      </c>
      <c r="AI150">
        <v>0</v>
      </c>
      <c r="AJ150" s="2" t="s">
        <v>463</v>
      </c>
      <c r="AK150" s="2">
        <v>0</v>
      </c>
      <c r="AL150">
        <v>0</v>
      </c>
      <c r="AM150">
        <v>0</v>
      </c>
      <c r="AN150">
        <v>0</v>
      </c>
      <c r="AO150">
        <v>0</v>
      </c>
      <c r="AP150">
        <v>1125</v>
      </c>
      <c r="AQ150">
        <v>1025</v>
      </c>
      <c r="AR150">
        <v>3425</v>
      </c>
      <c r="AS150">
        <v>0</v>
      </c>
      <c r="AT150">
        <v>0</v>
      </c>
      <c r="AU150">
        <v>15325</v>
      </c>
      <c r="AV150">
        <v>64542325</v>
      </c>
      <c r="AW150">
        <v>0</v>
      </c>
      <c r="AX150" s="5">
        <v>45688</v>
      </c>
      <c r="AY150" t="s">
        <v>356</v>
      </c>
      <c r="AZ150" t="s">
        <v>673</v>
      </c>
      <c r="BA150" t="s">
        <v>674</v>
      </c>
    </row>
    <row r="151" spans="1:53" ht="15" customHeight="1" x14ac:dyDescent="0.2">
      <c r="A151" t="s">
        <v>4994</v>
      </c>
      <c r="B151" t="s">
        <v>2247</v>
      </c>
      <c r="C151" t="s">
        <v>4867</v>
      </c>
      <c r="D151">
        <v>64542425</v>
      </c>
      <c r="E151" s="5">
        <v>45726</v>
      </c>
      <c r="F151" s="5">
        <v>45728.095833333333</v>
      </c>
      <c r="G151" s="4" t="s">
        <v>460</v>
      </c>
      <c r="H151" s="49">
        <v>3040000</v>
      </c>
      <c r="I151" s="49">
        <v>15805</v>
      </c>
      <c r="J151" s="50">
        <v>3024195</v>
      </c>
      <c r="K151" t="s">
        <v>2615</v>
      </c>
      <c r="L151" s="4" t="s">
        <v>461</v>
      </c>
      <c r="M151" t="s">
        <v>351</v>
      </c>
      <c r="N151" s="2">
        <v>1010030940</v>
      </c>
      <c r="O151" t="s">
        <v>680</v>
      </c>
      <c r="P151" t="s">
        <v>316</v>
      </c>
      <c r="Q151" t="s">
        <v>317</v>
      </c>
      <c r="R151">
        <v>24103513463</v>
      </c>
      <c r="S151" t="s">
        <v>319</v>
      </c>
      <c r="T151">
        <v>860007335</v>
      </c>
      <c r="U151" t="s">
        <v>381</v>
      </c>
      <c r="V151">
        <v>923290</v>
      </c>
      <c r="W151" t="s">
        <v>208</v>
      </c>
      <c r="X151" s="2" t="s">
        <v>29</v>
      </c>
      <c r="Y151" t="s">
        <v>30</v>
      </c>
      <c r="Z151" t="s">
        <v>31</v>
      </c>
      <c r="AA151" t="s">
        <v>32</v>
      </c>
      <c r="AB151" t="s">
        <v>33</v>
      </c>
      <c r="AC151" s="51">
        <v>3040000</v>
      </c>
      <c r="AD151">
        <v>0</v>
      </c>
      <c r="AE151" s="4">
        <v>0</v>
      </c>
      <c r="AF151" s="4">
        <v>0</v>
      </c>
      <c r="AG151" t="s">
        <v>462</v>
      </c>
      <c r="AH151">
        <v>0</v>
      </c>
      <c r="AI151">
        <v>0</v>
      </c>
      <c r="AJ151" s="2" t="s">
        <v>463</v>
      </c>
      <c r="AK151" s="2">
        <v>0</v>
      </c>
      <c r="AL151">
        <v>0</v>
      </c>
      <c r="AM151">
        <v>0</v>
      </c>
      <c r="AN151">
        <v>0</v>
      </c>
      <c r="AO151">
        <v>0</v>
      </c>
      <c r="AP151">
        <v>5025</v>
      </c>
      <c r="AQ151">
        <v>5025</v>
      </c>
      <c r="AR151">
        <v>3625</v>
      </c>
      <c r="AS151">
        <v>0</v>
      </c>
      <c r="AT151">
        <v>0</v>
      </c>
      <c r="AU151">
        <v>15525</v>
      </c>
      <c r="AV151">
        <v>64542425</v>
      </c>
      <c r="AW151">
        <v>0</v>
      </c>
      <c r="AX151" s="5">
        <v>45688</v>
      </c>
      <c r="AY151" t="s">
        <v>362</v>
      </c>
      <c r="AZ151" t="s">
        <v>682</v>
      </c>
      <c r="BA151" t="s">
        <v>683</v>
      </c>
    </row>
    <row r="152" spans="1:53" ht="15" customHeight="1" x14ac:dyDescent="0.2">
      <c r="A152" t="s">
        <v>4995</v>
      </c>
      <c r="B152" t="s">
        <v>2248</v>
      </c>
      <c r="C152" t="s">
        <v>4859</v>
      </c>
      <c r="D152">
        <v>64542525</v>
      </c>
      <c r="E152" s="5">
        <v>45726</v>
      </c>
      <c r="F152" s="5">
        <v>45728.095138888886</v>
      </c>
      <c r="G152" s="4" t="s">
        <v>460</v>
      </c>
      <c r="H152" s="49">
        <v>1923999</v>
      </c>
      <c r="I152" s="49">
        <v>9109</v>
      </c>
      <c r="J152" s="50">
        <v>1914890</v>
      </c>
      <c r="K152" t="s">
        <v>2615</v>
      </c>
      <c r="L152" s="4" t="s">
        <v>461</v>
      </c>
      <c r="M152" t="s">
        <v>351</v>
      </c>
      <c r="N152" s="2">
        <v>1073720676</v>
      </c>
      <c r="O152" t="s">
        <v>685</v>
      </c>
      <c r="P152" t="s">
        <v>316</v>
      </c>
      <c r="Q152" t="s">
        <v>317</v>
      </c>
      <c r="R152">
        <v>24132750549</v>
      </c>
      <c r="S152" t="s">
        <v>319</v>
      </c>
      <c r="T152">
        <v>860007335</v>
      </c>
      <c r="U152" t="s">
        <v>381</v>
      </c>
      <c r="V152">
        <v>923210</v>
      </c>
      <c r="W152" t="s">
        <v>56</v>
      </c>
      <c r="X152" s="2" t="s">
        <v>29</v>
      </c>
      <c r="Y152" t="s">
        <v>30</v>
      </c>
      <c r="Z152" t="s">
        <v>31</v>
      </c>
      <c r="AA152" t="s">
        <v>32</v>
      </c>
      <c r="AB152" t="s">
        <v>33</v>
      </c>
      <c r="AC152" s="51">
        <v>1923999</v>
      </c>
      <c r="AD152">
        <v>0</v>
      </c>
      <c r="AE152" s="4">
        <v>0</v>
      </c>
      <c r="AF152" s="4">
        <v>0</v>
      </c>
      <c r="AG152" t="s">
        <v>462</v>
      </c>
      <c r="AH152">
        <v>0</v>
      </c>
      <c r="AI152">
        <v>0</v>
      </c>
      <c r="AJ152" s="2" t="s">
        <v>463</v>
      </c>
      <c r="AK152" s="2">
        <v>0</v>
      </c>
      <c r="AL152">
        <v>0</v>
      </c>
      <c r="AM152">
        <v>0</v>
      </c>
      <c r="AN152">
        <v>0</v>
      </c>
      <c r="AO152">
        <v>0</v>
      </c>
      <c r="AP152">
        <v>1925</v>
      </c>
      <c r="AQ152">
        <v>1925</v>
      </c>
      <c r="AR152">
        <v>3725</v>
      </c>
      <c r="AS152">
        <v>0</v>
      </c>
      <c r="AT152">
        <v>0</v>
      </c>
      <c r="AU152">
        <v>15625</v>
      </c>
      <c r="AV152">
        <v>64542525</v>
      </c>
      <c r="AW152">
        <v>0</v>
      </c>
      <c r="AX152" s="5">
        <v>45688</v>
      </c>
      <c r="AY152" t="s">
        <v>362</v>
      </c>
      <c r="AZ152" t="s">
        <v>687</v>
      </c>
      <c r="BA152" t="s">
        <v>688</v>
      </c>
    </row>
    <row r="153" spans="1:53" ht="15" customHeight="1" x14ac:dyDescent="0.2">
      <c r="A153" t="s">
        <v>4996</v>
      </c>
      <c r="B153" t="s">
        <v>2249</v>
      </c>
      <c r="C153" t="s">
        <v>4859</v>
      </c>
      <c r="D153">
        <v>64542625</v>
      </c>
      <c r="E153" s="5">
        <v>45726</v>
      </c>
      <c r="F153" s="5">
        <v>45728.084722222222</v>
      </c>
      <c r="G153" s="4" t="s">
        <v>460</v>
      </c>
      <c r="H153" s="49">
        <v>2050000</v>
      </c>
      <c r="I153" s="49">
        <v>9865</v>
      </c>
      <c r="J153" s="50">
        <v>2040135</v>
      </c>
      <c r="K153" t="s">
        <v>2615</v>
      </c>
      <c r="L153" s="4" t="s">
        <v>461</v>
      </c>
      <c r="M153" t="s">
        <v>351</v>
      </c>
      <c r="N153" s="2">
        <v>1073713412</v>
      </c>
      <c r="O153" t="s">
        <v>690</v>
      </c>
      <c r="P153" t="s">
        <v>316</v>
      </c>
      <c r="Q153" t="s">
        <v>317</v>
      </c>
      <c r="R153">
        <v>52528682073</v>
      </c>
      <c r="S153" t="s">
        <v>319</v>
      </c>
      <c r="T153">
        <v>890903938</v>
      </c>
      <c r="U153" t="s">
        <v>342</v>
      </c>
      <c r="V153">
        <v>923210</v>
      </c>
      <c r="W153" t="s">
        <v>56</v>
      </c>
      <c r="X153" s="2" t="s">
        <v>29</v>
      </c>
      <c r="Y153" t="s">
        <v>30</v>
      </c>
      <c r="Z153" t="s">
        <v>31</v>
      </c>
      <c r="AA153" t="s">
        <v>32</v>
      </c>
      <c r="AB153" t="s">
        <v>33</v>
      </c>
      <c r="AC153" s="51">
        <v>2050000</v>
      </c>
      <c r="AD153">
        <v>0</v>
      </c>
      <c r="AE153" s="4">
        <v>0</v>
      </c>
      <c r="AF153" s="4">
        <v>0</v>
      </c>
      <c r="AG153" t="s">
        <v>462</v>
      </c>
      <c r="AH153">
        <v>0</v>
      </c>
      <c r="AI153">
        <v>0</v>
      </c>
      <c r="AJ153" s="2" t="s">
        <v>463</v>
      </c>
      <c r="AK153" s="2">
        <v>0</v>
      </c>
      <c r="AL153">
        <v>0</v>
      </c>
      <c r="AM153">
        <v>0</v>
      </c>
      <c r="AN153">
        <v>0</v>
      </c>
      <c r="AO153">
        <v>0</v>
      </c>
      <c r="AP153">
        <v>1925</v>
      </c>
      <c r="AQ153">
        <v>1925</v>
      </c>
      <c r="AR153">
        <v>3825</v>
      </c>
      <c r="AS153">
        <v>0</v>
      </c>
      <c r="AT153">
        <v>0</v>
      </c>
      <c r="AU153">
        <v>15725</v>
      </c>
      <c r="AV153">
        <v>64542625</v>
      </c>
      <c r="AW153">
        <v>0</v>
      </c>
      <c r="AX153" s="5">
        <v>45688</v>
      </c>
      <c r="AY153" t="s">
        <v>362</v>
      </c>
      <c r="AZ153" t="s">
        <v>692</v>
      </c>
      <c r="BA153" t="s">
        <v>693</v>
      </c>
    </row>
    <row r="154" spans="1:53" ht="15" customHeight="1" x14ac:dyDescent="0.2">
      <c r="A154" t="s">
        <v>4997</v>
      </c>
      <c r="B154" t="s">
        <v>2250</v>
      </c>
      <c r="C154" t="s">
        <v>4859</v>
      </c>
      <c r="D154">
        <v>64542725</v>
      </c>
      <c r="E154" s="5">
        <v>45726</v>
      </c>
      <c r="F154" s="5">
        <v>45728.083333333336</v>
      </c>
      <c r="G154" s="4" t="s">
        <v>460</v>
      </c>
      <c r="H154" s="49">
        <v>2369000</v>
      </c>
      <c r="I154" s="49">
        <v>11779</v>
      </c>
      <c r="J154" s="50">
        <v>2357221</v>
      </c>
      <c r="K154" t="s">
        <v>2615</v>
      </c>
      <c r="L154" s="4" t="s">
        <v>461</v>
      </c>
      <c r="M154" t="s">
        <v>351</v>
      </c>
      <c r="N154" s="2">
        <v>80728407</v>
      </c>
      <c r="O154" t="s">
        <v>695</v>
      </c>
      <c r="P154" t="s">
        <v>316</v>
      </c>
      <c r="Q154" t="s">
        <v>317</v>
      </c>
      <c r="R154">
        <v>123063455</v>
      </c>
      <c r="S154" t="s">
        <v>319</v>
      </c>
      <c r="T154">
        <v>860002964</v>
      </c>
      <c r="U154" t="s">
        <v>419</v>
      </c>
      <c r="V154">
        <v>923210</v>
      </c>
      <c r="W154" t="s">
        <v>56</v>
      </c>
      <c r="X154" s="2" t="s">
        <v>29</v>
      </c>
      <c r="Y154" t="s">
        <v>30</v>
      </c>
      <c r="Z154" t="s">
        <v>31</v>
      </c>
      <c r="AA154" t="s">
        <v>32</v>
      </c>
      <c r="AB154" t="s">
        <v>33</v>
      </c>
      <c r="AC154" s="51">
        <v>2369000</v>
      </c>
      <c r="AD154">
        <v>0</v>
      </c>
      <c r="AE154" s="4">
        <v>0</v>
      </c>
      <c r="AF154" s="4">
        <v>0</v>
      </c>
      <c r="AG154" t="s">
        <v>462</v>
      </c>
      <c r="AH154">
        <v>0</v>
      </c>
      <c r="AI154">
        <v>0</v>
      </c>
      <c r="AJ154" s="2" t="s">
        <v>463</v>
      </c>
      <c r="AK154" s="2">
        <v>0</v>
      </c>
      <c r="AL154">
        <v>0</v>
      </c>
      <c r="AM154">
        <v>0</v>
      </c>
      <c r="AN154">
        <v>0</v>
      </c>
      <c r="AO154">
        <v>0</v>
      </c>
      <c r="AP154">
        <v>1925</v>
      </c>
      <c r="AQ154">
        <v>1925</v>
      </c>
      <c r="AR154">
        <v>3925</v>
      </c>
      <c r="AS154">
        <v>0</v>
      </c>
      <c r="AT154">
        <v>0</v>
      </c>
      <c r="AU154">
        <v>15825</v>
      </c>
      <c r="AV154">
        <v>64542725</v>
      </c>
      <c r="AW154">
        <v>0</v>
      </c>
      <c r="AX154" s="5">
        <v>45688</v>
      </c>
      <c r="AY154" t="s">
        <v>362</v>
      </c>
      <c r="AZ154" t="s">
        <v>697</v>
      </c>
      <c r="BA154" t="s">
        <v>698</v>
      </c>
    </row>
    <row r="155" spans="1:53" ht="15" customHeight="1" x14ac:dyDescent="0.2">
      <c r="A155" t="s">
        <v>4998</v>
      </c>
      <c r="B155" t="s">
        <v>2251</v>
      </c>
      <c r="C155" t="s">
        <v>4890</v>
      </c>
      <c r="D155">
        <v>64542825</v>
      </c>
      <c r="E155" s="5">
        <v>45726</v>
      </c>
      <c r="F155" s="5">
        <v>45728.087500000001</v>
      </c>
      <c r="G155" s="4" t="s">
        <v>460</v>
      </c>
      <c r="H155" s="49">
        <v>2680000</v>
      </c>
      <c r="I155" s="49">
        <v>14213</v>
      </c>
      <c r="J155" s="50">
        <v>2665787</v>
      </c>
      <c r="K155" t="s">
        <v>2615</v>
      </c>
      <c r="L155" s="4" t="s">
        <v>461</v>
      </c>
      <c r="M155" t="s">
        <v>351</v>
      </c>
      <c r="N155" s="2">
        <v>1023364186</v>
      </c>
      <c r="O155" t="s">
        <v>701</v>
      </c>
      <c r="P155" t="s">
        <v>316</v>
      </c>
      <c r="Q155" t="s">
        <v>317</v>
      </c>
      <c r="R155">
        <v>22147154244</v>
      </c>
      <c r="S155" t="s">
        <v>319</v>
      </c>
      <c r="T155">
        <v>890903938</v>
      </c>
      <c r="U155" t="s">
        <v>342</v>
      </c>
      <c r="V155">
        <v>923228</v>
      </c>
      <c r="W155" t="s">
        <v>158</v>
      </c>
      <c r="X155" s="2" t="s">
        <v>159</v>
      </c>
      <c r="Y155" t="s">
        <v>160</v>
      </c>
      <c r="Z155" t="s">
        <v>31</v>
      </c>
      <c r="AA155" t="s">
        <v>32</v>
      </c>
      <c r="AB155" t="s">
        <v>33</v>
      </c>
      <c r="AC155" s="51">
        <v>2680000</v>
      </c>
      <c r="AD155">
        <v>0</v>
      </c>
      <c r="AE155" s="4">
        <v>0</v>
      </c>
      <c r="AF155" s="4">
        <v>0</v>
      </c>
      <c r="AG155" t="s">
        <v>462</v>
      </c>
      <c r="AH155">
        <v>0</v>
      </c>
      <c r="AI155">
        <v>0</v>
      </c>
      <c r="AJ155" s="2" t="s">
        <v>463</v>
      </c>
      <c r="AK155" s="2">
        <v>0</v>
      </c>
      <c r="AL155">
        <v>0</v>
      </c>
      <c r="AM155">
        <v>0</v>
      </c>
      <c r="AN155">
        <v>0</v>
      </c>
      <c r="AO155">
        <v>0</v>
      </c>
      <c r="AP155">
        <v>3525</v>
      </c>
      <c r="AQ155">
        <v>3525</v>
      </c>
      <c r="AR155">
        <v>4025</v>
      </c>
      <c r="AS155">
        <v>0</v>
      </c>
      <c r="AT155">
        <v>0</v>
      </c>
      <c r="AU155">
        <v>15925</v>
      </c>
      <c r="AV155">
        <v>64542825</v>
      </c>
      <c r="AW155">
        <v>0</v>
      </c>
      <c r="AX155" s="5">
        <v>45689</v>
      </c>
      <c r="AY155" t="s">
        <v>362</v>
      </c>
      <c r="AZ155" t="s">
        <v>703</v>
      </c>
      <c r="BA155" t="s">
        <v>704</v>
      </c>
    </row>
    <row r="156" spans="1:53" ht="15" customHeight="1" x14ac:dyDescent="0.2">
      <c r="A156" t="s">
        <v>4999</v>
      </c>
      <c r="B156" t="s">
        <v>2252</v>
      </c>
      <c r="C156" t="s">
        <v>5000</v>
      </c>
      <c r="D156">
        <v>64542925</v>
      </c>
      <c r="E156" s="5">
        <v>45726</v>
      </c>
      <c r="F156" s="5">
        <v>45728.1</v>
      </c>
      <c r="G156" s="4" t="s">
        <v>460</v>
      </c>
      <c r="H156" s="49">
        <v>2575000</v>
      </c>
      <c r="I156" s="49">
        <v>13015</v>
      </c>
      <c r="J156" s="50">
        <v>2561985</v>
      </c>
      <c r="K156" t="s">
        <v>2615</v>
      </c>
      <c r="L156" s="4" t="s">
        <v>461</v>
      </c>
      <c r="M156" t="s">
        <v>351</v>
      </c>
      <c r="N156" s="2">
        <v>79295238</v>
      </c>
      <c r="O156" t="s">
        <v>706</v>
      </c>
      <c r="P156" t="s">
        <v>316</v>
      </c>
      <c r="Q156" t="s">
        <v>317</v>
      </c>
      <c r="R156">
        <v>111050129696</v>
      </c>
      <c r="S156" t="s">
        <v>319</v>
      </c>
      <c r="T156">
        <v>900047981</v>
      </c>
      <c r="U156" t="s">
        <v>399</v>
      </c>
      <c r="V156">
        <v>923242</v>
      </c>
      <c r="W156" t="s">
        <v>175</v>
      </c>
      <c r="X156" s="2" t="s">
        <v>29</v>
      </c>
      <c r="Y156" t="s">
        <v>30</v>
      </c>
      <c r="Z156" t="s">
        <v>31</v>
      </c>
      <c r="AA156" t="s">
        <v>32</v>
      </c>
      <c r="AB156" t="s">
        <v>33</v>
      </c>
      <c r="AC156" s="51">
        <v>2575000</v>
      </c>
      <c r="AD156">
        <v>0</v>
      </c>
      <c r="AE156" s="4">
        <v>0</v>
      </c>
      <c r="AF156" s="4">
        <v>0</v>
      </c>
      <c r="AG156" t="s">
        <v>462</v>
      </c>
      <c r="AH156">
        <v>0</v>
      </c>
      <c r="AI156">
        <v>0</v>
      </c>
      <c r="AJ156" s="2" t="s">
        <v>463</v>
      </c>
      <c r="AK156" s="2">
        <v>0</v>
      </c>
      <c r="AL156">
        <v>0</v>
      </c>
      <c r="AM156">
        <v>0</v>
      </c>
      <c r="AN156">
        <v>0</v>
      </c>
      <c r="AO156">
        <v>0</v>
      </c>
      <c r="AP156">
        <v>3625</v>
      </c>
      <c r="AQ156">
        <v>3625</v>
      </c>
      <c r="AR156">
        <v>4125</v>
      </c>
      <c r="AS156">
        <v>0</v>
      </c>
      <c r="AT156">
        <v>0</v>
      </c>
      <c r="AU156">
        <v>16025</v>
      </c>
      <c r="AV156">
        <v>64542925</v>
      </c>
      <c r="AW156">
        <v>0</v>
      </c>
      <c r="AX156" s="5">
        <v>45689</v>
      </c>
      <c r="AY156" t="s">
        <v>362</v>
      </c>
      <c r="AZ156" t="s">
        <v>708</v>
      </c>
      <c r="BA156" t="s">
        <v>709</v>
      </c>
    </row>
    <row r="157" spans="1:53" ht="15" customHeight="1" x14ac:dyDescent="0.2">
      <c r="A157" t="s">
        <v>5001</v>
      </c>
      <c r="B157" t="s">
        <v>2253</v>
      </c>
      <c r="C157" t="s">
        <v>5000</v>
      </c>
      <c r="D157">
        <v>64543025</v>
      </c>
      <c r="E157" s="5">
        <v>45726</v>
      </c>
      <c r="F157" s="5">
        <v>45728.098611111112</v>
      </c>
      <c r="G157" s="4" t="s">
        <v>460</v>
      </c>
      <c r="H157" s="49">
        <v>2575000</v>
      </c>
      <c r="I157" s="49">
        <v>13015</v>
      </c>
      <c r="J157" s="50">
        <v>2561985</v>
      </c>
      <c r="K157" t="s">
        <v>2615</v>
      </c>
      <c r="L157" s="4" t="s">
        <v>461</v>
      </c>
      <c r="M157" t="s">
        <v>351</v>
      </c>
      <c r="N157" s="2">
        <v>1024548351</v>
      </c>
      <c r="O157" t="s">
        <v>711</v>
      </c>
      <c r="P157" t="s">
        <v>316</v>
      </c>
      <c r="Q157" t="s">
        <v>317</v>
      </c>
      <c r="R157">
        <v>456870075029</v>
      </c>
      <c r="S157" t="s">
        <v>319</v>
      </c>
      <c r="T157">
        <v>860034313</v>
      </c>
      <c r="U157" t="s">
        <v>355</v>
      </c>
      <c r="V157">
        <v>923242</v>
      </c>
      <c r="W157" t="s">
        <v>175</v>
      </c>
      <c r="X157" s="2" t="s">
        <v>29</v>
      </c>
      <c r="Y157" t="s">
        <v>30</v>
      </c>
      <c r="Z157" t="s">
        <v>31</v>
      </c>
      <c r="AA157" t="s">
        <v>32</v>
      </c>
      <c r="AB157" t="s">
        <v>33</v>
      </c>
      <c r="AC157" s="51">
        <v>2575000</v>
      </c>
      <c r="AD157">
        <v>0</v>
      </c>
      <c r="AE157" s="4">
        <v>0</v>
      </c>
      <c r="AF157" s="4">
        <v>0</v>
      </c>
      <c r="AG157" t="s">
        <v>462</v>
      </c>
      <c r="AH157">
        <v>0</v>
      </c>
      <c r="AI157">
        <v>0</v>
      </c>
      <c r="AJ157" s="2" t="s">
        <v>463</v>
      </c>
      <c r="AK157" s="2">
        <v>0</v>
      </c>
      <c r="AL157">
        <v>0</v>
      </c>
      <c r="AM157">
        <v>0</v>
      </c>
      <c r="AN157">
        <v>0</v>
      </c>
      <c r="AO157">
        <v>0</v>
      </c>
      <c r="AP157">
        <v>3625</v>
      </c>
      <c r="AQ157">
        <v>3625</v>
      </c>
      <c r="AR157">
        <v>4225</v>
      </c>
      <c r="AS157">
        <v>0</v>
      </c>
      <c r="AT157">
        <v>0</v>
      </c>
      <c r="AU157">
        <v>16125</v>
      </c>
      <c r="AV157">
        <v>64543025</v>
      </c>
      <c r="AW157">
        <v>0</v>
      </c>
      <c r="AX157" s="5">
        <v>45689</v>
      </c>
      <c r="AY157" t="s">
        <v>362</v>
      </c>
      <c r="AZ157" t="s">
        <v>713</v>
      </c>
      <c r="BA157" t="s">
        <v>714</v>
      </c>
    </row>
    <row r="158" spans="1:53" ht="15" customHeight="1" x14ac:dyDescent="0.2">
      <c r="A158" t="s">
        <v>5002</v>
      </c>
      <c r="B158" t="s">
        <v>2254</v>
      </c>
      <c r="C158" t="s">
        <v>5000</v>
      </c>
      <c r="D158">
        <v>64543125</v>
      </c>
      <c r="E158" s="5">
        <v>45726</v>
      </c>
      <c r="F158" s="5">
        <v>45728.095833333333</v>
      </c>
      <c r="G158" s="4" t="s">
        <v>460</v>
      </c>
      <c r="H158" s="49">
        <v>2575000</v>
      </c>
      <c r="I158" s="49">
        <v>14382</v>
      </c>
      <c r="J158" s="50">
        <v>2560618</v>
      </c>
      <c r="K158" t="s">
        <v>2615</v>
      </c>
      <c r="L158" s="4" t="s">
        <v>461</v>
      </c>
      <c r="M158" t="s">
        <v>351</v>
      </c>
      <c r="N158" s="2">
        <v>20939549</v>
      </c>
      <c r="O158" t="s">
        <v>716</v>
      </c>
      <c r="P158" t="s">
        <v>316</v>
      </c>
      <c r="Q158" t="s">
        <v>317</v>
      </c>
      <c r="R158">
        <v>24075674209</v>
      </c>
      <c r="S158" t="s">
        <v>319</v>
      </c>
      <c r="T158">
        <v>860007335</v>
      </c>
      <c r="U158" t="s">
        <v>381</v>
      </c>
      <c r="V158">
        <v>923242</v>
      </c>
      <c r="W158" t="s">
        <v>175</v>
      </c>
      <c r="X158" s="2" t="s">
        <v>29</v>
      </c>
      <c r="Y158" t="s">
        <v>30</v>
      </c>
      <c r="Z158" t="s">
        <v>31</v>
      </c>
      <c r="AA158" t="s">
        <v>32</v>
      </c>
      <c r="AB158" t="s">
        <v>33</v>
      </c>
      <c r="AC158" s="51">
        <v>2575000</v>
      </c>
      <c r="AD158">
        <v>0</v>
      </c>
      <c r="AE158" s="4">
        <v>0</v>
      </c>
      <c r="AF158" s="4">
        <v>0</v>
      </c>
      <c r="AG158" t="s">
        <v>462</v>
      </c>
      <c r="AH158">
        <v>0</v>
      </c>
      <c r="AI158">
        <v>0</v>
      </c>
      <c r="AJ158" s="2" t="s">
        <v>463</v>
      </c>
      <c r="AK158" s="2">
        <v>0</v>
      </c>
      <c r="AL158">
        <v>0</v>
      </c>
      <c r="AM158">
        <v>0</v>
      </c>
      <c r="AN158">
        <v>0</v>
      </c>
      <c r="AO158">
        <v>0</v>
      </c>
      <c r="AP158">
        <v>3625</v>
      </c>
      <c r="AQ158">
        <v>3625</v>
      </c>
      <c r="AR158">
        <v>4325</v>
      </c>
      <c r="AS158">
        <v>0</v>
      </c>
      <c r="AT158">
        <v>0</v>
      </c>
      <c r="AU158">
        <v>16225</v>
      </c>
      <c r="AV158">
        <v>64543125</v>
      </c>
      <c r="AW158">
        <v>0</v>
      </c>
      <c r="AX158" s="5">
        <v>45689</v>
      </c>
      <c r="AY158" t="s">
        <v>362</v>
      </c>
      <c r="AZ158" t="s">
        <v>718</v>
      </c>
      <c r="BA158" t="s">
        <v>719</v>
      </c>
    </row>
    <row r="159" spans="1:53" ht="15" customHeight="1" x14ac:dyDescent="0.2">
      <c r="A159" t="s">
        <v>5003</v>
      </c>
      <c r="B159" t="s">
        <v>2255</v>
      </c>
      <c r="C159" t="s">
        <v>4917</v>
      </c>
      <c r="D159">
        <v>64543225</v>
      </c>
      <c r="E159" s="5">
        <v>45726</v>
      </c>
      <c r="F159" s="5">
        <v>45728.066666666666</v>
      </c>
      <c r="G159" s="4" t="s">
        <v>460</v>
      </c>
      <c r="H159" s="49">
        <v>4292876</v>
      </c>
      <c r="I159" s="49">
        <v>22820</v>
      </c>
      <c r="J159" s="50">
        <v>4270056</v>
      </c>
      <c r="K159" t="s">
        <v>2615</v>
      </c>
      <c r="L159" s="4" t="s">
        <v>461</v>
      </c>
      <c r="M159" t="s">
        <v>351</v>
      </c>
      <c r="N159" s="2">
        <v>1073669268</v>
      </c>
      <c r="O159" t="s">
        <v>721</v>
      </c>
      <c r="P159" t="s">
        <v>316</v>
      </c>
      <c r="Q159" t="s">
        <v>317</v>
      </c>
      <c r="R159">
        <v>91202398117</v>
      </c>
      <c r="S159" t="s">
        <v>319</v>
      </c>
      <c r="T159">
        <v>890903938</v>
      </c>
      <c r="U159" t="s">
        <v>342</v>
      </c>
      <c r="V159">
        <v>923245</v>
      </c>
      <c r="W159" t="s">
        <v>180</v>
      </c>
      <c r="X159" s="2" t="s">
        <v>29</v>
      </c>
      <c r="Y159" t="s">
        <v>30</v>
      </c>
      <c r="Z159" t="s">
        <v>31</v>
      </c>
      <c r="AA159" t="s">
        <v>32</v>
      </c>
      <c r="AB159" t="s">
        <v>33</v>
      </c>
      <c r="AC159" s="51">
        <v>4292876</v>
      </c>
      <c r="AD159">
        <v>0</v>
      </c>
      <c r="AE159" s="4">
        <v>0</v>
      </c>
      <c r="AF159" s="4">
        <v>0</v>
      </c>
      <c r="AG159" t="s">
        <v>462</v>
      </c>
      <c r="AH159">
        <v>0</v>
      </c>
      <c r="AI159">
        <v>0</v>
      </c>
      <c r="AJ159" s="2" t="s">
        <v>463</v>
      </c>
      <c r="AK159" s="2">
        <v>0</v>
      </c>
      <c r="AL159">
        <v>0</v>
      </c>
      <c r="AM159">
        <v>0</v>
      </c>
      <c r="AN159">
        <v>0</v>
      </c>
      <c r="AO159">
        <v>0</v>
      </c>
      <c r="AP159">
        <v>3825</v>
      </c>
      <c r="AQ159">
        <v>3825</v>
      </c>
      <c r="AR159">
        <v>4425</v>
      </c>
      <c r="AS159">
        <v>0</v>
      </c>
      <c r="AT159">
        <v>0</v>
      </c>
      <c r="AU159">
        <v>16325</v>
      </c>
      <c r="AV159">
        <v>64543225</v>
      </c>
      <c r="AW159">
        <v>0</v>
      </c>
      <c r="AX159" s="5">
        <v>45689</v>
      </c>
      <c r="AY159" t="s">
        <v>356</v>
      </c>
      <c r="AZ159" t="s">
        <v>723</v>
      </c>
      <c r="BA159" t="s">
        <v>724</v>
      </c>
    </row>
    <row r="160" spans="1:53" ht="15" customHeight="1" x14ac:dyDescent="0.2">
      <c r="A160" t="s">
        <v>5004</v>
      </c>
      <c r="B160" t="s">
        <v>2309</v>
      </c>
      <c r="C160" t="s">
        <v>4917</v>
      </c>
      <c r="D160">
        <v>64543325</v>
      </c>
      <c r="E160" s="5">
        <v>45726</v>
      </c>
      <c r="F160" s="5">
        <v>45728.073611111111</v>
      </c>
      <c r="G160" s="4" t="s">
        <v>460</v>
      </c>
      <c r="H160" s="49">
        <v>3986243</v>
      </c>
      <c r="I160" s="49">
        <v>21190</v>
      </c>
      <c r="J160" s="50">
        <v>3965053</v>
      </c>
      <c r="K160" t="s">
        <v>2615</v>
      </c>
      <c r="L160" s="4" t="s">
        <v>461</v>
      </c>
      <c r="M160" t="s">
        <v>351</v>
      </c>
      <c r="N160" s="2">
        <v>79645434</v>
      </c>
      <c r="O160" t="s">
        <v>978</v>
      </c>
      <c r="P160" t="s">
        <v>316</v>
      </c>
      <c r="Q160" t="s">
        <v>317</v>
      </c>
      <c r="R160">
        <v>90120052430</v>
      </c>
      <c r="S160" t="s">
        <v>319</v>
      </c>
      <c r="T160">
        <v>860050750</v>
      </c>
      <c r="U160" t="s">
        <v>321</v>
      </c>
      <c r="V160">
        <v>923245</v>
      </c>
      <c r="W160" t="s">
        <v>180</v>
      </c>
      <c r="X160" s="2" t="s">
        <v>29</v>
      </c>
      <c r="Y160" t="s">
        <v>30</v>
      </c>
      <c r="Z160" t="s">
        <v>31</v>
      </c>
      <c r="AA160" t="s">
        <v>32</v>
      </c>
      <c r="AB160" t="s">
        <v>33</v>
      </c>
      <c r="AC160" s="51">
        <v>3986243</v>
      </c>
      <c r="AD160">
        <v>0</v>
      </c>
      <c r="AE160" s="4">
        <v>0</v>
      </c>
      <c r="AF160" s="4">
        <v>0</v>
      </c>
      <c r="AG160" t="s">
        <v>462</v>
      </c>
      <c r="AH160">
        <v>0</v>
      </c>
      <c r="AI160">
        <v>0</v>
      </c>
      <c r="AJ160" s="2" t="s">
        <v>463</v>
      </c>
      <c r="AK160" s="2">
        <v>0</v>
      </c>
      <c r="AL160">
        <v>0</v>
      </c>
      <c r="AM160">
        <v>0</v>
      </c>
      <c r="AN160">
        <v>0</v>
      </c>
      <c r="AO160">
        <v>0</v>
      </c>
      <c r="AP160">
        <v>3825</v>
      </c>
      <c r="AQ160">
        <v>3825</v>
      </c>
      <c r="AR160">
        <v>9925</v>
      </c>
      <c r="AS160">
        <v>0</v>
      </c>
      <c r="AT160">
        <v>0</v>
      </c>
      <c r="AU160">
        <v>16425</v>
      </c>
      <c r="AV160">
        <v>64543325</v>
      </c>
      <c r="AW160">
        <v>0</v>
      </c>
      <c r="AX160" s="5">
        <v>45693</v>
      </c>
      <c r="AY160" t="s">
        <v>356</v>
      </c>
      <c r="AZ160" t="s">
        <v>981</v>
      </c>
      <c r="BA160" t="s">
        <v>748</v>
      </c>
    </row>
    <row r="161" spans="1:53" ht="15" customHeight="1" x14ac:dyDescent="0.2">
      <c r="A161" t="s">
        <v>5005</v>
      </c>
      <c r="B161" t="s">
        <v>2310</v>
      </c>
      <c r="C161" t="s">
        <v>4917</v>
      </c>
      <c r="D161">
        <v>64543425</v>
      </c>
      <c r="E161" s="5">
        <v>45726</v>
      </c>
      <c r="F161" s="5">
        <v>45728.064583333333</v>
      </c>
      <c r="G161" s="4" t="s">
        <v>460</v>
      </c>
      <c r="H161" s="49">
        <v>3986243</v>
      </c>
      <c r="I161" s="49">
        <v>21190</v>
      </c>
      <c r="J161" s="50">
        <v>3965053</v>
      </c>
      <c r="K161" t="s">
        <v>2615</v>
      </c>
      <c r="L161" s="4" t="s">
        <v>461</v>
      </c>
      <c r="M161" t="s">
        <v>351</v>
      </c>
      <c r="N161" s="2">
        <v>79431510</v>
      </c>
      <c r="O161" t="s">
        <v>983</v>
      </c>
      <c r="P161" t="s">
        <v>316</v>
      </c>
      <c r="Q161" t="s">
        <v>317</v>
      </c>
      <c r="R161">
        <v>272108721</v>
      </c>
      <c r="S161" t="s">
        <v>319</v>
      </c>
      <c r="T161">
        <v>860002964</v>
      </c>
      <c r="U161" t="s">
        <v>419</v>
      </c>
      <c r="V161">
        <v>923245</v>
      </c>
      <c r="W161" t="s">
        <v>180</v>
      </c>
      <c r="X161" s="2" t="s">
        <v>29</v>
      </c>
      <c r="Y161" t="s">
        <v>30</v>
      </c>
      <c r="Z161" t="s">
        <v>31</v>
      </c>
      <c r="AA161" t="s">
        <v>32</v>
      </c>
      <c r="AB161" t="s">
        <v>33</v>
      </c>
      <c r="AC161" s="51">
        <v>3986243</v>
      </c>
      <c r="AD161">
        <v>0</v>
      </c>
      <c r="AE161" s="4">
        <v>0</v>
      </c>
      <c r="AF161" s="4">
        <v>0</v>
      </c>
      <c r="AG161" t="s">
        <v>462</v>
      </c>
      <c r="AH161">
        <v>0</v>
      </c>
      <c r="AI161">
        <v>0</v>
      </c>
      <c r="AJ161" s="2" t="s">
        <v>463</v>
      </c>
      <c r="AK161" s="2">
        <v>0</v>
      </c>
      <c r="AL161">
        <v>0</v>
      </c>
      <c r="AM161">
        <v>0</v>
      </c>
      <c r="AN161">
        <v>0</v>
      </c>
      <c r="AO161">
        <v>0</v>
      </c>
      <c r="AP161">
        <v>3825</v>
      </c>
      <c r="AQ161">
        <v>3825</v>
      </c>
      <c r="AR161">
        <v>10025</v>
      </c>
      <c r="AS161">
        <v>0</v>
      </c>
      <c r="AT161">
        <v>0</v>
      </c>
      <c r="AU161">
        <v>16525</v>
      </c>
      <c r="AV161">
        <v>64543425</v>
      </c>
      <c r="AW161">
        <v>0</v>
      </c>
      <c r="AX161" s="5">
        <v>45693</v>
      </c>
      <c r="AY161" t="s">
        <v>356</v>
      </c>
      <c r="AZ161" t="s">
        <v>986</v>
      </c>
      <c r="BA161" t="s">
        <v>748</v>
      </c>
    </row>
    <row r="162" spans="1:53" ht="15" customHeight="1" x14ac:dyDescent="0.2">
      <c r="A162" t="s">
        <v>5006</v>
      </c>
      <c r="B162" t="s">
        <v>2311</v>
      </c>
      <c r="C162" t="s">
        <v>4917</v>
      </c>
      <c r="D162">
        <v>64543525</v>
      </c>
      <c r="E162" s="5">
        <v>45726</v>
      </c>
      <c r="F162" s="5">
        <v>45728.07916666667</v>
      </c>
      <c r="G162" s="4" t="s">
        <v>460</v>
      </c>
      <c r="H162" s="49">
        <v>3986243</v>
      </c>
      <c r="I162" s="49">
        <v>21190</v>
      </c>
      <c r="J162" s="50">
        <v>3965053</v>
      </c>
      <c r="K162" t="s">
        <v>2615</v>
      </c>
      <c r="L162" s="4" t="s">
        <v>461</v>
      </c>
      <c r="M162" t="s">
        <v>351</v>
      </c>
      <c r="N162" s="2">
        <v>53041779</v>
      </c>
      <c r="O162" t="s">
        <v>988</v>
      </c>
      <c r="P162" t="s">
        <v>316</v>
      </c>
      <c r="Q162" t="s">
        <v>317</v>
      </c>
      <c r="R162">
        <v>4070166642</v>
      </c>
      <c r="S162" t="s">
        <v>319</v>
      </c>
      <c r="T162">
        <v>860034313</v>
      </c>
      <c r="U162" t="s">
        <v>355</v>
      </c>
      <c r="V162">
        <v>923245</v>
      </c>
      <c r="W162" t="s">
        <v>180</v>
      </c>
      <c r="X162" s="2" t="s">
        <v>29</v>
      </c>
      <c r="Y162" t="s">
        <v>30</v>
      </c>
      <c r="Z162" t="s">
        <v>31</v>
      </c>
      <c r="AA162" t="s">
        <v>32</v>
      </c>
      <c r="AB162" t="s">
        <v>33</v>
      </c>
      <c r="AC162" s="51">
        <v>3986243</v>
      </c>
      <c r="AD162">
        <v>0</v>
      </c>
      <c r="AE162" s="4">
        <v>0</v>
      </c>
      <c r="AF162" s="4">
        <v>0</v>
      </c>
      <c r="AG162" t="s">
        <v>462</v>
      </c>
      <c r="AH162">
        <v>0</v>
      </c>
      <c r="AI162">
        <v>0</v>
      </c>
      <c r="AJ162" s="2" t="s">
        <v>463</v>
      </c>
      <c r="AK162" s="2">
        <v>0</v>
      </c>
      <c r="AL162">
        <v>0</v>
      </c>
      <c r="AM162">
        <v>0</v>
      </c>
      <c r="AN162">
        <v>0</v>
      </c>
      <c r="AO162">
        <v>0</v>
      </c>
      <c r="AP162">
        <v>3825</v>
      </c>
      <c r="AQ162">
        <v>3825</v>
      </c>
      <c r="AR162">
        <v>10125</v>
      </c>
      <c r="AS162">
        <v>0</v>
      </c>
      <c r="AT162">
        <v>0</v>
      </c>
      <c r="AU162">
        <v>16625</v>
      </c>
      <c r="AV162">
        <v>64543525</v>
      </c>
      <c r="AW162">
        <v>0</v>
      </c>
      <c r="AX162" s="5">
        <v>45693</v>
      </c>
      <c r="AY162" t="s">
        <v>356</v>
      </c>
      <c r="AZ162" t="s">
        <v>991</v>
      </c>
      <c r="BA162" t="s">
        <v>748</v>
      </c>
    </row>
    <row r="163" spans="1:53" ht="15" customHeight="1" x14ac:dyDescent="0.2">
      <c r="A163" t="s">
        <v>5007</v>
      </c>
      <c r="B163" t="s">
        <v>2312</v>
      </c>
      <c r="C163" t="s">
        <v>4917</v>
      </c>
      <c r="D163">
        <v>64543625</v>
      </c>
      <c r="E163" s="5">
        <v>45726</v>
      </c>
      <c r="F163" s="5">
        <v>45728.067361111112</v>
      </c>
      <c r="G163" s="4" t="s">
        <v>460</v>
      </c>
      <c r="H163" s="49">
        <v>3986243</v>
      </c>
      <c r="I163" s="49">
        <v>21190</v>
      </c>
      <c r="J163" s="50">
        <v>3965053</v>
      </c>
      <c r="K163" t="s">
        <v>2615</v>
      </c>
      <c r="L163" s="4" t="s">
        <v>461</v>
      </c>
      <c r="M163" t="s">
        <v>351</v>
      </c>
      <c r="N163" s="2">
        <v>9396182</v>
      </c>
      <c r="O163" t="s">
        <v>993</v>
      </c>
      <c r="P163" t="s">
        <v>316</v>
      </c>
      <c r="Q163" t="s">
        <v>317</v>
      </c>
      <c r="R163">
        <v>35815143262</v>
      </c>
      <c r="S163" t="s">
        <v>319</v>
      </c>
      <c r="T163">
        <v>890903938</v>
      </c>
      <c r="U163" t="s">
        <v>342</v>
      </c>
      <c r="V163">
        <v>923245</v>
      </c>
      <c r="W163" t="s">
        <v>180</v>
      </c>
      <c r="X163" s="2" t="s">
        <v>29</v>
      </c>
      <c r="Y163" t="s">
        <v>30</v>
      </c>
      <c r="Z163" t="s">
        <v>31</v>
      </c>
      <c r="AA163" t="s">
        <v>32</v>
      </c>
      <c r="AB163" t="s">
        <v>33</v>
      </c>
      <c r="AC163" s="51">
        <v>3986243</v>
      </c>
      <c r="AD163">
        <v>0</v>
      </c>
      <c r="AE163" s="4">
        <v>0</v>
      </c>
      <c r="AF163" s="4">
        <v>0</v>
      </c>
      <c r="AG163" t="s">
        <v>462</v>
      </c>
      <c r="AH163">
        <v>0</v>
      </c>
      <c r="AI163">
        <v>0</v>
      </c>
      <c r="AJ163" s="2" t="s">
        <v>463</v>
      </c>
      <c r="AK163" s="2">
        <v>0</v>
      </c>
      <c r="AL163">
        <v>0</v>
      </c>
      <c r="AM163">
        <v>0</v>
      </c>
      <c r="AN163">
        <v>0</v>
      </c>
      <c r="AO163">
        <v>0</v>
      </c>
      <c r="AP163">
        <v>3825</v>
      </c>
      <c r="AQ163">
        <v>3825</v>
      </c>
      <c r="AR163">
        <v>10225</v>
      </c>
      <c r="AS163">
        <v>0</v>
      </c>
      <c r="AT163">
        <v>0</v>
      </c>
      <c r="AU163">
        <v>16725</v>
      </c>
      <c r="AV163">
        <v>64543625</v>
      </c>
      <c r="AW163">
        <v>0</v>
      </c>
      <c r="AX163" s="5">
        <v>45693</v>
      </c>
      <c r="AY163" t="s">
        <v>356</v>
      </c>
      <c r="AZ163" t="s">
        <v>996</v>
      </c>
      <c r="BA163" t="s">
        <v>748</v>
      </c>
    </row>
    <row r="164" spans="1:53" ht="15" customHeight="1" x14ac:dyDescent="0.2">
      <c r="A164" t="s">
        <v>5008</v>
      </c>
      <c r="B164" t="s">
        <v>2313</v>
      </c>
      <c r="C164" t="s">
        <v>4917</v>
      </c>
      <c r="D164">
        <v>64543725</v>
      </c>
      <c r="E164" s="5">
        <v>45726</v>
      </c>
      <c r="F164" s="5">
        <v>45728.07916666667</v>
      </c>
      <c r="G164" s="4" t="s">
        <v>460</v>
      </c>
      <c r="H164" s="49">
        <v>3986243</v>
      </c>
      <c r="I164" s="49">
        <v>21190</v>
      </c>
      <c r="J164" s="50">
        <v>3965053</v>
      </c>
      <c r="K164" t="s">
        <v>2615</v>
      </c>
      <c r="L164" s="4" t="s">
        <v>461</v>
      </c>
      <c r="M164" t="s">
        <v>351</v>
      </c>
      <c r="N164" s="2">
        <v>21135366</v>
      </c>
      <c r="O164" t="s">
        <v>998</v>
      </c>
      <c r="P164" t="s">
        <v>316</v>
      </c>
      <c r="Q164" t="s">
        <v>317</v>
      </c>
      <c r="R164">
        <v>473870036323</v>
      </c>
      <c r="S164" t="s">
        <v>319</v>
      </c>
      <c r="T164">
        <v>860034313</v>
      </c>
      <c r="U164" t="s">
        <v>355</v>
      </c>
      <c r="V164">
        <v>923245</v>
      </c>
      <c r="W164" t="s">
        <v>180</v>
      </c>
      <c r="X164" s="2" t="s">
        <v>29</v>
      </c>
      <c r="Y164" t="s">
        <v>30</v>
      </c>
      <c r="Z164" t="s">
        <v>31</v>
      </c>
      <c r="AA164" t="s">
        <v>32</v>
      </c>
      <c r="AB164" t="s">
        <v>33</v>
      </c>
      <c r="AC164" s="51">
        <v>3986243</v>
      </c>
      <c r="AD164">
        <v>0</v>
      </c>
      <c r="AE164" s="4">
        <v>0</v>
      </c>
      <c r="AF164" s="4">
        <v>0</v>
      </c>
      <c r="AG164" t="s">
        <v>462</v>
      </c>
      <c r="AH164">
        <v>0</v>
      </c>
      <c r="AI164">
        <v>0</v>
      </c>
      <c r="AJ164" s="2" t="s">
        <v>463</v>
      </c>
      <c r="AK164" s="2">
        <v>0</v>
      </c>
      <c r="AL164">
        <v>0</v>
      </c>
      <c r="AM164">
        <v>0</v>
      </c>
      <c r="AN164">
        <v>0</v>
      </c>
      <c r="AO164">
        <v>0</v>
      </c>
      <c r="AP164">
        <v>3825</v>
      </c>
      <c r="AQ164">
        <v>3825</v>
      </c>
      <c r="AR164">
        <v>10325</v>
      </c>
      <c r="AS164">
        <v>0</v>
      </c>
      <c r="AT164">
        <v>0</v>
      </c>
      <c r="AU164">
        <v>16825</v>
      </c>
      <c r="AV164">
        <v>64543725</v>
      </c>
      <c r="AW164">
        <v>0</v>
      </c>
      <c r="AX164" s="5">
        <v>45693</v>
      </c>
      <c r="AY164" t="s">
        <v>356</v>
      </c>
      <c r="AZ164" t="s">
        <v>1001</v>
      </c>
      <c r="BA164" t="s">
        <v>748</v>
      </c>
    </row>
    <row r="165" spans="1:53" ht="15" customHeight="1" x14ac:dyDescent="0.2">
      <c r="A165" t="s">
        <v>5009</v>
      </c>
      <c r="B165" t="s">
        <v>2314</v>
      </c>
      <c r="C165" t="s">
        <v>4917</v>
      </c>
      <c r="D165">
        <v>64543825</v>
      </c>
      <c r="E165" s="5">
        <v>45726</v>
      </c>
      <c r="F165" s="5">
        <v>45728.07708333333</v>
      </c>
      <c r="G165" s="4" t="s">
        <v>460</v>
      </c>
      <c r="H165" s="49">
        <v>3986243</v>
      </c>
      <c r="I165" s="49">
        <v>21190</v>
      </c>
      <c r="J165" s="50">
        <v>3965053</v>
      </c>
      <c r="K165" t="s">
        <v>2615</v>
      </c>
      <c r="L165" s="4" t="s">
        <v>461</v>
      </c>
      <c r="M165" t="s">
        <v>351</v>
      </c>
      <c r="N165" s="2">
        <v>53070532</v>
      </c>
      <c r="O165" t="s">
        <v>1003</v>
      </c>
      <c r="P165" t="s">
        <v>316</v>
      </c>
      <c r="Q165" t="s">
        <v>317</v>
      </c>
      <c r="R165">
        <v>24046162544</v>
      </c>
      <c r="S165" t="s">
        <v>319</v>
      </c>
      <c r="T165">
        <v>860007335</v>
      </c>
      <c r="U165" t="s">
        <v>381</v>
      </c>
      <c r="V165">
        <v>923245</v>
      </c>
      <c r="W165" t="s">
        <v>180</v>
      </c>
      <c r="X165" s="2" t="s">
        <v>29</v>
      </c>
      <c r="Y165" t="s">
        <v>30</v>
      </c>
      <c r="Z165" t="s">
        <v>31</v>
      </c>
      <c r="AA165" t="s">
        <v>32</v>
      </c>
      <c r="AB165" t="s">
        <v>33</v>
      </c>
      <c r="AC165" s="51">
        <v>3986243</v>
      </c>
      <c r="AD165">
        <v>0</v>
      </c>
      <c r="AE165" s="4">
        <v>0</v>
      </c>
      <c r="AF165" s="4">
        <v>0</v>
      </c>
      <c r="AG165" t="s">
        <v>462</v>
      </c>
      <c r="AH165">
        <v>0</v>
      </c>
      <c r="AI165">
        <v>0</v>
      </c>
      <c r="AJ165" s="2" t="s">
        <v>463</v>
      </c>
      <c r="AK165" s="2">
        <v>0</v>
      </c>
      <c r="AL165">
        <v>0</v>
      </c>
      <c r="AM165">
        <v>0</v>
      </c>
      <c r="AN165">
        <v>0</v>
      </c>
      <c r="AO165">
        <v>0</v>
      </c>
      <c r="AP165">
        <v>3825</v>
      </c>
      <c r="AQ165">
        <v>3825</v>
      </c>
      <c r="AR165">
        <v>10425</v>
      </c>
      <c r="AS165">
        <v>0</v>
      </c>
      <c r="AT165">
        <v>0</v>
      </c>
      <c r="AU165">
        <v>16925</v>
      </c>
      <c r="AV165">
        <v>64543825</v>
      </c>
      <c r="AW165">
        <v>0</v>
      </c>
      <c r="AX165" s="5">
        <v>45693</v>
      </c>
      <c r="AY165" t="s">
        <v>356</v>
      </c>
      <c r="AZ165" t="s">
        <v>1006</v>
      </c>
      <c r="BA165" t="s">
        <v>748</v>
      </c>
    </row>
    <row r="166" spans="1:53" ht="15" customHeight="1" x14ac:dyDescent="0.2">
      <c r="A166" t="s">
        <v>5010</v>
      </c>
      <c r="B166" t="s">
        <v>2315</v>
      </c>
      <c r="C166" t="s">
        <v>4917</v>
      </c>
      <c r="D166">
        <v>64543925</v>
      </c>
      <c r="E166" s="5">
        <v>45726</v>
      </c>
      <c r="F166" s="5">
        <v>45728.067361111112</v>
      </c>
      <c r="G166" s="4" t="s">
        <v>460</v>
      </c>
      <c r="H166" s="49">
        <v>3986243</v>
      </c>
      <c r="I166" s="49">
        <v>21190</v>
      </c>
      <c r="J166" s="50">
        <v>3965053</v>
      </c>
      <c r="K166" t="s">
        <v>2615</v>
      </c>
      <c r="L166" s="4" t="s">
        <v>461</v>
      </c>
      <c r="M166" t="s">
        <v>351</v>
      </c>
      <c r="N166" s="2">
        <v>51877430</v>
      </c>
      <c r="O166" t="s">
        <v>1008</v>
      </c>
      <c r="P166" t="s">
        <v>316</v>
      </c>
      <c r="Q166" t="s">
        <v>317</v>
      </c>
      <c r="R166">
        <v>91200191825</v>
      </c>
      <c r="S166" t="s">
        <v>319</v>
      </c>
      <c r="T166">
        <v>890903938</v>
      </c>
      <c r="U166" t="s">
        <v>342</v>
      </c>
      <c r="V166">
        <v>923245</v>
      </c>
      <c r="W166" t="s">
        <v>180</v>
      </c>
      <c r="X166" s="2" t="s">
        <v>29</v>
      </c>
      <c r="Y166" t="s">
        <v>30</v>
      </c>
      <c r="Z166" t="s">
        <v>31</v>
      </c>
      <c r="AA166" t="s">
        <v>32</v>
      </c>
      <c r="AB166" t="s">
        <v>33</v>
      </c>
      <c r="AC166" s="51">
        <v>3986243</v>
      </c>
      <c r="AD166">
        <v>0</v>
      </c>
      <c r="AE166" s="4">
        <v>0</v>
      </c>
      <c r="AF166" s="4">
        <v>0</v>
      </c>
      <c r="AG166" t="s">
        <v>462</v>
      </c>
      <c r="AH166">
        <v>0</v>
      </c>
      <c r="AI166">
        <v>0</v>
      </c>
      <c r="AJ166" s="2" t="s">
        <v>463</v>
      </c>
      <c r="AK166" s="2">
        <v>0</v>
      </c>
      <c r="AL166">
        <v>0</v>
      </c>
      <c r="AM166">
        <v>0</v>
      </c>
      <c r="AN166">
        <v>0</v>
      </c>
      <c r="AO166">
        <v>0</v>
      </c>
      <c r="AP166">
        <v>3825</v>
      </c>
      <c r="AQ166">
        <v>3825</v>
      </c>
      <c r="AR166">
        <v>10525</v>
      </c>
      <c r="AS166">
        <v>0</v>
      </c>
      <c r="AT166">
        <v>0</v>
      </c>
      <c r="AU166">
        <v>17025</v>
      </c>
      <c r="AV166">
        <v>64543925</v>
      </c>
      <c r="AW166">
        <v>0</v>
      </c>
      <c r="AX166" s="5">
        <v>45693</v>
      </c>
      <c r="AY166" t="s">
        <v>356</v>
      </c>
      <c r="AZ166" t="s">
        <v>1011</v>
      </c>
      <c r="BA166" t="s">
        <v>748</v>
      </c>
    </row>
    <row r="167" spans="1:53" ht="15" customHeight="1" x14ac:dyDescent="0.2">
      <c r="A167" t="s">
        <v>5011</v>
      </c>
      <c r="B167" t="s">
        <v>2316</v>
      </c>
      <c r="C167" t="s">
        <v>4917</v>
      </c>
      <c r="D167">
        <v>64544025</v>
      </c>
      <c r="E167" s="5">
        <v>45726</v>
      </c>
      <c r="F167" s="5">
        <v>45728.064583333333</v>
      </c>
      <c r="G167" s="4" t="s">
        <v>460</v>
      </c>
      <c r="H167" s="49">
        <v>3986243</v>
      </c>
      <c r="I167" s="49">
        <v>21190</v>
      </c>
      <c r="J167" s="50">
        <v>3965053</v>
      </c>
      <c r="K167" t="s">
        <v>2615</v>
      </c>
      <c r="L167" s="4" t="s">
        <v>461</v>
      </c>
      <c r="M167" t="s">
        <v>351</v>
      </c>
      <c r="N167" s="2">
        <v>11379483</v>
      </c>
      <c r="O167" t="s">
        <v>1013</v>
      </c>
      <c r="P167" t="s">
        <v>316</v>
      </c>
      <c r="Q167" t="s">
        <v>317</v>
      </c>
      <c r="R167">
        <v>447081241</v>
      </c>
      <c r="S167" t="s">
        <v>319</v>
      </c>
      <c r="T167">
        <v>860002964</v>
      </c>
      <c r="U167" t="s">
        <v>419</v>
      </c>
      <c r="V167">
        <v>923245</v>
      </c>
      <c r="W167" t="s">
        <v>180</v>
      </c>
      <c r="X167" s="2" t="s">
        <v>29</v>
      </c>
      <c r="Y167" t="s">
        <v>30</v>
      </c>
      <c r="Z167" t="s">
        <v>31</v>
      </c>
      <c r="AA167" t="s">
        <v>32</v>
      </c>
      <c r="AB167" t="s">
        <v>33</v>
      </c>
      <c r="AC167" s="51">
        <v>3986243</v>
      </c>
      <c r="AD167">
        <v>0</v>
      </c>
      <c r="AE167" s="4">
        <v>0</v>
      </c>
      <c r="AF167" s="4">
        <v>0</v>
      </c>
      <c r="AG167" t="s">
        <v>462</v>
      </c>
      <c r="AH167">
        <v>0</v>
      </c>
      <c r="AI167">
        <v>0</v>
      </c>
      <c r="AJ167" s="2" t="s">
        <v>463</v>
      </c>
      <c r="AK167" s="2">
        <v>0</v>
      </c>
      <c r="AL167">
        <v>0</v>
      </c>
      <c r="AM167">
        <v>0</v>
      </c>
      <c r="AN167">
        <v>0</v>
      </c>
      <c r="AO167">
        <v>0</v>
      </c>
      <c r="AP167">
        <v>3825</v>
      </c>
      <c r="AQ167">
        <v>3825</v>
      </c>
      <c r="AR167">
        <v>10625</v>
      </c>
      <c r="AS167">
        <v>0</v>
      </c>
      <c r="AT167">
        <v>0</v>
      </c>
      <c r="AU167">
        <v>17125</v>
      </c>
      <c r="AV167">
        <v>64544025</v>
      </c>
      <c r="AW167">
        <v>0</v>
      </c>
      <c r="AX167" s="5">
        <v>45693</v>
      </c>
      <c r="AY167" t="s">
        <v>356</v>
      </c>
      <c r="AZ167" t="s">
        <v>1016</v>
      </c>
      <c r="BA167" t="s">
        <v>748</v>
      </c>
    </row>
    <row r="168" spans="1:53" ht="15" customHeight="1" x14ac:dyDescent="0.2">
      <c r="A168" t="s">
        <v>5012</v>
      </c>
      <c r="B168" t="s">
        <v>2317</v>
      </c>
      <c r="C168" t="s">
        <v>4917</v>
      </c>
      <c r="D168">
        <v>64544125</v>
      </c>
      <c r="E168" s="5">
        <v>45726</v>
      </c>
      <c r="F168" s="5">
        <v>45728.067361111112</v>
      </c>
      <c r="G168" s="4" t="s">
        <v>460</v>
      </c>
      <c r="H168" s="49">
        <v>3986243</v>
      </c>
      <c r="I168" s="49">
        <v>21190</v>
      </c>
      <c r="J168" s="50">
        <v>3965053</v>
      </c>
      <c r="K168" t="s">
        <v>2615</v>
      </c>
      <c r="L168" s="4" t="s">
        <v>461</v>
      </c>
      <c r="M168" t="s">
        <v>351</v>
      </c>
      <c r="N168" s="2">
        <v>1006862905</v>
      </c>
      <c r="O168" t="s">
        <v>1018</v>
      </c>
      <c r="P168" t="s">
        <v>316</v>
      </c>
      <c r="Q168" t="s">
        <v>317</v>
      </c>
      <c r="R168">
        <v>7823172961</v>
      </c>
      <c r="S168" t="s">
        <v>319</v>
      </c>
      <c r="T168">
        <v>890903938</v>
      </c>
      <c r="U168" t="s">
        <v>342</v>
      </c>
      <c r="V168">
        <v>923245</v>
      </c>
      <c r="W168" t="s">
        <v>180</v>
      </c>
      <c r="X168" s="2" t="s">
        <v>29</v>
      </c>
      <c r="Y168" t="s">
        <v>30</v>
      </c>
      <c r="Z168" t="s">
        <v>31</v>
      </c>
      <c r="AA168" t="s">
        <v>32</v>
      </c>
      <c r="AB168" t="s">
        <v>33</v>
      </c>
      <c r="AC168" s="51">
        <v>3986243</v>
      </c>
      <c r="AD168">
        <v>0</v>
      </c>
      <c r="AE168" s="4">
        <v>0</v>
      </c>
      <c r="AF168" s="4">
        <v>0</v>
      </c>
      <c r="AG168" t="s">
        <v>462</v>
      </c>
      <c r="AH168">
        <v>0</v>
      </c>
      <c r="AI168">
        <v>0</v>
      </c>
      <c r="AJ168" s="2" t="s">
        <v>463</v>
      </c>
      <c r="AK168" s="2">
        <v>0</v>
      </c>
      <c r="AL168">
        <v>0</v>
      </c>
      <c r="AM168">
        <v>0</v>
      </c>
      <c r="AN168">
        <v>0</v>
      </c>
      <c r="AO168">
        <v>0</v>
      </c>
      <c r="AP168">
        <v>3825</v>
      </c>
      <c r="AQ168">
        <v>3825</v>
      </c>
      <c r="AR168">
        <v>10725</v>
      </c>
      <c r="AS168">
        <v>0</v>
      </c>
      <c r="AT168">
        <v>0</v>
      </c>
      <c r="AU168">
        <v>17225</v>
      </c>
      <c r="AV168">
        <v>64544125</v>
      </c>
      <c r="AW168">
        <v>0</v>
      </c>
      <c r="AX168" s="5">
        <v>45693</v>
      </c>
      <c r="AY168" t="s">
        <v>356</v>
      </c>
      <c r="AZ168" t="s">
        <v>1021</v>
      </c>
      <c r="BA168" t="s">
        <v>748</v>
      </c>
    </row>
    <row r="169" spans="1:53" ht="15" customHeight="1" x14ac:dyDescent="0.2">
      <c r="A169" t="s">
        <v>5013</v>
      </c>
      <c r="B169" t="s">
        <v>2318</v>
      </c>
      <c r="C169" t="s">
        <v>4917</v>
      </c>
      <c r="D169">
        <v>64544225</v>
      </c>
      <c r="E169" s="5">
        <v>45726</v>
      </c>
      <c r="F169" s="5">
        <v>45728.07916666667</v>
      </c>
      <c r="G169" s="4" t="s">
        <v>460</v>
      </c>
      <c r="H169" s="49">
        <v>3986243</v>
      </c>
      <c r="I169" s="49">
        <v>21190</v>
      </c>
      <c r="J169" s="50">
        <v>3965053</v>
      </c>
      <c r="K169" t="s">
        <v>2615</v>
      </c>
      <c r="L169" s="4" t="s">
        <v>461</v>
      </c>
      <c r="M169" t="s">
        <v>351</v>
      </c>
      <c r="N169" s="2">
        <v>11298110</v>
      </c>
      <c r="O169" t="s">
        <v>1024</v>
      </c>
      <c r="P169" t="s">
        <v>316</v>
      </c>
      <c r="Q169" t="s">
        <v>317</v>
      </c>
      <c r="R169">
        <v>9200768332</v>
      </c>
      <c r="S169" t="s">
        <v>319</v>
      </c>
      <c r="T169">
        <v>860034313</v>
      </c>
      <c r="U169" t="s">
        <v>355</v>
      </c>
      <c r="V169">
        <v>923245</v>
      </c>
      <c r="W169" t="s">
        <v>180</v>
      </c>
      <c r="X169" s="2" t="s">
        <v>29</v>
      </c>
      <c r="Y169" t="s">
        <v>30</v>
      </c>
      <c r="Z169" t="s">
        <v>31</v>
      </c>
      <c r="AA169" t="s">
        <v>32</v>
      </c>
      <c r="AB169" t="s">
        <v>33</v>
      </c>
      <c r="AC169" s="51">
        <v>3986243</v>
      </c>
      <c r="AD169">
        <v>0</v>
      </c>
      <c r="AE169" s="4">
        <v>0</v>
      </c>
      <c r="AF169" s="4">
        <v>0</v>
      </c>
      <c r="AG169" t="s">
        <v>462</v>
      </c>
      <c r="AH169">
        <v>0</v>
      </c>
      <c r="AI169">
        <v>0</v>
      </c>
      <c r="AJ169" s="2" t="s">
        <v>463</v>
      </c>
      <c r="AK169" s="2">
        <v>0</v>
      </c>
      <c r="AL169">
        <v>0</v>
      </c>
      <c r="AM169">
        <v>0</v>
      </c>
      <c r="AN169">
        <v>0</v>
      </c>
      <c r="AO169">
        <v>0</v>
      </c>
      <c r="AP169">
        <v>3825</v>
      </c>
      <c r="AQ169">
        <v>3825</v>
      </c>
      <c r="AR169">
        <v>10825</v>
      </c>
      <c r="AS169">
        <v>0</v>
      </c>
      <c r="AT169">
        <v>0</v>
      </c>
      <c r="AU169">
        <v>17325</v>
      </c>
      <c r="AV169">
        <v>64544225</v>
      </c>
      <c r="AW169">
        <v>0</v>
      </c>
      <c r="AX169" s="5">
        <v>45694</v>
      </c>
      <c r="AY169" t="s">
        <v>356</v>
      </c>
      <c r="AZ169" t="s">
        <v>1027</v>
      </c>
      <c r="BA169" t="s">
        <v>748</v>
      </c>
    </row>
    <row r="170" spans="1:53" ht="15" customHeight="1" x14ac:dyDescent="0.2">
      <c r="A170" t="s">
        <v>5014</v>
      </c>
      <c r="B170" t="s">
        <v>2319</v>
      </c>
      <c r="C170" t="s">
        <v>4917</v>
      </c>
      <c r="D170">
        <v>64544325</v>
      </c>
      <c r="E170" s="5">
        <v>45726</v>
      </c>
      <c r="F170" s="5">
        <v>45728.088888888888</v>
      </c>
      <c r="G170" s="4" t="s">
        <v>460</v>
      </c>
      <c r="H170" s="49">
        <v>3081756</v>
      </c>
      <c r="I170" s="49">
        <v>16056</v>
      </c>
      <c r="J170" s="50">
        <v>3065700</v>
      </c>
      <c r="K170" t="s">
        <v>2615</v>
      </c>
      <c r="L170" s="4" t="s">
        <v>461</v>
      </c>
      <c r="M170" t="s">
        <v>351</v>
      </c>
      <c r="N170" s="2">
        <v>52971648</v>
      </c>
      <c r="O170" t="s">
        <v>1029</v>
      </c>
      <c r="P170" t="s">
        <v>316</v>
      </c>
      <c r="Q170" t="s">
        <v>317</v>
      </c>
      <c r="R170">
        <v>65255560322</v>
      </c>
      <c r="S170" t="s">
        <v>319</v>
      </c>
      <c r="T170">
        <v>890903938</v>
      </c>
      <c r="U170" t="s">
        <v>342</v>
      </c>
      <c r="V170">
        <v>923245</v>
      </c>
      <c r="W170" t="s">
        <v>180</v>
      </c>
      <c r="X170" s="2" t="s">
        <v>29</v>
      </c>
      <c r="Y170" t="s">
        <v>30</v>
      </c>
      <c r="Z170" t="s">
        <v>31</v>
      </c>
      <c r="AA170" t="s">
        <v>32</v>
      </c>
      <c r="AB170" t="s">
        <v>33</v>
      </c>
      <c r="AC170" s="51">
        <v>3081756</v>
      </c>
      <c r="AD170">
        <v>0</v>
      </c>
      <c r="AE170" s="4">
        <v>0</v>
      </c>
      <c r="AF170" s="4">
        <v>0</v>
      </c>
      <c r="AG170" t="s">
        <v>462</v>
      </c>
      <c r="AH170">
        <v>0</v>
      </c>
      <c r="AI170">
        <v>0</v>
      </c>
      <c r="AJ170" s="2" t="s">
        <v>463</v>
      </c>
      <c r="AK170" s="2">
        <v>0</v>
      </c>
      <c r="AL170">
        <v>0</v>
      </c>
      <c r="AM170">
        <v>0</v>
      </c>
      <c r="AN170">
        <v>0</v>
      </c>
      <c r="AO170">
        <v>0</v>
      </c>
      <c r="AP170">
        <v>3825</v>
      </c>
      <c r="AQ170">
        <v>3825</v>
      </c>
      <c r="AR170">
        <v>10925</v>
      </c>
      <c r="AS170">
        <v>0</v>
      </c>
      <c r="AT170">
        <v>0</v>
      </c>
      <c r="AU170">
        <v>17425</v>
      </c>
      <c r="AV170">
        <v>64544325</v>
      </c>
      <c r="AW170">
        <v>0</v>
      </c>
      <c r="AX170" s="5">
        <v>45694</v>
      </c>
      <c r="AY170" t="s">
        <v>356</v>
      </c>
      <c r="AZ170" t="s">
        <v>1032</v>
      </c>
      <c r="BA170" t="s">
        <v>748</v>
      </c>
    </row>
    <row r="171" spans="1:53" ht="15" customHeight="1" x14ac:dyDescent="0.2">
      <c r="A171" t="s">
        <v>5015</v>
      </c>
      <c r="B171" t="s">
        <v>2320</v>
      </c>
      <c r="C171" t="s">
        <v>4917</v>
      </c>
      <c r="D171">
        <v>64544525</v>
      </c>
      <c r="E171" s="5">
        <v>45726</v>
      </c>
      <c r="F171" s="5">
        <v>45728.07916666667</v>
      </c>
      <c r="G171" s="4" t="s">
        <v>460</v>
      </c>
      <c r="H171" s="49">
        <v>3986243</v>
      </c>
      <c r="I171" s="49">
        <v>21190</v>
      </c>
      <c r="J171" s="50">
        <v>3965053</v>
      </c>
      <c r="K171" t="s">
        <v>2615</v>
      </c>
      <c r="L171" s="4" t="s">
        <v>461</v>
      </c>
      <c r="M171" t="s">
        <v>351</v>
      </c>
      <c r="N171" s="2">
        <v>79649154</v>
      </c>
      <c r="O171" t="s">
        <v>1034</v>
      </c>
      <c r="P171" t="s">
        <v>316</v>
      </c>
      <c r="Q171" t="s">
        <v>317</v>
      </c>
      <c r="R171">
        <v>8800691126</v>
      </c>
      <c r="S171" t="s">
        <v>319</v>
      </c>
      <c r="T171">
        <v>860034313</v>
      </c>
      <c r="U171" t="s">
        <v>355</v>
      </c>
      <c r="V171">
        <v>923245</v>
      </c>
      <c r="W171" t="s">
        <v>180</v>
      </c>
      <c r="X171" s="2" t="s">
        <v>29</v>
      </c>
      <c r="Y171" t="s">
        <v>30</v>
      </c>
      <c r="Z171" t="s">
        <v>31</v>
      </c>
      <c r="AA171" t="s">
        <v>32</v>
      </c>
      <c r="AB171" t="s">
        <v>33</v>
      </c>
      <c r="AC171" s="51">
        <v>3986243</v>
      </c>
      <c r="AD171">
        <v>0</v>
      </c>
      <c r="AE171" s="4">
        <v>0</v>
      </c>
      <c r="AF171" s="4">
        <v>0</v>
      </c>
      <c r="AG171" t="s">
        <v>462</v>
      </c>
      <c r="AH171">
        <v>0</v>
      </c>
      <c r="AI171">
        <v>0</v>
      </c>
      <c r="AJ171" s="2" t="s">
        <v>463</v>
      </c>
      <c r="AK171" s="2">
        <v>0</v>
      </c>
      <c r="AL171">
        <v>0</v>
      </c>
      <c r="AM171">
        <v>0</v>
      </c>
      <c r="AN171">
        <v>0</v>
      </c>
      <c r="AO171">
        <v>0</v>
      </c>
      <c r="AP171">
        <v>3825</v>
      </c>
      <c r="AQ171">
        <v>3825</v>
      </c>
      <c r="AR171">
        <v>11025</v>
      </c>
      <c r="AS171">
        <v>0</v>
      </c>
      <c r="AT171">
        <v>0</v>
      </c>
      <c r="AU171">
        <v>17525</v>
      </c>
      <c r="AV171">
        <v>64544525</v>
      </c>
      <c r="AW171">
        <v>0</v>
      </c>
      <c r="AX171" s="5">
        <v>45694</v>
      </c>
      <c r="AY171" t="s">
        <v>356</v>
      </c>
      <c r="AZ171" t="s">
        <v>1037</v>
      </c>
      <c r="BA171" t="s">
        <v>748</v>
      </c>
    </row>
    <row r="172" spans="1:53" ht="15" customHeight="1" x14ac:dyDescent="0.2">
      <c r="A172" t="s">
        <v>5016</v>
      </c>
      <c r="B172" t="s">
        <v>2321</v>
      </c>
      <c r="C172" t="s">
        <v>4917</v>
      </c>
      <c r="D172">
        <v>64544625</v>
      </c>
      <c r="E172" s="5">
        <v>45726</v>
      </c>
      <c r="F172" s="5">
        <v>45728.07708333333</v>
      </c>
      <c r="G172" s="4" t="s">
        <v>460</v>
      </c>
      <c r="H172" s="49">
        <v>3986243</v>
      </c>
      <c r="I172" s="49">
        <v>21190</v>
      </c>
      <c r="J172" s="50">
        <v>3965053</v>
      </c>
      <c r="K172" t="s">
        <v>2615</v>
      </c>
      <c r="L172" s="4" t="s">
        <v>461</v>
      </c>
      <c r="M172" t="s">
        <v>351</v>
      </c>
      <c r="N172" s="2">
        <v>80256718</v>
      </c>
      <c r="O172" t="s">
        <v>1039</v>
      </c>
      <c r="P172" t="s">
        <v>316</v>
      </c>
      <c r="Q172" t="s">
        <v>317</v>
      </c>
      <c r="R172">
        <v>24029372928</v>
      </c>
      <c r="S172" t="s">
        <v>319</v>
      </c>
      <c r="T172">
        <v>860007335</v>
      </c>
      <c r="U172" t="s">
        <v>381</v>
      </c>
      <c r="V172">
        <v>923245</v>
      </c>
      <c r="W172" t="s">
        <v>180</v>
      </c>
      <c r="X172" s="2" t="s">
        <v>29</v>
      </c>
      <c r="Y172" t="s">
        <v>30</v>
      </c>
      <c r="Z172" t="s">
        <v>31</v>
      </c>
      <c r="AA172" t="s">
        <v>32</v>
      </c>
      <c r="AB172" t="s">
        <v>33</v>
      </c>
      <c r="AC172" s="51">
        <v>3986243</v>
      </c>
      <c r="AD172">
        <v>0</v>
      </c>
      <c r="AE172" s="4">
        <v>0</v>
      </c>
      <c r="AF172" s="4">
        <v>0</v>
      </c>
      <c r="AG172" t="s">
        <v>462</v>
      </c>
      <c r="AH172">
        <v>0</v>
      </c>
      <c r="AI172">
        <v>0</v>
      </c>
      <c r="AJ172" s="2" t="s">
        <v>463</v>
      </c>
      <c r="AK172" s="2">
        <v>0</v>
      </c>
      <c r="AL172">
        <v>0</v>
      </c>
      <c r="AM172">
        <v>0</v>
      </c>
      <c r="AN172">
        <v>0</v>
      </c>
      <c r="AO172">
        <v>0</v>
      </c>
      <c r="AP172">
        <v>3825</v>
      </c>
      <c r="AQ172">
        <v>3825</v>
      </c>
      <c r="AR172">
        <v>11125</v>
      </c>
      <c r="AS172">
        <v>0</v>
      </c>
      <c r="AT172">
        <v>0</v>
      </c>
      <c r="AU172">
        <v>17625</v>
      </c>
      <c r="AV172">
        <v>64544625</v>
      </c>
      <c r="AW172">
        <v>0</v>
      </c>
      <c r="AX172" s="5">
        <v>45694</v>
      </c>
      <c r="AY172" t="s">
        <v>356</v>
      </c>
      <c r="AZ172" t="s">
        <v>1042</v>
      </c>
      <c r="BA172" t="s">
        <v>748</v>
      </c>
    </row>
    <row r="173" spans="1:53" ht="15" customHeight="1" x14ac:dyDescent="0.2">
      <c r="A173" t="s">
        <v>5017</v>
      </c>
      <c r="B173" t="s">
        <v>2322</v>
      </c>
      <c r="C173" t="s">
        <v>4917</v>
      </c>
      <c r="D173">
        <v>64544725</v>
      </c>
      <c r="E173" s="5">
        <v>45726</v>
      </c>
      <c r="F173" s="5">
        <v>45728.065972222219</v>
      </c>
      <c r="G173" s="4" t="s">
        <v>460</v>
      </c>
      <c r="H173" s="49">
        <v>3986243</v>
      </c>
      <c r="I173" s="49">
        <v>21190</v>
      </c>
      <c r="J173" s="50">
        <v>3965053</v>
      </c>
      <c r="K173" t="s">
        <v>2615</v>
      </c>
      <c r="L173" s="4" t="s">
        <v>461</v>
      </c>
      <c r="M173" t="s">
        <v>351</v>
      </c>
      <c r="N173" s="2">
        <v>79646599</v>
      </c>
      <c r="O173" t="s">
        <v>1044</v>
      </c>
      <c r="P173" t="s">
        <v>316</v>
      </c>
      <c r="Q173" t="s">
        <v>317</v>
      </c>
      <c r="R173">
        <v>719019905</v>
      </c>
      <c r="S173" t="s">
        <v>319</v>
      </c>
      <c r="T173">
        <v>890903937</v>
      </c>
      <c r="U173" t="s">
        <v>1046</v>
      </c>
      <c r="V173">
        <v>923245</v>
      </c>
      <c r="W173" t="s">
        <v>180</v>
      </c>
      <c r="X173" s="2" t="s">
        <v>29</v>
      </c>
      <c r="Y173" t="s">
        <v>30</v>
      </c>
      <c r="Z173" t="s">
        <v>31</v>
      </c>
      <c r="AA173" t="s">
        <v>32</v>
      </c>
      <c r="AB173" t="s">
        <v>33</v>
      </c>
      <c r="AC173" s="51">
        <v>3986243</v>
      </c>
      <c r="AD173">
        <v>0</v>
      </c>
      <c r="AE173" s="4">
        <v>0</v>
      </c>
      <c r="AF173" s="4">
        <v>0</v>
      </c>
      <c r="AG173" t="s">
        <v>462</v>
      </c>
      <c r="AH173">
        <v>0</v>
      </c>
      <c r="AI173">
        <v>0</v>
      </c>
      <c r="AJ173" s="2" t="s">
        <v>463</v>
      </c>
      <c r="AK173" s="2">
        <v>0</v>
      </c>
      <c r="AL173">
        <v>0</v>
      </c>
      <c r="AM173">
        <v>0</v>
      </c>
      <c r="AN173">
        <v>0</v>
      </c>
      <c r="AO173">
        <v>0</v>
      </c>
      <c r="AP173">
        <v>3825</v>
      </c>
      <c r="AQ173">
        <v>3825</v>
      </c>
      <c r="AR173">
        <v>11225</v>
      </c>
      <c r="AS173">
        <v>0</v>
      </c>
      <c r="AT173">
        <v>0</v>
      </c>
      <c r="AU173">
        <v>17725</v>
      </c>
      <c r="AV173">
        <v>64544725</v>
      </c>
      <c r="AW173">
        <v>0</v>
      </c>
      <c r="AX173" s="5">
        <v>45694</v>
      </c>
      <c r="AY173" t="s">
        <v>356</v>
      </c>
      <c r="AZ173" t="s">
        <v>1048</v>
      </c>
      <c r="BA173" t="s">
        <v>748</v>
      </c>
    </row>
    <row r="174" spans="1:53" ht="15" customHeight="1" x14ac:dyDescent="0.2">
      <c r="A174" t="s">
        <v>5018</v>
      </c>
      <c r="B174" t="s">
        <v>2323</v>
      </c>
      <c r="C174" t="s">
        <v>4917</v>
      </c>
      <c r="D174">
        <v>64548625</v>
      </c>
      <c r="E174" s="5">
        <v>45726</v>
      </c>
      <c r="F174" s="5">
        <v>45728.067361111112</v>
      </c>
      <c r="G174" s="4" t="s">
        <v>460</v>
      </c>
      <c r="H174" s="49">
        <v>3986243</v>
      </c>
      <c r="I174" s="49">
        <v>21190</v>
      </c>
      <c r="J174" s="50">
        <v>3965053</v>
      </c>
      <c r="K174" t="s">
        <v>2615</v>
      </c>
      <c r="L174" s="4" t="s">
        <v>461</v>
      </c>
      <c r="M174" t="s">
        <v>351</v>
      </c>
      <c r="N174" s="2">
        <v>79216079</v>
      </c>
      <c r="O174" t="s">
        <v>1050</v>
      </c>
      <c r="P174" t="s">
        <v>316</v>
      </c>
      <c r="Q174" t="s">
        <v>317</v>
      </c>
      <c r="R174">
        <v>22138251571</v>
      </c>
      <c r="S174" t="s">
        <v>319</v>
      </c>
      <c r="T174">
        <v>890903938</v>
      </c>
      <c r="U174" t="s">
        <v>342</v>
      </c>
      <c r="V174">
        <v>923245</v>
      </c>
      <c r="W174" t="s">
        <v>180</v>
      </c>
      <c r="X174" s="2" t="s">
        <v>29</v>
      </c>
      <c r="Y174" t="s">
        <v>30</v>
      </c>
      <c r="Z174" t="s">
        <v>31</v>
      </c>
      <c r="AA174" t="s">
        <v>32</v>
      </c>
      <c r="AB174" t="s">
        <v>33</v>
      </c>
      <c r="AC174" s="51">
        <v>3986243</v>
      </c>
      <c r="AD174">
        <v>0</v>
      </c>
      <c r="AE174" s="4">
        <v>0</v>
      </c>
      <c r="AF174" s="4">
        <v>0</v>
      </c>
      <c r="AG174" t="s">
        <v>462</v>
      </c>
      <c r="AH174">
        <v>0</v>
      </c>
      <c r="AI174">
        <v>0</v>
      </c>
      <c r="AJ174" s="2" t="s">
        <v>463</v>
      </c>
      <c r="AK174" s="2">
        <v>0</v>
      </c>
      <c r="AL174">
        <v>0</v>
      </c>
      <c r="AM174">
        <v>0</v>
      </c>
      <c r="AN174">
        <v>0</v>
      </c>
      <c r="AO174">
        <v>0</v>
      </c>
      <c r="AP174">
        <v>3825</v>
      </c>
      <c r="AQ174">
        <v>3825</v>
      </c>
      <c r="AR174">
        <v>11325</v>
      </c>
      <c r="AS174">
        <v>0</v>
      </c>
      <c r="AT174">
        <v>0</v>
      </c>
      <c r="AU174">
        <v>17825</v>
      </c>
      <c r="AV174">
        <v>64548625</v>
      </c>
      <c r="AW174">
        <v>0</v>
      </c>
      <c r="AX174" s="5">
        <v>45694</v>
      </c>
      <c r="AY174" t="s">
        <v>356</v>
      </c>
      <c r="AZ174" t="s">
        <v>1053</v>
      </c>
      <c r="BA174" t="s">
        <v>748</v>
      </c>
    </row>
    <row r="175" spans="1:53" ht="15" customHeight="1" x14ac:dyDescent="0.2">
      <c r="A175" t="s">
        <v>5019</v>
      </c>
      <c r="B175" t="s">
        <v>2324</v>
      </c>
      <c r="C175" t="s">
        <v>4917</v>
      </c>
      <c r="D175">
        <v>64549825</v>
      </c>
      <c r="E175" s="5">
        <v>45726</v>
      </c>
      <c r="F175" s="5">
        <v>45728.073611111111</v>
      </c>
      <c r="G175" s="4" t="s">
        <v>460</v>
      </c>
      <c r="H175" s="49">
        <v>3986243</v>
      </c>
      <c r="I175" s="49">
        <v>23190</v>
      </c>
      <c r="J175" s="50">
        <v>3963053</v>
      </c>
      <c r="K175" t="s">
        <v>2615</v>
      </c>
      <c r="L175" s="4" t="s">
        <v>461</v>
      </c>
      <c r="M175" t="s">
        <v>351</v>
      </c>
      <c r="N175" s="2">
        <v>1012439964</v>
      </c>
      <c r="O175" t="s">
        <v>1055</v>
      </c>
      <c r="P175" t="s">
        <v>316</v>
      </c>
      <c r="Q175" t="s">
        <v>317</v>
      </c>
      <c r="R175">
        <v>1300008356</v>
      </c>
      <c r="S175" t="s">
        <v>319</v>
      </c>
      <c r="T175">
        <v>890903938</v>
      </c>
      <c r="U175" t="s">
        <v>342</v>
      </c>
      <c r="V175">
        <v>923245</v>
      </c>
      <c r="W175" t="s">
        <v>180</v>
      </c>
      <c r="X175" s="2" t="s">
        <v>29</v>
      </c>
      <c r="Y175" t="s">
        <v>30</v>
      </c>
      <c r="Z175" t="s">
        <v>31</v>
      </c>
      <c r="AA175" t="s">
        <v>32</v>
      </c>
      <c r="AB175" t="s">
        <v>33</v>
      </c>
      <c r="AC175" s="51">
        <v>3986243</v>
      </c>
      <c r="AD175">
        <v>0</v>
      </c>
      <c r="AE175" s="4">
        <v>0</v>
      </c>
      <c r="AF175" s="4">
        <v>0</v>
      </c>
      <c r="AG175" t="s">
        <v>462</v>
      </c>
      <c r="AH175">
        <v>0</v>
      </c>
      <c r="AI175">
        <v>0</v>
      </c>
      <c r="AJ175" s="2" t="s">
        <v>463</v>
      </c>
      <c r="AK175" s="2">
        <v>0</v>
      </c>
      <c r="AL175">
        <v>0</v>
      </c>
      <c r="AM175">
        <v>0</v>
      </c>
      <c r="AN175">
        <v>0</v>
      </c>
      <c r="AO175">
        <v>0</v>
      </c>
      <c r="AP175">
        <v>3825</v>
      </c>
      <c r="AQ175">
        <v>3825</v>
      </c>
      <c r="AR175">
        <v>11425</v>
      </c>
      <c r="AS175">
        <v>0</v>
      </c>
      <c r="AT175">
        <v>0</v>
      </c>
      <c r="AU175">
        <v>17925</v>
      </c>
      <c r="AV175">
        <v>64549825</v>
      </c>
      <c r="AW175">
        <v>0</v>
      </c>
      <c r="AX175" s="5">
        <v>45694</v>
      </c>
      <c r="AY175" t="s">
        <v>356</v>
      </c>
      <c r="AZ175" t="s">
        <v>1058</v>
      </c>
      <c r="BA175" t="s">
        <v>748</v>
      </c>
    </row>
    <row r="176" spans="1:53" ht="15" customHeight="1" x14ac:dyDescent="0.2">
      <c r="A176" t="s">
        <v>5020</v>
      </c>
      <c r="B176" t="s">
        <v>2325</v>
      </c>
      <c r="C176" t="s">
        <v>4917</v>
      </c>
      <c r="D176">
        <v>64549925</v>
      </c>
      <c r="E176" s="5">
        <v>45726</v>
      </c>
      <c r="F176" s="5">
        <v>45728.07708333333</v>
      </c>
      <c r="G176" s="4" t="s">
        <v>460</v>
      </c>
      <c r="H176" s="49">
        <v>3986243</v>
      </c>
      <c r="I176" s="49">
        <v>21190</v>
      </c>
      <c r="J176" s="50">
        <v>3965053</v>
      </c>
      <c r="K176" t="s">
        <v>2615</v>
      </c>
      <c r="L176" s="4" t="s">
        <v>461</v>
      </c>
      <c r="M176" t="s">
        <v>351</v>
      </c>
      <c r="N176" s="2">
        <v>79221542</v>
      </c>
      <c r="O176" t="s">
        <v>1060</v>
      </c>
      <c r="P176" t="s">
        <v>316</v>
      </c>
      <c r="Q176" t="s">
        <v>317</v>
      </c>
      <c r="R176">
        <v>24042989684</v>
      </c>
      <c r="S176" t="s">
        <v>319</v>
      </c>
      <c r="T176">
        <v>860007335</v>
      </c>
      <c r="U176" t="s">
        <v>381</v>
      </c>
      <c r="V176">
        <v>923245</v>
      </c>
      <c r="W176" t="s">
        <v>180</v>
      </c>
      <c r="X176" s="2" t="s">
        <v>29</v>
      </c>
      <c r="Y176" t="s">
        <v>30</v>
      </c>
      <c r="Z176" t="s">
        <v>31</v>
      </c>
      <c r="AA176" t="s">
        <v>32</v>
      </c>
      <c r="AB176" t="s">
        <v>33</v>
      </c>
      <c r="AC176" s="51">
        <v>3986243</v>
      </c>
      <c r="AD176">
        <v>0</v>
      </c>
      <c r="AE176" s="4">
        <v>0</v>
      </c>
      <c r="AF176" s="4">
        <v>0</v>
      </c>
      <c r="AG176" t="s">
        <v>462</v>
      </c>
      <c r="AH176">
        <v>0</v>
      </c>
      <c r="AI176">
        <v>0</v>
      </c>
      <c r="AJ176" s="2" t="s">
        <v>463</v>
      </c>
      <c r="AK176" s="2">
        <v>0</v>
      </c>
      <c r="AL176">
        <v>0</v>
      </c>
      <c r="AM176">
        <v>0</v>
      </c>
      <c r="AN176">
        <v>0</v>
      </c>
      <c r="AO176">
        <v>0</v>
      </c>
      <c r="AP176">
        <v>3825</v>
      </c>
      <c r="AQ176">
        <v>3825</v>
      </c>
      <c r="AR176">
        <v>11525</v>
      </c>
      <c r="AS176">
        <v>0</v>
      </c>
      <c r="AT176">
        <v>0</v>
      </c>
      <c r="AU176">
        <v>18025</v>
      </c>
      <c r="AV176">
        <v>64549925</v>
      </c>
      <c r="AW176">
        <v>0</v>
      </c>
      <c r="AX176" s="5">
        <v>45694</v>
      </c>
      <c r="AY176" t="s">
        <v>356</v>
      </c>
      <c r="AZ176" t="s">
        <v>1063</v>
      </c>
      <c r="BA176" t="s">
        <v>748</v>
      </c>
    </row>
    <row r="177" spans="1:53" ht="15" customHeight="1" x14ac:dyDescent="0.2">
      <c r="A177" t="s">
        <v>5021</v>
      </c>
      <c r="B177" t="s">
        <v>2326</v>
      </c>
      <c r="C177" t="s">
        <v>4917</v>
      </c>
      <c r="D177">
        <v>64550025</v>
      </c>
      <c r="E177" s="5">
        <v>45726</v>
      </c>
      <c r="F177" s="5">
        <v>45728.067361111112</v>
      </c>
      <c r="G177" s="4" t="s">
        <v>460</v>
      </c>
      <c r="H177" s="49">
        <v>3986243</v>
      </c>
      <c r="I177" s="49">
        <v>21190</v>
      </c>
      <c r="J177" s="50">
        <v>3965053</v>
      </c>
      <c r="K177" t="s">
        <v>2615</v>
      </c>
      <c r="L177" s="4" t="s">
        <v>461</v>
      </c>
      <c r="M177" t="s">
        <v>351</v>
      </c>
      <c r="N177" s="2">
        <v>1032360333</v>
      </c>
      <c r="O177" t="s">
        <v>1065</v>
      </c>
      <c r="P177" t="s">
        <v>316</v>
      </c>
      <c r="Q177" t="s">
        <v>317</v>
      </c>
      <c r="R177">
        <v>21957392773</v>
      </c>
      <c r="S177" t="s">
        <v>319</v>
      </c>
      <c r="T177">
        <v>890903938</v>
      </c>
      <c r="U177" t="s">
        <v>342</v>
      </c>
      <c r="V177">
        <v>923245</v>
      </c>
      <c r="W177" t="s">
        <v>180</v>
      </c>
      <c r="X177" s="2" t="s">
        <v>29</v>
      </c>
      <c r="Y177" t="s">
        <v>30</v>
      </c>
      <c r="Z177" t="s">
        <v>31</v>
      </c>
      <c r="AA177" t="s">
        <v>32</v>
      </c>
      <c r="AB177" t="s">
        <v>33</v>
      </c>
      <c r="AC177" s="51">
        <v>3986243</v>
      </c>
      <c r="AD177">
        <v>0</v>
      </c>
      <c r="AE177" s="4">
        <v>0</v>
      </c>
      <c r="AF177" s="4">
        <v>0</v>
      </c>
      <c r="AG177" t="s">
        <v>462</v>
      </c>
      <c r="AH177">
        <v>0</v>
      </c>
      <c r="AI177">
        <v>0</v>
      </c>
      <c r="AJ177" s="2" t="s">
        <v>463</v>
      </c>
      <c r="AK177" s="2">
        <v>0</v>
      </c>
      <c r="AL177">
        <v>0</v>
      </c>
      <c r="AM177">
        <v>0</v>
      </c>
      <c r="AN177">
        <v>0</v>
      </c>
      <c r="AO177">
        <v>0</v>
      </c>
      <c r="AP177">
        <v>3825</v>
      </c>
      <c r="AQ177">
        <v>3825</v>
      </c>
      <c r="AR177">
        <v>11625</v>
      </c>
      <c r="AS177">
        <v>0</v>
      </c>
      <c r="AT177">
        <v>0</v>
      </c>
      <c r="AU177">
        <v>18125</v>
      </c>
      <c r="AV177">
        <v>64550025</v>
      </c>
      <c r="AW177">
        <v>0</v>
      </c>
      <c r="AX177" s="5">
        <v>45694</v>
      </c>
      <c r="AY177" t="s">
        <v>356</v>
      </c>
      <c r="AZ177" t="s">
        <v>1068</v>
      </c>
      <c r="BA177" t="s">
        <v>748</v>
      </c>
    </row>
    <row r="178" spans="1:53" ht="15" customHeight="1" x14ac:dyDescent="0.2">
      <c r="A178" t="s">
        <v>5022</v>
      </c>
      <c r="B178" t="s">
        <v>2327</v>
      </c>
      <c r="C178" t="s">
        <v>4917</v>
      </c>
      <c r="D178">
        <v>64550125</v>
      </c>
      <c r="E178" s="5">
        <v>45726</v>
      </c>
      <c r="F178" s="5">
        <v>45728.075694444444</v>
      </c>
      <c r="G178" s="4" t="s">
        <v>460</v>
      </c>
      <c r="H178" s="49">
        <v>3986243</v>
      </c>
      <c r="I178" s="49">
        <v>21190</v>
      </c>
      <c r="J178" s="50">
        <v>3965053</v>
      </c>
      <c r="K178" t="s">
        <v>2615</v>
      </c>
      <c r="L178" s="4" t="s">
        <v>461</v>
      </c>
      <c r="M178" t="s">
        <v>351</v>
      </c>
      <c r="N178" s="2">
        <v>79938816</v>
      </c>
      <c r="O178" t="s">
        <v>1070</v>
      </c>
      <c r="P178" t="s">
        <v>316</v>
      </c>
      <c r="Q178" t="s">
        <v>317</v>
      </c>
      <c r="R178">
        <v>6882035148</v>
      </c>
      <c r="S178" t="s">
        <v>319</v>
      </c>
      <c r="T178">
        <v>860034594</v>
      </c>
      <c r="U178" t="s">
        <v>374</v>
      </c>
      <c r="V178">
        <v>923245</v>
      </c>
      <c r="W178" t="s">
        <v>180</v>
      </c>
      <c r="X178" s="2" t="s">
        <v>29</v>
      </c>
      <c r="Y178" t="s">
        <v>30</v>
      </c>
      <c r="Z178" t="s">
        <v>31</v>
      </c>
      <c r="AA178" t="s">
        <v>32</v>
      </c>
      <c r="AB178" t="s">
        <v>33</v>
      </c>
      <c r="AC178" s="51">
        <v>3986243</v>
      </c>
      <c r="AD178">
        <v>0</v>
      </c>
      <c r="AE178" s="4">
        <v>0</v>
      </c>
      <c r="AF178" s="4">
        <v>0</v>
      </c>
      <c r="AG178" t="s">
        <v>462</v>
      </c>
      <c r="AH178">
        <v>0</v>
      </c>
      <c r="AI178">
        <v>0</v>
      </c>
      <c r="AJ178" s="2" t="s">
        <v>463</v>
      </c>
      <c r="AK178" s="2">
        <v>0</v>
      </c>
      <c r="AL178">
        <v>0</v>
      </c>
      <c r="AM178">
        <v>0</v>
      </c>
      <c r="AN178">
        <v>0</v>
      </c>
      <c r="AO178">
        <v>0</v>
      </c>
      <c r="AP178">
        <v>3825</v>
      </c>
      <c r="AQ178">
        <v>3825</v>
      </c>
      <c r="AR178">
        <v>11725</v>
      </c>
      <c r="AS178">
        <v>0</v>
      </c>
      <c r="AT178">
        <v>0</v>
      </c>
      <c r="AU178">
        <v>18225</v>
      </c>
      <c r="AV178">
        <v>64550125</v>
      </c>
      <c r="AW178">
        <v>0</v>
      </c>
      <c r="AX178" s="5">
        <v>45694</v>
      </c>
      <c r="AY178" t="s">
        <v>356</v>
      </c>
      <c r="AZ178" t="s">
        <v>1073</v>
      </c>
      <c r="BA178" t="s">
        <v>748</v>
      </c>
    </row>
    <row r="179" spans="1:53" ht="15" customHeight="1" x14ac:dyDescent="0.2">
      <c r="A179" t="s">
        <v>5023</v>
      </c>
      <c r="B179" t="s">
        <v>2328</v>
      </c>
      <c r="C179" t="s">
        <v>4917</v>
      </c>
      <c r="D179">
        <v>64550325</v>
      </c>
      <c r="E179" s="5">
        <v>45726</v>
      </c>
      <c r="F179" s="5">
        <v>45728.067361111112</v>
      </c>
      <c r="G179" s="4" t="s">
        <v>460</v>
      </c>
      <c r="H179" s="49">
        <v>3986243</v>
      </c>
      <c r="I179" s="49">
        <v>21190</v>
      </c>
      <c r="J179" s="50">
        <v>3965053</v>
      </c>
      <c r="K179" t="s">
        <v>2615</v>
      </c>
      <c r="L179" s="4" t="s">
        <v>461</v>
      </c>
      <c r="M179" t="s">
        <v>351</v>
      </c>
      <c r="N179" s="2">
        <v>52529189</v>
      </c>
      <c r="O179" t="s">
        <v>1075</v>
      </c>
      <c r="P179" t="s">
        <v>316</v>
      </c>
      <c r="Q179" t="s">
        <v>317</v>
      </c>
      <c r="R179">
        <v>29993986290</v>
      </c>
      <c r="S179" t="s">
        <v>319</v>
      </c>
      <c r="T179">
        <v>890903938</v>
      </c>
      <c r="U179" t="s">
        <v>342</v>
      </c>
      <c r="V179">
        <v>923245</v>
      </c>
      <c r="W179" t="s">
        <v>180</v>
      </c>
      <c r="X179" s="2" t="s">
        <v>29</v>
      </c>
      <c r="Y179" t="s">
        <v>30</v>
      </c>
      <c r="Z179" t="s">
        <v>31</v>
      </c>
      <c r="AA179" t="s">
        <v>32</v>
      </c>
      <c r="AB179" t="s">
        <v>33</v>
      </c>
      <c r="AC179" s="51">
        <v>3986243</v>
      </c>
      <c r="AD179">
        <v>0</v>
      </c>
      <c r="AE179" s="4">
        <v>0</v>
      </c>
      <c r="AF179" s="4">
        <v>0</v>
      </c>
      <c r="AG179" t="s">
        <v>462</v>
      </c>
      <c r="AH179">
        <v>0</v>
      </c>
      <c r="AI179">
        <v>0</v>
      </c>
      <c r="AJ179" s="2" t="s">
        <v>463</v>
      </c>
      <c r="AK179" s="2">
        <v>0</v>
      </c>
      <c r="AL179">
        <v>0</v>
      </c>
      <c r="AM179">
        <v>0</v>
      </c>
      <c r="AN179">
        <v>0</v>
      </c>
      <c r="AO179">
        <v>0</v>
      </c>
      <c r="AP179">
        <v>3825</v>
      </c>
      <c r="AQ179">
        <v>3825</v>
      </c>
      <c r="AR179">
        <v>11825</v>
      </c>
      <c r="AS179">
        <v>0</v>
      </c>
      <c r="AT179">
        <v>0</v>
      </c>
      <c r="AU179">
        <v>18325</v>
      </c>
      <c r="AV179">
        <v>64550325</v>
      </c>
      <c r="AW179">
        <v>0</v>
      </c>
      <c r="AX179" s="5">
        <v>45694</v>
      </c>
      <c r="AY179" t="s">
        <v>356</v>
      </c>
      <c r="AZ179" t="s">
        <v>1078</v>
      </c>
      <c r="BA179" t="s">
        <v>748</v>
      </c>
    </row>
    <row r="180" spans="1:53" ht="15" customHeight="1" x14ac:dyDescent="0.2">
      <c r="A180" t="s">
        <v>5024</v>
      </c>
      <c r="B180" t="s">
        <v>2329</v>
      </c>
      <c r="C180" t="s">
        <v>4917</v>
      </c>
      <c r="D180">
        <v>64550425</v>
      </c>
      <c r="E180" s="5">
        <v>45726</v>
      </c>
      <c r="F180" s="5">
        <v>45728.077777777777</v>
      </c>
      <c r="G180" s="4" t="s">
        <v>460</v>
      </c>
      <c r="H180" s="49">
        <v>3986243</v>
      </c>
      <c r="I180" s="49">
        <v>21190</v>
      </c>
      <c r="J180" s="50">
        <v>3965053</v>
      </c>
      <c r="K180" t="s">
        <v>2615</v>
      </c>
      <c r="L180" s="4" t="s">
        <v>461</v>
      </c>
      <c r="M180" t="s">
        <v>351</v>
      </c>
      <c r="N180" s="2">
        <v>52542737</v>
      </c>
      <c r="O180" t="s">
        <v>1080</v>
      </c>
      <c r="P180" t="s">
        <v>316</v>
      </c>
      <c r="Q180" t="s">
        <v>317</v>
      </c>
      <c r="R180">
        <v>668827129</v>
      </c>
      <c r="S180" t="s">
        <v>319</v>
      </c>
      <c r="T180">
        <v>860035827</v>
      </c>
      <c r="U180" t="s">
        <v>653</v>
      </c>
      <c r="V180">
        <v>923245</v>
      </c>
      <c r="W180" t="s">
        <v>180</v>
      </c>
      <c r="X180" s="2" t="s">
        <v>29</v>
      </c>
      <c r="Y180" t="s">
        <v>30</v>
      </c>
      <c r="Z180" t="s">
        <v>31</v>
      </c>
      <c r="AA180" t="s">
        <v>32</v>
      </c>
      <c r="AB180" t="s">
        <v>33</v>
      </c>
      <c r="AC180" s="51">
        <v>3986243</v>
      </c>
      <c r="AD180">
        <v>0</v>
      </c>
      <c r="AE180" s="4">
        <v>0</v>
      </c>
      <c r="AF180" s="4">
        <v>0</v>
      </c>
      <c r="AG180" t="s">
        <v>462</v>
      </c>
      <c r="AH180">
        <v>0</v>
      </c>
      <c r="AI180">
        <v>0</v>
      </c>
      <c r="AJ180" s="2" t="s">
        <v>463</v>
      </c>
      <c r="AK180" s="2">
        <v>0</v>
      </c>
      <c r="AL180">
        <v>0</v>
      </c>
      <c r="AM180">
        <v>0</v>
      </c>
      <c r="AN180">
        <v>0</v>
      </c>
      <c r="AO180">
        <v>0</v>
      </c>
      <c r="AP180">
        <v>3825</v>
      </c>
      <c r="AQ180">
        <v>3825</v>
      </c>
      <c r="AR180">
        <v>11925</v>
      </c>
      <c r="AS180">
        <v>0</v>
      </c>
      <c r="AT180">
        <v>0</v>
      </c>
      <c r="AU180">
        <v>18425</v>
      </c>
      <c r="AV180">
        <v>64550425</v>
      </c>
      <c r="AW180">
        <v>0</v>
      </c>
      <c r="AX180" s="5">
        <v>45694</v>
      </c>
      <c r="AY180" t="s">
        <v>356</v>
      </c>
      <c r="AZ180" t="s">
        <v>1083</v>
      </c>
      <c r="BA180" t="s">
        <v>748</v>
      </c>
    </row>
    <row r="181" spans="1:53" ht="15" customHeight="1" x14ac:dyDescent="0.2">
      <c r="A181" t="s">
        <v>5025</v>
      </c>
      <c r="B181" t="s">
        <v>2330</v>
      </c>
      <c r="C181" t="s">
        <v>4917</v>
      </c>
      <c r="D181">
        <v>64550525</v>
      </c>
      <c r="E181" s="5">
        <v>45726</v>
      </c>
      <c r="F181" s="5">
        <v>45728.07708333333</v>
      </c>
      <c r="G181" s="4" t="s">
        <v>460</v>
      </c>
      <c r="H181" s="49">
        <v>3986243</v>
      </c>
      <c r="I181" s="49">
        <v>21190</v>
      </c>
      <c r="J181" s="50">
        <v>3965053</v>
      </c>
      <c r="K181" t="s">
        <v>2615</v>
      </c>
      <c r="L181" s="4" t="s">
        <v>461</v>
      </c>
      <c r="M181" t="s">
        <v>351</v>
      </c>
      <c r="N181" s="2">
        <v>52545500</v>
      </c>
      <c r="O181" t="s">
        <v>1085</v>
      </c>
      <c r="P181" t="s">
        <v>316</v>
      </c>
      <c r="Q181" t="s">
        <v>317</v>
      </c>
      <c r="R181">
        <v>24123166474</v>
      </c>
      <c r="S181" t="s">
        <v>319</v>
      </c>
      <c r="T181">
        <v>860007335</v>
      </c>
      <c r="U181" t="s">
        <v>381</v>
      </c>
      <c r="V181">
        <v>923245</v>
      </c>
      <c r="W181" t="s">
        <v>180</v>
      </c>
      <c r="X181" s="2" t="s">
        <v>29</v>
      </c>
      <c r="Y181" t="s">
        <v>30</v>
      </c>
      <c r="Z181" t="s">
        <v>31</v>
      </c>
      <c r="AA181" t="s">
        <v>32</v>
      </c>
      <c r="AB181" t="s">
        <v>33</v>
      </c>
      <c r="AC181" s="51">
        <v>3986243</v>
      </c>
      <c r="AD181">
        <v>0</v>
      </c>
      <c r="AE181" s="4">
        <v>0</v>
      </c>
      <c r="AF181" s="4">
        <v>0</v>
      </c>
      <c r="AG181" t="s">
        <v>462</v>
      </c>
      <c r="AH181">
        <v>0</v>
      </c>
      <c r="AI181">
        <v>0</v>
      </c>
      <c r="AJ181" s="2" t="s">
        <v>463</v>
      </c>
      <c r="AK181" s="2">
        <v>0</v>
      </c>
      <c r="AL181">
        <v>0</v>
      </c>
      <c r="AM181">
        <v>0</v>
      </c>
      <c r="AN181">
        <v>0</v>
      </c>
      <c r="AO181">
        <v>0</v>
      </c>
      <c r="AP181">
        <v>3825</v>
      </c>
      <c r="AQ181">
        <v>3825</v>
      </c>
      <c r="AR181">
        <v>12025</v>
      </c>
      <c r="AS181">
        <v>0</v>
      </c>
      <c r="AT181">
        <v>0</v>
      </c>
      <c r="AU181">
        <v>18525</v>
      </c>
      <c r="AV181">
        <v>64550525</v>
      </c>
      <c r="AW181">
        <v>0</v>
      </c>
      <c r="AX181" s="5">
        <v>45694</v>
      </c>
      <c r="AY181" t="s">
        <v>356</v>
      </c>
      <c r="AZ181" t="s">
        <v>1088</v>
      </c>
      <c r="BA181" t="s">
        <v>748</v>
      </c>
    </row>
    <row r="182" spans="1:53" ht="15" customHeight="1" x14ac:dyDescent="0.2">
      <c r="A182" t="s">
        <v>5026</v>
      </c>
      <c r="B182" t="s">
        <v>2331</v>
      </c>
      <c r="C182" t="s">
        <v>4917</v>
      </c>
      <c r="D182">
        <v>64550625</v>
      </c>
      <c r="E182" s="5">
        <v>45726</v>
      </c>
      <c r="F182" s="5">
        <v>45728.07708333333</v>
      </c>
      <c r="G182" s="4" t="s">
        <v>460</v>
      </c>
      <c r="H182" s="49">
        <v>3986243</v>
      </c>
      <c r="I182" s="49">
        <v>21190</v>
      </c>
      <c r="J182" s="50">
        <v>3965053</v>
      </c>
      <c r="K182" t="s">
        <v>2615</v>
      </c>
      <c r="L182" s="4" t="s">
        <v>461</v>
      </c>
      <c r="M182" t="s">
        <v>351</v>
      </c>
      <c r="N182" s="2">
        <v>52823268</v>
      </c>
      <c r="O182" t="s">
        <v>1090</v>
      </c>
      <c r="P182" t="s">
        <v>316</v>
      </c>
      <c r="Q182" t="s">
        <v>317</v>
      </c>
      <c r="R182">
        <v>24121119814</v>
      </c>
      <c r="S182" t="s">
        <v>319</v>
      </c>
      <c r="T182">
        <v>860007335</v>
      </c>
      <c r="U182" t="s">
        <v>381</v>
      </c>
      <c r="V182">
        <v>923245</v>
      </c>
      <c r="W182" t="s">
        <v>180</v>
      </c>
      <c r="X182" s="2" t="s">
        <v>29</v>
      </c>
      <c r="Y182" t="s">
        <v>30</v>
      </c>
      <c r="Z182" t="s">
        <v>31</v>
      </c>
      <c r="AA182" t="s">
        <v>32</v>
      </c>
      <c r="AB182" t="s">
        <v>33</v>
      </c>
      <c r="AC182" s="51">
        <v>3986243</v>
      </c>
      <c r="AD182">
        <v>0</v>
      </c>
      <c r="AE182" s="4">
        <v>0</v>
      </c>
      <c r="AF182" s="4">
        <v>0</v>
      </c>
      <c r="AG182" t="s">
        <v>462</v>
      </c>
      <c r="AH182">
        <v>0</v>
      </c>
      <c r="AI182">
        <v>0</v>
      </c>
      <c r="AJ182" s="2" t="s">
        <v>463</v>
      </c>
      <c r="AK182" s="2">
        <v>0</v>
      </c>
      <c r="AL182">
        <v>0</v>
      </c>
      <c r="AM182">
        <v>0</v>
      </c>
      <c r="AN182">
        <v>0</v>
      </c>
      <c r="AO182">
        <v>0</v>
      </c>
      <c r="AP182">
        <v>3825</v>
      </c>
      <c r="AQ182">
        <v>3825</v>
      </c>
      <c r="AR182">
        <v>12125</v>
      </c>
      <c r="AS182">
        <v>0</v>
      </c>
      <c r="AT182">
        <v>0</v>
      </c>
      <c r="AU182">
        <v>18625</v>
      </c>
      <c r="AV182">
        <v>64550625</v>
      </c>
      <c r="AW182">
        <v>0</v>
      </c>
      <c r="AX182" s="5">
        <v>45694</v>
      </c>
      <c r="AY182" t="s">
        <v>356</v>
      </c>
      <c r="AZ182" t="s">
        <v>1093</v>
      </c>
      <c r="BA182" t="s">
        <v>748</v>
      </c>
    </row>
    <row r="183" spans="1:53" ht="15" customHeight="1" x14ac:dyDescent="0.2">
      <c r="A183" t="s">
        <v>5027</v>
      </c>
      <c r="B183" t="s">
        <v>2332</v>
      </c>
      <c r="C183" t="s">
        <v>4917</v>
      </c>
      <c r="D183">
        <v>64550725</v>
      </c>
      <c r="E183" s="5">
        <v>45726</v>
      </c>
      <c r="F183" s="5">
        <v>45728.067361111112</v>
      </c>
      <c r="G183" s="4" t="s">
        <v>460</v>
      </c>
      <c r="H183" s="49">
        <v>3986243</v>
      </c>
      <c r="I183" s="49">
        <v>21190</v>
      </c>
      <c r="J183" s="50">
        <v>3965053</v>
      </c>
      <c r="K183" t="s">
        <v>2615</v>
      </c>
      <c r="L183" s="4" t="s">
        <v>461</v>
      </c>
      <c r="M183" t="s">
        <v>351</v>
      </c>
      <c r="N183" s="2">
        <v>20996655</v>
      </c>
      <c r="O183" t="s">
        <v>1095</v>
      </c>
      <c r="P183" t="s">
        <v>316</v>
      </c>
      <c r="Q183" t="s">
        <v>317</v>
      </c>
      <c r="R183">
        <v>26444357818</v>
      </c>
      <c r="S183" t="s">
        <v>319</v>
      </c>
      <c r="T183">
        <v>890903938</v>
      </c>
      <c r="U183" t="s">
        <v>342</v>
      </c>
      <c r="V183">
        <v>923245</v>
      </c>
      <c r="W183" t="s">
        <v>180</v>
      </c>
      <c r="X183" s="2" t="s">
        <v>29</v>
      </c>
      <c r="Y183" t="s">
        <v>30</v>
      </c>
      <c r="Z183" t="s">
        <v>31</v>
      </c>
      <c r="AA183" t="s">
        <v>32</v>
      </c>
      <c r="AB183" t="s">
        <v>33</v>
      </c>
      <c r="AC183" s="51">
        <v>3986243</v>
      </c>
      <c r="AD183">
        <v>0</v>
      </c>
      <c r="AE183" s="4">
        <v>0</v>
      </c>
      <c r="AF183" s="4">
        <v>0</v>
      </c>
      <c r="AG183" t="s">
        <v>462</v>
      </c>
      <c r="AH183">
        <v>0</v>
      </c>
      <c r="AI183">
        <v>0</v>
      </c>
      <c r="AJ183" s="2" t="s">
        <v>463</v>
      </c>
      <c r="AK183" s="2">
        <v>0</v>
      </c>
      <c r="AL183">
        <v>0</v>
      </c>
      <c r="AM183">
        <v>0</v>
      </c>
      <c r="AN183">
        <v>0</v>
      </c>
      <c r="AO183">
        <v>0</v>
      </c>
      <c r="AP183">
        <v>3825</v>
      </c>
      <c r="AQ183">
        <v>3825</v>
      </c>
      <c r="AR183">
        <v>12225</v>
      </c>
      <c r="AS183">
        <v>0</v>
      </c>
      <c r="AT183">
        <v>0</v>
      </c>
      <c r="AU183">
        <v>18725</v>
      </c>
      <c r="AV183">
        <v>64550725</v>
      </c>
      <c r="AW183">
        <v>0</v>
      </c>
      <c r="AX183" s="5">
        <v>45694</v>
      </c>
      <c r="AY183" t="s">
        <v>356</v>
      </c>
      <c r="AZ183" t="s">
        <v>1098</v>
      </c>
      <c r="BA183" t="s">
        <v>748</v>
      </c>
    </row>
    <row r="184" spans="1:53" ht="15" customHeight="1" x14ac:dyDescent="0.2">
      <c r="A184" t="s">
        <v>5028</v>
      </c>
      <c r="B184" t="s">
        <v>2333</v>
      </c>
      <c r="C184" t="s">
        <v>4917</v>
      </c>
      <c r="D184">
        <v>64550825</v>
      </c>
      <c r="E184" s="5">
        <v>45726</v>
      </c>
      <c r="F184" s="5">
        <v>45728.075694444444</v>
      </c>
      <c r="G184" s="4" t="s">
        <v>460</v>
      </c>
      <c r="H184" s="49">
        <v>3986243</v>
      </c>
      <c r="I184" s="49">
        <v>21190</v>
      </c>
      <c r="J184" s="50">
        <v>3965053</v>
      </c>
      <c r="K184" t="s">
        <v>2615</v>
      </c>
      <c r="L184" s="4" t="s">
        <v>461</v>
      </c>
      <c r="M184" t="s">
        <v>351</v>
      </c>
      <c r="N184" s="2">
        <v>34990465</v>
      </c>
      <c r="O184" t="s">
        <v>1100</v>
      </c>
      <c r="P184" t="s">
        <v>316</v>
      </c>
      <c r="Q184" t="s">
        <v>317</v>
      </c>
      <c r="R184">
        <v>4942013216</v>
      </c>
      <c r="S184" t="s">
        <v>319</v>
      </c>
      <c r="T184">
        <v>860034594</v>
      </c>
      <c r="U184" t="s">
        <v>374</v>
      </c>
      <c r="V184">
        <v>923245</v>
      </c>
      <c r="W184" t="s">
        <v>180</v>
      </c>
      <c r="X184" s="2" t="s">
        <v>29</v>
      </c>
      <c r="Y184" t="s">
        <v>30</v>
      </c>
      <c r="Z184" t="s">
        <v>31</v>
      </c>
      <c r="AA184" t="s">
        <v>32</v>
      </c>
      <c r="AB184" t="s">
        <v>33</v>
      </c>
      <c r="AC184" s="51">
        <v>3986243</v>
      </c>
      <c r="AD184">
        <v>0</v>
      </c>
      <c r="AE184" s="4">
        <v>0</v>
      </c>
      <c r="AF184" s="4">
        <v>0</v>
      </c>
      <c r="AG184" t="s">
        <v>462</v>
      </c>
      <c r="AH184">
        <v>0</v>
      </c>
      <c r="AI184">
        <v>0</v>
      </c>
      <c r="AJ184" s="2" t="s">
        <v>463</v>
      </c>
      <c r="AK184" s="2">
        <v>0</v>
      </c>
      <c r="AL184">
        <v>0</v>
      </c>
      <c r="AM184">
        <v>0</v>
      </c>
      <c r="AN184">
        <v>0</v>
      </c>
      <c r="AO184">
        <v>0</v>
      </c>
      <c r="AP184">
        <v>3825</v>
      </c>
      <c r="AQ184">
        <v>3825</v>
      </c>
      <c r="AR184">
        <v>12325</v>
      </c>
      <c r="AS184">
        <v>0</v>
      </c>
      <c r="AT184">
        <v>0</v>
      </c>
      <c r="AU184">
        <v>18825</v>
      </c>
      <c r="AV184">
        <v>64550825</v>
      </c>
      <c r="AW184">
        <v>0</v>
      </c>
      <c r="AX184" s="5">
        <v>45694</v>
      </c>
      <c r="AY184" t="s">
        <v>356</v>
      </c>
      <c r="AZ184" t="s">
        <v>1103</v>
      </c>
      <c r="BA184" t="s">
        <v>748</v>
      </c>
    </row>
    <row r="185" spans="1:53" ht="15" customHeight="1" x14ac:dyDescent="0.2">
      <c r="A185" t="s">
        <v>5029</v>
      </c>
      <c r="B185" t="s">
        <v>2334</v>
      </c>
      <c r="C185" t="s">
        <v>4917</v>
      </c>
      <c r="D185">
        <v>64550925</v>
      </c>
      <c r="E185" s="5">
        <v>45726</v>
      </c>
      <c r="F185" s="5">
        <v>45728.07916666667</v>
      </c>
      <c r="G185" s="4" t="s">
        <v>460</v>
      </c>
      <c r="H185" s="49">
        <v>3986243</v>
      </c>
      <c r="I185" s="49">
        <v>21190</v>
      </c>
      <c r="J185" s="50">
        <v>3965053</v>
      </c>
      <c r="K185" t="s">
        <v>2615</v>
      </c>
      <c r="L185" s="4" t="s">
        <v>461</v>
      </c>
      <c r="M185" t="s">
        <v>351</v>
      </c>
      <c r="N185" s="2">
        <v>93370817</v>
      </c>
      <c r="O185" t="s">
        <v>1105</v>
      </c>
      <c r="P185" t="s">
        <v>316</v>
      </c>
      <c r="Q185" t="s">
        <v>317</v>
      </c>
      <c r="R185">
        <v>18716555</v>
      </c>
      <c r="S185" t="s">
        <v>319</v>
      </c>
      <c r="T185">
        <v>860034313</v>
      </c>
      <c r="U185" t="s">
        <v>355</v>
      </c>
      <c r="V185">
        <v>923245</v>
      </c>
      <c r="W185" t="s">
        <v>180</v>
      </c>
      <c r="X185" s="2" t="s">
        <v>29</v>
      </c>
      <c r="Y185" t="s">
        <v>30</v>
      </c>
      <c r="Z185" t="s">
        <v>31</v>
      </c>
      <c r="AA185" t="s">
        <v>32</v>
      </c>
      <c r="AB185" t="s">
        <v>33</v>
      </c>
      <c r="AC185" s="51">
        <v>3986243</v>
      </c>
      <c r="AD185">
        <v>0</v>
      </c>
      <c r="AE185" s="4">
        <v>0</v>
      </c>
      <c r="AF185" s="4">
        <v>0</v>
      </c>
      <c r="AG185" t="s">
        <v>462</v>
      </c>
      <c r="AH185">
        <v>0</v>
      </c>
      <c r="AI185">
        <v>0</v>
      </c>
      <c r="AJ185" s="2" t="s">
        <v>463</v>
      </c>
      <c r="AK185" s="2">
        <v>0</v>
      </c>
      <c r="AL185">
        <v>0</v>
      </c>
      <c r="AM185">
        <v>0</v>
      </c>
      <c r="AN185">
        <v>0</v>
      </c>
      <c r="AO185">
        <v>0</v>
      </c>
      <c r="AP185">
        <v>3825</v>
      </c>
      <c r="AQ185">
        <v>3825</v>
      </c>
      <c r="AR185">
        <v>12425</v>
      </c>
      <c r="AS185">
        <v>0</v>
      </c>
      <c r="AT185">
        <v>0</v>
      </c>
      <c r="AU185">
        <v>18925</v>
      </c>
      <c r="AV185">
        <v>64550925</v>
      </c>
      <c r="AW185">
        <v>0</v>
      </c>
      <c r="AX185" s="5">
        <v>45694</v>
      </c>
      <c r="AY185" t="s">
        <v>356</v>
      </c>
      <c r="AZ185" t="s">
        <v>1108</v>
      </c>
      <c r="BA185" t="s">
        <v>748</v>
      </c>
    </row>
    <row r="186" spans="1:53" ht="15" customHeight="1" x14ac:dyDescent="0.2">
      <c r="A186" t="s">
        <v>5030</v>
      </c>
      <c r="B186" t="s">
        <v>2335</v>
      </c>
      <c r="C186" t="s">
        <v>4917</v>
      </c>
      <c r="D186">
        <v>64551025</v>
      </c>
      <c r="E186" s="5">
        <v>45726</v>
      </c>
      <c r="F186" s="5">
        <v>45728.067361111112</v>
      </c>
      <c r="G186" s="4" t="s">
        <v>460</v>
      </c>
      <c r="H186" s="49">
        <v>3986243</v>
      </c>
      <c r="I186" s="49">
        <v>21190</v>
      </c>
      <c r="J186" s="50">
        <v>3965053</v>
      </c>
      <c r="K186" t="s">
        <v>2615</v>
      </c>
      <c r="L186" s="4" t="s">
        <v>461</v>
      </c>
      <c r="M186" t="s">
        <v>351</v>
      </c>
      <c r="N186" s="2">
        <v>79643322</v>
      </c>
      <c r="O186" t="s">
        <v>1110</v>
      </c>
      <c r="P186" t="s">
        <v>316</v>
      </c>
      <c r="Q186" t="s">
        <v>317</v>
      </c>
      <c r="R186">
        <v>20067023804</v>
      </c>
      <c r="S186" t="s">
        <v>319</v>
      </c>
      <c r="T186">
        <v>890903938</v>
      </c>
      <c r="U186" t="s">
        <v>342</v>
      </c>
      <c r="V186">
        <v>923245</v>
      </c>
      <c r="W186" t="s">
        <v>180</v>
      </c>
      <c r="X186" s="2" t="s">
        <v>29</v>
      </c>
      <c r="Y186" t="s">
        <v>30</v>
      </c>
      <c r="Z186" t="s">
        <v>31</v>
      </c>
      <c r="AA186" t="s">
        <v>32</v>
      </c>
      <c r="AB186" t="s">
        <v>33</v>
      </c>
      <c r="AC186" s="51">
        <v>3986243</v>
      </c>
      <c r="AD186">
        <v>0</v>
      </c>
      <c r="AE186" s="4">
        <v>0</v>
      </c>
      <c r="AF186" s="4">
        <v>0</v>
      </c>
      <c r="AG186" t="s">
        <v>462</v>
      </c>
      <c r="AH186">
        <v>0</v>
      </c>
      <c r="AI186">
        <v>0</v>
      </c>
      <c r="AJ186" s="2" t="s">
        <v>463</v>
      </c>
      <c r="AK186" s="2">
        <v>0</v>
      </c>
      <c r="AL186">
        <v>0</v>
      </c>
      <c r="AM186">
        <v>0</v>
      </c>
      <c r="AN186">
        <v>0</v>
      </c>
      <c r="AO186">
        <v>0</v>
      </c>
      <c r="AP186">
        <v>3825</v>
      </c>
      <c r="AQ186">
        <v>3825</v>
      </c>
      <c r="AR186">
        <v>12525</v>
      </c>
      <c r="AS186">
        <v>0</v>
      </c>
      <c r="AT186">
        <v>0</v>
      </c>
      <c r="AU186">
        <v>19025</v>
      </c>
      <c r="AV186">
        <v>64551025</v>
      </c>
      <c r="AW186">
        <v>0</v>
      </c>
      <c r="AX186" s="5">
        <v>45694</v>
      </c>
      <c r="AY186" t="s">
        <v>356</v>
      </c>
      <c r="AZ186" t="s">
        <v>1113</v>
      </c>
      <c r="BA186" t="s">
        <v>748</v>
      </c>
    </row>
    <row r="187" spans="1:53" ht="15" customHeight="1" x14ac:dyDescent="0.2">
      <c r="A187" t="s">
        <v>5031</v>
      </c>
      <c r="B187" t="s">
        <v>2336</v>
      </c>
      <c r="C187" t="s">
        <v>4917</v>
      </c>
      <c r="D187">
        <v>64551125</v>
      </c>
      <c r="E187" s="5">
        <v>45726</v>
      </c>
      <c r="F187" s="5">
        <v>45728.067361111112</v>
      </c>
      <c r="G187" s="4" t="s">
        <v>460</v>
      </c>
      <c r="H187" s="49">
        <v>3986243</v>
      </c>
      <c r="I187" s="49">
        <v>21190</v>
      </c>
      <c r="J187" s="50">
        <v>3965053</v>
      </c>
      <c r="K187" t="s">
        <v>2615</v>
      </c>
      <c r="L187" s="4" t="s">
        <v>461</v>
      </c>
      <c r="M187" t="s">
        <v>351</v>
      </c>
      <c r="N187" s="2">
        <v>35250064</v>
      </c>
      <c r="O187" t="s">
        <v>1115</v>
      </c>
      <c r="P187" t="s">
        <v>316</v>
      </c>
      <c r="Q187" t="s">
        <v>317</v>
      </c>
      <c r="R187">
        <v>18841464237</v>
      </c>
      <c r="S187" t="s">
        <v>319</v>
      </c>
      <c r="T187">
        <v>890903938</v>
      </c>
      <c r="U187" t="s">
        <v>342</v>
      </c>
      <c r="V187">
        <v>923245</v>
      </c>
      <c r="W187" t="s">
        <v>180</v>
      </c>
      <c r="X187" s="2" t="s">
        <v>29</v>
      </c>
      <c r="Y187" t="s">
        <v>30</v>
      </c>
      <c r="Z187" t="s">
        <v>31</v>
      </c>
      <c r="AA187" t="s">
        <v>32</v>
      </c>
      <c r="AB187" t="s">
        <v>33</v>
      </c>
      <c r="AC187" s="51">
        <v>3986243</v>
      </c>
      <c r="AD187">
        <v>0</v>
      </c>
      <c r="AE187" s="4">
        <v>0</v>
      </c>
      <c r="AF187" s="4">
        <v>0</v>
      </c>
      <c r="AG187" t="s">
        <v>462</v>
      </c>
      <c r="AH187">
        <v>0</v>
      </c>
      <c r="AI187">
        <v>0</v>
      </c>
      <c r="AJ187" s="2" t="s">
        <v>463</v>
      </c>
      <c r="AK187" s="2">
        <v>0</v>
      </c>
      <c r="AL187">
        <v>0</v>
      </c>
      <c r="AM187">
        <v>0</v>
      </c>
      <c r="AN187">
        <v>0</v>
      </c>
      <c r="AO187">
        <v>0</v>
      </c>
      <c r="AP187">
        <v>3825</v>
      </c>
      <c r="AQ187">
        <v>3825</v>
      </c>
      <c r="AR187">
        <v>12625</v>
      </c>
      <c r="AS187">
        <v>0</v>
      </c>
      <c r="AT187">
        <v>0</v>
      </c>
      <c r="AU187">
        <v>19125</v>
      </c>
      <c r="AV187">
        <v>64551125</v>
      </c>
      <c r="AW187">
        <v>0</v>
      </c>
      <c r="AX187" s="5">
        <v>45694</v>
      </c>
      <c r="AY187" t="s">
        <v>356</v>
      </c>
      <c r="AZ187" t="s">
        <v>1118</v>
      </c>
      <c r="BA187" t="s">
        <v>748</v>
      </c>
    </row>
    <row r="188" spans="1:53" ht="15" customHeight="1" x14ac:dyDescent="0.2">
      <c r="A188" t="s">
        <v>5032</v>
      </c>
      <c r="B188" t="s">
        <v>2337</v>
      </c>
      <c r="C188" t="s">
        <v>4917</v>
      </c>
      <c r="D188">
        <v>64551225</v>
      </c>
      <c r="E188" s="5">
        <v>45726</v>
      </c>
      <c r="F188" s="5">
        <v>45728.07916666667</v>
      </c>
      <c r="G188" s="4" t="s">
        <v>460</v>
      </c>
      <c r="H188" s="49">
        <v>3986243</v>
      </c>
      <c r="I188" s="49">
        <v>21190</v>
      </c>
      <c r="J188" s="50">
        <v>3965053</v>
      </c>
      <c r="K188" t="s">
        <v>2615</v>
      </c>
      <c r="L188" s="4" t="s">
        <v>461</v>
      </c>
      <c r="M188" t="s">
        <v>351</v>
      </c>
      <c r="N188" s="2">
        <v>22519753</v>
      </c>
      <c r="O188" t="s">
        <v>1120</v>
      </c>
      <c r="P188" t="s">
        <v>316</v>
      </c>
      <c r="Q188" t="s">
        <v>317</v>
      </c>
      <c r="R188">
        <v>570451870051195</v>
      </c>
      <c r="S188" t="s">
        <v>319</v>
      </c>
      <c r="T188">
        <v>860034313</v>
      </c>
      <c r="U188" t="s">
        <v>355</v>
      </c>
      <c r="V188">
        <v>923245</v>
      </c>
      <c r="W188" t="s">
        <v>180</v>
      </c>
      <c r="X188" s="2" t="s">
        <v>29</v>
      </c>
      <c r="Y188" t="s">
        <v>30</v>
      </c>
      <c r="Z188" t="s">
        <v>31</v>
      </c>
      <c r="AA188" t="s">
        <v>32</v>
      </c>
      <c r="AB188" t="s">
        <v>33</v>
      </c>
      <c r="AC188" s="51">
        <v>3986243</v>
      </c>
      <c r="AD188">
        <v>0</v>
      </c>
      <c r="AE188" s="4">
        <v>0</v>
      </c>
      <c r="AF188" s="4">
        <v>0</v>
      </c>
      <c r="AG188" t="s">
        <v>462</v>
      </c>
      <c r="AH188">
        <v>0</v>
      </c>
      <c r="AI188">
        <v>0</v>
      </c>
      <c r="AJ188" s="2" t="s">
        <v>463</v>
      </c>
      <c r="AK188" s="2">
        <v>0</v>
      </c>
      <c r="AL188">
        <v>0</v>
      </c>
      <c r="AM188">
        <v>0</v>
      </c>
      <c r="AN188">
        <v>0</v>
      </c>
      <c r="AO188">
        <v>0</v>
      </c>
      <c r="AP188">
        <v>3825</v>
      </c>
      <c r="AQ188">
        <v>3825</v>
      </c>
      <c r="AR188">
        <v>12725</v>
      </c>
      <c r="AS188">
        <v>0</v>
      </c>
      <c r="AT188">
        <v>0</v>
      </c>
      <c r="AU188">
        <v>19225</v>
      </c>
      <c r="AV188">
        <v>64551225</v>
      </c>
      <c r="AW188">
        <v>0</v>
      </c>
      <c r="AX188" s="5">
        <v>45694</v>
      </c>
      <c r="AY188" t="s">
        <v>356</v>
      </c>
      <c r="AZ188" t="s">
        <v>1123</v>
      </c>
      <c r="BA188" t="s">
        <v>748</v>
      </c>
    </row>
    <row r="189" spans="1:53" ht="15" customHeight="1" x14ac:dyDescent="0.2">
      <c r="A189" t="s">
        <v>5033</v>
      </c>
      <c r="B189" t="s">
        <v>2338</v>
      </c>
      <c r="C189" t="s">
        <v>4917</v>
      </c>
      <c r="D189">
        <v>64551325</v>
      </c>
      <c r="E189" s="5">
        <v>45726</v>
      </c>
      <c r="F189" s="5">
        <v>45728.07916666667</v>
      </c>
      <c r="G189" s="4" t="s">
        <v>460</v>
      </c>
      <c r="H189" s="49">
        <v>3986243</v>
      </c>
      <c r="I189" s="49">
        <v>21190</v>
      </c>
      <c r="J189" s="50">
        <v>3965053</v>
      </c>
      <c r="K189" t="s">
        <v>2615</v>
      </c>
      <c r="L189" s="4" t="s">
        <v>461</v>
      </c>
      <c r="M189" t="s">
        <v>351</v>
      </c>
      <c r="N189" s="2">
        <v>51782526</v>
      </c>
      <c r="O189" t="s">
        <v>1125</v>
      </c>
      <c r="P189" t="s">
        <v>316</v>
      </c>
      <c r="Q189" t="s">
        <v>317</v>
      </c>
      <c r="R189">
        <v>176070189343</v>
      </c>
      <c r="S189" t="s">
        <v>319</v>
      </c>
      <c r="T189">
        <v>860034313</v>
      </c>
      <c r="U189" t="s">
        <v>355</v>
      </c>
      <c r="V189">
        <v>923245</v>
      </c>
      <c r="W189" t="s">
        <v>180</v>
      </c>
      <c r="X189" s="2" t="s">
        <v>29</v>
      </c>
      <c r="Y189" t="s">
        <v>30</v>
      </c>
      <c r="Z189" t="s">
        <v>31</v>
      </c>
      <c r="AA189" t="s">
        <v>32</v>
      </c>
      <c r="AB189" t="s">
        <v>33</v>
      </c>
      <c r="AC189" s="51">
        <v>3986243</v>
      </c>
      <c r="AD189">
        <v>0</v>
      </c>
      <c r="AE189" s="4">
        <v>0</v>
      </c>
      <c r="AF189" s="4">
        <v>0</v>
      </c>
      <c r="AG189" t="s">
        <v>462</v>
      </c>
      <c r="AH189">
        <v>0</v>
      </c>
      <c r="AI189">
        <v>0</v>
      </c>
      <c r="AJ189" s="2" t="s">
        <v>463</v>
      </c>
      <c r="AK189" s="2">
        <v>0</v>
      </c>
      <c r="AL189">
        <v>0</v>
      </c>
      <c r="AM189">
        <v>0</v>
      </c>
      <c r="AN189">
        <v>0</v>
      </c>
      <c r="AO189">
        <v>0</v>
      </c>
      <c r="AP189">
        <v>3825</v>
      </c>
      <c r="AQ189">
        <v>3825</v>
      </c>
      <c r="AR189">
        <v>12825</v>
      </c>
      <c r="AS189">
        <v>0</v>
      </c>
      <c r="AT189">
        <v>0</v>
      </c>
      <c r="AU189">
        <v>19325</v>
      </c>
      <c r="AV189">
        <v>64551325</v>
      </c>
      <c r="AW189">
        <v>0</v>
      </c>
      <c r="AX189" s="5">
        <v>45694</v>
      </c>
      <c r="AY189" t="s">
        <v>356</v>
      </c>
      <c r="AZ189" t="s">
        <v>1128</v>
      </c>
      <c r="BA189" t="s">
        <v>748</v>
      </c>
    </row>
    <row r="190" spans="1:53" ht="15" customHeight="1" x14ac:dyDescent="0.2">
      <c r="A190" t="s">
        <v>5034</v>
      </c>
      <c r="B190" t="s">
        <v>2339</v>
      </c>
      <c r="C190" t="s">
        <v>4917</v>
      </c>
      <c r="D190">
        <v>64551425</v>
      </c>
      <c r="E190" s="5">
        <v>45726</v>
      </c>
      <c r="F190" s="5">
        <v>45728.07708333333</v>
      </c>
      <c r="G190" s="4" t="s">
        <v>460</v>
      </c>
      <c r="H190" s="49">
        <v>3986243</v>
      </c>
      <c r="I190" s="49">
        <v>21190</v>
      </c>
      <c r="J190" s="50">
        <v>3965053</v>
      </c>
      <c r="K190" t="s">
        <v>2615</v>
      </c>
      <c r="L190" s="4" t="s">
        <v>461</v>
      </c>
      <c r="M190" t="s">
        <v>351</v>
      </c>
      <c r="N190" s="2">
        <v>79470462</v>
      </c>
      <c r="O190" t="s">
        <v>1129</v>
      </c>
      <c r="P190" t="s">
        <v>316</v>
      </c>
      <c r="Q190" t="s">
        <v>317</v>
      </c>
      <c r="R190">
        <v>24078861329</v>
      </c>
      <c r="S190" t="s">
        <v>319</v>
      </c>
      <c r="T190">
        <v>860007335</v>
      </c>
      <c r="U190" t="s">
        <v>381</v>
      </c>
      <c r="V190">
        <v>923245</v>
      </c>
      <c r="W190" t="s">
        <v>180</v>
      </c>
      <c r="X190" s="2" t="s">
        <v>29</v>
      </c>
      <c r="Y190" t="s">
        <v>30</v>
      </c>
      <c r="Z190" t="s">
        <v>31</v>
      </c>
      <c r="AA190" t="s">
        <v>32</v>
      </c>
      <c r="AB190" t="s">
        <v>33</v>
      </c>
      <c r="AC190" s="51">
        <v>3986243</v>
      </c>
      <c r="AD190">
        <v>0</v>
      </c>
      <c r="AE190" s="4">
        <v>0</v>
      </c>
      <c r="AF190" s="4">
        <v>0</v>
      </c>
      <c r="AG190" t="s">
        <v>462</v>
      </c>
      <c r="AH190">
        <v>0</v>
      </c>
      <c r="AI190">
        <v>0</v>
      </c>
      <c r="AJ190" s="2" t="s">
        <v>463</v>
      </c>
      <c r="AK190" s="2">
        <v>0</v>
      </c>
      <c r="AL190">
        <v>0</v>
      </c>
      <c r="AM190">
        <v>0</v>
      </c>
      <c r="AN190">
        <v>0</v>
      </c>
      <c r="AO190">
        <v>0</v>
      </c>
      <c r="AP190">
        <v>3825</v>
      </c>
      <c r="AQ190">
        <v>3825</v>
      </c>
      <c r="AR190">
        <v>12925</v>
      </c>
      <c r="AS190">
        <v>0</v>
      </c>
      <c r="AT190">
        <v>0</v>
      </c>
      <c r="AU190">
        <v>19425</v>
      </c>
      <c r="AV190">
        <v>64551425</v>
      </c>
      <c r="AW190">
        <v>0</v>
      </c>
      <c r="AX190" s="5">
        <v>45694</v>
      </c>
      <c r="AY190" t="s">
        <v>356</v>
      </c>
      <c r="AZ190" t="s">
        <v>1131</v>
      </c>
      <c r="BA190" t="s">
        <v>748</v>
      </c>
    </row>
    <row r="191" spans="1:53" ht="15" customHeight="1" x14ac:dyDescent="0.2">
      <c r="A191" t="s">
        <v>5035</v>
      </c>
      <c r="B191" t="s">
        <v>2340</v>
      </c>
      <c r="C191" t="s">
        <v>4917</v>
      </c>
      <c r="D191">
        <v>64551525</v>
      </c>
      <c r="E191" s="5">
        <v>45726</v>
      </c>
      <c r="F191" s="5">
        <v>45728.073611111111</v>
      </c>
      <c r="G191" s="4" t="s">
        <v>460</v>
      </c>
      <c r="H191" s="49">
        <v>3986243</v>
      </c>
      <c r="I191" s="49">
        <v>21190</v>
      </c>
      <c r="J191" s="50">
        <v>3965053</v>
      </c>
      <c r="K191" t="s">
        <v>2615</v>
      </c>
      <c r="L191" s="4" t="s">
        <v>461</v>
      </c>
      <c r="M191" t="s">
        <v>351</v>
      </c>
      <c r="N191" s="2">
        <v>19498591</v>
      </c>
      <c r="O191" t="s">
        <v>1133</v>
      </c>
      <c r="P191" t="s">
        <v>316</v>
      </c>
      <c r="Q191" t="s">
        <v>317</v>
      </c>
      <c r="R191">
        <v>42323477</v>
      </c>
      <c r="S191" t="s">
        <v>319</v>
      </c>
      <c r="T191">
        <v>860003020</v>
      </c>
      <c r="U191" t="s">
        <v>393</v>
      </c>
      <c r="V191">
        <v>923245</v>
      </c>
      <c r="W191" t="s">
        <v>180</v>
      </c>
      <c r="X191" s="2" t="s">
        <v>29</v>
      </c>
      <c r="Y191" t="s">
        <v>30</v>
      </c>
      <c r="Z191" t="s">
        <v>31</v>
      </c>
      <c r="AA191" t="s">
        <v>32</v>
      </c>
      <c r="AB191" t="s">
        <v>33</v>
      </c>
      <c r="AC191" s="51">
        <v>3986243</v>
      </c>
      <c r="AD191">
        <v>0</v>
      </c>
      <c r="AE191" s="4">
        <v>0</v>
      </c>
      <c r="AF191" s="4">
        <v>0</v>
      </c>
      <c r="AG191" t="s">
        <v>462</v>
      </c>
      <c r="AH191">
        <v>0</v>
      </c>
      <c r="AI191">
        <v>0</v>
      </c>
      <c r="AJ191" s="2" t="s">
        <v>463</v>
      </c>
      <c r="AK191" s="2">
        <v>0</v>
      </c>
      <c r="AL191">
        <v>0</v>
      </c>
      <c r="AM191">
        <v>0</v>
      </c>
      <c r="AN191">
        <v>0</v>
      </c>
      <c r="AO191">
        <v>0</v>
      </c>
      <c r="AP191">
        <v>3825</v>
      </c>
      <c r="AQ191">
        <v>3825</v>
      </c>
      <c r="AR191">
        <v>13025</v>
      </c>
      <c r="AS191">
        <v>0</v>
      </c>
      <c r="AT191">
        <v>0</v>
      </c>
      <c r="AU191">
        <v>19525</v>
      </c>
      <c r="AV191">
        <v>64551525</v>
      </c>
      <c r="AW191">
        <v>0</v>
      </c>
      <c r="AX191" s="5">
        <v>45694</v>
      </c>
      <c r="AY191" t="s">
        <v>356</v>
      </c>
      <c r="AZ191" t="s">
        <v>1135</v>
      </c>
      <c r="BA191" t="s">
        <v>748</v>
      </c>
    </row>
    <row r="192" spans="1:53" ht="15" customHeight="1" x14ac:dyDescent="0.2">
      <c r="A192" t="s">
        <v>5036</v>
      </c>
      <c r="B192" t="s">
        <v>2341</v>
      </c>
      <c r="C192" t="s">
        <v>4917</v>
      </c>
      <c r="D192">
        <v>64551625</v>
      </c>
      <c r="E192" s="5">
        <v>45726</v>
      </c>
      <c r="F192" s="5">
        <v>45728.073611111111</v>
      </c>
      <c r="G192" s="4" t="s">
        <v>460</v>
      </c>
      <c r="H192" s="49">
        <v>3986243</v>
      </c>
      <c r="I192" s="49">
        <v>23553</v>
      </c>
      <c r="J192" s="50">
        <v>3962690</v>
      </c>
      <c r="K192" t="s">
        <v>2615</v>
      </c>
      <c r="L192" s="4" t="s">
        <v>461</v>
      </c>
      <c r="M192" t="s">
        <v>351</v>
      </c>
      <c r="N192" s="2">
        <v>52365942</v>
      </c>
      <c r="O192" t="s">
        <v>1137</v>
      </c>
      <c r="P192" t="s">
        <v>316</v>
      </c>
      <c r="Q192" t="s">
        <v>317</v>
      </c>
      <c r="R192">
        <v>3522938253</v>
      </c>
      <c r="S192" t="s">
        <v>319</v>
      </c>
      <c r="T192">
        <v>890903938</v>
      </c>
      <c r="U192" t="s">
        <v>342</v>
      </c>
      <c r="V192">
        <v>923245</v>
      </c>
      <c r="W192" t="s">
        <v>180</v>
      </c>
      <c r="X192" s="2" t="s">
        <v>29</v>
      </c>
      <c r="Y192" t="s">
        <v>30</v>
      </c>
      <c r="Z192" t="s">
        <v>31</v>
      </c>
      <c r="AA192" t="s">
        <v>32</v>
      </c>
      <c r="AB192" t="s">
        <v>33</v>
      </c>
      <c r="AC192" s="51">
        <v>3986243</v>
      </c>
      <c r="AD192">
        <v>0</v>
      </c>
      <c r="AE192" s="4">
        <v>0</v>
      </c>
      <c r="AF192" s="4">
        <v>0</v>
      </c>
      <c r="AG192" t="s">
        <v>462</v>
      </c>
      <c r="AH192">
        <v>0</v>
      </c>
      <c r="AI192">
        <v>0</v>
      </c>
      <c r="AJ192" s="2" t="s">
        <v>463</v>
      </c>
      <c r="AK192" s="2">
        <v>0</v>
      </c>
      <c r="AL192">
        <v>0</v>
      </c>
      <c r="AM192">
        <v>0</v>
      </c>
      <c r="AN192">
        <v>0</v>
      </c>
      <c r="AO192">
        <v>0</v>
      </c>
      <c r="AP192">
        <v>3825</v>
      </c>
      <c r="AQ192">
        <v>3825</v>
      </c>
      <c r="AR192">
        <v>13125</v>
      </c>
      <c r="AS192">
        <v>0</v>
      </c>
      <c r="AT192">
        <v>0</v>
      </c>
      <c r="AU192">
        <v>19625</v>
      </c>
      <c r="AV192">
        <v>64551625</v>
      </c>
      <c r="AW192">
        <v>0</v>
      </c>
      <c r="AX192" s="5">
        <v>45694</v>
      </c>
      <c r="AY192" t="s">
        <v>356</v>
      </c>
      <c r="AZ192" t="s">
        <v>1139</v>
      </c>
      <c r="BA192" t="s">
        <v>748</v>
      </c>
    </row>
    <row r="193" spans="1:53" ht="15" customHeight="1" x14ac:dyDescent="0.2">
      <c r="A193" t="s">
        <v>5037</v>
      </c>
      <c r="B193" t="s">
        <v>2342</v>
      </c>
      <c r="C193" t="s">
        <v>4917</v>
      </c>
      <c r="D193">
        <v>64551725</v>
      </c>
      <c r="E193" s="5">
        <v>45726</v>
      </c>
      <c r="F193" s="5">
        <v>45728.067361111112</v>
      </c>
      <c r="G193" s="4" t="s">
        <v>460</v>
      </c>
      <c r="H193" s="49">
        <v>3986243</v>
      </c>
      <c r="I193" s="49">
        <v>21190</v>
      </c>
      <c r="J193" s="50">
        <v>3965053</v>
      </c>
      <c r="K193" t="s">
        <v>2615</v>
      </c>
      <c r="L193" s="4" t="s">
        <v>461</v>
      </c>
      <c r="M193" t="s">
        <v>351</v>
      </c>
      <c r="N193" s="2">
        <v>35252659</v>
      </c>
      <c r="O193" t="s">
        <v>1141</v>
      </c>
      <c r="P193" t="s">
        <v>316</v>
      </c>
      <c r="Q193" t="s">
        <v>317</v>
      </c>
      <c r="R193">
        <v>26499096606</v>
      </c>
      <c r="S193" t="s">
        <v>319</v>
      </c>
      <c r="T193">
        <v>890903938</v>
      </c>
      <c r="U193" t="s">
        <v>342</v>
      </c>
      <c r="V193">
        <v>923245</v>
      </c>
      <c r="W193" t="s">
        <v>180</v>
      </c>
      <c r="X193" s="2" t="s">
        <v>29</v>
      </c>
      <c r="Y193" t="s">
        <v>30</v>
      </c>
      <c r="Z193" t="s">
        <v>31</v>
      </c>
      <c r="AA193" t="s">
        <v>32</v>
      </c>
      <c r="AB193" t="s">
        <v>33</v>
      </c>
      <c r="AC193" s="51">
        <v>3986243</v>
      </c>
      <c r="AD193">
        <v>0</v>
      </c>
      <c r="AE193" s="4">
        <v>0</v>
      </c>
      <c r="AF193" s="4">
        <v>0</v>
      </c>
      <c r="AG193" t="s">
        <v>462</v>
      </c>
      <c r="AH193">
        <v>0</v>
      </c>
      <c r="AI193">
        <v>0</v>
      </c>
      <c r="AJ193" s="2" t="s">
        <v>463</v>
      </c>
      <c r="AK193" s="2">
        <v>0</v>
      </c>
      <c r="AL193">
        <v>0</v>
      </c>
      <c r="AM193">
        <v>0</v>
      </c>
      <c r="AN193">
        <v>0</v>
      </c>
      <c r="AO193">
        <v>0</v>
      </c>
      <c r="AP193">
        <v>3825</v>
      </c>
      <c r="AQ193">
        <v>3825</v>
      </c>
      <c r="AR193">
        <v>13225</v>
      </c>
      <c r="AS193">
        <v>0</v>
      </c>
      <c r="AT193">
        <v>0</v>
      </c>
      <c r="AU193">
        <v>19725</v>
      </c>
      <c r="AV193">
        <v>64551725</v>
      </c>
      <c r="AW193">
        <v>0</v>
      </c>
      <c r="AX193" s="5">
        <v>45694</v>
      </c>
      <c r="AY193" t="s">
        <v>356</v>
      </c>
      <c r="AZ193" t="s">
        <v>1143</v>
      </c>
      <c r="BA193" t="s">
        <v>748</v>
      </c>
    </row>
    <row r="194" spans="1:53" ht="15" customHeight="1" x14ac:dyDescent="0.2">
      <c r="A194" t="s">
        <v>5038</v>
      </c>
      <c r="B194" t="s">
        <v>2343</v>
      </c>
      <c r="C194" t="s">
        <v>4892</v>
      </c>
      <c r="D194">
        <v>64551825</v>
      </c>
      <c r="E194" s="5">
        <v>45726</v>
      </c>
      <c r="F194" s="5">
        <v>45728.095833333333</v>
      </c>
      <c r="G194" s="4" t="s">
        <v>460</v>
      </c>
      <c r="H194" s="49">
        <v>3219658</v>
      </c>
      <c r="I194" s="49">
        <v>16883</v>
      </c>
      <c r="J194" s="50">
        <v>3202775</v>
      </c>
      <c r="K194" t="s">
        <v>2615</v>
      </c>
      <c r="L194" s="4" t="s">
        <v>461</v>
      </c>
      <c r="M194" t="s">
        <v>351</v>
      </c>
      <c r="N194" s="2">
        <v>52187775</v>
      </c>
      <c r="O194" t="s">
        <v>1155</v>
      </c>
      <c r="P194" t="s">
        <v>316</v>
      </c>
      <c r="Q194" t="s">
        <v>317</v>
      </c>
      <c r="R194">
        <v>24110608321</v>
      </c>
      <c r="S194" t="s">
        <v>319</v>
      </c>
      <c r="T194">
        <v>860007335</v>
      </c>
      <c r="U194" t="s">
        <v>381</v>
      </c>
      <c r="V194">
        <v>923211</v>
      </c>
      <c r="W194" t="s">
        <v>69</v>
      </c>
      <c r="X194" s="2" t="s">
        <v>29</v>
      </c>
      <c r="Y194" t="s">
        <v>30</v>
      </c>
      <c r="Z194" t="s">
        <v>31</v>
      </c>
      <c r="AA194" t="s">
        <v>32</v>
      </c>
      <c r="AB194" t="s">
        <v>33</v>
      </c>
      <c r="AC194" s="51">
        <v>3219658</v>
      </c>
      <c r="AD194">
        <v>0</v>
      </c>
      <c r="AE194" s="4">
        <v>0</v>
      </c>
      <c r="AF194" s="4">
        <v>0</v>
      </c>
      <c r="AG194" t="s">
        <v>462</v>
      </c>
      <c r="AH194">
        <v>0</v>
      </c>
      <c r="AI194">
        <v>0</v>
      </c>
      <c r="AJ194" s="2" t="s">
        <v>463</v>
      </c>
      <c r="AK194" s="2">
        <v>0</v>
      </c>
      <c r="AL194">
        <v>0</v>
      </c>
      <c r="AM194">
        <v>0</v>
      </c>
      <c r="AN194">
        <v>0</v>
      </c>
      <c r="AO194">
        <v>0</v>
      </c>
      <c r="AP194">
        <v>2125</v>
      </c>
      <c r="AQ194">
        <v>2125</v>
      </c>
      <c r="AR194">
        <v>13525</v>
      </c>
      <c r="AS194">
        <v>0</v>
      </c>
      <c r="AT194">
        <v>0</v>
      </c>
      <c r="AU194">
        <v>19825</v>
      </c>
      <c r="AV194">
        <v>64551825</v>
      </c>
      <c r="AW194">
        <v>0</v>
      </c>
      <c r="AX194" s="5">
        <v>45695</v>
      </c>
      <c r="AY194" t="s">
        <v>356</v>
      </c>
      <c r="AZ194" t="s">
        <v>1157</v>
      </c>
      <c r="BA194" t="s">
        <v>1158</v>
      </c>
    </row>
    <row r="195" spans="1:53" ht="15" customHeight="1" x14ac:dyDescent="0.2">
      <c r="A195" t="s">
        <v>5039</v>
      </c>
      <c r="B195" t="s">
        <v>2344</v>
      </c>
      <c r="C195" t="s">
        <v>4892</v>
      </c>
      <c r="D195">
        <v>64551925</v>
      </c>
      <c r="E195" s="5">
        <v>45726</v>
      </c>
      <c r="F195" s="5">
        <v>45728.09652777778</v>
      </c>
      <c r="G195" s="4" t="s">
        <v>460</v>
      </c>
      <c r="H195" s="49">
        <v>3219658</v>
      </c>
      <c r="I195" s="49">
        <v>16883</v>
      </c>
      <c r="J195" s="50">
        <v>3202775</v>
      </c>
      <c r="K195" t="s">
        <v>2615</v>
      </c>
      <c r="L195" s="4" t="s">
        <v>461</v>
      </c>
      <c r="M195" t="s">
        <v>351</v>
      </c>
      <c r="N195" s="2">
        <v>80436995</v>
      </c>
      <c r="O195" t="s">
        <v>1160</v>
      </c>
      <c r="P195" t="s">
        <v>316</v>
      </c>
      <c r="Q195" t="s">
        <v>317</v>
      </c>
      <c r="R195">
        <v>24070474031</v>
      </c>
      <c r="S195" t="s">
        <v>319</v>
      </c>
      <c r="T195">
        <v>860007335</v>
      </c>
      <c r="U195" t="s">
        <v>381</v>
      </c>
      <c r="V195">
        <v>923211</v>
      </c>
      <c r="W195" t="s">
        <v>69</v>
      </c>
      <c r="X195" s="2" t="s">
        <v>29</v>
      </c>
      <c r="Y195" t="s">
        <v>30</v>
      </c>
      <c r="Z195" t="s">
        <v>31</v>
      </c>
      <c r="AA195" t="s">
        <v>32</v>
      </c>
      <c r="AB195" t="s">
        <v>33</v>
      </c>
      <c r="AC195" s="51">
        <v>3219658</v>
      </c>
      <c r="AD195">
        <v>0</v>
      </c>
      <c r="AE195" s="4">
        <v>0</v>
      </c>
      <c r="AF195" s="4">
        <v>0</v>
      </c>
      <c r="AG195" t="s">
        <v>462</v>
      </c>
      <c r="AH195">
        <v>0</v>
      </c>
      <c r="AI195">
        <v>0</v>
      </c>
      <c r="AJ195" s="2" t="s">
        <v>463</v>
      </c>
      <c r="AK195" s="2">
        <v>0</v>
      </c>
      <c r="AL195">
        <v>0</v>
      </c>
      <c r="AM195">
        <v>0</v>
      </c>
      <c r="AN195">
        <v>0</v>
      </c>
      <c r="AO195">
        <v>0</v>
      </c>
      <c r="AP195">
        <v>2125</v>
      </c>
      <c r="AQ195">
        <v>2125</v>
      </c>
      <c r="AR195">
        <v>13625</v>
      </c>
      <c r="AS195">
        <v>0</v>
      </c>
      <c r="AT195">
        <v>0</v>
      </c>
      <c r="AU195">
        <v>19925</v>
      </c>
      <c r="AV195">
        <v>64551925</v>
      </c>
      <c r="AW195">
        <v>0</v>
      </c>
      <c r="AX195" s="5">
        <v>45695</v>
      </c>
      <c r="AY195" t="s">
        <v>356</v>
      </c>
      <c r="AZ195" t="s">
        <v>1162</v>
      </c>
      <c r="BA195" t="s">
        <v>1158</v>
      </c>
    </row>
    <row r="196" spans="1:53" ht="15" customHeight="1" x14ac:dyDescent="0.2">
      <c r="A196" t="s">
        <v>5040</v>
      </c>
      <c r="B196" t="s">
        <v>2345</v>
      </c>
      <c r="C196" t="s">
        <v>4892</v>
      </c>
      <c r="D196">
        <v>64552025</v>
      </c>
      <c r="E196" s="5">
        <v>45726</v>
      </c>
      <c r="F196" s="5">
        <v>45728.088888888888</v>
      </c>
      <c r="G196" s="4" t="s">
        <v>460</v>
      </c>
      <c r="H196" s="49">
        <v>3219658</v>
      </c>
      <c r="I196" s="49">
        <v>16883</v>
      </c>
      <c r="J196" s="50">
        <v>3202775</v>
      </c>
      <c r="K196" t="s">
        <v>2615</v>
      </c>
      <c r="L196" s="4" t="s">
        <v>461</v>
      </c>
      <c r="M196" t="s">
        <v>351</v>
      </c>
      <c r="N196" s="2">
        <v>1032434209</v>
      </c>
      <c r="O196" t="s">
        <v>1164</v>
      </c>
      <c r="P196" t="s">
        <v>316</v>
      </c>
      <c r="Q196" t="s">
        <v>317</v>
      </c>
      <c r="R196">
        <v>67859351112</v>
      </c>
      <c r="S196" t="s">
        <v>319</v>
      </c>
      <c r="T196">
        <v>890903938</v>
      </c>
      <c r="U196" t="s">
        <v>342</v>
      </c>
      <c r="V196">
        <v>923211</v>
      </c>
      <c r="W196" t="s">
        <v>69</v>
      </c>
      <c r="X196" s="2" t="s">
        <v>29</v>
      </c>
      <c r="Y196" t="s">
        <v>30</v>
      </c>
      <c r="Z196" t="s">
        <v>31</v>
      </c>
      <c r="AA196" t="s">
        <v>32</v>
      </c>
      <c r="AB196" t="s">
        <v>33</v>
      </c>
      <c r="AC196" s="51">
        <v>3219658</v>
      </c>
      <c r="AD196">
        <v>0</v>
      </c>
      <c r="AE196" s="4">
        <v>0</v>
      </c>
      <c r="AF196" s="4">
        <v>0</v>
      </c>
      <c r="AG196" t="s">
        <v>462</v>
      </c>
      <c r="AH196">
        <v>0</v>
      </c>
      <c r="AI196">
        <v>0</v>
      </c>
      <c r="AJ196" s="2" t="s">
        <v>463</v>
      </c>
      <c r="AK196" s="2">
        <v>0</v>
      </c>
      <c r="AL196">
        <v>0</v>
      </c>
      <c r="AM196">
        <v>0</v>
      </c>
      <c r="AN196">
        <v>0</v>
      </c>
      <c r="AO196">
        <v>0</v>
      </c>
      <c r="AP196">
        <v>2125</v>
      </c>
      <c r="AQ196">
        <v>2125</v>
      </c>
      <c r="AR196">
        <v>13725</v>
      </c>
      <c r="AS196">
        <v>0</v>
      </c>
      <c r="AT196">
        <v>0</v>
      </c>
      <c r="AU196">
        <v>20025</v>
      </c>
      <c r="AV196">
        <v>64552025</v>
      </c>
      <c r="AW196">
        <v>0</v>
      </c>
      <c r="AX196" s="5">
        <v>45695</v>
      </c>
      <c r="AY196" t="s">
        <v>356</v>
      </c>
      <c r="AZ196" t="s">
        <v>1166</v>
      </c>
      <c r="BA196" t="s">
        <v>1158</v>
      </c>
    </row>
    <row r="197" spans="1:53" ht="15" customHeight="1" x14ac:dyDescent="0.2">
      <c r="A197" t="s">
        <v>5041</v>
      </c>
      <c r="B197" t="s">
        <v>2346</v>
      </c>
      <c r="C197" t="s">
        <v>4892</v>
      </c>
      <c r="D197">
        <v>64552125</v>
      </c>
      <c r="E197" s="5">
        <v>45726</v>
      </c>
      <c r="F197" s="5">
        <v>45728.099305555559</v>
      </c>
      <c r="G197" s="4" t="s">
        <v>460</v>
      </c>
      <c r="H197" s="49">
        <v>3219658</v>
      </c>
      <c r="I197" s="49">
        <v>16883</v>
      </c>
      <c r="J197" s="50">
        <v>3202775</v>
      </c>
      <c r="K197" t="s">
        <v>2615</v>
      </c>
      <c r="L197" s="4" t="s">
        <v>461</v>
      </c>
      <c r="M197" t="s">
        <v>351</v>
      </c>
      <c r="N197" s="2">
        <v>35534775</v>
      </c>
      <c r="O197" t="s">
        <v>1168</v>
      </c>
      <c r="P197" t="s">
        <v>316</v>
      </c>
      <c r="Q197" t="s">
        <v>317</v>
      </c>
      <c r="R197">
        <v>462270033741</v>
      </c>
      <c r="S197" t="s">
        <v>319</v>
      </c>
      <c r="T197">
        <v>860034313</v>
      </c>
      <c r="U197" t="s">
        <v>355</v>
      </c>
      <c r="V197">
        <v>923211</v>
      </c>
      <c r="W197" t="s">
        <v>69</v>
      </c>
      <c r="X197" s="2" t="s">
        <v>29</v>
      </c>
      <c r="Y197" t="s">
        <v>30</v>
      </c>
      <c r="Z197" t="s">
        <v>31</v>
      </c>
      <c r="AA197" t="s">
        <v>32</v>
      </c>
      <c r="AB197" t="s">
        <v>33</v>
      </c>
      <c r="AC197" s="51">
        <v>3219658</v>
      </c>
      <c r="AD197">
        <v>0</v>
      </c>
      <c r="AE197" s="4">
        <v>0</v>
      </c>
      <c r="AF197" s="4">
        <v>0</v>
      </c>
      <c r="AG197" t="s">
        <v>462</v>
      </c>
      <c r="AH197">
        <v>0</v>
      </c>
      <c r="AI197">
        <v>0</v>
      </c>
      <c r="AJ197" s="2" t="s">
        <v>463</v>
      </c>
      <c r="AK197" s="2">
        <v>0</v>
      </c>
      <c r="AL197">
        <v>0</v>
      </c>
      <c r="AM197">
        <v>0</v>
      </c>
      <c r="AN197">
        <v>0</v>
      </c>
      <c r="AO197">
        <v>0</v>
      </c>
      <c r="AP197">
        <v>2125</v>
      </c>
      <c r="AQ197">
        <v>2125</v>
      </c>
      <c r="AR197">
        <v>13825</v>
      </c>
      <c r="AS197">
        <v>0</v>
      </c>
      <c r="AT197">
        <v>0</v>
      </c>
      <c r="AU197">
        <v>20125</v>
      </c>
      <c r="AV197">
        <v>64552125</v>
      </c>
      <c r="AW197">
        <v>0</v>
      </c>
      <c r="AX197" s="5">
        <v>45695</v>
      </c>
      <c r="AY197" t="s">
        <v>356</v>
      </c>
      <c r="AZ197" t="s">
        <v>1170</v>
      </c>
      <c r="BA197" t="s">
        <v>1158</v>
      </c>
    </row>
    <row r="198" spans="1:53" ht="15" customHeight="1" x14ac:dyDescent="0.2">
      <c r="A198" t="s">
        <v>5042</v>
      </c>
      <c r="B198" t="s">
        <v>2347</v>
      </c>
      <c r="C198" t="s">
        <v>4892</v>
      </c>
      <c r="D198">
        <v>64552225</v>
      </c>
      <c r="E198" s="5">
        <v>45726</v>
      </c>
      <c r="F198" s="5">
        <v>45728.088888888888</v>
      </c>
      <c r="G198" s="4" t="s">
        <v>460</v>
      </c>
      <c r="H198" s="49">
        <v>3219658</v>
      </c>
      <c r="I198" s="49">
        <v>16883</v>
      </c>
      <c r="J198" s="50">
        <v>3202775</v>
      </c>
      <c r="K198" t="s">
        <v>2615</v>
      </c>
      <c r="L198" s="4" t="s">
        <v>461</v>
      </c>
      <c r="M198" t="s">
        <v>351</v>
      </c>
      <c r="N198" s="2">
        <v>25560681</v>
      </c>
      <c r="O198" t="s">
        <v>1172</v>
      </c>
      <c r="P198" t="s">
        <v>316</v>
      </c>
      <c r="Q198" t="s">
        <v>317</v>
      </c>
      <c r="R198">
        <v>24233211113</v>
      </c>
      <c r="S198" t="s">
        <v>319</v>
      </c>
      <c r="T198">
        <v>890903938</v>
      </c>
      <c r="U198" t="s">
        <v>342</v>
      </c>
      <c r="V198">
        <v>923211</v>
      </c>
      <c r="W198" t="s">
        <v>69</v>
      </c>
      <c r="X198" s="2" t="s">
        <v>29</v>
      </c>
      <c r="Y198" t="s">
        <v>30</v>
      </c>
      <c r="Z198" t="s">
        <v>31</v>
      </c>
      <c r="AA198" t="s">
        <v>32</v>
      </c>
      <c r="AB198" t="s">
        <v>33</v>
      </c>
      <c r="AC198" s="51">
        <v>3219658</v>
      </c>
      <c r="AD198">
        <v>0</v>
      </c>
      <c r="AE198" s="4">
        <v>0</v>
      </c>
      <c r="AF198" s="4">
        <v>0</v>
      </c>
      <c r="AG198" t="s">
        <v>462</v>
      </c>
      <c r="AH198">
        <v>0</v>
      </c>
      <c r="AI198">
        <v>0</v>
      </c>
      <c r="AJ198" s="2" t="s">
        <v>463</v>
      </c>
      <c r="AK198" s="2">
        <v>0</v>
      </c>
      <c r="AL198">
        <v>0</v>
      </c>
      <c r="AM198">
        <v>0</v>
      </c>
      <c r="AN198">
        <v>0</v>
      </c>
      <c r="AO198">
        <v>0</v>
      </c>
      <c r="AP198">
        <v>2125</v>
      </c>
      <c r="AQ198">
        <v>2125</v>
      </c>
      <c r="AR198">
        <v>13925</v>
      </c>
      <c r="AS198">
        <v>0</v>
      </c>
      <c r="AT198">
        <v>0</v>
      </c>
      <c r="AU198">
        <v>20225</v>
      </c>
      <c r="AV198">
        <v>64552225</v>
      </c>
      <c r="AW198">
        <v>0</v>
      </c>
      <c r="AX198" s="5">
        <v>45695</v>
      </c>
      <c r="AY198" t="s">
        <v>356</v>
      </c>
      <c r="AZ198" t="s">
        <v>1174</v>
      </c>
      <c r="BA198" t="s">
        <v>1158</v>
      </c>
    </row>
    <row r="199" spans="1:53" ht="15" customHeight="1" x14ac:dyDescent="0.2">
      <c r="A199" t="s">
        <v>5043</v>
      </c>
      <c r="B199" t="s">
        <v>2348</v>
      </c>
      <c r="C199" t="s">
        <v>4892</v>
      </c>
      <c r="D199">
        <v>64552325</v>
      </c>
      <c r="E199" s="5">
        <v>45726</v>
      </c>
      <c r="F199" s="5">
        <v>45728.088888888888</v>
      </c>
      <c r="G199" s="4" t="s">
        <v>460</v>
      </c>
      <c r="H199" s="49">
        <v>3219658</v>
      </c>
      <c r="I199" s="49">
        <v>16883</v>
      </c>
      <c r="J199" s="50">
        <v>3202775</v>
      </c>
      <c r="K199" t="s">
        <v>2615</v>
      </c>
      <c r="L199" s="4" t="s">
        <v>461</v>
      </c>
      <c r="M199" t="s">
        <v>351</v>
      </c>
      <c r="N199" s="2">
        <v>33368355</v>
      </c>
      <c r="O199" t="s">
        <v>1176</v>
      </c>
      <c r="P199" t="s">
        <v>316</v>
      </c>
      <c r="Q199" t="s">
        <v>317</v>
      </c>
      <c r="R199">
        <v>60631247949</v>
      </c>
      <c r="S199" t="s">
        <v>319</v>
      </c>
      <c r="T199">
        <v>890903938</v>
      </c>
      <c r="U199" t="s">
        <v>342</v>
      </c>
      <c r="V199">
        <v>923211</v>
      </c>
      <c r="W199" t="s">
        <v>69</v>
      </c>
      <c r="X199" s="2" t="s">
        <v>29</v>
      </c>
      <c r="Y199" t="s">
        <v>30</v>
      </c>
      <c r="Z199" t="s">
        <v>31</v>
      </c>
      <c r="AA199" t="s">
        <v>32</v>
      </c>
      <c r="AB199" t="s">
        <v>33</v>
      </c>
      <c r="AC199" s="51">
        <v>3219658</v>
      </c>
      <c r="AD199">
        <v>0</v>
      </c>
      <c r="AE199" s="4">
        <v>0</v>
      </c>
      <c r="AF199" s="4">
        <v>0</v>
      </c>
      <c r="AG199" t="s">
        <v>462</v>
      </c>
      <c r="AH199">
        <v>0</v>
      </c>
      <c r="AI199">
        <v>0</v>
      </c>
      <c r="AJ199" s="2" t="s">
        <v>463</v>
      </c>
      <c r="AK199" s="2">
        <v>0</v>
      </c>
      <c r="AL199">
        <v>0</v>
      </c>
      <c r="AM199">
        <v>0</v>
      </c>
      <c r="AN199">
        <v>0</v>
      </c>
      <c r="AO199">
        <v>0</v>
      </c>
      <c r="AP199">
        <v>2125</v>
      </c>
      <c r="AQ199">
        <v>2125</v>
      </c>
      <c r="AR199">
        <v>14025</v>
      </c>
      <c r="AS199">
        <v>0</v>
      </c>
      <c r="AT199">
        <v>0</v>
      </c>
      <c r="AU199">
        <v>20325</v>
      </c>
      <c r="AV199">
        <v>64552325</v>
      </c>
      <c r="AW199">
        <v>0</v>
      </c>
      <c r="AX199" s="5">
        <v>45695</v>
      </c>
      <c r="AY199" t="s">
        <v>356</v>
      </c>
      <c r="AZ199" t="s">
        <v>1178</v>
      </c>
      <c r="BA199" t="s">
        <v>1158</v>
      </c>
    </row>
    <row r="200" spans="1:53" ht="15" customHeight="1" x14ac:dyDescent="0.2">
      <c r="A200" t="s">
        <v>5044</v>
      </c>
      <c r="B200" t="s">
        <v>2349</v>
      </c>
      <c r="C200" t="s">
        <v>4892</v>
      </c>
      <c r="D200">
        <v>64552425</v>
      </c>
      <c r="E200" s="5">
        <v>45726</v>
      </c>
      <c r="F200" s="5">
        <v>45728.095833333333</v>
      </c>
      <c r="G200" s="4" t="s">
        <v>460</v>
      </c>
      <c r="H200" s="49">
        <v>3219658</v>
      </c>
      <c r="I200" s="49">
        <v>16883</v>
      </c>
      <c r="J200" s="50">
        <v>3202775</v>
      </c>
      <c r="K200" t="s">
        <v>2615</v>
      </c>
      <c r="L200" s="4" t="s">
        <v>461</v>
      </c>
      <c r="M200" t="s">
        <v>351</v>
      </c>
      <c r="N200" s="2">
        <v>37724921</v>
      </c>
      <c r="O200" t="s">
        <v>1180</v>
      </c>
      <c r="P200" t="s">
        <v>316</v>
      </c>
      <c r="Q200" t="s">
        <v>317</v>
      </c>
      <c r="R200">
        <v>24079420668</v>
      </c>
      <c r="S200" t="s">
        <v>319</v>
      </c>
      <c r="T200">
        <v>860007335</v>
      </c>
      <c r="U200" t="s">
        <v>381</v>
      </c>
      <c r="V200">
        <v>923211</v>
      </c>
      <c r="W200" t="s">
        <v>69</v>
      </c>
      <c r="X200" s="2" t="s">
        <v>29</v>
      </c>
      <c r="Y200" t="s">
        <v>30</v>
      </c>
      <c r="Z200" t="s">
        <v>31</v>
      </c>
      <c r="AA200" t="s">
        <v>32</v>
      </c>
      <c r="AB200" t="s">
        <v>33</v>
      </c>
      <c r="AC200" s="51">
        <v>3219658</v>
      </c>
      <c r="AD200">
        <v>0</v>
      </c>
      <c r="AE200" s="4">
        <v>0</v>
      </c>
      <c r="AF200" s="4">
        <v>0</v>
      </c>
      <c r="AG200" t="s">
        <v>462</v>
      </c>
      <c r="AH200">
        <v>0</v>
      </c>
      <c r="AI200">
        <v>0</v>
      </c>
      <c r="AJ200" s="2" t="s">
        <v>463</v>
      </c>
      <c r="AK200" s="2">
        <v>0</v>
      </c>
      <c r="AL200">
        <v>0</v>
      </c>
      <c r="AM200">
        <v>0</v>
      </c>
      <c r="AN200">
        <v>0</v>
      </c>
      <c r="AO200">
        <v>0</v>
      </c>
      <c r="AP200">
        <v>2125</v>
      </c>
      <c r="AQ200">
        <v>2125</v>
      </c>
      <c r="AR200">
        <v>14125</v>
      </c>
      <c r="AS200">
        <v>0</v>
      </c>
      <c r="AT200">
        <v>0</v>
      </c>
      <c r="AU200">
        <v>20425</v>
      </c>
      <c r="AV200">
        <v>64552425</v>
      </c>
      <c r="AW200">
        <v>0</v>
      </c>
      <c r="AX200" s="5">
        <v>45695</v>
      </c>
      <c r="AY200" t="s">
        <v>356</v>
      </c>
      <c r="AZ200" t="s">
        <v>1182</v>
      </c>
      <c r="BA200" t="s">
        <v>1158</v>
      </c>
    </row>
    <row r="201" spans="1:53" ht="15" customHeight="1" x14ac:dyDescent="0.2">
      <c r="A201" t="s">
        <v>5045</v>
      </c>
      <c r="B201" t="s">
        <v>2350</v>
      </c>
      <c r="C201" t="s">
        <v>4892</v>
      </c>
      <c r="D201">
        <v>64552525</v>
      </c>
      <c r="E201" s="5">
        <v>45726</v>
      </c>
      <c r="F201" s="5">
        <v>45728.099305555559</v>
      </c>
      <c r="G201" s="4" t="s">
        <v>460</v>
      </c>
      <c r="H201" s="49">
        <v>3219658</v>
      </c>
      <c r="I201" s="49">
        <v>16883</v>
      </c>
      <c r="J201" s="50">
        <v>3202775</v>
      </c>
      <c r="K201" t="s">
        <v>2615</v>
      </c>
      <c r="L201" s="4" t="s">
        <v>461</v>
      </c>
      <c r="M201" t="s">
        <v>351</v>
      </c>
      <c r="N201" s="2">
        <v>52023447</v>
      </c>
      <c r="O201" t="s">
        <v>1184</v>
      </c>
      <c r="P201" t="s">
        <v>316</v>
      </c>
      <c r="Q201" t="s">
        <v>317</v>
      </c>
      <c r="R201">
        <v>7500816892</v>
      </c>
      <c r="S201" t="s">
        <v>319</v>
      </c>
      <c r="T201">
        <v>860034313</v>
      </c>
      <c r="U201" t="s">
        <v>355</v>
      </c>
      <c r="V201">
        <v>923211</v>
      </c>
      <c r="W201" t="s">
        <v>69</v>
      </c>
      <c r="X201" s="2" t="s">
        <v>29</v>
      </c>
      <c r="Y201" t="s">
        <v>30</v>
      </c>
      <c r="Z201" t="s">
        <v>31</v>
      </c>
      <c r="AA201" t="s">
        <v>32</v>
      </c>
      <c r="AB201" t="s">
        <v>33</v>
      </c>
      <c r="AC201" s="51">
        <v>3219658</v>
      </c>
      <c r="AD201">
        <v>0</v>
      </c>
      <c r="AE201" s="4">
        <v>0</v>
      </c>
      <c r="AF201" s="4">
        <v>0</v>
      </c>
      <c r="AG201" t="s">
        <v>462</v>
      </c>
      <c r="AH201">
        <v>0</v>
      </c>
      <c r="AI201">
        <v>0</v>
      </c>
      <c r="AJ201" s="2" t="s">
        <v>463</v>
      </c>
      <c r="AK201" s="2">
        <v>0</v>
      </c>
      <c r="AL201">
        <v>0</v>
      </c>
      <c r="AM201">
        <v>0</v>
      </c>
      <c r="AN201">
        <v>0</v>
      </c>
      <c r="AO201">
        <v>0</v>
      </c>
      <c r="AP201">
        <v>2125</v>
      </c>
      <c r="AQ201">
        <v>2125</v>
      </c>
      <c r="AR201">
        <v>14225</v>
      </c>
      <c r="AS201">
        <v>0</v>
      </c>
      <c r="AT201">
        <v>0</v>
      </c>
      <c r="AU201">
        <v>20525</v>
      </c>
      <c r="AV201">
        <v>64552525</v>
      </c>
      <c r="AW201">
        <v>0</v>
      </c>
      <c r="AX201" s="5">
        <v>45695</v>
      </c>
      <c r="AY201" t="s">
        <v>356</v>
      </c>
      <c r="AZ201" t="s">
        <v>1187</v>
      </c>
      <c r="BA201" t="s">
        <v>1158</v>
      </c>
    </row>
    <row r="202" spans="1:53" ht="15" customHeight="1" x14ac:dyDescent="0.2">
      <c r="A202" t="s">
        <v>5046</v>
      </c>
      <c r="B202" t="s">
        <v>2351</v>
      </c>
      <c r="C202" t="s">
        <v>4892</v>
      </c>
      <c r="D202">
        <v>64552625</v>
      </c>
      <c r="E202" s="5">
        <v>45726</v>
      </c>
      <c r="F202" s="5">
        <v>45728.088888888888</v>
      </c>
      <c r="G202" s="4" t="s">
        <v>460</v>
      </c>
      <c r="H202" s="49">
        <v>3219658</v>
      </c>
      <c r="I202" s="49">
        <v>16883</v>
      </c>
      <c r="J202" s="50">
        <v>3202775</v>
      </c>
      <c r="K202" t="s">
        <v>2615</v>
      </c>
      <c r="L202" s="4" t="s">
        <v>461</v>
      </c>
      <c r="M202" t="s">
        <v>351</v>
      </c>
      <c r="N202" s="2">
        <v>52375951</v>
      </c>
      <c r="O202" t="s">
        <v>1189</v>
      </c>
      <c r="P202" t="s">
        <v>316</v>
      </c>
      <c r="Q202" t="s">
        <v>317</v>
      </c>
      <c r="R202">
        <v>91200171930</v>
      </c>
      <c r="S202" t="s">
        <v>319</v>
      </c>
      <c r="T202">
        <v>890903938</v>
      </c>
      <c r="U202" t="s">
        <v>342</v>
      </c>
      <c r="V202">
        <v>923211</v>
      </c>
      <c r="W202" t="s">
        <v>69</v>
      </c>
      <c r="X202" s="2" t="s">
        <v>29</v>
      </c>
      <c r="Y202" t="s">
        <v>30</v>
      </c>
      <c r="Z202" t="s">
        <v>31</v>
      </c>
      <c r="AA202" t="s">
        <v>32</v>
      </c>
      <c r="AB202" t="s">
        <v>33</v>
      </c>
      <c r="AC202" s="51">
        <v>3219658</v>
      </c>
      <c r="AD202">
        <v>0</v>
      </c>
      <c r="AE202" s="4">
        <v>0</v>
      </c>
      <c r="AF202" s="4">
        <v>0</v>
      </c>
      <c r="AG202" t="s">
        <v>462</v>
      </c>
      <c r="AH202">
        <v>0</v>
      </c>
      <c r="AI202">
        <v>0</v>
      </c>
      <c r="AJ202" s="2" t="s">
        <v>463</v>
      </c>
      <c r="AK202" s="2">
        <v>0</v>
      </c>
      <c r="AL202">
        <v>0</v>
      </c>
      <c r="AM202">
        <v>0</v>
      </c>
      <c r="AN202">
        <v>0</v>
      </c>
      <c r="AO202">
        <v>0</v>
      </c>
      <c r="AP202">
        <v>2125</v>
      </c>
      <c r="AQ202">
        <v>2125</v>
      </c>
      <c r="AR202">
        <v>14325</v>
      </c>
      <c r="AS202">
        <v>0</v>
      </c>
      <c r="AT202">
        <v>0</v>
      </c>
      <c r="AU202">
        <v>20625</v>
      </c>
      <c r="AV202">
        <v>64552625</v>
      </c>
      <c r="AW202">
        <v>0</v>
      </c>
      <c r="AX202" s="5">
        <v>45695</v>
      </c>
      <c r="AY202" t="s">
        <v>356</v>
      </c>
      <c r="AZ202" t="s">
        <v>1192</v>
      </c>
      <c r="BA202" t="s">
        <v>1158</v>
      </c>
    </row>
    <row r="203" spans="1:53" ht="15" customHeight="1" x14ac:dyDescent="0.2">
      <c r="A203" t="s">
        <v>5047</v>
      </c>
      <c r="B203" t="s">
        <v>2352</v>
      </c>
      <c r="C203" t="s">
        <v>4892</v>
      </c>
      <c r="D203">
        <v>64552825</v>
      </c>
      <c r="E203" s="5">
        <v>45726</v>
      </c>
      <c r="F203" s="5">
        <v>45728.088888888888</v>
      </c>
      <c r="G203" s="4" t="s">
        <v>460</v>
      </c>
      <c r="H203" s="49">
        <v>3219658</v>
      </c>
      <c r="I203" s="49">
        <v>17613</v>
      </c>
      <c r="J203" s="50">
        <v>3202045</v>
      </c>
      <c r="K203" t="s">
        <v>2615</v>
      </c>
      <c r="L203" s="4" t="s">
        <v>461</v>
      </c>
      <c r="M203" t="s">
        <v>351</v>
      </c>
      <c r="N203" s="2">
        <v>53021282</v>
      </c>
      <c r="O203" t="s">
        <v>1194</v>
      </c>
      <c r="P203" t="s">
        <v>316</v>
      </c>
      <c r="Q203" t="s">
        <v>317</v>
      </c>
      <c r="R203">
        <v>20779954847</v>
      </c>
      <c r="S203" t="s">
        <v>319</v>
      </c>
      <c r="T203">
        <v>890903938</v>
      </c>
      <c r="U203" t="s">
        <v>342</v>
      </c>
      <c r="V203">
        <v>923211</v>
      </c>
      <c r="W203" t="s">
        <v>69</v>
      </c>
      <c r="X203" s="2" t="s">
        <v>29</v>
      </c>
      <c r="Y203" t="s">
        <v>30</v>
      </c>
      <c r="Z203" t="s">
        <v>31</v>
      </c>
      <c r="AA203" t="s">
        <v>32</v>
      </c>
      <c r="AB203" t="s">
        <v>33</v>
      </c>
      <c r="AC203" s="51">
        <v>3219658</v>
      </c>
      <c r="AD203">
        <v>0</v>
      </c>
      <c r="AE203" s="4">
        <v>0</v>
      </c>
      <c r="AF203" s="4">
        <v>0</v>
      </c>
      <c r="AG203" t="s">
        <v>462</v>
      </c>
      <c r="AH203">
        <v>0</v>
      </c>
      <c r="AI203">
        <v>0</v>
      </c>
      <c r="AJ203" s="2" t="s">
        <v>463</v>
      </c>
      <c r="AK203" s="2">
        <v>0</v>
      </c>
      <c r="AL203">
        <v>0</v>
      </c>
      <c r="AM203">
        <v>0</v>
      </c>
      <c r="AN203">
        <v>0</v>
      </c>
      <c r="AO203">
        <v>0</v>
      </c>
      <c r="AP203">
        <v>2125</v>
      </c>
      <c r="AQ203">
        <v>2125</v>
      </c>
      <c r="AR203">
        <v>14425</v>
      </c>
      <c r="AS203">
        <v>0</v>
      </c>
      <c r="AT203">
        <v>0</v>
      </c>
      <c r="AU203">
        <v>20725</v>
      </c>
      <c r="AV203">
        <v>64552825</v>
      </c>
      <c r="AW203">
        <v>0</v>
      </c>
      <c r="AX203" s="5">
        <v>45695</v>
      </c>
      <c r="AY203" t="s">
        <v>356</v>
      </c>
      <c r="AZ203" t="s">
        <v>1197</v>
      </c>
      <c r="BA203" t="s">
        <v>1158</v>
      </c>
    </row>
    <row r="204" spans="1:53" ht="15" customHeight="1" x14ac:dyDescent="0.2">
      <c r="A204" t="s">
        <v>5048</v>
      </c>
      <c r="B204" t="s">
        <v>2353</v>
      </c>
      <c r="C204" t="s">
        <v>4892</v>
      </c>
      <c r="D204">
        <v>64568525</v>
      </c>
      <c r="E204" s="5">
        <v>45726</v>
      </c>
      <c r="F204" s="5">
        <v>45728.099305555559</v>
      </c>
      <c r="G204" s="4" t="s">
        <v>460</v>
      </c>
      <c r="H204" s="49">
        <v>3219658</v>
      </c>
      <c r="I204" s="49">
        <v>16883</v>
      </c>
      <c r="J204" s="50">
        <v>3202775</v>
      </c>
      <c r="K204" t="s">
        <v>2615</v>
      </c>
      <c r="L204" s="4" t="s">
        <v>461</v>
      </c>
      <c r="M204" t="s">
        <v>351</v>
      </c>
      <c r="N204" s="2">
        <v>53089812</v>
      </c>
      <c r="O204" t="s">
        <v>1199</v>
      </c>
      <c r="P204" t="s">
        <v>316</v>
      </c>
      <c r="Q204" t="s">
        <v>317</v>
      </c>
      <c r="R204">
        <v>7900727830</v>
      </c>
      <c r="S204" t="s">
        <v>319</v>
      </c>
      <c r="T204">
        <v>860034313</v>
      </c>
      <c r="U204" t="s">
        <v>355</v>
      </c>
      <c r="V204">
        <v>923211</v>
      </c>
      <c r="W204" t="s">
        <v>69</v>
      </c>
      <c r="X204" s="2" t="s">
        <v>29</v>
      </c>
      <c r="Y204" t="s">
        <v>30</v>
      </c>
      <c r="Z204" t="s">
        <v>31</v>
      </c>
      <c r="AA204" t="s">
        <v>32</v>
      </c>
      <c r="AB204" t="s">
        <v>33</v>
      </c>
      <c r="AC204" s="51">
        <v>3219658</v>
      </c>
      <c r="AD204">
        <v>0</v>
      </c>
      <c r="AE204" s="4">
        <v>0</v>
      </c>
      <c r="AF204" s="4">
        <v>0</v>
      </c>
      <c r="AG204" t="s">
        <v>462</v>
      </c>
      <c r="AH204">
        <v>0</v>
      </c>
      <c r="AI204">
        <v>0</v>
      </c>
      <c r="AJ204" s="2" t="s">
        <v>463</v>
      </c>
      <c r="AK204" s="2">
        <v>0</v>
      </c>
      <c r="AL204">
        <v>0</v>
      </c>
      <c r="AM204">
        <v>0</v>
      </c>
      <c r="AN204">
        <v>0</v>
      </c>
      <c r="AO204">
        <v>0</v>
      </c>
      <c r="AP204">
        <v>2125</v>
      </c>
      <c r="AQ204">
        <v>2125</v>
      </c>
      <c r="AR204">
        <v>14525</v>
      </c>
      <c r="AS204">
        <v>0</v>
      </c>
      <c r="AT204">
        <v>0</v>
      </c>
      <c r="AU204">
        <v>20825</v>
      </c>
      <c r="AV204">
        <v>64568525</v>
      </c>
      <c r="AW204">
        <v>0</v>
      </c>
      <c r="AX204" s="5">
        <v>45695</v>
      </c>
      <c r="AY204" t="s">
        <v>356</v>
      </c>
      <c r="AZ204" t="s">
        <v>1202</v>
      </c>
      <c r="BA204" t="s">
        <v>1158</v>
      </c>
    </row>
    <row r="205" spans="1:53" ht="15" customHeight="1" x14ac:dyDescent="0.2">
      <c r="A205" t="s">
        <v>5049</v>
      </c>
      <c r="B205" t="s">
        <v>2354</v>
      </c>
      <c r="C205" t="s">
        <v>4892</v>
      </c>
      <c r="D205">
        <v>64568625</v>
      </c>
      <c r="E205" s="5">
        <v>45726</v>
      </c>
      <c r="F205" s="5">
        <v>45728.099305555559</v>
      </c>
      <c r="G205" s="4" t="s">
        <v>460</v>
      </c>
      <c r="H205" s="49">
        <v>3219658</v>
      </c>
      <c r="I205" s="49">
        <v>16883</v>
      </c>
      <c r="J205" s="50">
        <v>3202775</v>
      </c>
      <c r="K205" t="s">
        <v>2615</v>
      </c>
      <c r="L205" s="4" t="s">
        <v>461</v>
      </c>
      <c r="M205" t="s">
        <v>351</v>
      </c>
      <c r="N205" s="2">
        <v>53931238</v>
      </c>
      <c r="O205" t="s">
        <v>1203</v>
      </c>
      <c r="P205" t="s">
        <v>316</v>
      </c>
      <c r="Q205" t="s">
        <v>317</v>
      </c>
      <c r="R205">
        <v>406170019987</v>
      </c>
      <c r="S205" t="s">
        <v>319</v>
      </c>
      <c r="T205">
        <v>860034313</v>
      </c>
      <c r="U205" t="s">
        <v>355</v>
      </c>
      <c r="V205">
        <v>923211</v>
      </c>
      <c r="W205" t="s">
        <v>69</v>
      </c>
      <c r="X205" s="2" t="s">
        <v>29</v>
      </c>
      <c r="Y205" t="s">
        <v>30</v>
      </c>
      <c r="Z205" t="s">
        <v>31</v>
      </c>
      <c r="AA205" t="s">
        <v>32</v>
      </c>
      <c r="AB205" t="s">
        <v>33</v>
      </c>
      <c r="AC205" s="51">
        <v>3219658</v>
      </c>
      <c r="AD205">
        <v>0</v>
      </c>
      <c r="AE205" s="4">
        <v>0</v>
      </c>
      <c r="AF205" s="4">
        <v>0</v>
      </c>
      <c r="AG205" t="s">
        <v>462</v>
      </c>
      <c r="AH205">
        <v>0</v>
      </c>
      <c r="AI205">
        <v>0</v>
      </c>
      <c r="AJ205" s="2" t="s">
        <v>463</v>
      </c>
      <c r="AK205" s="2">
        <v>0</v>
      </c>
      <c r="AL205">
        <v>0</v>
      </c>
      <c r="AM205">
        <v>0</v>
      </c>
      <c r="AN205">
        <v>0</v>
      </c>
      <c r="AO205">
        <v>0</v>
      </c>
      <c r="AP205">
        <v>2125</v>
      </c>
      <c r="AQ205">
        <v>2125</v>
      </c>
      <c r="AR205">
        <v>14625</v>
      </c>
      <c r="AS205">
        <v>0</v>
      </c>
      <c r="AT205">
        <v>0</v>
      </c>
      <c r="AU205">
        <v>20925</v>
      </c>
      <c r="AV205">
        <v>64568625</v>
      </c>
      <c r="AW205">
        <v>0</v>
      </c>
      <c r="AX205" s="5">
        <v>45695</v>
      </c>
      <c r="AY205" t="s">
        <v>356</v>
      </c>
      <c r="AZ205" t="s">
        <v>1206</v>
      </c>
      <c r="BA205" t="s">
        <v>1158</v>
      </c>
    </row>
    <row r="206" spans="1:53" ht="15" customHeight="1" x14ac:dyDescent="0.2">
      <c r="A206" t="s">
        <v>5050</v>
      </c>
      <c r="B206" t="s">
        <v>2355</v>
      </c>
      <c r="C206" t="s">
        <v>4892</v>
      </c>
      <c r="D206">
        <v>64568725</v>
      </c>
      <c r="E206" s="5">
        <v>45726</v>
      </c>
      <c r="F206" s="5">
        <v>45728.099305555559</v>
      </c>
      <c r="G206" s="4" t="s">
        <v>460</v>
      </c>
      <c r="H206" s="49">
        <v>3219658</v>
      </c>
      <c r="I206" s="49">
        <v>16883</v>
      </c>
      <c r="J206" s="50">
        <v>3202775</v>
      </c>
      <c r="K206" t="s">
        <v>2615</v>
      </c>
      <c r="L206" s="4" t="s">
        <v>461</v>
      </c>
      <c r="M206" t="s">
        <v>351</v>
      </c>
      <c r="N206" s="2">
        <v>79469155</v>
      </c>
      <c r="O206" t="s">
        <v>1208</v>
      </c>
      <c r="P206" t="s">
        <v>316</v>
      </c>
      <c r="Q206" t="s">
        <v>317</v>
      </c>
      <c r="R206">
        <v>466670002263</v>
      </c>
      <c r="S206" t="s">
        <v>319</v>
      </c>
      <c r="T206">
        <v>860034313</v>
      </c>
      <c r="U206" t="s">
        <v>355</v>
      </c>
      <c r="V206">
        <v>923211</v>
      </c>
      <c r="W206" t="s">
        <v>69</v>
      </c>
      <c r="X206" s="2" t="s">
        <v>29</v>
      </c>
      <c r="Y206" t="s">
        <v>30</v>
      </c>
      <c r="Z206" t="s">
        <v>31</v>
      </c>
      <c r="AA206" t="s">
        <v>32</v>
      </c>
      <c r="AB206" t="s">
        <v>33</v>
      </c>
      <c r="AC206" s="51">
        <v>3219658</v>
      </c>
      <c r="AD206">
        <v>0</v>
      </c>
      <c r="AE206" s="4">
        <v>0</v>
      </c>
      <c r="AF206" s="4">
        <v>0</v>
      </c>
      <c r="AG206" t="s">
        <v>462</v>
      </c>
      <c r="AH206">
        <v>0</v>
      </c>
      <c r="AI206">
        <v>0</v>
      </c>
      <c r="AJ206" s="2" t="s">
        <v>463</v>
      </c>
      <c r="AK206" s="2">
        <v>0</v>
      </c>
      <c r="AL206">
        <v>0</v>
      </c>
      <c r="AM206">
        <v>0</v>
      </c>
      <c r="AN206">
        <v>0</v>
      </c>
      <c r="AO206">
        <v>0</v>
      </c>
      <c r="AP206">
        <v>2125</v>
      </c>
      <c r="AQ206">
        <v>2125</v>
      </c>
      <c r="AR206">
        <v>14725</v>
      </c>
      <c r="AS206">
        <v>0</v>
      </c>
      <c r="AT206">
        <v>0</v>
      </c>
      <c r="AU206">
        <v>21025</v>
      </c>
      <c r="AV206">
        <v>64568725</v>
      </c>
      <c r="AW206">
        <v>0</v>
      </c>
      <c r="AX206" s="5">
        <v>45695</v>
      </c>
      <c r="AY206" t="s">
        <v>356</v>
      </c>
      <c r="AZ206" t="s">
        <v>1211</v>
      </c>
      <c r="BA206" t="s">
        <v>1158</v>
      </c>
    </row>
    <row r="207" spans="1:53" ht="15" customHeight="1" x14ac:dyDescent="0.2">
      <c r="A207" t="s">
        <v>5051</v>
      </c>
      <c r="B207" t="s">
        <v>2356</v>
      </c>
      <c r="C207" t="s">
        <v>4892</v>
      </c>
      <c r="D207">
        <v>64568825</v>
      </c>
      <c r="E207" s="5">
        <v>45726</v>
      </c>
      <c r="F207" s="5">
        <v>45728.083333333336</v>
      </c>
      <c r="G207" s="4" t="s">
        <v>460</v>
      </c>
      <c r="H207" s="49">
        <v>3219658</v>
      </c>
      <c r="I207" s="49">
        <v>16883</v>
      </c>
      <c r="J207" s="50">
        <v>3202775</v>
      </c>
      <c r="K207" t="s">
        <v>2615</v>
      </c>
      <c r="L207" s="4" t="s">
        <v>461</v>
      </c>
      <c r="M207" t="s">
        <v>351</v>
      </c>
      <c r="N207" s="2">
        <v>1032373822</v>
      </c>
      <c r="O207" t="s">
        <v>1213</v>
      </c>
      <c r="P207" t="s">
        <v>316</v>
      </c>
      <c r="Q207" t="s">
        <v>317</v>
      </c>
      <c r="R207">
        <v>272316944</v>
      </c>
      <c r="S207" t="s">
        <v>319</v>
      </c>
      <c r="T207">
        <v>860002964</v>
      </c>
      <c r="U207" t="s">
        <v>419</v>
      </c>
      <c r="V207">
        <v>923211</v>
      </c>
      <c r="W207" t="s">
        <v>69</v>
      </c>
      <c r="X207" s="2" t="s">
        <v>29</v>
      </c>
      <c r="Y207" t="s">
        <v>30</v>
      </c>
      <c r="Z207" t="s">
        <v>31</v>
      </c>
      <c r="AA207" t="s">
        <v>32</v>
      </c>
      <c r="AB207" t="s">
        <v>33</v>
      </c>
      <c r="AC207" s="51">
        <v>3219658</v>
      </c>
      <c r="AD207">
        <v>0</v>
      </c>
      <c r="AE207" s="4">
        <v>0</v>
      </c>
      <c r="AF207" s="4">
        <v>0</v>
      </c>
      <c r="AG207" t="s">
        <v>462</v>
      </c>
      <c r="AH207">
        <v>0</v>
      </c>
      <c r="AI207">
        <v>0</v>
      </c>
      <c r="AJ207" s="2" t="s">
        <v>463</v>
      </c>
      <c r="AK207" s="2">
        <v>0</v>
      </c>
      <c r="AL207">
        <v>0</v>
      </c>
      <c r="AM207">
        <v>0</v>
      </c>
      <c r="AN207">
        <v>0</v>
      </c>
      <c r="AO207">
        <v>0</v>
      </c>
      <c r="AP207">
        <v>2125</v>
      </c>
      <c r="AQ207">
        <v>2125</v>
      </c>
      <c r="AR207">
        <v>14825</v>
      </c>
      <c r="AS207">
        <v>0</v>
      </c>
      <c r="AT207">
        <v>0</v>
      </c>
      <c r="AU207">
        <v>21125</v>
      </c>
      <c r="AV207">
        <v>64568825</v>
      </c>
      <c r="AW207">
        <v>0</v>
      </c>
      <c r="AX207" s="5">
        <v>45695</v>
      </c>
      <c r="AY207" t="s">
        <v>356</v>
      </c>
      <c r="AZ207" t="s">
        <v>1216</v>
      </c>
      <c r="BA207" t="s">
        <v>1158</v>
      </c>
    </row>
    <row r="208" spans="1:53" ht="15" customHeight="1" x14ac:dyDescent="0.2">
      <c r="A208" t="s">
        <v>5052</v>
      </c>
      <c r="B208" t="s">
        <v>2357</v>
      </c>
      <c r="C208" t="s">
        <v>4892</v>
      </c>
      <c r="D208">
        <v>64568925</v>
      </c>
      <c r="E208" s="5">
        <v>45726</v>
      </c>
      <c r="F208" s="5">
        <v>45728.099305555559</v>
      </c>
      <c r="G208" s="4" t="s">
        <v>460</v>
      </c>
      <c r="H208" s="49">
        <v>3219658</v>
      </c>
      <c r="I208" s="49">
        <v>16883</v>
      </c>
      <c r="J208" s="50">
        <v>3202775</v>
      </c>
      <c r="K208" t="s">
        <v>2615</v>
      </c>
      <c r="L208" s="4" t="s">
        <v>461</v>
      </c>
      <c r="M208" t="s">
        <v>351</v>
      </c>
      <c r="N208" s="2">
        <v>1032377506</v>
      </c>
      <c r="O208" t="s">
        <v>1218</v>
      </c>
      <c r="P208" t="s">
        <v>316</v>
      </c>
      <c r="Q208" t="s">
        <v>317</v>
      </c>
      <c r="R208">
        <v>484900028842</v>
      </c>
      <c r="S208" t="s">
        <v>319</v>
      </c>
      <c r="T208">
        <v>860034313</v>
      </c>
      <c r="U208" t="s">
        <v>355</v>
      </c>
      <c r="V208">
        <v>923211</v>
      </c>
      <c r="W208" t="s">
        <v>69</v>
      </c>
      <c r="X208" s="2" t="s">
        <v>29</v>
      </c>
      <c r="Y208" t="s">
        <v>30</v>
      </c>
      <c r="Z208" t="s">
        <v>31</v>
      </c>
      <c r="AA208" t="s">
        <v>32</v>
      </c>
      <c r="AB208" t="s">
        <v>33</v>
      </c>
      <c r="AC208" s="51">
        <v>3219658</v>
      </c>
      <c r="AD208">
        <v>0</v>
      </c>
      <c r="AE208" s="4">
        <v>0</v>
      </c>
      <c r="AF208" s="4">
        <v>0</v>
      </c>
      <c r="AG208" t="s">
        <v>462</v>
      </c>
      <c r="AH208">
        <v>0</v>
      </c>
      <c r="AI208">
        <v>0</v>
      </c>
      <c r="AJ208" s="2" t="s">
        <v>463</v>
      </c>
      <c r="AK208" s="2">
        <v>0</v>
      </c>
      <c r="AL208">
        <v>0</v>
      </c>
      <c r="AM208">
        <v>0</v>
      </c>
      <c r="AN208">
        <v>0</v>
      </c>
      <c r="AO208">
        <v>0</v>
      </c>
      <c r="AP208">
        <v>2125</v>
      </c>
      <c r="AQ208">
        <v>2125</v>
      </c>
      <c r="AR208">
        <v>14925</v>
      </c>
      <c r="AS208">
        <v>0</v>
      </c>
      <c r="AT208">
        <v>0</v>
      </c>
      <c r="AU208">
        <v>21225</v>
      </c>
      <c r="AV208">
        <v>64568925</v>
      </c>
      <c r="AW208">
        <v>0</v>
      </c>
      <c r="AX208" s="5">
        <v>45695</v>
      </c>
      <c r="AY208" t="s">
        <v>356</v>
      </c>
      <c r="AZ208" t="s">
        <v>1221</v>
      </c>
      <c r="BA208" t="s">
        <v>1158</v>
      </c>
    </row>
    <row r="209" spans="1:53" ht="15" customHeight="1" x14ac:dyDescent="0.2">
      <c r="A209" t="s">
        <v>5053</v>
      </c>
      <c r="B209" t="s">
        <v>2358</v>
      </c>
      <c r="C209" t="s">
        <v>4892</v>
      </c>
      <c r="D209">
        <v>64569025</v>
      </c>
      <c r="E209" s="5">
        <v>45726</v>
      </c>
      <c r="F209" s="5">
        <v>45728.09652777778</v>
      </c>
      <c r="G209" s="4" t="s">
        <v>460</v>
      </c>
      <c r="H209" s="49">
        <v>3219658</v>
      </c>
      <c r="I209" s="49">
        <v>16883</v>
      </c>
      <c r="J209" s="50">
        <v>3202775</v>
      </c>
      <c r="K209" t="s">
        <v>2615</v>
      </c>
      <c r="L209" s="4" t="s">
        <v>461</v>
      </c>
      <c r="M209" t="s">
        <v>351</v>
      </c>
      <c r="N209" s="2">
        <v>52714850</v>
      </c>
      <c r="O209" t="s">
        <v>1223</v>
      </c>
      <c r="P209" t="s">
        <v>316</v>
      </c>
      <c r="Q209" t="s">
        <v>317</v>
      </c>
      <c r="R209">
        <v>688862643</v>
      </c>
      <c r="S209" t="s">
        <v>319</v>
      </c>
      <c r="T209">
        <v>860035827</v>
      </c>
      <c r="U209" t="s">
        <v>653</v>
      </c>
      <c r="V209">
        <v>923211</v>
      </c>
      <c r="W209" t="s">
        <v>69</v>
      </c>
      <c r="X209" s="2" t="s">
        <v>29</v>
      </c>
      <c r="Y209" t="s">
        <v>30</v>
      </c>
      <c r="Z209" t="s">
        <v>31</v>
      </c>
      <c r="AA209" t="s">
        <v>32</v>
      </c>
      <c r="AB209" t="s">
        <v>33</v>
      </c>
      <c r="AC209" s="51">
        <v>3219658</v>
      </c>
      <c r="AD209">
        <v>0</v>
      </c>
      <c r="AE209" s="4">
        <v>0</v>
      </c>
      <c r="AF209" s="4">
        <v>0</v>
      </c>
      <c r="AG209" t="s">
        <v>462</v>
      </c>
      <c r="AH209">
        <v>0</v>
      </c>
      <c r="AI209">
        <v>0</v>
      </c>
      <c r="AJ209" s="2" t="s">
        <v>463</v>
      </c>
      <c r="AK209" s="2">
        <v>0</v>
      </c>
      <c r="AL209">
        <v>0</v>
      </c>
      <c r="AM209">
        <v>0</v>
      </c>
      <c r="AN209">
        <v>0</v>
      </c>
      <c r="AO209">
        <v>0</v>
      </c>
      <c r="AP209">
        <v>2125</v>
      </c>
      <c r="AQ209">
        <v>2125</v>
      </c>
      <c r="AR209">
        <v>15025</v>
      </c>
      <c r="AS209">
        <v>0</v>
      </c>
      <c r="AT209">
        <v>0</v>
      </c>
      <c r="AU209">
        <v>21325</v>
      </c>
      <c r="AV209">
        <v>64569025</v>
      </c>
      <c r="AW209">
        <v>0</v>
      </c>
      <c r="AX209" s="5">
        <v>45695</v>
      </c>
      <c r="AY209" t="s">
        <v>356</v>
      </c>
      <c r="AZ209" t="s">
        <v>1226</v>
      </c>
      <c r="BA209" t="s">
        <v>1158</v>
      </c>
    </row>
    <row r="210" spans="1:53" ht="15" customHeight="1" x14ac:dyDescent="0.2">
      <c r="A210" t="s">
        <v>5054</v>
      </c>
      <c r="B210" t="s">
        <v>2359</v>
      </c>
      <c r="C210" t="s">
        <v>4892</v>
      </c>
      <c r="D210">
        <v>64569125</v>
      </c>
      <c r="E210" s="5">
        <v>45726</v>
      </c>
      <c r="F210" s="5">
        <v>45728.099305555559</v>
      </c>
      <c r="G210" s="4" t="s">
        <v>460</v>
      </c>
      <c r="H210" s="49">
        <v>3219658</v>
      </c>
      <c r="I210" s="49">
        <v>17613</v>
      </c>
      <c r="J210" s="50">
        <v>3202045</v>
      </c>
      <c r="K210" t="s">
        <v>2615</v>
      </c>
      <c r="L210" s="4" t="s">
        <v>461</v>
      </c>
      <c r="M210" t="s">
        <v>351</v>
      </c>
      <c r="N210" s="2">
        <v>1010215433</v>
      </c>
      <c r="O210" t="s">
        <v>1228</v>
      </c>
      <c r="P210" t="s">
        <v>316</v>
      </c>
      <c r="Q210" t="s">
        <v>317</v>
      </c>
      <c r="R210">
        <v>466600048121</v>
      </c>
      <c r="S210" t="s">
        <v>319</v>
      </c>
      <c r="T210">
        <v>860034313</v>
      </c>
      <c r="U210" t="s">
        <v>355</v>
      </c>
      <c r="V210">
        <v>923211</v>
      </c>
      <c r="W210" t="s">
        <v>69</v>
      </c>
      <c r="X210" s="2" t="s">
        <v>29</v>
      </c>
      <c r="Y210" t="s">
        <v>30</v>
      </c>
      <c r="Z210" t="s">
        <v>31</v>
      </c>
      <c r="AA210" t="s">
        <v>32</v>
      </c>
      <c r="AB210" t="s">
        <v>33</v>
      </c>
      <c r="AC210" s="51">
        <v>3219658</v>
      </c>
      <c r="AD210">
        <v>0</v>
      </c>
      <c r="AE210" s="4">
        <v>0</v>
      </c>
      <c r="AF210" s="4">
        <v>0</v>
      </c>
      <c r="AG210" t="s">
        <v>462</v>
      </c>
      <c r="AH210">
        <v>0</v>
      </c>
      <c r="AI210">
        <v>0</v>
      </c>
      <c r="AJ210" s="2" t="s">
        <v>463</v>
      </c>
      <c r="AK210" s="2">
        <v>0</v>
      </c>
      <c r="AL210">
        <v>0</v>
      </c>
      <c r="AM210">
        <v>0</v>
      </c>
      <c r="AN210">
        <v>0</v>
      </c>
      <c r="AO210">
        <v>0</v>
      </c>
      <c r="AP210">
        <v>2125</v>
      </c>
      <c r="AQ210">
        <v>2125</v>
      </c>
      <c r="AR210">
        <v>15125</v>
      </c>
      <c r="AS210">
        <v>0</v>
      </c>
      <c r="AT210">
        <v>0</v>
      </c>
      <c r="AU210">
        <v>21425</v>
      </c>
      <c r="AV210">
        <v>64569125</v>
      </c>
      <c r="AW210">
        <v>0</v>
      </c>
      <c r="AX210" s="5">
        <v>45695</v>
      </c>
      <c r="AY210" t="s">
        <v>356</v>
      </c>
      <c r="AZ210" t="s">
        <v>1231</v>
      </c>
      <c r="BA210" t="s">
        <v>1158</v>
      </c>
    </row>
    <row r="211" spans="1:53" ht="15" customHeight="1" x14ac:dyDescent="0.2">
      <c r="A211" t="s">
        <v>5055</v>
      </c>
      <c r="B211" t="s">
        <v>2360</v>
      </c>
      <c r="C211" t="s">
        <v>4892</v>
      </c>
      <c r="D211">
        <v>64569225</v>
      </c>
      <c r="E211" s="5">
        <v>45726</v>
      </c>
      <c r="F211" s="5">
        <v>45728.089583333334</v>
      </c>
      <c r="G211" s="4" t="s">
        <v>460</v>
      </c>
      <c r="H211" s="49">
        <v>3219658</v>
      </c>
      <c r="I211" s="49">
        <v>16883</v>
      </c>
      <c r="J211" s="50">
        <v>3202775</v>
      </c>
      <c r="K211" t="s">
        <v>2615</v>
      </c>
      <c r="L211" s="4" t="s">
        <v>461</v>
      </c>
      <c r="M211" t="s">
        <v>351</v>
      </c>
      <c r="N211" s="2">
        <v>51964904</v>
      </c>
      <c r="O211" t="s">
        <v>1233</v>
      </c>
      <c r="P211" t="s">
        <v>316</v>
      </c>
      <c r="Q211" t="s">
        <v>317</v>
      </c>
      <c r="R211">
        <v>20215888446</v>
      </c>
      <c r="S211" t="s">
        <v>319</v>
      </c>
      <c r="T211">
        <v>890903938</v>
      </c>
      <c r="U211" t="s">
        <v>342</v>
      </c>
      <c r="V211">
        <v>923211</v>
      </c>
      <c r="W211" t="s">
        <v>69</v>
      </c>
      <c r="X211" s="2" t="s">
        <v>29</v>
      </c>
      <c r="Y211" t="s">
        <v>30</v>
      </c>
      <c r="Z211" t="s">
        <v>31</v>
      </c>
      <c r="AA211" t="s">
        <v>32</v>
      </c>
      <c r="AB211" t="s">
        <v>33</v>
      </c>
      <c r="AC211" s="51">
        <v>3219658</v>
      </c>
      <c r="AD211">
        <v>0</v>
      </c>
      <c r="AE211" s="4">
        <v>0</v>
      </c>
      <c r="AF211" s="4">
        <v>0</v>
      </c>
      <c r="AG211" t="s">
        <v>462</v>
      </c>
      <c r="AH211">
        <v>0</v>
      </c>
      <c r="AI211">
        <v>0</v>
      </c>
      <c r="AJ211" s="2" t="s">
        <v>463</v>
      </c>
      <c r="AK211" s="2">
        <v>0</v>
      </c>
      <c r="AL211">
        <v>0</v>
      </c>
      <c r="AM211">
        <v>0</v>
      </c>
      <c r="AN211">
        <v>0</v>
      </c>
      <c r="AO211">
        <v>0</v>
      </c>
      <c r="AP211">
        <v>2125</v>
      </c>
      <c r="AQ211">
        <v>2125</v>
      </c>
      <c r="AR211">
        <v>15225</v>
      </c>
      <c r="AS211">
        <v>0</v>
      </c>
      <c r="AT211">
        <v>0</v>
      </c>
      <c r="AU211">
        <v>21525</v>
      </c>
      <c r="AV211">
        <v>64569225</v>
      </c>
      <c r="AW211">
        <v>0</v>
      </c>
      <c r="AX211" s="5">
        <v>45695</v>
      </c>
      <c r="AY211" t="s">
        <v>356</v>
      </c>
      <c r="AZ211" t="s">
        <v>1236</v>
      </c>
      <c r="BA211" t="s">
        <v>1237</v>
      </c>
    </row>
    <row r="212" spans="1:53" ht="15" customHeight="1" x14ac:dyDescent="0.2">
      <c r="A212" t="s">
        <v>5056</v>
      </c>
      <c r="B212" t="s">
        <v>2361</v>
      </c>
      <c r="C212" t="s">
        <v>4892</v>
      </c>
      <c r="D212">
        <v>64569325</v>
      </c>
      <c r="E212" s="5">
        <v>45726</v>
      </c>
      <c r="F212" s="5">
        <v>45728.099305555559</v>
      </c>
      <c r="G212" s="4" t="s">
        <v>460</v>
      </c>
      <c r="H212" s="49">
        <v>3219658</v>
      </c>
      <c r="I212" s="49">
        <v>16883</v>
      </c>
      <c r="J212" s="50">
        <v>3202775</v>
      </c>
      <c r="K212" t="s">
        <v>2615</v>
      </c>
      <c r="L212" s="4" t="s">
        <v>461</v>
      </c>
      <c r="M212" t="s">
        <v>351</v>
      </c>
      <c r="N212" s="2">
        <v>52323375</v>
      </c>
      <c r="O212" t="s">
        <v>1239</v>
      </c>
      <c r="P212" t="s">
        <v>316</v>
      </c>
      <c r="Q212" t="s">
        <v>317</v>
      </c>
      <c r="R212">
        <v>5370276072</v>
      </c>
      <c r="S212" t="s">
        <v>319</v>
      </c>
      <c r="T212">
        <v>860034313</v>
      </c>
      <c r="U212" t="s">
        <v>355</v>
      </c>
      <c r="V212">
        <v>923211</v>
      </c>
      <c r="W212" t="s">
        <v>69</v>
      </c>
      <c r="X212" s="2" t="s">
        <v>29</v>
      </c>
      <c r="Y212" t="s">
        <v>30</v>
      </c>
      <c r="Z212" t="s">
        <v>31</v>
      </c>
      <c r="AA212" t="s">
        <v>32</v>
      </c>
      <c r="AB212" t="s">
        <v>33</v>
      </c>
      <c r="AC212" s="51">
        <v>3219658</v>
      </c>
      <c r="AD212">
        <v>0</v>
      </c>
      <c r="AE212" s="4">
        <v>0</v>
      </c>
      <c r="AF212" s="4">
        <v>0</v>
      </c>
      <c r="AG212" t="s">
        <v>462</v>
      </c>
      <c r="AH212">
        <v>0</v>
      </c>
      <c r="AI212">
        <v>0</v>
      </c>
      <c r="AJ212" s="2" t="s">
        <v>463</v>
      </c>
      <c r="AK212" s="2">
        <v>0</v>
      </c>
      <c r="AL212">
        <v>0</v>
      </c>
      <c r="AM212">
        <v>0</v>
      </c>
      <c r="AN212">
        <v>0</v>
      </c>
      <c r="AO212">
        <v>0</v>
      </c>
      <c r="AP212">
        <v>2125</v>
      </c>
      <c r="AQ212">
        <v>2125</v>
      </c>
      <c r="AR212">
        <v>15325</v>
      </c>
      <c r="AS212">
        <v>0</v>
      </c>
      <c r="AT212">
        <v>0</v>
      </c>
      <c r="AU212">
        <v>21625</v>
      </c>
      <c r="AV212">
        <v>64569325</v>
      </c>
      <c r="AW212">
        <v>0</v>
      </c>
      <c r="AX212" s="5">
        <v>45695</v>
      </c>
      <c r="AY212" t="s">
        <v>356</v>
      </c>
      <c r="AZ212" t="s">
        <v>1242</v>
      </c>
      <c r="BA212" t="s">
        <v>1158</v>
      </c>
    </row>
    <row r="213" spans="1:53" ht="15" customHeight="1" x14ac:dyDescent="0.2">
      <c r="A213" t="s">
        <v>5057</v>
      </c>
      <c r="B213" t="s">
        <v>2362</v>
      </c>
      <c r="C213" t="s">
        <v>4892</v>
      </c>
      <c r="D213">
        <v>64569425</v>
      </c>
      <c r="E213" s="5">
        <v>45726</v>
      </c>
      <c r="F213" s="5">
        <v>45728.09375</v>
      </c>
      <c r="G213" s="4" t="s">
        <v>460</v>
      </c>
      <c r="H213" s="49">
        <v>3219658</v>
      </c>
      <c r="I213" s="49">
        <v>16883</v>
      </c>
      <c r="J213" s="50">
        <v>3202775</v>
      </c>
      <c r="K213" t="s">
        <v>2615</v>
      </c>
      <c r="L213" s="4" t="s">
        <v>461</v>
      </c>
      <c r="M213" t="s">
        <v>351</v>
      </c>
      <c r="N213" s="2">
        <v>52766732</v>
      </c>
      <c r="O213" t="s">
        <v>1244</v>
      </c>
      <c r="P213" t="s">
        <v>316</v>
      </c>
      <c r="Q213" t="s">
        <v>317</v>
      </c>
      <c r="R213">
        <v>415064039</v>
      </c>
      <c r="S213" t="s">
        <v>319</v>
      </c>
      <c r="T213">
        <v>860003020</v>
      </c>
      <c r="U213" t="s">
        <v>393</v>
      </c>
      <c r="V213">
        <v>923211</v>
      </c>
      <c r="W213" t="s">
        <v>69</v>
      </c>
      <c r="X213" s="2" t="s">
        <v>29</v>
      </c>
      <c r="Y213" t="s">
        <v>30</v>
      </c>
      <c r="Z213" t="s">
        <v>31</v>
      </c>
      <c r="AA213" t="s">
        <v>32</v>
      </c>
      <c r="AB213" t="s">
        <v>33</v>
      </c>
      <c r="AC213" s="51">
        <v>3219658</v>
      </c>
      <c r="AD213">
        <v>0</v>
      </c>
      <c r="AE213" s="4">
        <v>0</v>
      </c>
      <c r="AF213" s="4">
        <v>0</v>
      </c>
      <c r="AG213" t="s">
        <v>462</v>
      </c>
      <c r="AH213">
        <v>0</v>
      </c>
      <c r="AI213">
        <v>0</v>
      </c>
      <c r="AJ213" s="2" t="s">
        <v>463</v>
      </c>
      <c r="AK213" s="2">
        <v>0</v>
      </c>
      <c r="AL213">
        <v>0</v>
      </c>
      <c r="AM213">
        <v>0</v>
      </c>
      <c r="AN213">
        <v>0</v>
      </c>
      <c r="AO213">
        <v>0</v>
      </c>
      <c r="AP213">
        <v>2125</v>
      </c>
      <c r="AQ213">
        <v>2125</v>
      </c>
      <c r="AR213">
        <v>15425</v>
      </c>
      <c r="AS213">
        <v>0</v>
      </c>
      <c r="AT213">
        <v>0</v>
      </c>
      <c r="AU213">
        <v>21725</v>
      </c>
      <c r="AV213">
        <v>64569425</v>
      </c>
      <c r="AW213">
        <v>0</v>
      </c>
      <c r="AX213" s="5">
        <v>45695</v>
      </c>
      <c r="AY213" t="s">
        <v>356</v>
      </c>
      <c r="AZ213" t="s">
        <v>1247</v>
      </c>
      <c r="BA213" t="s">
        <v>1158</v>
      </c>
    </row>
    <row r="214" spans="1:53" ht="15" customHeight="1" x14ac:dyDescent="0.2">
      <c r="A214" t="s">
        <v>5058</v>
      </c>
      <c r="B214" t="s">
        <v>2363</v>
      </c>
      <c r="C214" t="s">
        <v>4892</v>
      </c>
      <c r="D214">
        <v>64569525</v>
      </c>
      <c r="E214" s="5">
        <v>45726</v>
      </c>
      <c r="F214" s="5">
        <v>45728.099305555559</v>
      </c>
      <c r="G214" s="4" t="s">
        <v>460</v>
      </c>
      <c r="H214" s="49">
        <v>3219658</v>
      </c>
      <c r="I214" s="49">
        <v>16883</v>
      </c>
      <c r="J214" s="50">
        <v>3202775</v>
      </c>
      <c r="K214" t="s">
        <v>2615</v>
      </c>
      <c r="L214" s="4" t="s">
        <v>461</v>
      </c>
      <c r="M214" t="s">
        <v>351</v>
      </c>
      <c r="N214" s="2">
        <v>52787846</v>
      </c>
      <c r="O214" t="s">
        <v>1249</v>
      </c>
      <c r="P214" t="s">
        <v>316</v>
      </c>
      <c r="Q214" t="s">
        <v>317</v>
      </c>
      <c r="R214">
        <v>4000153751</v>
      </c>
      <c r="S214" t="s">
        <v>319</v>
      </c>
      <c r="T214">
        <v>860034313</v>
      </c>
      <c r="U214" t="s">
        <v>355</v>
      </c>
      <c r="V214">
        <v>923211</v>
      </c>
      <c r="W214" t="s">
        <v>69</v>
      </c>
      <c r="X214" s="2" t="s">
        <v>29</v>
      </c>
      <c r="Y214" t="s">
        <v>30</v>
      </c>
      <c r="Z214" t="s">
        <v>31</v>
      </c>
      <c r="AA214" t="s">
        <v>32</v>
      </c>
      <c r="AB214" t="s">
        <v>33</v>
      </c>
      <c r="AC214" s="51">
        <v>3219658</v>
      </c>
      <c r="AD214">
        <v>0</v>
      </c>
      <c r="AE214" s="4">
        <v>0</v>
      </c>
      <c r="AF214" s="4">
        <v>0</v>
      </c>
      <c r="AG214" t="s">
        <v>462</v>
      </c>
      <c r="AH214">
        <v>0</v>
      </c>
      <c r="AI214">
        <v>0</v>
      </c>
      <c r="AJ214" s="2" t="s">
        <v>463</v>
      </c>
      <c r="AK214" s="2">
        <v>0</v>
      </c>
      <c r="AL214">
        <v>0</v>
      </c>
      <c r="AM214">
        <v>0</v>
      </c>
      <c r="AN214">
        <v>0</v>
      </c>
      <c r="AO214">
        <v>0</v>
      </c>
      <c r="AP214">
        <v>2125</v>
      </c>
      <c r="AQ214">
        <v>2125</v>
      </c>
      <c r="AR214">
        <v>15525</v>
      </c>
      <c r="AS214">
        <v>0</v>
      </c>
      <c r="AT214">
        <v>0</v>
      </c>
      <c r="AU214">
        <v>21825</v>
      </c>
      <c r="AV214">
        <v>64569525</v>
      </c>
      <c r="AW214">
        <v>0</v>
      </c>
      <c r="AX214" s="5">
        <v>45695</v>
      </c>
      <c r="AY214" t="s">
        <v>356</v>
      </c>
      <c r="AZ214" t="s">
        <v>1252</v>
      </c>
      <c r="BA214" t="s">
        <v>1158</v>
      </c>
    </row>
    <row r="215" spans="1:53" ht="15" customHeight="1" x14ac:dyDescent="0.2">
      <c r="A215" t="s">
        <v>5059</v>
      </c>
      <c r="B215" t="s">
        <v>2364</v>
      </c>
      <c r="C215" t="s">
        <v>4892</v>
      </c>
      <c r="D215">
        <v>64569625</v>
      </c>
      <c r="E215" s="5">
        <v>45726</v>
      </c>
      <c r="F215" s="5">
        <v>45728.099305555559</v>
      </c>
      <c r="G215" s="4" t="s">
        <v>460</v>
      </c>
      <c r="H215" s="49">
        <v>3219658</v>
      </c>
      <c r="I215" s="49">
        <v>16883</v>
      </c>
      <c r="J215" s="50">
        <v>3202775</v>
      </c>
      <c r="K215" t="s">
        <v>2615</v>
      </c>
      <c r="L215" s="4" t="s">
        <v>461</v>
      </c>
      <c r="M215" t="s">
        <v>351</v>
      </c>
      <c r="N215" s="2">
        <v>79207422</v>
      </c>
      <c r="O215" t="s">
        <v>1254</v>
      </c>
      <c r="P215" t="s">
        <v>316</v>
      </c>
      <c r="Q215" t="s">
        <v>317</v>
      </c>
      <c r="R215">
        <v>2300102304</v>
      </c>
      <c r="S215" t="s">
        <v>319</v>
      </c>
      <c r="T215">
        <v>860034313</v>
      </c>
      <c r="U215" t="s">
        <v>355</v>
      </c>
      <c r="V215">
        <v>923211</v>
      </c>
      <c r="W215" t="s">
        <v>69</v>
      </c>
      <c r="X215" s="2" t="s">
        <v>29</v>
      </c>
      <c r="Y215" t="s">
        <v>30</v>
      </c>
      <c r="Z215" t="s">
        <v>31</v>
      </c>
      <c r="AA215" t="s">
        <v>32</v>
      </c>
      <c r="AB215" t="s">
        <v>33</v>
      </c>
      <c r="AC215" s="51">
        <v>3219658</v>
      </c>
      <c r="AD215">
        <v>0</v>
      </c>
      <c r="AE215" s="4">
        <v>0</v>
      </c>
      <c r="AF215" s="4">
        <v>0</v>
      </c>
      <c r="AG215" t="s">
        <v>462</v>
      </c>
      <c r="AH215">
        <v>0</v>
      </c>
      <c r="AI215">
        <v>0</v>
      </c>
      <c r="AJ215" s="2" t="s">
        <v>463</v>
      </c>
      <c r="AK215" s="2">
        <v>0</v>
      </c>
      <c r="AL215">
        <v>0</v>
      </c>
      <c r="AM215">
        <v>0</v>
      </c>
      <c r="AN215">
        <v>0</v>
      </c>
      <c r="AO215">
        <v>0</v>
      </c>
      <c r="AP215">
        <v>2125</v>
      </c>
      <c r="AQ215">
        <v>2125</v>
      </c>
      <c r="AR215">
        <v>15625</v>
      </c>
      <c r="AS215">
        <v>0</v>
      </c>
      <c r="AT215">
        <v>0</v>
      </c>
      <c r="AU215">
        <v>21925</v>
      </c>
      <c r="AV215">
        <v>64569625</v>
      </c>
      <c r="AW215">
        <v>0</v>
      </c>
      <c r="AX215" s="5">
        <v>45695</v>
      </c>
      <c r="AY215" t="s">
        <v>356</v>
      </c>
      <c r="AZ215" t="s">
        <v>1257</v>
      </c>
      <c r="BA215" t="s">
        <v>1158</v>
      </c>
    </row>
    <row r="216" spans="1:53" ht="15" customHeight="1" x14ac:dyDescent="0.2">
      <c r="A216" t="s">
        <v>5060</v>
      </c>
      <c r="B216" t="s">
        <v>2365</v>
      </c>
      <c r="C216" t="s">
        <v>4892</v>
      </c>
      <c r="D216">
        <v>64569725</v>
      </c>
      <c r="E216" s="5">
        <v>45726</v>
      </c>
      <c r="F216" s="5">
        <v>45728.083333333336</v>
      </c>
      <c r="G216" s="4" t="s">
        <v>460</v>
      </c>
      <c r="H216" s="49">
        <v>3219658</v>
      </c>
      <c r="I216" s="49">
        <v>16883</v>
      </c>
      <c r="J216" s="50">
        <v>3202775</v>
      </c>
      <c r="K216" t="s">
        <v>2615</v>
      </c>
      <c r="L216" s="4" t="s">
        <v>461</v>
      </c>
      <c r="M216" t="s">
        <v>351</v>
      </c>
      <c r="N216" s="2">
        <v>79507598</v>
      </c>
      <c r="O216" t="s">
        <v>1259</v>
      </c>
      <c r="P216" t="s">
        <v>316</v>
      </c>
      <c r="Q216" t="s">
        <v>317</v>
      </c>
      <c r="R216">
        <v>587067430</v>
      </c>
      <c r="S216" t="s">
        <v>319</v>
      </c>
      <c r="T216">
        <v>860002964</v>
      </c>
      <c r="U216" t="s">
        <v>419</v>
      </c>
      <c r="V216">
        <v>923211</v>
      </c>
      <c r="W216" t="s">
        <v>69</v>
      </c>
      <c r="X216" s="2" t="s">
        <v>29</v>
      </c>
      <c r="Y216" t="s">
        <v>30</v>
      </c>
      <c r="Z216" t="s">
        <v>31</v>
      </c>
      <c r="AA216" t="s">
        <v>32</v>
      </c>
      <c r="AB216" t="s">
        <v>33</v>
      </c>
      <c r="AC216" s="51">
        <v>3219658</v>
      </c>
      <c r="AD216">
        <v>0</v>
      </c>
      <c r="AE216" s="4">
        <v>0</v>
      </c>
      <c r="AF216" s="4">
        <v>0</v>
      </c>
      <c r="AG216" t="s">
        <v>462</v>
      </c>
      <c r="AH216">
        <v>0</v>
      </c>
      <c r="AI216">
        <v>0</v>
      </c>
      <c r="AJ216" s="2" t="s">
        <v>463</v>
      </c>
      <c r="AK216" s="2">
        <v>0</v>
      </c>
      <c r="AL216">
        <v>0</v>
      </c>
      <c r="AM216">
        <v>0</v>
      </c>
      <c r="AN216">
        <v>0</v>
      </c>
      <c r="AO216">
        <v>0</v>
      </c>
      <c r="AP216">
        <v>2125</v>
      </c>
      <c r="AQ216">
        <v>2125</v>
      </c>
      <c r="AR216">
        <v>15725</v>
      </c>
      <c r="AS216">
        <v>0</v>
      </c>
      <c r="AT216">
        <v>0</v>
      </c>
      <c r="AU216">
        <v>22025</v>
      </c>
      <c r="AV216">
        <v>64569725</v>
      </c>
      <c r="AW216">
        <v>0</v>
      </c>
      <c r="AX216" s="5">
        <v>45695</v>
      </c>
      <c r="AY216" t="s">
        <v>356</v>
      </c>
      <c r="AZ216" t="s">
        <v>1262</v>
      </c>
      <c r="BA216" t="s">
        <v>1158</v>
      </c>
    </row>
    <row r="217" spans="1:53" ht="15" customHeight="1" x14ac:dyDescent="0.2">
      <c r="A217" t="s">
        <v>5061</v>
      </c>
      <c r="B217" t="s">
        <v>2366</v>
      </c>
      <c r="C217" t="s">
        <v>4892</v>
      </c>
      <c r="D217">
        <v>64569825</v>
      </c>
      <c r="E217" s="5">
        <v>45726</v>
      </c>
      <c r="F217" s="5">
        <v>45728.088888888888</v>
      </c>
      <c r="G217" s="4" t="s">
        <v>460</v>
      </c>
      <c r="H217" s="49">
        <v>3219658</v>
      </c>
      <c r="I217" s="49">
        <v>16883</v>
      </c>
      <c r="J217" s="50">
        <v>3202775</v>
      </c>
      <c r="K217" t="s">
        <v>2615</v>
      </c>
      <c r="L217" s="4" t="s">
        <v>461</v>
      </c>
      <c r="M217" t="s">
        <v>351</v>
      </c>
      <c r="N217" s="2">
        <v>79750460</v>
      </c>
      <c r="O217" t="s">
        <v>1264</v>
      </c>
      <c r="P217" t="s">
        <v>316</v>
      </c>
      <c r="Q217" t="s">
        <v>317</v>
      </c>
      <c r="R217">
        <v>3300000972</v>
      </c>
      <c r="S217" t="s">
        <v>319</v>
      </c>
      <c r="T217">
        <v>890903938</v>
      </c>
      <c r="U217" t="s">
        <v>342</v>
      </c>
      <c r="V217">
        <v>923211</v>
      </c>
      <c r="W217" t="s">
        <v>69</v>
      </c>
      <c r="X217" s="2" t="s">
        <v>29</v>
      </c>
      <c r="Y217" t="s">
        <v>30</v>
      </c>
      <c r="Z217" t="s">
        <v>31</v>
      </c>
      <c r="AA217" t="s">
        <v>32</v>
      </c>
      <c r="AB217" t="s">
        <v>33</v>
      </c>
      <c r="AC217" s="51">
        <v>3219658</v>
      </c>
      <c r="AD217">
        <v>0</v>
      </c>
      <c r="AE217" s="4">
        <v>0</v>
      </c>
      <c r="AF217" s="4">
        <v>0</v>
      </c>
      <c r="AG217" t="s">
        <v>462</v>
      </c>
      <c r="AH217">
        <v>0</v>
      </c>
      <c r="AI217">
        <v>0</v>
      </c>
      <c r="AJ217" s="2" t="s">
        <v>463</v>
      </c>
      <c r="AK217" s="2">
        <v>0</v>
      </c>
      <c r="AL217">
        <v>0</v>
      </c>
      <c r="AM217">
        <v>0</v>
      </c>
      <c r="AN217">
        <v>0</v>
      </c>
      <c r="AO217">
        <v>0</v>
      </c>
      <c r="AP217">
        <v>2125</v>
      </c>
      <c r="AQ217">
        <v>2125</v>
      </c>
      <c r="AR217">
        <v>15825</v>
      </c>
      <c r="AS217">
        <v>0</v>
      </c>
      <c r="AT217">
        <v>0</v>
      </c>
      <c r="AU217">
        <v>22125</v>
      </c>
      <c r="AV217">
        <v>64569825</v>
      </c>
      <c r="AW217">
        <v>0</v>
      </c>
      <c r="AX217" s="5">
        <v>45695</v>
      </c>
      <c r="AY217" t="s">
        <v>356</v>
      </c>
      <c r="AZ217" t="s">
        <v>1267</v>
      </c>
      <c r="BA217" t="s">
        <v>1158</v>
      </c>
    </row>
    <row r="218" spans="1:53" ht="15" customHeight="1" x14ac:dyDescent="0.2">
      <c r="A218" t="s">
        <v>5062</v>
      </c>
      <c r="B218" t="s">
        <v>2367</v>
      </c>
      <c r="C218" t="s">
        <v>4892</v>
      </c>
      <c r="D218">
        <v>64569925</v>
      </c>
      <c r="E218" s="5">
        <v>45726</v>
      </c>
      <c r="F218" s="5">
        <v>45728.099305555559</v>
      </c>
      <c r="G218" s="4" t="s">
        <v>460</v>
      </c>
      <c r="H218" s="49">
        <v>3219658</v>
      </c>
      <c r="I218" s="49">
        <v>16883</v>
      </c>
      <c r="J218" s="50">
        <v>3202775</v>
      </c>
      <c r="K218" t="s">
        <v>2615</v>
      </c>
      <c r="L218" s="4" t="s">
        <v>461</v>
      </c>
      <c r="M218" t="s">
        <v>351</v>
      </c>
      <c r="N218" s="2">
        <v>1024554710</v>
      </c>
      <c r="O218" t="s">
        <v>1268</v>
      </c>
      <c r="P218" t="s">
        <v>316</v>
      </c>
      <c r="Q218" t="s">
        <v>317</v>
      </c>
      <c r="R218">
        <v>488413702280</v>
      </c>
      <c r="S218" t="s">
        <v>319</v>
      </c>
      <c r="T218">
        <v>860034313</v>
      </c>
      <c r="U218" t="s">
        <v>355</v>
      </c>
      <c r="V218">
        <v>923211</v>
      </c>
      <c r="W218" t="s">
        <v>69</v>
      </c>
      <c r="X218" s="2" t="s">
        <v>29</v>
      </c>
      <c r="Y218" t="s">
        <v>30</v>
      </c>
      <c r="Z218" t="s">
        <v>31</v>
      </c>
      <c r="AA218" t="s">
        <v>32</v>
      </c>
      <c r="AB218" t="s">
        <v>33</v>
      </c>
      <c r="AC218" s="51">
        <v>3219658</v>
      </c>
      <c r="AD218">
        <v>0</v>
      </c>
      <c r="AE218" s="4">
        <v>0</v>
      </c>
      <c r="AF218" s="4">
        <v>0</v>
      </c>
      <c r="AG218" t="s">
        <v>462</v>
      </c>
      <c r="AH218">
        <v>0</v>
      </c>
      <c r="AI218">
        <v>0</v>
      </c>
      <c r="AJ218" s="2" t="s">
        <v>463</v>
      </c>
      <c r="AK218" s="2">
        <v>0</v>
      </c>
      <c r="AL218">
        <v>0</v>
      </c>
      <c r="AM218">
        <v>0</v>
      </c>
      <c r="AN218">
        <v>0</v>
      </c>
      <c r="AO218">
        <v>0</v>
      </c>
      <c r="AP218">
        <v>2125</v>
      </c>
      <c r="AQ218">
        <v>2125</v>
      </c>
      <c r="AR218">
        <v>15925</v>
      </c>
      <c r="AS218">
        <v>0</v>
      </c>
      <c r="AT218">
        <v>0</v>
      </c>
      <c r="AU218">
        <v>22225</v>
      </c>
      <c r="AV218">
        <v>64569925</v>
      </c>
      <c r="AW218">
        <v>0</v>
      </c>
      <c r="AX218" s="5">
        <v>45695</v>
      </c>
      <c r="AY218" t="s">
        <v>356</v>
      </c>
      <c r="AZ218" t="s">
        <v>1271</v>
      </c>
      <c r="BA218" t="s">
        <v>1158</v>
      </c>
    </row>
    <row r="219" spans="1:53" ht="15" customHeight="1" x14ac:dyDescent="0.2">
      <c r="A219" t="s">
        <v>5063</v>
      </c>
      <c r="B219" t="s">
        <v>2368</v>
      </c>
      <c r="C219" t="s">
        <v>4892</v>
      </c>
      <c r="D219">
        <v>64570025</v>
      </c>
      <c r="E219" s="5">
        <v>45726</v>
      </c>
      <c r="F219" s="5">
        <v>45728.089583333334</v>
      </c>
      <c r="G219" s="4" t="s">
        <v>460</v>
      </c>
      <c r="H219" s="49">
        <v>3219658</v>
      </c>
      <c r="I219" s="49">
        <v>16883</v>
      </c>
      <c r="J219" s="50">
        <v>3202775</v>
      </c>
      <c r="K219" t="s">
        <v>2615</v>
      </c>
      <c r="L219" s="4" t="s">
        <v>461</v>
      </c>
      <c r="M219" t="s">
        <v>351</v>
      </c>
      <c r="N219" s="2">
        <v>3836898</v>
      </c>
      <c r="O219" t="s">
        <v>1273</v>
      </c>
      <c r="P219" t="s">
        <v>316</v>
      </c>
      <c r="Q219" t="s">
        <v>317</v>
      </c>
      <c r="R219">
        <v>52500054026</v>
      </c>
      <c r="S219" t="s">
        <v>319</v>
      </c>
      <c r="T219">
        <v>890903938</v>
      </c>
      <c r="U219" t="s">
        <v>342</v>
      </c>
      <c r="V219">
        <v>923211</v>
      </c>
      <c r="W219" t="s">
        <v>69</v>
      </c>
      <c r="X219" s="2" t="s">
        <v>29</v>
      </c>
      <c r="Y219" t="s">
        <v>30</v>
      </c>
      <c r="Z219" t="s">
        <v>31</v>
      </c>
      <c r="AA219" t="s">
        <v>32</v>
      </c>
      <c r="AB219" t="s">
        <v>33</v>
      </c>
      <c r="AC219" s="51">
        <v>3219658</v>
      </c>
      <c r="AD219">
        <v>0</v>
      </c>
      <c r="AE219" s="4">
        <v>0</v>
      </c>
      <c r="AF219" s="4">
        <v>0</v>
      </c>
      <c r="AG219" t="s">
        <v>462</v>
      </c>
      <c r="AH219">
        <v>0</v>
      </c>
      <c r="AI219">
        <v>0</v>
      </c>
      <c r="AJ219" s="2" t="s">
        <v>463</v>
      </c>
      <c r="AK219" s="2">
        <v>0</v>
      </c>
      <c r="AL219">
        <v>0</v>
      </c>
      <c r="AM219">
        <v>0</v>
      </c>
      <c r="AN219">
        <v>0</v>
      </c>
      <c r="AO219">
        <v>0</v>
      </c>
      <c r="AP219">
        <v>2125</v>
      </c>
      <c r="AQ219">
        <v>2125</v>
      </c>
      <c r="AR219">
        <v>16025</v>
      </c>
      <c r="AS219">
        <v>0</v>
      </c>
      <c r="AT219">
        <v>0</v>
      </c>
      <c r="AU219">
        <v>22325</v>
      </c>
      <c r="AV219">
        <v>64570025</v>
      </c>
      <c r="AW219">
        <v>0</v>
      </c>
      <c r="AX219" s="5">
        <v>45695</v>
      </c>
      <c r="AY219" t="s">
        <v>356</v>
      </c>
      <c r="AZ219" t="s">
        <v>1276</v>
      </c>
      <c r="BA219" t="s">
        <v>1158</v>
      </c>
    </row>
    <row r="220" spans="1:53" ht="15" customHeight="1" x14ac:dyDescent="0.2">
      <c r="A220" t="s">
        <v>5064</v>
      </c>
      <c r="B220" t="s">
        <v>2369</v>
      </c>
      <c r="C220" t="s">
        <v>4892</v>
      </c>
      <c r="D220">
        <v>64570125</v>
      </c>
      <c r="E220" s="5">
        <v>45726</v>
      </c>
      <c r="F220" s="5">
        <v>45728.09375</v>
      </c>
      <c r="G220" s="4" t="s">
        <v>460</v>
      </c>
      <c r="H220" s="49">
        <v>3219658</v>
      </c>
      <c r="I220" s="49">
        <v>16883</v>
      </c>
      <c r="J220" s="50">
        <v>3202775</v>
      </c>
      <c r="K220" t="s">
        <v>2615</v>
      </c>
      <c r="L220" s="4" t="s">
        <v>461</v>
      </c>
      <c r="M220" t="s">
        <v>351</v>
      </c>
      <c r="N220" s="2">
        <v>7182568</v>
      </c>
      <c r="O220" t="s">
        <v>1278</v>
      </c>
      <c r="P220" t="s">
        <v>316</v>
      </c>
      <c r="Q220" t="s">
        <v>317</v>
      </c>
      <c r="R220">
        <v>349187633</v>
      </c>
      <c r="S220" t="s">
        <v>319</v>
      </c>
      <c r="T220">
        <v>860003020</v>
      </c>
      <c r="U220" t="s">
        <v>393</v>
      </c>
      <c r="V220">
        <v>923211</v>
      </c>
      <c r="W220" t="s">
        <v>69</v>
      </c>
      <c r="X220" s="2" t="s">
        <v>29</v>
      </c>
      <c r="Y220" t="s">
        <v>30</v>
      </c>
      <c r="Z220" t="s">
        <v>31</v>
      </c>
      <c r="AA220" t="s">
        <v>32</v>
      </c>
      <c r="AB220" t="s">
        <v>33</v>
      </c>
      <c r="AC220" s="51">
        <v>3219658</v>
      </c>
      <c r="AD220">
        <v>0</v>
      </c>
      <c r="AE220" s="4">
        <v>0</v>
      </c>
      <c r="AF220" s="4">
        <v>0</v>
      </c>
      <c r="AG220" t="s">
        <v>462</v>
      </c>
      <c r="AH220">
        <v>0</v>
      </c>
      <c r="AI220">
        <v>0</v>
      </c>
      <c r="AJ220" s="2" t="s">
        <v>463</v>
      </c>
      <c r="AK220" s="2">
        <v>0</v>
      </c>
      <c r="AL220">
        <v>0</v>
      </c>
      <c r="AM220">
        <v>0</v>
      </c>
      <c r="AN220">
        <v>0</v>
      </c>
      <c r="AO220">
        <v>0</v>
      </c>
      <c r="AP220">
        <v>2125</v>
      </c>
      <c r="AQ220">
        <v>2125</v>
      </c>
      <c r="AR220">
        <v>16125</v>
      </c>
      <c r="AS220">
        <v>0</v>
      </c>
      <c r="AT220">
        <v>0</v>
      </c>
      <c r="AU220">
        <v>22425</v>
      </c>
      <c r="AV220">
        <v>64570125</v>
      </c>
      <c r="AW220">
        <v>0</v>
      </c>
      <c r="AX220" s="5">
        <v>45695</v>
      </c>
      <c r="AY220" t="s">
        <v>356</v>
      </c>
      <c r="AZ220" t="s">
        <v>1281</v>
      </c>
      <c r="BA220" t="s">
        <v>1158</v>
      </c>
    </row>
    <row r="221" spans="1:53" ht="15" customHeight="1" x14ac:dyDescent="0.2">
      <c r="A221" t="s">
        <v>5065</v>
      </c>
      <c r="B221" t="s">
        <v>2370</v>
      </c>
      <c r="C221" t="s">
        <v>4892</v>
      </c>
      <c r="D221">
        <v>64570225</v>
      </c>
      <c r="E221" s="5">
        <v>45726</v>
      </c>
      <c r="F221" s="5">
        <v>45728.095833333333</v>
      </c>
      <c r="G221" s="4" t="s">
        <v>460</v>
      </c>
      <c r="H221" s="49">
        <v>3219658</v>
      </c>
      <c r="I221" s="49">
        <v>16883</v>
      </c>
      <c r="J221" s="50">
        <v>3202775</v>
      </c>
      <c r="K221" t="s">
        <v>2615</v>
      </c>
      <c r="L221" s="4" t="s">
        <v>461</v>
      </c>
      <c r="M221" t="s">
        <v>351</v>
      </c>
      <c r="N221" s="2">
        <v>79137299</v>
      </c>
      <c r="O221" t="s">
        <v>1283</v>
      </c>
      <c r="P221" t="s">
        <v>316</v>
      </c>
      <c r="Q221" t="s">
        <v>317</v>
      </c>
      <c r="R221">
        <v>24131820111</v>
      </c>
      <c r="S221" t="s">
        <v>319</v>
      </c>
      <c r="T221">
        <v>860007335</v>
      </c>
      <c r="U221" t="s">
        <v>381</v>
      </c>
      <c r="V221">
        <v>923211</v>
      </c>
      <c r="W221" t="s">
        <v>69</v>
      </c>
      <c r="X221" s="2" t="s">
        <v>29</v>
      </c>
      <c r="Y221" t="s">
        <v>30</v>
      </c>
      <c r="Z221" t="s">
        <v>31</v>
      </c>
      <c r="AA221" t="s">
        <v>32</v>
      </c>
      <c r="AB221" t="s">
        <v>33</v>
      </c>
      <c r="AC221" s="51">
        <v>3219658</v>
      </c>
      <c r="AD221">
        <v>0</v>
      </c>
      <c r="AE221" s="4">
        <v>0</v>
      </c>
      <c r="AF221" s="4">
        <v>0</v>
      </c>
      <c r="AG221" t="s">
        <v>462</v>
      </c>
      <c r="AH221">
        <v>0</v>
      </c>
      <c r="AI221">
        <v>0</v>
      </c>
      <c r="AJ221" s="2" t="s">
        <v>463</v>
      </c>
      <c r="AK221" s="2">
        <v>0</v>
      </c>
      <c r="AL221">
        <v>0</v>
      </c>
      <c r="AM221">
        <v>0</v>
      </c>
      <c r="AN221">
        <v>0</v>
      </c>
      <c r="AO221">
        <v>0</v>
      </c>
      <c r="AP221">
        <v>2125</v>
      </c>
      <c r="AQ221">
        <v>2125</v>
      </c>
      <c r="AR221">
        <v>16225</v>
      </c>
      <c r="AS221">
        <v>0</v>
      </c>
      <c r="AT221">
        <v>0</v>
      </c>
      <c r="AU221">
        <v>22525</v>
      </c>
      <c r="AV221">
        <v>64570225</v>
      </c>
      <c r="AW221">
        <v>0</v>
      </c>
      <c r="AX221" s="5">
        <v>45695</v>
      </c>
      <c r="AY221" t="s">
        <v>356</v>
      </c>
      <c r="AZ221" t="s">
        <v>1285</v>
      </c>
      <c r="BA221" t="s">
        <v>1158</v>
      </c>
    </row>
    <row r="222" spans="1:53" ht="15" customHeight="1" x14ac:dyDescent="0.2">
      <c r="A222" t="s">
        <v>5066</v>
      </c>
      <c r="B222" t="s">
        <v>2371</v>
      </c>
      <c r="C222" t="s">
        <v>4892</v>
      </c>
      <c r="D222">
        <v>64570325</v>
      </c>
      <c r="E222" s="5">
        <v>45726</v>
      </c>
      <c r="F222" s="5">
        <v>45728.099305555559</v>
      </c>
      <c r="G222" s="4" t="s">
        <v>460</v>
      </c>
      <c r="H222" s="49">
        <v>3219658</v>
      </c>
      <c r="I222" s="49">
        <v>16883</v>
      </c>
      <c r="J222" s="50">
        <v>3202775</v>
      </c>
      <c r="K222" t="s">
        <v>2615</v>
      </c>
      <c r="L222" s="4" t="s">
        <v>461</v>
      </c>
      <c r="M222" t="s">
        <v>351</v>
      </c>
      <c r="N222" s="2">
        <v>79536962</v>
      </c>
      <c r="O222" t="s">
        <v>1287</v>
      </c>
      <c r="P222" t="s">
        <v>316</v>
      </c>
      <c r="Q222" t="s">
        <v>317</v>
      </c>
      <c r="R222">
        <v>5570251263</v>
      </c>
      <c r="S222" t="s">
        <v>319</v>
      </c>
      <c r="T222">
        <v>860034313</v>
      </c>
      <c r="U222" t="s">
        <v>355</v>
      </c>
      <c r="V222">
        <v>923211</v>
      </c>
      <c r="W222" t="s">
        <v>69</v>
      </c>
      <c r="X222" s="2" t="s">
        <v>29</v>
      </c>
      <c r="Y222" t="s">
        <v>30</v>
      </c>
      <c r="Z222" t="s">
        <v>31</v>
      </c>
      <c r="AA222" t="s">
        <v>32</v>
      </c>
      <c r="AB222" t="s">
        <v>33</v>
      </c>
      <c r="AC222" s="51">
        <v>3219658</v>
      </c>
      <c r="AD222">
        <v>0</v>
      </c>
      <c r="AE222" s="4">
        <v>0</v>
      </c>
      <c r="AF222" s="4">
        <v>0</v>
      </c>
      <c r="AG222" t="s">
        <v>462</v>
      </c>
      <c r="AH222">
        <v>0</v>
      </c>
      <c r="AI222">
        <v>0</v>
      </c>
      <c r="AJ222" s="2" t="s">
        <v>463</v>
      </c>
      <c r="AK222" s="2">
        <v>0</v>
      </c>
      <c r="AL222">
        <v>0</v>
      </c>
      <c r="AM222">
        <v>0</v>
      </c>
      <c r="AN222">
        <v>0</v>
      </c>
      <c r="AO222">
        <v>0</v>
      </c>
      <c r="AP222">
        <v>2125</v>
      </c>
      <c r="AQ222">
        <v>2125</v>
      </c>
      <c r="AR222">
        <v>16325</v>
      </c>
      <c r="AS222">
        <v>0</v>
      </c>
      <c r="AT222">
        <v>0</v>
      </c>
      <c r="AU222">
        <v>22625</v>
      </c>
      <c r="AV222">
        <v>64570325</v>
      </c>
      <c r="AW222">
        <v>0</v>
      </c>
      <c r="AX222" s="5">
        <v>45695</v>
      </c>
      <c r="AY222" t="s">
        <v>356</v>
      </c>
      <c r="AZ222" t="s">
        <v>1290</v>
      </c>
      <c r="BA222" t="s">
        <v>1158</v>
      </c>
    </row>
    <row r="223" spans="1:53" ht="15" customHeight="1" x14ac:dyDescent="0.2">
      <c r="A223" t="s">
        <v>5067</v>
      </c>
      <c r="B223" t="s">
        <v>2372</v>
      </c>
      <c r="C223" t="s">
        <v>4892</v>
      </c>
      <c r="D223">
        <v>64570425</v>
      </c>
      <c r="E223" s="5">
        <v>45726</v>
      </c>
      <c r="F223" s="5">
        <v>45728.089583333334</v>
      </c>
      <c r="G223" s="4" t="s">
        <v>460</v>
      </c>
      <c r="H223" s="49">
        <v>3219658</v>
      </c>
      <c r="I223" s="49">
        <v>16883</v>
      </c>
      <c r="J223" s="50">
        <v>3202775</v>
      </c>
      <c r="K223" t="s">
        <v>2615</v>
      </c>
      <c r="L223" s="4" t="s">
        <v>461</v>
      </c>
      <c r="M223" t="s">
        <v>351</v>
      </c>
      <c r="N223" s="2">
        <v>80830255</v>
      </c>
      <c r="O223" t="s">
        <v>1292</v>
      </c>
      <c r="P223" t="s">
        <v>316</v>
      </c>
      <c r="Q223" t="s">
        <v>317</v>
      </c>
      <c r="R223">
        <v>24143941023</v>
      </c>
      <c r="S223" t="s">
        <v>319</v>
      </c>
      <c r="T223">
        <v>890903938</v>
      </c>
      <c r="U223" t="s">
        <v>342</v>
      </c>
      <c r="V223">
        <v>923211</v>
      </c>
      <c r="W223" t="s">
        <v>69</v>
      </c>
      <c r="X223" s="2" t="s">
        <v>29</v>
      </c>
      <c r="Y223" t="s">
        <v>30</v>
      </c>
      <c r="Z223" t="s">
        <v>31</v>
      </c>
      <c r="AA223" t="s">
        <v>32</v>
      </c>
      <c r="AB223" t="s">
        <v>33</v>
      </c>
      <c r="AC223" s="51">
        <v>3219658</v>
      </c>
      <c r="AD223">
        <v>0</v>
      </c>
      <c r="AE223" s="4">
        <v>0</v>
      </c>
      <c r="AF223" s="4">
        <v>0</v>
      </c>
      <c r="AG223" t="s">
        <v>462</v>
      </c>
      <c r="AH223">
        <v>0</v>
      </c>
      <c r="AI223">
        <v>0</v>
      </c>
      <c r="AJ223" s="2" t="s">
        <v>463</v>
      </c>
      <c r="AK223" s="2">
        <v>0</v>
      </c>
      <c r="AL223">
        <v>0</v>
      </c>
      <c r="AM223">
        <v>0</v>
      </c>
      <c r="AN223">
        <v>0</v>
      </c>
      <c r="AO223">
        <v>0</v>
      </c>
      <c r="AP223">
        <v>2125</v>
      </c>
      <c r="AQ223">
        <v>2125</v>
      </c>
      <c r="AR223">
        <v>16425</v>
      </c>
      <c r="AS223">
        <v>0</v>
      </c>
      <c r="AT223">
        <v>0</v>
      </c>
      <c r="AU223">
        <v>22725</v>
      </c>
      <c r="AV223">
        <v>64570425</v>
      </c>
      <c r="AW223">
        <v>0</v>
      </c>
      <c r="AX223" s="5">
        <v>45695</v>
      </c>
      <c r="AY223" t="s">
        <v>356</v>
      </c>
      <c r="AZ223" t="s">
        <v>1295</v>
      </c>
      <c r="BA223" t="s">
        <v>1158</v>
      </c>
    </row>
    <row r="224" spans="1:53" ht="15" customHeight="1" x14ac:dyDescent="0.2">
      <c r="A224" t="s">
        <v>5068</v>
      </c>
      <c r="B224" t="s">
        <v>2373</v>
      </c>
      <c r="C224" t="s">
        <v>4892</v>
      </c>
      <c r="D224">
        <v>64570525</v>
      </c>
      <c r="E224" s="5">
        <v>45726</v>
      </c>
      <c r="F224" s="5">
        <v>45728.095833333333</v>
      </c>
      <c r="G224" s="4" t="s">
        <v>460</v>
      </c>
      <c r="H224" s="49">
        <v>3219658</v>
      </c>
      <c r="I224" s="49">
        <v>16883</v>
      </c>
      <c r="J224" s="50">
        <v>3202775</v>
      </c>
      <c r="K224" t="s">
        <v>2615</v>
      </c>
      <c r="L224" s="4" t="s">
        <v>461</v>
      </c>
      <c r="M224" t="s">
        <v>351</v>
      </c>
      <c r="N224" s="2">
        <v>93300406</v>
      </c>
      <c r="O224" t="s">
        <v>1297</v>
      </c>
      <c r="P224" t="s">
        <v>316</v>
      </c>
      <c r="Q224" t="s">
        <v>317</v>
      </c>
      <c r="R224">
        <v>24049543298</v>
      </c>
      <c r="S224" t="s">
        <v>319</v>
      </c>
      <c r="T224">
        <v>860007335</v>
      </c>
      <c r="U224" t="s">
        <v>381</v>
      </c>
      <c r="V224">
        <v>923211</v>
      </c>
      <c r="W224" t="s">
        <v>69</v>
      </c>
      <c r="X224" s="2" t="s">
        <v>29</v>
      </c>
      <c r="Y224" t="s">
        <v>30</v>
      </c>
      <c r="Z224" t="s">
        <v>31</v>
      </c>
      <c r="AA224" t="s">
        <v>32</v>
      </c>
      <c r="AB224" t="s">
        <v>33</v>
      </c>
      <c r="AC224" s="51">
        <v>3219658</v>
      </c>
      <c r="AD224">
        <v>0</v>
      </c>
      <c r="AE224" s="4">
        <v>0</v>
      </c>
      <c r="AF224" s="4">
        <v>0</v>
      </c>
      <c r="AG224" t="s">
        <v>462</v>
      </c>
      <c r="AH224">
        <v>0</v>
      </c>
      <c r="AI224">
        <v>0</v>
      </c>
      <c r="AJ224" s="2" t="s">
        <v>463</v>
      </c>
      <c r="AK224" s="2">
        <v>0</v>
      </c>
      <c r="AL224">
        <v>0</v>
      </c>
      <c r="AM224">
        <v>0</v>
      </c>
      <c r="AN224">
        <v>0</v>
      </c>
      <c r="AO224">
        <v>0</v>
      </c>
      <c r="AP224">
        <v>2125</v>
      </c>
      <c r="AQ224">
        <v>2125</v>
      </c>
      <c r="AR224">
        <v>16525</v>
      </c>
      <c r="AS224">
        <v>0</v>
      </c>
      <c r="AT224">
        <v>0</v>
      </c>
      <c r="AU224">
        <v>22825</v>
      </c>
      <c r="AV224">
        <v>64570525</v>
      </c>
      <c r="AW224">
        <v>0</v>
      </c>
      <c r="AX224" s="5">
        <v>45695</v>
      </c>
      <c r="AY224" t="s">
        <v>356</v>
      </c>
      <c r="AZ224" t="s">
        <v>1300</v>
      </c>
      <c r="BA224" t="s">
        <v>1158</v>
      </c>
    </row>
    <row r="225" spans="1:53" ht="15" customHeight="1" x14ac:dyDescent="0.2">
      <c r="A225" t="s">
        <v>5069</v>
      </c>
      <c r="B225" t="s">
        <v>2374</v>
      </c>
      <c r="C225" t="s">
        <v>4892</v>
      </c>
      <c r="D225">
        <v>64570625</v>
      </c>
      <c r="E225" s="5">
        <v>45726</v>
      </c>
      <c r="F225" s="5">
        <v>45728.099305555559</v>
      </c>
      <c r="G225" s="4" t="s">
        <v>460</v>
      </c>
      <c r="H225" s="49">
        <v>3219658</v>
      </c>
      <c r="I225" s="49">
        <v>18250</v>
      </c>
      <c r="J225" s="50">
        <v>3201408</v>
      </c>
      <c r="K225" t="s">
        <v>2615</v>
      </c>
      <c r="L225" s="4" t="s">
        <v>461</v>
      </c>
      <c r="M225" t="s">
        <v>351</v>
      </c>
      <c r="N225" s="2">
        <v>19445585</v>
      </c>
      <c r="O225" t="s">
        <v>1302</v>
      </c>
      <c r="P225" t="s">
        <v>316</v>
      </c>
      <c r="Q225" t="s">
        <v>317</v>
      </c>
      <c r="R225">
        <v>516594074</v>
      </c>
      <c r="S225" t="s">
        <v>319</v>
      </c>
      <c r="T225">
        <v>860034313</v>
      </c>
      <c r="U225" t="s">
        <v>355</v>
      </c>
      <c r="V225">
        <v>923211</v>
      </c>
      <c r="W225" t="s">
        <v>69</v>
      </c>
      <c r="X225" s="2" t="s">
        <v>29</v>
      </c>
      <c r="Y225" t="s">
        <v>30</v>
      </c>
      <c r="Z225" t="s">
        <v>31</v>
      </c>
      <c r="AA225" t="s">
        <v>32</v>
      </c>
      <c r="AB225" t="s">
        <v>33</v>
      </c>
      <c r="AC225" s="51">
        <v>3219658</v>
      </c>
      <c r="AD225">
        <v>0</v>
      </c>
      <c r="AE225" s="4">
        <v>0</v>
      </c>
      <c r="AF225" s="4">
        <v>0</v>
      </c>
      <c r="AG225" t="s">
        <v>462</v>
      </c>
      <c r="AH225">
        <v>0</v>
      </c>
      <c r="AI225">
        <v>0</v>
      </c>
      <c r="AJ225" s="2" t="s">
        <v>463</v>
      </c>
      <c r="AK225" s="2">
        <v>0</v>
      </c>
      <c r="AL225">
        <v>0</v>
      </c>
      <c r="AM225">
        <v>0</v>
      </c>
      <c r="AN225">
        <v>0</v>
      </c>
      <c r="AO225">
        <v>0</v>
      </c>
      <c r="AP225">
        <v>2125</v>
      </c>
      <c r="AQ225">
        <v>2125</v>
      </c>
      <c r="AR225">
        <v>16625</v>
      </c>
      <c r="AS225">
        <v>0</v>
      </c>
      <c r="AT225">
        <v>0</v>
      </c>
      <c r="AU225">
        <v>22925</v>
      </c>
      <c r="AV225">
        <v>64570625</v>
      </c>
      <c r="AW225">
        <v>0</v>
      </c>
      <c r="AX225" s="5">
        <v>45695</v>
      </c>
      <c r="AY225" t="s">
        <v>356</v>
      </c>
      <c r="AZ225" t="s">
        <v>1305</v>
      </c>
      <c r="BA225" t="s">
        <v>1158</v>
      </c>
    </row>
    <row r="226" spans="1:53" ht="15" customHeight="1" x14ac:dyDescent="0.2">
      <c r="A226" t="s">
        <v>5070</v>
      </c>
      <c r="B226" t="s">
        <v>2375</v>
      </c>
      <c r="C226" t="s">
        <v>4892</v>
      </c>
      <c r="D226">
        <v>64570825</v>
      </c>
      <c r="E226" s="5">
        <v>45726</v>
      </c>
      <c r="F226" s="5">
        <v>45728.088888888888</v>
      </c>
      <c r="G226" s="4" t="s">
        <v>460</v>
      </c>
      <c r="H226" s="49">
        <v>3219658</v>
      </c>
      <c r="I226" s="49">
        <v>16883</v>
      </c>
      <c r="J226" s="50">
        <v>3202775</v>
      </c>
      <c r="K226" t="s">
        <v>2615</v>
      </c>
      <c r="L226" s="4" t="s">
        <v>461</v>
      </c>
      <c r="M226" t="s">
        <v>351</v>
      </c>
      <c r="N226" s="2">
        <v>1022333460</v>
      </c>
      <c r="O226" t="s">
        <v>1307</v>
      </c>
      <c r="P226" t="s">
        <v>316</v>
      </c>
      <c r="Q226" t="s">
        <v>317</v>
      </c>
      <c r="R226">
        <v>3191077511</v>
      </c>
      <c r="S226" t="s">
        <v>319</v>
      </c>
      <c r="T226">
        <v>890903938</v>
      </c>
      <c r="U226" t="s">
        <v>342</v>
      </c>
      <c r="V226">
        <v>923211</v>
      </c>
      <c r="W226" t="s">
        <v>69</v>
      </c>
      <c r="X226" s="2" t="s">
        <v>29</v>
      </c>
      <c r="Y226" t="s">
        <v>30</v>
      </c>
      <c r="Z226" t="s">
        <v>31</v>
      </c>
      <c r="AA226" t="s">
        <v>32</v>
      </c>
      <c r="AB226" t="s">
        <v>33</v>
      </c>
      <c r="AC226" s="51">
        <v>3219658</v>
      </c>
      <c r="AD226">
        <v>0</v>
      </c>
      <c r="AE226" s="4">
        <v>0</v>
      </c>
      <c r="AF226" s="4">
        <v>0</v>
      </c>
      <c r="AG226" t="s">
        <v>462</v>
      </c>
      <c r="AH226">
        <v>0</v>
      </c>
      <c r="AI226">
        <v>0</v>
      </c>
      <c r="AJ226" s="2" t="s">
        <v>463</v>
      </c>
      <c r="AK226" s="2">
        <v>0</v>
      </c>
      <c r="AL226">
        <v>0</v>
      </c>
      <c r="AM226">
        <v>0</v>
      </c>
      <c r="AN226">
        <v>0</v>
      </c>
      <c r="AO226">
        <v>0</v>
      </c>
      <c r="AP226">
        <v>2125</v>
      </c>
      <c r="AQ226">
        <v>2125</v>
      </c>
      <c r="AR226">
        <v>16725</v>
      </c>
      <c r="AS226">
        <v>0</v>
      </c>
      <c r="AT226">
        <v>0</v>
      </c>
      <c r="AU226">
        <v>23025</v>
      </c>
      <c r="AV226">
        <v>64570825</v>
      </c>
      <c r="AW226">
        <v>0</v>
      </c>
      <c r="AX226" s="5">
        <v>45695</v>
      </c>
      <c r="AY226" t="s">
        <v>356</v>
      </c>
      <c r="AZ226" t="s">
        <v>1310</v>
      </c>
      <c r="BA226" t="s">
        <v>1158</v>
      </c>
    </row>
    <row r="227" spans="1:53" ht="15" customHeight="1" x14ac:dyDescent="0.2">
      <c r="A227" t="s">
        <v>5071</v>
      </c>
      <c r="B227" t="s">
        <v>2376</v>
      </c>
      <c r="C227" t="s">
        <v>4892</v>
      </c>
      <c r="D227">
        <v>64570925</v>
      </c>
      <c r="E227" s="5">
        <v>45726</v>
      </c>
      <c r="F227" s="5">
        <v>45728.09375</v>
      </c>
      <c r="G227" s="4" t="s">
        <v>460</v>
      </c>
      <c r="H227" s="49">
        <v>3219658</v>
      </c>
      <c r="I227" s="49">
        <v>16883</v>
      </c>
      <c r="J227" s="50">
        <v>3202775</v>
      </c>
      <c r="K227" t="s">
        <v>2615</v>
      </c>
      <c r="L227" s="4" t="s">
        <v>461</v>
      </c>
      <c r="M227" t="s">
        <v>351</v>
      </c>
      <c r="N227" s="2">
        <v>1043004376</v>
      </c>
      <c r="O227" t="s">
        <v>1312</v>
      </c>
      <c r="P227" t="s">
        <v>316</v>
      </c>
      <c r="Q227" t="s">
        <v>317</v>
      </c>
      <c r="R227">
        <v>85364800</v>
      </c>
      <c r="S227" t="s">
        <v>319</v>
      </c>
      <c r="T227">
        <v>860003020</v>
      </c>
      <c r="U227" t="s">
        <v>393</v>
      </c>
      <c r="V227">
        <v>923211</v>
      </c>
      <c r="W227" t="s">
        <v>69</v>
      </c>
      <c r="X227" s="2" t="s">
        <v>29</v>
      </c>
      <c r="Y227" t="s">
        <v>30</v>
      </c>
      <c r="Z227" t="s">
        <v>31</v>
      </c>
      <c r="AA227" t="s">
        <v>32</v>
      </c>
      <c r="AB227" t="s">
        <v>33</v>
      </c>
      <c r="AC227" s="51">
        <v>3219658</v>
      </c>
      <c r="AD227">
        <v>0</v>
      </c>
      <c r="AE227" s="4">
        <v>0</v>
      </c>
      <c r="AF227" s="4">
        <v>0</v>
      </c>
      <c r="AG227" t="s">
        <v>462</v>
      </c>
      <c r="AH227">
        <v>0</v>
      </c>
      <c r="AI227">
        <v>0</v>
      </c>
      <c r="AJ227" s="2" t="s">
        <v>463</v>
      </c>
      <c r="AK227" s="2">
        <v>0</v>
      </c>
      <c r="AL227">
        <v>0</v>
      </c>
      <c r="AM227">
        <v>0</v>
      </c>
      <c r="AN227">
        <v>0</v>
      </c>
      <c r="AO227">
        <v>0</v>
      </c>
      <c r="AP227">
        <v>2125</v>
      </c>
      <c r="AQ227">
        <v>2125</v>
      </c>
      <c r="AR227">
        <v>16825</v>
      </c>
      <c r="AS227">
        <v>0</v>
      </c>
      <c r="AT227">
        <v>0</v>
      </c>
      <c r="AU227">
        <v>23125</v>
      </c>
      <c r="AV227">
        <v>64570925</v>
      </c>
      <c r="AW227">
        <v>0</v>
      </c>
      <c r="AX227" s="5">
        <v>45695</v>
      </c>
      <c r="AY227" t="s">
        <v>356</v>
      </c>
      <c r="AZ227" t="s">
        <v>1315</v>
      </c>
      <c r="BA227" t="s">
        <v>1158</v>
      </c>
    </row>
    <row r="228" spans="1:53" ht="15" customHeight="1" x14ac:dyDescent="0.2">
      <c r="A228" t="s">
        <v>5072</v>
      </c>
      <c r="B228" t="s">
        <v>2377</v>
      </c>
      <c r="C228" t="s">
        <v>4892</v>
      </c>
      <c r="D228">
        <v>64571025</v>
      </c>
      <c r="E228" s="5">
        <v>45726</v>
      </c>
      <c r="F228" s="5">
        <v>45728.088888888888</v>
      </c>
      <c r="G228" s="4" t="s">
        <v>460</v>
      </c>
      <c r="H228" s="49">
        <v>3219658</v>
      </c>
      <c r="I228" s="49">
        <v>16883</v>
      </c>
      <c r="J228" s="50">
        <v>3202775</v>
      </c>
      <c r="K228" t="s">
        <v>2615</v>
      </c>
      <c r="L228" s="4" t="s">
        <v>461</v>
      </c>
      <c r="M228" t="s">
        <v>351</v>
      </c>
      <c r="N228" s="2">
        <v>80779140</v>
      </c>
      <c r="O228" t="s">
        <v>1317</v>
      </c>
      <c r="P228" t="s">
        <v>316</v>
      </c>
      <c r="Q228" t="s">
        <v>317</v>
      </c>
      <c r="R228">
        <v>52591567942</v>
      </c>
      <c r="S228" t="s">
        <v>319</v>
      </c>
      <c r="T228">
        <v>890903938</v>
      </c>
      <c r="U228" t="s">
        <v>342</v>
      </c>
      <c r="V228">
        <v>923211</v>
      </c>
      <c r="W228" t="s">
        <v>69</v>
      </c>
      <c r="X228" s="2" t="s">
        <v>29</v>
      </c>
      <c r="Y228" t="s">
        <v>30</v>
      </c>
      <c r="Z228" t="s">
        <v>31</v>
      </c>
      <c r="AA228" t="s">
        <v>32</v>
      </c>
      <c r="AB228" t="s">
        <v>33</v>
      </c>
      <c r="AC228" s="51">
        <v>3219658</v>
      </c>
      <c r="AD228">
        <v>0</v>
      </c>
      <c r="AE228" s="4">
        <v>0</v>
      </c>
      <c r="AF228" s="4">
        <v>0</v>
      </c>
      <c r="AG228" t="s">
        <v>462</v>
      </c>
      <c r="AH228">
        <v>0</v>
      </c>
      <c r="AI228">
        <v>0</v>
      </c>
      <c r="AJ228" s="2" t="s">
        <v>463</v>
      </c>
      <c r="AK228" s="2">
        <v>0</v>
      </c>
      <c r="AL228">
        <v>0</v>
      </c>
      <c r="AM228">
        <v>0</v>
      </c>
      <c r="AN228">
        <v>0</v>
      </c>
      <c r="AO228">
        <v>0</v>
      </c>
      <c r="AP228">
        <v>2125</v>
      </c>
      <c r="AQ228">
        <v>2125</v>
      </c>
      <c r="AR228">
        <v>16925</v>
      </c>
      <c r="AS228">
        <v>0</v>
      </c>
      <c r="AT228">
        <v>0</v>
      </c>
      <c r="AU228">
        <v>23225</v>
      </c>
      <c r="AV228">
        <v>64571025</v>
      </c>
      <c r="AW228">
        <v>0</v>
      </c>
      <c r="AX228" s="5">
        <v>45695</v>
      </c>
      <c r="AY228" t="s">
        <v>356</v>
      </c>
      <c r="AZ228" t="s">
        <v>1320</v>
      </c>
      <c r="BA228" t="s">
        <v>1158</v>
      </c>
    </row>
    <row r="229" spans="1:53" ht="15" customHeight="1" x14ac:dyDescent="0.2">
      <c r="A229" t="s">
        <v>5073</v>
      </c>
      <c r="B229" t="s">
        <v>2378</v>
      </c>
      <c r="C229" t="s">
        <v>4892</v>
      </c>
      <c r="D229">
        <v>64571125</v>
      </c>
      <c r="E229" s="5">
        <v>45726</v>
      </c>
      <c r="F229" s="5">
        <v>45728.099305555559</v>
      </c>
      <c r="G229" s="4" t="s">
        <v>460</v>
      </c>
      <c r="H229" s="49">
        <v>3219658</v>
      </c>
      <c r="I229" s="49">
        <v>16883</v>
      </c>
      <c r="J229" s="50">
        <v>3202775</v>
      </c>
      <c r="K229" t="s">
        <v>2615</v>
      </c>
      <c r="L229" s="4" t="s">
        <v>461</v>
      </c>
      <c r="M229" t="s">
        <v>351</v>
      </c>
      <c r="N229" s="2">
        <v>1072191632</v>
      </c>
      <c r="O229" t="s">
        <v>1322</v>
      </c>
      <c r="P229" t="s">
        <v>316</v>
      </c>
      <c r="Q229" t="s">
        <v>317</v>
      </c>
      <c r="R229">
        <v>476200055244</v>
      </c>
      <c r="S229" t="s">
        <v>319</v>
      </c>
      <c r="T229">
        <v>860034313</v>
      </c>
      <c r="U229" t="s">
        <v>355</v>
      </c>
      <c r="V229">
        <v>923211</v>
      </c>
      <c r="W229" t="s">
        <v>69</v>
      </c>
      <c r="X229" s="2" t="s">
        <v>29</v>
      </c>
      <c r="Y229" t="s">
        <v>30</v>
      </c>
      <c r="Z229" t="s">
        <v>31</v>
      </c>
      <c r="AA229" t="s">
        <v>32</v>
      </c>
      <c r="AB229" t="s">
        <v>33</v>
      </c>
      <c r="AC229" s="51">
        <v>3219658</v>
      </c>
      <c r="AD229">
        <v>0</v>
      </c>
      <c r="AE229" s="4">
        <v>0</v>
      </c>
      <c r="AF229" s="4">
        <v>0</v>
      </c>
      <c r="AG229" t="s">
        <v>462</v>
      </c>
      <c r="AH229">
        <v>0</v>
      </c>
      <c r="AI229">
        <v>0</v>
      </c>
      <c r="AJ229" s="2" t="s">
        <v>463</v>
      </c>
      <c r="AK229" s="2">
        <v>0</v>
      </c>
      <c r="AL229">
        <v>0</v>
      </c>
      <c r="AM229">
        <v>0</v>
      </c>
      <c r="AN229">
        <v>0</v>
      </c>
      <c r="AO229">
        <v>0</v>
      </c>
      <c r="AP229">
        <v>2125</v>
      </c>
      <c r="AQ229">
        <v>2125</v>
      </c>
      <c r="AR229">
        <v>17025</v>
      </c>
      <c r="AS229">
        <v>0</v>
      </c>
      <c r="AT229">
        <v>0</v>
      </c>
      <c r="AU229">
        <v>23325</v>
      </c>
      <c r="AV229">
        <v>64571125</v>
      </c>
      <c r="AW229">
        <v>0</v>
      </c>
      <c r="AX229" s="5">
        <v>45695</v>
      </c>
      <c r="AY229" t="s">
        <v>356</v>
      </c>
      <c r="AZ229" t="s">
        <v>1325</v>
      </c>
      <c r="BA229" t="s">
        <v>1158</v>
      </c>
    </row>
    <row r="230" spans="1:53" ht="15" customHeight="1" x14ac:dyDescent="0.2">
      <c r="A230" t="s">
        <v>5074</v>
      </c>
      <c r="B230" t="s">
        <v>2379</v>
      </c>
      <c r="C230" t="s">
        <v>4917</v>
      </c>
      <c r="D230">
        <v>64571225</v>
      </c>
      <c r="E230" s="5">
        <v>45726</v>
      </c>
      <c r="F230" s="5">
        <v>45728.084027777775</v>
      </c>
      <c r="G230" s="4" t="s">
        <v>460</v>
      </c>
      <c r="H230" s="49">
        <v>2489112</v>
      </c>
      <c r="I230" s="49">
        <v>13867</v>
      </c>
      <c r="J230" s="50">
        <v>2475245</v>
      </c>
      <c r="K230" t="s">
        <v>2615</v>
      </c>
      <c r="L230" s="4" t="s">
        <v>461</v>
      </c>
      <c r="M230" t="s">
        <v>351</v>
      </c>
      <c r="N230" s="2">
        <v>30343319</v>
      </c>
      <c r="O230" t="s">
        <v>1328</v>
      </c>
      <c r="P230" t="s">
        <v>316</v>
      </c>
      <c r="Q230" t="s">
        <v>317</v>
      </c>
      <c r="R230">
        <v>230520129230</v>
      </c>
      <c r="S230" t="s">
        <v>319</v>
      </c>
      <c r="T230">
        <v>860007738</v>
      </c>
      <c r="U230" t="s">
        <v>784</v>
      </c>
      <c r="V230">
        <v>923245</v>
      </c>
      <c r="W230" t="s">
        <v>180</v>
      </c>
      <c r="X230" s="2" t="s">
        <v>29</v>
      </c>
      <c r="Y230" t="s">
        <v>30</v>
      </c>
      <c r="Z230" t="s">
        <v>31</v>
      </c>
      <c r="AA230" t="s">
        <v>32</v>
      </c>
      <c r="AB230" t="s">
        <v>33</v>
      </c>
      <c r="AC230" s="51">
        <v>2489112</v>
      </c>
      <c r="AD230">
        <v>0</v>
      </c>
      <c r="AE230" s="4">
        <v>0</v>
      </c>
      <c r="AF230" s="4">
        <v>0</v>
      </c>
      <c r="AG230" t="s">
        <v>462</v>
      </c>
      <c r="AH230">
        <v>0</v>
      </c>
      <c r="AI230">
        <v>0</v>
      </c>
      <c r="AJ230" s="2" t="s">
        <v>463</v>
      </c>
      <c r="AK230" s="2">
        <v>0</v>
      </c>
      <c r="AL230">
        <v>0</v>
      </c>
      <c r="AM230">
        <v>0</v>
      </c>
      <c r="AN230">
        <v>0</v>
      </c>
      <c r="AO230">
        <v>0</v>
      </c>
      <c r="AP230">
        <v>3825</v>
      </c>
      <c r="AQ230">
        <v>3825</v>
      </c>
      <c r="AR230">
        <v>17125</v>
      </c>
      <c r="AS230">
        <v>0</v>
      </c>
      <c r="AT230">
        <v>0</v>
      </c>
      <c r="AU230">
        <v>23425</v>
      </c>
      <c r="AV230">
        <v>64571225</v>
      </c>
      <c r="AW230">
        <v>0</v>
      </c>
      <c r="AX230" s="5">
        <v>45696</v>
      </c>
      <c r="AY230" t="s">
        <v>356</v>
      </c>
      <c r="AZ230" t="s">
        <v>1331</v>
      </c>
      <c r="BA230" t="s">
        <v>1332</v>
      </c>
    </row>
    <row r="231" spans="1:53" ht="15" customHeight="1" x14ac:dyDescent="0.2">
      <c r="A231" t="s">
        <v>5075</v>
      </c>
      <c r="B231" t="s">
        <v>2380</v>
      </c>
      <c r="C231" t="s">
        <v>4917</v>
      </c>
      <c r="D231">
        <v>64571325</v>
      </c>
      <c r="E231" s="5">
        <v>45726</v>
      </c>
      <c r="F231" s="5">
        <v>45728.099305555559</v>
      </c>
      <c r="G231" s="4" t="s">
        <v>460</v>
      </c>
      <c r="H231" s="49">
        <v>3219658</v>
      </c>
      <c r="I231" s="49">
        <v>16883</v>
      </c>
      <c r="J231" s="50">
        <v>3202775</v>
      </c>
      <c r="K231" t="s">
        <v>2615</v>
      </c>
      <c r="L231" s="4" t="s">
        <v>461</v>
      </c>
      <c r="M231" t="s">
        <v>351</v>
      </c>
      <c r="N231" s="2">
        <v>3170613</v>
      </c>
      <c r="O231" t="s">
        <v>1334</v>
      </c>
      <c r="P231" t="s">
        <v>316</v>
      </c>
      <c r="Q231" t="s">
        <v>317</v>
      </c>
      <c r="R231">
        <v>51168359</v>
      </c>
      <c r="S231" t="s">
        <v>319</v>
      </c>
      <c r="T231">
        <v>860034313</v>
      </c>
      <c r="U231" t="s">
        <v>355</v>
      </c>
      <c r="V231">
        <v>923245</v>
      </c>
      <c r="W231" t="s">
        <v>180</v>
      </c>
      <c r="X231" s="2" t="s">
        <v>29</v>
      </c>
      <c r="Y231" t="s">
        <v>30</v>
      </c>
      <c r="Z231" t="s">
        <v>31</v>
      </c>
      <c r="AA231" t="s">
        <v>32</v>
      </c>
      <c r="AB231" t="s">
        <v>33</v>
      </c>
      <c r="AC231" s="51">
        <v>3219658</v>
      </c>
      <c r="AD231">
        <v>0</v>
      </c>
      <c r="AE231" s="4">
        <v>0</v>
      </c>
      <c r="AF231" s="4">
        <v>0</v>
      </c>
      <c r="AG231" t="s">
        <v>462</v>
      </c>
      <c r="AH231">
        <v>0</v>
      </c>
      <c r="AI231">
        <v>0</v>
      </c>
      <c r="AJ231" s="2" t="s">
        <v>463</v>
      </c>
      <c r="AK231" s="2">
        <v>0</v>
      </c>
      <c r="AL231">
        <v>0</v>
      </c>
      <c r="AM231">
        <v>0</v>
      </c>
      <c r="AN231">
        <v>0</v>
      </c>
      <c r="AO231">
        <v>0</v>
      </c>
      <c r="AP231">
        <v>3825</v>
      </c>
      <c r="AQ231">
        <v>3825</v>
      </c>
      <c r="AR231">
        <v>17225</v>
      </c>
      <c r="AS231">
        <v>0</v>
      </c>
      <c r="AT231">
        <v>0</v>
      </c>
      <c r="AU231">
        <v>23525</v>
      </c>
      <c r="AV231">
        <v>64571325</v>
      </c>
      <c r="AW231">
        <v>0</v>
      </c>
      <c r="AX231" s="5">
        <v>45696</v>
      </c>
      <c r="AY231" t="s">
        <v>356</v>
      </c>
      <c r="AZ231" t="s">
        <v>1337</v>
      </c>
      <c r="BA231" t="s">
        <v>1332</v>
      </c>
    </row>
    <row r="232" spans="1:53" ht="15" customHeight="1" x14ac:dyDescent="0.2">
      <c r="A232" t="s">
        <v>5076</v>
      </c>
      <c r="B232" t="s">
        <v>2381</v>
      </c>
      <c r="C232" t="s">
        <v>4917</v>
      </c>
      <c r="D232">
        <v>64571425</v>
      </c>
      <c r="E232" s="5">
        <v>45726</v>
      </c>
      <c r="F232" s="5">
        <v>45728.089583333334</v>
      </c>
      <c r="G232" s="4" t="s">
        <v>460</v>
      </c>
      <c r="H232" s="49">
        <v>3219658</v>
      </c>
      <c r="I232" s="49">
        <v>16883</v>
      </c>
      <c r="J232" s="50">
        <v>3202775</v>
      </c>
      <c r="K232" t="s">
        <v>2615</v>
      </c>
      <c r="L232" s="4" t="s">
        <v>461</v>
      </c>
      <c r="M232" t="s">
        <v>351</v>
      </c>
      <c r="N232" s="2">
        <v>39788424</v>
      </c>
      <c r="O232" t="s">
        <v>1339</v>
      </c>
      <c r="P232" t="s">
        <v>316</v>
      </c>
      <c r="Q232" t="s">
        <v>317</v>
      </c>
      <c r="R232">
        <v>14140009912</v>
      </c>
      <c r="S232" t="s">
        <v>319</v>
      </c>
      <c r="T232">
        <v>890903938</v>
      </c>
      <c r="U232" t="s">
        <v>342</v>
      </c>
      <c r="V232">
        <v>923245</v>
      </c>
      <c r="W232" t="s">
        <v>180</v>
      </c>
      <c r="X232" s="2" t="s">
        <v>29</v>
      </c>
      <c r="Y232" t="s">
        <v>30</v>
      </c>
      <c r="Z232" t="s">
        <v>31</v>
      </c>
      <c r="AA232" t="s">
        <v>32</v>
      </c>
      <c r="AB232" t="s">
        <v>33</v>
      </c>
      <c r="AC232" s="51">
        <v>3219658</v>
      </c>
      <c r="AD232">
        <v>0</v>
      </c>
      <c r="AE232" s="4">
        <v>0</v>
      </c>
      <c r="AF232" s="4">
        <v>0</v>
      </c>
      <c r="AG232" t="s">
        <v>462</v>
      </c>
      <c r="AH232">
        <v>0</v>
      </c>
      <c r="AI232">
        <v>0</v>
      </c>
      <c r="AJ232" s="2" t="s">
        <v>463</v>
      </c>
      <c r="AK232" s="2">
        <v>0</v>
      </c>
      <c r="AL232">
        <v>0</v>
      </c>
      <c r="AM232">
        <v>0</v>
      </c>
      <c r="AN232">
        <v>0</v>
      </c>
      <c r="AO232">
        <v>0</v>
      </c>
      <c r="AP232">
        <v>3825</v>
      </c>
      <c r="AQ232">
        <v>3825</v>
      </c>
      <c r="AR232">
        <v>17325</v>
      </c>
      <c r="AS232">
        <v>0</v>
      </c>
      <c r="AT232">
        <v>0</v>
      </c>
      <c r="AU232">
        <v>23625</v>
      </c>
      <c r="AV232">
        <v>64571425</v>
      </c>
      <c r="AW232">
        <v>0</v>
      </c>
      <c r="AX232" s="5">
        <v>45696</v>
      </c>
      <c r="AY232" t="s">
        <v>356</v>
      </c>
      <c r="AZ232" t="s">
        <v>1342</v>
      </c>
      <c r="BA232" t="s">
        <v>1332</v>
      </c>
    </row>
    <row r="233" spans="1:53" ht="15" customHeight="1" x14ac:dyDescent="0.2">
      <c r="A233" t="s">
        <v>5077</v>
      </c>
      <c r="B233" t="s">
        <v>2382</v>
      </c>
      <c r="C233" t="s">
        <v>4917</v>
      </c>
      <c r="D233">
        <v>64571525</v>
      </c>
      <c r="E233" s="5">
        <v>45726</v>
      </c>
      <c r="F233" s="5">
        <v>45728.09375</v>
      </c>
      <c r="G233" s="4" t="s">
        <v>460</v>
      </c>
      <c r="H233" s="49">
        <v>3219658</v>
      </c>
      <c r="I233" s="49">
        <v>16883</v>
      </c>
      <c r="J233" s="50">
        <v>3202775</v>
      </c>
      <c r="K233" t="s">
        <v>2615</v>
      </c>
      <c r="L233" s="4" t="s">
        <v>461</v>
      </c>
      <c r="M233" t="s">
        <v>351</v>
      </c>
      <c r="N233" s="2">
        <v>52808720</v>
      </c>
      <c r="O233" t="s">
        <v>1343</v>
      </c>
      <c r="P233" t="s">
        <v>316</v>
      </c>
      <c r="Q233" t="s">
        <v>317</v>
      </c>
      <c r="R233">
        <v>391347812</v>
      </c>
      <c r="S233" t="s">
        <v>319</v>
      </c>
      <c r="T233">
        <v>860003020</v>
      </c>
      <c r="U233" t="s">
        <v>393</v>
      </c>
      <c r="V233">
        <v>923245</v>
      </c>
      <c r="W233" t="s">
        <v>180</v>
      </c>
      <c r="X233" s="2" t="s">
        <v>29</v>
      </c>
      <c r="Y233" t="s">
        <v>30</v>
      </c>
      <c r="Z233" t="s">
        <v>31</v>
      </c>
      <c r="AA233" t="s">
        <v>32</v>
      </c>
      <c r="AB233" t="s">
        <v>33</v>
      </c>
      <c r="AC233" s="51">
        <v>3219658</v>
      </c>
      <c r="AD233">
        <v>0</v>
      </c>
      <c r="AE233" s="4">
        <v>0</v>
      </c>
      <c r="AF233" s="4">
        <v>0</v>
      </c>
      <c r="AG233" t="s">
        <v>462</v>
      </c>
      <c r="AH233">
        <v>0</v>
      </c>
      <c r="AI233">
        <v>0</v>
      </c>
      <c r="AJ233" s="2" t="s">
        <v>463</v>
      </c>
      <c r="AK233" s="2">
        <v>0</v>
      </c>
      <c r="AL233">
        <v>0</v>
      </c>
      <c r="AM233">
        <v>0</v>
      </c>
      <c r="AN233">
        <v>0</v>
      </c>
      <c r="AO233">
        <v>0</v>
      </c>
      <c r="AP233">
        <v>3825</v>
      </c>
      <c r="AQ233">
        <v>3825</v>
      </c>
      <c r="AR233">
        <v>17425</v>
      </c>
      <c r="AS233">
        <v>0</v>
      </c>
      <c r="AT233">
        <v>0</v>
      </c>
      <c r="AU233">
        <v>23725</v>
      </c>
      <c r="AV233">
        <v>64571525</v>
      </c>
      <c r="AW233">
        <v>0</v>
      </c>
      <c r="AX233" s="5">
        <v>45696</v>
      </c>
      <c r="AY233" t="s">
        <v>356</v>
      </c>
      <c r="AZ233" t="s">
        <v>1346</v>
      </c>
      <c r="BA233" t="s">
        <v>1347</v>
      </c>
    </row>
    <row r="234" spans="1:53" ht="15" customHeight="1" x14ac:dyDescent="0.2">
      <c r="A234" t="s">
        <v>5078</v>
      </c>
      <c r="B234" t="s">
        <v>2383</v>
      </c>
      <c r="C234" t="s">
        <v>4917</v>
      </c>
      <c r="D234">
        <v>64571625</v>
      </c>
      <c r="E234" s="5">
        <v>45726</v>
      </c>
      <c r="F234" s="5">
        <v>45728.089583333334</v>
      </c>
      <c r="G234" s="4" t="s">
        <v>460</v>
      </c>
      <c r="H234" s="49">
        <v>3219658</v>
      </c>
      <c r="I234" s="49">
        <v>16883</v>
      </c>
      <c r="J234" s="50">
        <v>3202775</v>
      </c>
      <c r="K234" t="s">
        <v>2615</v>
      </c>
      <c r="L234" s="4" t="s">
        <v>461</v>
      </c>
      <c r="M234" t="s">
        <v>351</v>
      </c>
      <c r="N234" s="2">
        <v>12190447</v>
      </c>
      <c r="O234" t="s">
        <v>1349</v>
      </c>
      <c r="P234" t="s">
        <v>316</v>
      </c>
      <c r="Q234" t="s">
        <v>317</v>
      </c>
      <c r="R234">
        <v>30415514781</v>
      </c>
      <c r="S234" t="s">
        <v>319</v>
      </c>
      <c r="T234">
        <v>890903938</v>
      </c>
      <c r="U234" t="s">
        <v>342</v>
      </c>
      <c r="V234">
        <v>923245</v>
      </c>
      <c r="W234" t="s">
        <v>180</v>
      </c>
      <c r="X234" s="2" t="s">
        <v>29</v>
      </c>
      <c r="Y234" t="s">
        <v>30</v>
      </c>
      <c r="Z234" t="s">
        <v>31</v>
      </c>
      <c r="AA234" t="s">
        <v>32</v>
      </c>
      <c r="AB234" t="s">
        <v>33</v>
      </c>
      <c r="AC234" s="51">
        <v>3219658</v>
      </c>
      <c r="AD234">
        <v>0</v>
      </c>
      <c r="AE234" s="4">
        <v>0</v>
      </c>
      <c r="AF234" s="4">
        <v>0</v>
      </c>
      <c r="AG234" t="s">
        <v>462</v>
      </c>
      <c r="AH234">
        <v>0</v>
      </c>
      <c r="AI234">
        <v>0</v>
      </c>
      <c r="AJ234" s="2" t="s">
        <v>463</v>
      </c>
      <c r="AK234" s="2">
        <v>0</v>
      </c>
      <c r="AL234">
        <v>0</v>
      </c>
      <c r="AM234">
        <v>0</v>
      </c>
      <c r="AN234">
        <v>0</v>
      </c>
      <c r="AO234">
        <v>0</v>
      </c>
      <c r="AP234">
        <v>3825</v>
      </c>
      <c r="AQ234">
        <v>3825</v>
      </c>
      <c r="AR234">
        <v>17525</v>
      </c>
      <c r="AS234">
        <v>0</v>
      </c>
      <c r="AT234">
        <v>0</v>
      </c>
      <c r="AU234">
        <v>23825</v>
      </c>
      <c r="AV234">
        <v>64571625</v>
      </c>
      <c r="AW234">
        <v>0</v>
      </c>
      <c r="AX234" s="5">
        <v>45696</v>
      </c>
      <c r="AY234" t="s">
        <v>356</v>
      </c>
      <c r="AZ234" t="s">
        <v>1352</v>
      </c>
      <c r="BA234" t="s">
        <v>1332</v>
      </c>
    </row>
    <row r="235" spans="1:53" ht="15" customHeight="1" x14ac:dyDescent="0.2">
      <c r="A235" t="s">
        <v>5079</v>
      </c>
      <c r="B235" t="s">
        <v>2384</v>
      </c>
      <c r="C235" t="s">
        <v>4917</v>
      </c>
      <c r="D235">
        <v>64571725</v>
      </c>
      <c r="E235" s="5">
        <v>45726</v>
      </c>
      <c r="F235" s="5">
        <v>45728.095833333333</v>
      </c>
      <c r="G235" s="4" t="s">
        <v>460</v>
      </c>
      <c r="H235" s="49">
        <v>3219658</v>
      </c>
      <c r="I235" s="49">
        <v>16883</v>
      </c>
      <c r="J235" s="50">
        <v>3202775</v>
      </c>
      <c r="K235" t="s">
        <v>2615</v>
      </c>
      <c r="L235" s="4" t="s">
        <v>461</v>
      </c>
      <c r="M235" t="s">
        <v>351</v>
      </c>
      <c r="N235" s="2">
        <v>1030570938</v>
      </c>
      <c r="O235" t="s">
        <v>1354</v>
      </c>
      <c r="P235" t="s">
        <v>316</v>
      </c>
      <c r="Q235" t="s">
        <v>317</v>
      </c>
      <c r="R235">
        <v>24124745616</v>
      </c>
      <c r="S235" t="s">
        <v>319</v>
      </c>
      <c r="T235">
        <v>860007335</v>
      </c>
      <c r="U235" t="s">
        <v>381</v>
      </c>
      <c r="V235">
        <v>923245</v>
      </c>
      <c r="W235" t="s">
        <v>180</v>
      </c>
      <c r="X235" s="2" t="s">
        <v>29</v>
      </c>
      <c r="Y235" t="s">
        <v>30</v>
      </c>
      <c r="Z235" t="s">
        <v>31</v>
      </c>
      <c r="AA235" t="s">
        <v>32</v>
      </c>
      <c r="AB235" t="s">
        <v>33</v>
      </c>
      <c r="AC235" s="51">
        <v>3219658</v>
      </c>
      <c r="AD235">
        <v>0</v>
      </c>
      <c r="AE235" s="4">
        <v>0</v>
      </c>
      <c r="AF235" s="4">
        <v>0</v>
      </c>
      <c r="AG235" t="s">
        <v>462</v>
      </c>
      <c r="AH235">
        <v>0</v>
      </c>
      <c r="AI235">
        <v>0</v>
      </c>
      <c r="AJ235" s="2" t="s">
        <v>463</v>
      </c>
      <c r="AK235" s="2">
        <v>0</v>
      </c>
      <c r="AL235">
        <v>0</v>
      </c>
      <c r="AM235">
        <v>0</v>
      </c>
      <c r="AN235">
        <v>0</v>
      </c>
      <c r="AO235">
        <v>0</v>
      </c>
      <c r="AP235">
        <v>3825</v>
      </c>
      <c r="AQ235">
        <v>3825</v>
      </c>
      <c r="AR235">
        <v>17625</v>
      </c>
      <c r="AS235">
        <v>0</v>
      </c>
      <c r="AT235">
        <v>0</v>
      </c>
      <c r="AU235">
        <v>23925</v>
      </c>
      <c r="AV235">
        <v>64571725</v>
      </c>
      <c r="AW235">
        <v>0</v>
      </c>
      <c r="AX235" s="5">
        <v>45696</v>
      </c>
      <c r="AY235" t="s">
        <v>356</v>
      </c>
      <c r="AZ235" t="s">
        <v>1357</v>
      </c>
      <c r="BA235" t="s">
        <v>1332</v>
      </c>
    </row>
    <row r="236" spans="1:53" ht="15" customHeight="1" x14ac:dyDescent="0.2">
      <c r="A236" t="s">
        <v>5080</v>
      </c>
      <c r="B236" t="s">
        <v>2385</v>
      </c>
      <c r="C236" t="s">
        <v>4917</v>
      </c>
      <c r="D236">
        <v>64571825</v>
      </c>
      <c r="E236" s="5">
        <v>45726</v>
      </c>
      <c r="F236" s="5">
        <v>45728.099305555559</v>
      </c>
      <c r="G236" s="4" t="s">
        <v>460</v>
      </c>
      <c r="H236" s="49">
        <v>3219658</v>
      </c>
      <c r="I236" s="49">
        <v>16883</v>
      </c>
      <c r="J236" s="50">
        <v>3202775</v>
      </c>
      <c r="K236" t="s">
        <v>2615</v>
      </c>
      <c r="L236" s="4" t="s">
        <v>461</v>
      </c>
      <c r="M236" t="s">
        <v>351</v>
      </c>
      <c r="N236" s="2">
        <v>38288733</v>
      </c>
      <c r="O236" t="s">
        <v>1359</v>
      </c>
      <c r="P236" t="s">
        <v>316</v>
      </c>
      <c r="Q236" t="s">
        <v>317</v>
      </c>
      <c r="R236">
        <v>4070239423</v>
      </c>
      <c r="S236" t="s">
        <v>319</v>
      </c>
      <c r="T236">
        <v>860034313</v>
      </c>
      <c r="U236" t="s">
        <v>355</v>
      </c>
      <c r="V236">
        <v>923245</v>
      </c>
      <c r="W236" t="s">
        <v>180</v>
      </c>
      <c r="X236" s="2" t="s">
        <v>29</v>
      </c>
      <c r="Y236" t="s">
        <v>30</v>
      </c>
      <c r="Z236" t="s">
        <v>31</v>
      </c>
      <c r="AA236" t="s">
        <v>32</v>
      </c>
      <c r="AB236" t="s">
        <v>33</v>
      </c>
      <c r="AC236" s="51">
        <v>3219658</v>
      </c>
      <c r="AD236">
        <v>0</v>
      </c>
      <c r="AE236" s="4">
        <v>0</v>
      </c>
      <c r="AF236" s="4">
        <v>0</v>
      </c>
      <c r="AG236" t="s">
        <v>462</v>
      </c>
      <c r="AH236">
        <v>0</v>
      </c>
      <c r="AI236">
        <v>0</v>
      </c>
      <c r="AJ236" s="2" t="s">
        <v>463</v>
      </c>
      <c r="AK236" s="2">
        <v>0</v>
      </c>
      <c r="AL236">
        <v>0</v>
      </c>
      <c r="AM236">
        <v>0</v>
      </c>
      <c r="AN236">
        <v>0</v>
      </c>
      <c r="AO236">
        <v>0</v>
      </c>
      <c r="AP236">
        <v>3825</v>
      </c>
      <c r="AQ236">
        <v>3825</v>
      </c>
      <c r="AR236">
        <v>17725</v>
      </c>
      <c r="AS236">
        <v>0</v>
      </c>
      <c r="AT236">
        <v>0</v>
      </c>
      <c r="AU236">
        <v>24025</v>
      </c>
      <c r="AV236">
        <v>64571825</v>
      </c>
      <c r="AW236">
        <v>0</v>
      </c>
      <c r="AX236" s="5">
        <v>45696</v>
      </c>
      <c r="AY236" t="s">
        <v>356</v>
      </c>
      <c r="AZ236" t="s">
        <v>1362</v>
      </c>
      <c r="BA236" t="s">
        <v>1332</v>
      </c>
    </row>
    <row r="237" spans="1:53" ht="15" customHeight="1" x14ac:dyDescent="0.2">
      <c r="A237" t="s">
        <v>5081</v>
      </c>
      <c r="B237" t="s">
        <v>2386</v>
      </c>
      <c r="C237" t="s">
        <v>4917</v>
      </c>
      <c r="D237">
        <v>64571925</v>
      </c>
      <c r="E237" s="5">
        <v>45726</v>
      </c>
      <c r="F237" s="5">
        <v>45728.095833333333</v>
      </c>
      <c r="G237" s="4" t="s">
        <v>460</v>
      </c>
      <c r="H237" s="49">
        <v>3219658</v>
      </c>
      <c r="I237" s="49">
        <v>16883</v>
      </c>
      <c r="J237" s="50">
        <v>3202775</v>
      </c>
      <c r="K237" t="s">
        <v>2615</v>
      </c>
      <c r="L237" s="4" t="s">
        <v>461</v>
      </c>
      <c r="M237" t="s">
        <v>351</v>
      </c>
      <c r="N237" s="2">
        <v>52743620</v>
      </c>
      <c r="O237" t="s">
        <v>1364</v>
      </c>
      <c r="P237" t="s">
        <v>316</v>
      </c>
      <c r="Q237" t="s">
        <v>317</v>
      </c>
      <c r="R237">
        <v>24106059557</v>
      </c>
      <c r="S237" t="s">
        <v>319</v>
      </c>
      <c r="T237">
        <v>860007335</v>
      </c>
      <c r="U237" t="s">
        <v>381</v>
      </c>
      <c r="V237">
        <v>923245</v>
      </c>
      <c r="W237" t="s">
        <v>180</v>
      </c>
      <c r="X237" s="2" t="s">
        <v>29</v>
      </c>
      <c r="Y237" t="s">
        <v>30</v>
      </c>
      <c r="Z237" t="s">
        <v>31</v>
      </c>
      <c r="AA237" t="s">
        <v>32</v>
      </c>
      <c r="AB237" t="s">
        <v>33</v>
      </c>
      <c r="AC237" s="51">
        <v>3219658</v>
      </c>
      <c r="AD237">
        <v>0</v>
      </c>
      <c r="AE237" s="4">
        <v>0</v>
      </c>
      <c r="AF237" s="4">
        <v>0</v>
      </c>
      <c r="AG237" t="s">
        <v>462</v>
      </c>
      <c r="AH237">
        <v>0</v>
      </c>
      <c r="AI237">
        <v>0</v>
      </c>
      <c r="AJ237" s="2" t="s">
        <v>463</v>
      </c>
      <c r="AK237" s="2">
        <v>0</v>
      </c>
      <c r="AL237">
        <v>0</v>
      </c>
      <c r="AM237">
        <v>0</v>
      </c>
      <c r="AN237">
        <v>0</v>
      </c>
      <c r="AO237">
        <v>0</v>
      </c>
      <c r="AP237">
        <v>3825</v>
      </c>
      <c r="AQ237">
        <v>3825</v>
      </c>
      <c r="AR237">
        <v>17825</v>
      </c>
      <c r="AS237">
        <v>0</v>
      </c>
      <c r="AT237">
        <v>0</v>
      </c>
      <c r="AU237">
        <v>24125</v>
      </c>
      <c r="AV237">
        <v>64571925</v>
      </c>
      <c r="AW237">
        <v>0</v>
      </c>
      <c r="AX237" s="5">
        <v>45696</v>
      </c>
      <c r="AY237" t="s">
        <v>356</v>
      </c>
      <c r="AZ237" t="s">
        <v>1366</v>
      </c>
      <c r="BA237" t="s">
        <v>1332</v>
      </c>
    </row>
    <row r="238" spans="1:53" ht="15" customHeight="1" x14ac:dyDescent="0.2">
      <c r="A238" t="s">
        <v>5082</v>
      </c>
      <c r="B238" t="s">
        <v>2387</v>
      </c>
      <c r="C238" t="s">
        <v>4917</v>
      </c>
      <c r="D238">
        <v>64572025</v>
      </c>
      <c r="E238" s="5">
        <v>45726</v>
      </c>
      <c r="F238" s="5">
        <v>45728.088888888888</v>
      </c>
      <c r="G238" s="4" t="s">
        <v>460</v>
      </c>
      <c r="H238" s="49">
        <v>3219658</v>
      </c>
      <c r="I238" s="49">
        <v>16883</v>
      </c>
      <c r="J238" s="50">
        <v>3202775</v>
      </c>
      <c r="K238" t="s">
        <v>2615</v>
      </c>
      <c r="L238" s="4" t="s">
        <v>461</v>
      </c>
      <c r="M238" t="s">
        <v>351</v>
      </c>
      <c r="N238" s="2">
        <v>39725297</v>
      </c>
      <c r="O238" t="s">
        <v>1368</v>
      </c>
      <c r="P238" t="s">
        <v>316</v>
      </c>
      <c r="Q238" t="s">
        <v>317</v>
      </c>
      <c r="R238">
        <v>94539430232</v>
      </c>
      <c r="S238" t="s">
        <v>319</v>
      </c>
      <c r="T238">
        <v>890903938</v>
      </c>
      <c r="U238" t="s">
        <v>342</v>
      </c>
      <c r="V238">
        <v>923245</v>
      </c>
      <c r="W238" t="s">
        <v>180</v>
      </c>
      <c r="X238" s="2" t="s">
        <v>29</v>
      </c>
      <c r="Y238" t="s">
        <v>30</v>
      </c>
      <c r="Z238" t="s">
        <v>31</v>
      </c>
      <c r="AA238" t="s">
        <v>32</v>
      </c>
      <c r="AB238" t="s">
        <v>33</v>
      </c>
      <c r="AC238" s="51">
        <v>3219658</v>
      </c>
      <c r="AD238">
        <v>0</v>
      </c>
      <c r="AE238" s="4">
        <v>0</v>
      </c>
      <c r="AF238" s="4">
        <v>0</v>
      </c>
      <c r="AG238" t="s">
        <v>462</v>
      </c>
      <c r="AH238">
        <v>0</v>
      </c>
      <c r="AI238">
        <v>0</v>
      </c>
      <c r="AJ238" s="2" t="s">
        <v>463</v>
      </c>
      <c r="AK238" s="2">
        <v>0</v>
      </c>
      <c r="AL238">
        <v>0</v>
      </c>
      <c r="AM238">
        <v>0</v>
      </c>
      <c r="AN238">
        <v>0</v>
      </c>
      <c r="AO238">
        <v>0</v>
      </c>
      <c r="AP238">
        <v>3825</v>
      </c>
      <c r="AQ238">
        <v>3825</v>
      </c>
      <c r="AR238">
        <v>17925</v>
      </c>
      <c r="AS238">
        <v>0</v>
      </c>
      <c r="AT238">
        <v>0</v>
      </c>
      <c r="AU238">
        <v>24225</v>
      </c>
      <c r="AV238">
        <v>64572025</v>
      </c>
      <c r="AW238">
        <v>0</v>
      </c>
      <c r="AX238" s="5">
        <v>45696</v>
      </c>
      <c r="AY238" t="s">
        <v>356</v>
      </c>
      <c r="AZ238" t="s">
        <v>1371</v>
      </c>
      <c r="BA238" t="s">
        <v>1332</v>
      </c>
    </row>
    <row r="239" spans="1:53" ht="15" customHeight="1" x14ac:dyDescent="0.2">
      <c r="A239" t="s">
        <v>5083</v>
      </c>
      <c r="B239" t="s">
        <v>2388</v>
      </c>
      <c r="C239" t="s">
        <v>4917</v>
      </c>
      <c r="D239">
        <v>64572125</v>
      </c>
      <c r="E239" s="5">
        <v>45726</v>
      </c>
      <c r="F239" s="5">
        <v>45728.09375</v>
      </c>
      <c r="G239" s="4" t="s">
        <v>460</v>
      </c>
      <c r="H239" s="49">
        <v>3219658</v>
      </c>
      <c r="I239" s="49">
        <v>16883</v>
      </c>
      <c r="J239" s="50">
        <v>3202775</v>
      </c>
      <c r="K239" t="s">
        <v>2615</v>
      </c>
      <c r="L239" s="4" t="s">
        <v>461</v>
      </c>
      <c r="M239" t="s">
        <v>351</v>
      </c>
      <c r="N239" s="2">
        <v>51628565</v>
      </c>
      <c r="O239" t="s">
        <v>1373</v>
      </c>
      <c r="P239" t="s">
        <v>316</v>
      </c>
      <c r="Q239" t="s">
        <v>317</v>
      </c>
      <c r="R239">
        <v>472185420</v>
      </c>
      <c r="S239" t="s">
        <v>319</v>
      </c>
      <c r="T239">
        <v>860003020</v>
      </c>
      <c r="U239" t="s">
        <v>393</v>
      </c>
      <c r="V239">
        <v>923245</v>
      </c>
      <c r="W239" t="s">
        <v>180</v>
      </c>
      <c r="X239" s="2" t="s">
        <v>29</v>
      </c>
      <c r="Y239" t="s">
        <v>30</v>
      </c>
      <c r="Z239" t="s">
        <v>31</v>
      </c>
      <c r="AA239" t="s">
        <v>32</v>
      </c>
      <c r="AB239" t="s">
        <v>33</v>
      </c>
      <c r="AC239" s="51">
        <v>3219658</v>
      </c>
      <c r="AD239">
        <v>0</v>
      </c>
      <c r="AE239" s="4">
        <v>0</v>
      </c>
      <c r="AF239" s="4">
        <v>0</v>
      </c>
      <c r="AG239" t="s">
        <v>462</v>
      </c>
      <c r="AH239">
        <v>0</v>
      </c>
      <c r="AI239">
        <v>0</v>
      </c>
      <c r="AJ239" s="2" t="s">
        <v>463</v>
      </c>
      <c r="AK239" s="2">
        <v>0</v>
      </c>
      <c r="AL239">
        <v>0</v>
      </c>
      <c r="AM239">
        <v>0</v>
      </c>
      <c r="AN239">
        <v>0</v>
      </c>
      <c r="AO239">
        <v>0</v>
      </c>
      <c r="AP239">
        <v>3825</v>
      </c>
      <c r="AQ239">
        <v>3825</v>
      </c>
      <c r="AR239">
        <v>18025</v>
      </c>
      <c r="AS239">
        <v>0</v>
      </c>
      <c r="AT239">
        <v>0</v>
      </c>
      <c r="AU239">
        <v>24325</v>
      </c>
      <c r="AV239">
        <v>64572125</v>
      </c>
      <c r="AW239">
        <v>0</v>
      </c>
      <c r="AX239" s="5">
        <v>45696</v>
      </c>
      <c r="AY239" t="s">
        <v>356</v>
      </c>
      <c r="AZ239" t="s">
        <v>1376</v>
      </c>
      <c r="BA239" t="s">
        <v>1332</v>
      </c>
    </row>
    <row r="240" spans="1:53" ht="15" customHeight="1" x14ac:dyDescent="0.2">
      <c r="A240" t="s">
        <v>5084</v>
      </c>
      <c r="B240" t="s">
        <v>2389</v>
      </c>
      <c r="C240" t="s">
        <v>4917</v>
      </c>
      <c r="D240">
        <v>64572225</v>
      </c>
      <c r="E240" s="5">
        <v>45726</v>
      </c>
      <c r="F240" s="5">
        <v>45728.088888888888</v>
      </c>
      <c r="G240" s="4" t="s">
        <v>460</v>
      </c>
      <c r="H240" s="49">
        <v>3219658</v>
      </c>
      <c r="I240" s="49">
        <v>16883</v>
      </c>
      <c r="J240" s="50">
        <v>3202775</v>
      </c>
      <c r="K240" t="s">
        <v>2615</v>
      </c>
      <c r="L240" s="4" t="s">
        <v>461</v>
      </c>
      <c r="M240" t="s">
        <v>351</v>
      </c>
      <c r="N240" s="2">
        <v>52294893</v>
      </c>
      <c r="O240" t="s">
        <v>1378</v>
      </c>
      <c r="P240" t="s">
        <v>316</v>
      </c>
      <c r="Q240" t="s">
        <v>317</v>
      </c>
      <c r="R240">
        <v>66700001972</v>
      </c>
      <c r="S240" t="s">
        <v>319</v>
      </c>
      <c r="T240">
        <v>890903938</v>
      </c>
      <c r="U240" t="s">
        <v>342</v>
      </c>
      <c r="V240">
        <v>923245</v>
      </c>
      <c r="W240" t="s">
        <v>180</v>
      </c>
      <c r="X240" s="2" t="s">
        <v>29</v>
      </c>
      <c r="Y240" t="s">
        <v>30</v>
      </c>
      <c r="Z240" t="s">
        <v>31</v>
      </c>
      <c r="AA240" t="s">
        <v>32</v>
      </c>
      <c r="AB240" t="s">
        <v>33</v>
      </c>
      <c r="AC240" s="51">
        <v>3219658</v>
      </c>
      <c r="AD240">
        <v>0</v>
      </c>
      <c r="AE240" s="4">
        <v>0</v>
      </c>
      <c r="AF240" s="4">
        <v>0</v>
      </c>
      <c r="AG240" t="s">
        <v>462</v>
      </c>
      <c r="AH240">
        <v>0</v>
      </c>
      <c r="AI240">
        <v>0</v>
      </c>
      <c r="AJ240" s="2" t="s">
        <v>463</v>
      </c>
      <c r="AK240" s="2">
        <v>0</v>
      </c>
      <c r="AL240">
        <v>0</v>
      </c>
      <c r="AM240">
        <v>0</v>
      </c>
      <c r="AN240">
        <v>0</v>
      </c>
      <c r="AO240">
        <v>0</v>
      </c>
      <c r="AP240">
        <v>3825</v>
      </c>
      <c r="AQ240">
        <v>3825</v>
      </c>
      <c r="AR240">
        <v>18125</v>
      </c>
      <c r="AS240">
        <v>0</v>
      </c>
      <c r="AT240">
        <v>0</v>
      </c>
      <c r="AU240">
        <v>24425</v>
      </c>
      <c r="AV240">
        <v>64572225</v>
      </c>
      <c r="AW240">
        <v>0</v>
      </c>
      <c r="AX240" s="5">
        <v>45696</v>
      </c>
      <c r="AY240" t="s">
        <v>356</v>
      </c>
      <c r="AZ240" t="s">
        <v>1381</v>
      </c>
      <c r="BA240" t="s">
        <v>1332</v>
      </c>
    </row>
    <row r="241" spans="1:53" ht="15" customHeight="1" x14ac:dyDescent="0.2">
      <c r="A241" t="s">
        <v>5085</v>
      </c>
      <c r="B241" t="s">
        <v>2390</v>
      </c>
      <c r="C241" t="s">
        <v>4917</v>
      </c>
      <c r="D241">
        <v>64572325</v>
      </c>
      <c r="E241" s="5">
        <v>45726</v>
      </c>
      <c r="F241" s="5">
        <v>45728.089583333334</v>
      </c>
      <c r="G241" s="4" t="s">
        <v>460</v>
      </c>
      <c r="H241" s="49">
        <v>3219658</v>
      </c>
      <c r="I241" s="49">
        <v>16883</v>
      </c>
      <c r="J241" s="50">
        <v>3202775</v>
      </c>
      <c r="K241" t="s">
        <v>2615</v>
      </c>
      <c r="L241" s="4" t="s">
        <v>461</v>
      </c>
      <c r="M241" t="s">
        <v>351</v>
      </c>
      <c r="N241" s="2">
        <v>52441656</v>
      </c>
      <c r="O241" t="s">
        <v>1382</v>
      </c>
      <c r="P241" t="s">
        <v>316</v>
      </c>
      <c r="Q241" t="s">
        <v>317</v>
      </c>
      <c r="R241">
        <v>94559109066</v>
      </c>
      <c r="S241" t="s">
        <v>319</v>
      </c>
      <c r="T241">
        <v>890903938</v>
      </c>
      <c r="U241" t="s">
        <v>342</v>
      </c>
      <c r="V241">
        <v>923245</v>
      </c>
      <c r="W241" t="s">
        <v>180</v>
      </c>
      <c r="X241" s="2" t="s">
        <v>29</v>
      </c>
      <c r="Y241" t="s">
        <v>30</v>
      </c>
      <c r="Z241" t="s">
        <v>31</v>
      </c>
      <c r="AA241" t="s">
        <v>32</v>
      </c>
      <c r="AB241" t="s">
        <v>33</v>
      </c>
      <c r="AC241" s="51">
        <v>3219658</v>
      </c>
      <c r="AD241">
        <v>0</v>
      </c>
      <c r="AE241" s="4">
        <v>0</v>
      </c>
      <c r="AF241" s="4">
        <v>0</v>
      </c>
      <c r="AG241" t="s">
        <v>462</v>
      </c>
      <c r="AH241">
        <v>0</v>
      </c>
      <c r="AI241">
        <v>0</v>
      </c>
      <c r="AJ241" s="2" t="s">
        <v>463</v>
      </c>
      <c r="AK241" s="2">
        <v>0</v>
      </c>
      <c r="AL241">
        <v>0</v>
      </c>
      <c r="AM241">
        <v>0</v>
      </c>
      <c r="AN241">
        <v>0</v>
      </c>
      <c r="AO241">
        <v>0</v>
      </c>
      <c r="AP241">
        <v>3825</v>
      </c>
      <c r="AQ241">
        <v>3825</v>
      </c>
      <c r="AR241">
        <v>18225</v>
      </c>
      <c r="AS241">
        <v>0</v>
      </c>
      <c r="AT241">
        <v>0</v>
      </c>
      <c r="AU241">
        <v>24525</v>
      </c>
      <c r="AV241">
        <v>64572325</v>
      </c>
      <c r="AW241">
        <v>0</v>
      </c>
      <c r="AX241" s="5">
        <v>45696</v>
      </c>
      <c r="AY241" t="s">
        <v>356</v>
      </c>
      <c r="AZ241" t="s">
        <v>1385</v>
      </c>
      <c r="BA241" t="s">
        <v>1332</v>
      </c>
    </row>
    <row r="242" spans="1:53" ht="15" customHeight="1" x14ac:dyDescent="0.2">
      <c r="A242" t="s">
        <v>5086</v>
      </c>
      <c r="B242" t="s">
        <v>2391</v>
      </c>
      <c r="C242" t="s">
        <v>4917</v>
      </c>
      <c r="D242">
        <v>64572425</v>
      </c>
      <c r="E242" s="5">
        <v>45726</v>
      </c>
      <c r="F242" s="5">
        <v>45728.100694444445</v>
      </c>
      <c r="G242" s="4" t="s">
        <v>460</v>
      </c>
      <c r="H242" s="49">
        <v>3219658</v>
      </c>
      <c r="I242" s="49">
        <v>16883</v>
      </c>
      <c r="J242" s="50">
        <v>3202775</v>
      </c>
      <c r="K242" t="s">
        <v>2615</v>
      </c>
      <c r="L242" s="4" t="s">
        <v>461</v>
      </c>
      <c r="M242" t="s">
        <v>351</v>
      </c>
      <c r="N242" s="2">
        <v>7710430</v>
      </c>
      <c r="O242" t="s">
        <v>1387</v>
      </c>
      <c r="P242" t="s">
        <v>316</v>
      </c>
      <c r="Q242" t="s">
        <v>317</v>
      </c>
      <c r="R242">
        <v>111200575512</v>
      </c>
      <c r="S242" t="s">
        <v>319</v>
      </c>
      <c r="T242">
        <v>900047981</v>
      </c>
      <c r="U242" t="s">
        <v>399</v>
      </c>
      <c r="V242">
        <v>923245</v>
      </c>
      <c r="W242" t="s">
        <v>180</v>
      </c>
      <c r="X242" s="2" t="s">
        <v>29</v>
      </c>
      <c r="Y242" t="s">
        <v>30</v>
      </c>
      <c r="Z242" t="s">
        <v>31</v>
      </c>
      <c r="AA242" t="s">
        <v>32</v>
      </c>
      <c r="AB242" t="s">
        <v>33</v>
      </c>
      <c r="AC242" s="51">
        <v>3219658</v>
      </c>
      <c r="AD242">
        <v>0</v>
      </c>
      <c r="AE242" s="4">
        <v>0</v>
      </c>
      <c r="AF242" s="4">
        <v>0</v>
      </c>
      <c r="AG242" t="s">
        <v>462</v>
      </c>
      <c r="AH242">
        <v>0</v>
      </c>
      <c r="AI242">
        <v>0</v>
      </c>
      <c r="AJ242" s="2" t="s">
        <v>463</v>
      </c>
      <c r="AK242" s="2">
        <v>0</v>
      </c>
      <c r="AL242">
        <v>0</v>
      </c>
      <c r="AM242">
        <v>0</v>
      </c>
      <c r="AN242">
        <v>0</v>
      </c>
      <c r="AO242">
        <v>0</v>
      </c>
      <c r="AP242">
        <v>3825</v>
      </c>
      <c r="AQ242">
        <v>3825</v>
      </c>
      <c r="AR242">
        <v>18325</v>
      </c>
      <c r="AS242">
        <v>0</v>
      </c>
      <c r="AT242">
        <v>0</v>
      </c>
      <c r="AU242">
        <v>24625</v>
      </c>
      <c r="AV242">
        <v>64572425</v>
      </c>
      <c r="AW242">
        <v>0</v>
      </c>
      <c r="AX242" s="5">
        <v>45696</v>
      </c>
      <c r="AY242" t="s">
        <v>356</v>
      </c>
      <c r="AZ242" t="s">
        <v>1390</v>
      </c>
      <c r="BA242" t="s">
        <v>1332</v>
      </c>
    </row>
    <row r="243" spans="1:53" ht="15" customHeight="1" x14ac:dyDescent="0.2">
      <c r="A243" t="s">
        <v>5087</v>
      </c>
      <c r="B243" t="s">
        <v>2393</v>
      </c>
      <c r="C243" t="s">
        <v>4917</v>
      </c>
      <c r="D243">
        <v>64572525</v>
      </c>
      <c r="E243" s="5">
        <v>45726</v>
      </c>
      <c r="F243" s="5">
        <v>45728.094444444447</v>
      </c>
      <c r="G243" s="4" t="s">
        <v>460</v>
      </c>
      <c r="H243" s="49">
        <v>3219658</v>
      </c>
      <c r="I243" s="49">
        <v>16883</v>
      </c>
      <c r="J243" s="50">
        <v>3202775</v>
      </c>
      <c r="K243" t="s">
        <v>2615</v>
      </c>
      <c r="L243" s="4" t="s">
        <v>461</v>
      </c>
      <c r="M243" t="s">
        <v>351</v>
      </c>
      <c r="N243" s="2">
        <v>1022984840</v>
      </c>
      <c r="O243" t="s">
        <v>1396</v>
      </c>
      <c r="P243" t="s">
        <v>316</v>
      </c>
      <c r="Q243" t="s">
        <v>317</v>
      </c>
      <c r="R243">
        <v>1003700964</v>
      </c>
      <c r="S243" t="s">
        <v>319</v>
      </c>
      <c r="T243">
        <v>860034594</v>
      </c>
      <c r="U243" t="s">
        <v>374</v>
      </c>
      <c r="V243">
        <v>923245</v>
      </c>
      <c r="W243" t="s">
        <v>180</v>
      </c>
      <c r="X243" s="2" t="s">
        <v>29</v>
      </c>
      <c r="Y243" t="s">
        <v>30</v>
      </c>
      <c r="Z243" t="s">
        <v>31</v>
      </c>
      <c r="AA243" t="s">
        <v>32</v>
      </c>
      <c r="AB243" t="s">
        <v>33</v>
      </c>
      <c r="AC243" s="51">
        <v>3219658</v>
      </c>
      <c r="AD243">
        <v>0</v>
      </c>
      <c r="AE243" s="4">
        <v>0</v>
      </c>
      <c r="AF243" s="4">
        <v>0</v>
      </c>
      <c r="AG243" t="s">
        <v>462</v>
      </c>
      <c r="AH243">
        <v>0</v>
      </c>
      <c r="AI243">
        <v>0</v>
      </c>
      <c r="AJ243" s="2" t="s">
        <v>463</v>
      </c>
      <c r="AK243" s="2">
        <v>0</v>
      </c>
      <c r="AL243">
        <v>0</v>
      </c>
      <c r="AM243">
        <v>0</v>
      </c>
      <c r="AN243">
        <v>0</v>
      </c>
      <c r="AO243">
        <v>0</v>
      </c>
      <c r="AP243">
        <v>3825</v>
      </c>
      <c r="AQ243">
        <v>3825</v>
      </c>
      <c r="AR243">
        <v>18525</v>
      </c>
      <c r="AS243">
        <v>0</v>
      </c>
      <c r="AT243">
        <v>0</v>
      </c>
      <c r="AU243">
        <v>24825</v>
      </c>
      <c r="AV243">
        <v>64572525</v>
      </c>
      <c r="AW243">
        <v>0</v>
      </c>
      <c r="AX243" s="5">
        <v>45696</v>
      </c>
      <c r="AY243" t="s">
        <v>356</v>
      </c>
      <c r="AZ243" t="s">
        <v>1399</v>
      </c>
      <c r="BA243" t="s">
        <v>1332</v>
      </c>
    </row>
    <row r="244" spans="1:53" ht="15" customHeight="1" x14ac:dyDescent="0.2">
      <c r="A244" t="s">
        <v>5088</v>
      </c>
      <c r="B244" t="s">
        <v>2394</v>
      </c>
      <c r="C244" t="s">
        <v>4917</v>
      </c>
      <c r="D244">
        <v>64572625</v>
      </c>
      <c r="E244" s="5">
        <v>45726</v>
      </c>
      <c r="F244" s="5">
        <v>45728.099305555559</v>
      </c>
      <c r="G244" s="4" t="s">
        <v>460</v>
      </c>
      <c r="H244" s="49">
        <v>3219658</v>
      </c>
      <c r="I244" s="49">
        <v>16883</v>
      </c>
      <c r="J244" s="50">
        <v>3202775</v>
      </c>
      <c r="K244" t="s">
        <v>2615</v>
      </c>
      <c r="L244" s="4" t="s">
        <v>461</v>
      </c>
      <c r="M244" t="s">
        <v>351</v>
      </c>
      <c r="N244" s="2">
        <v>46375343</v>
      </c>
      <c r="O244" t="s">
        <v>1401</v>
      </c>
      <c r="P244" t="s">
        <v>316</v>
      </c>
      <c r="Q244" t="s">
        <v>317</v>
      </c>
      <c r="R244">
        <v>7300720286</v>
      </c>
      <c r="S244" t="s">
        <v>319</v>
      </c>
      <c r="T244">
        <v>860034313</v>
      </c>
      <c r="U244" t="s">
        <v>355</v>
      </c>
      <c r="V244">
        <v>923245</v>
      </c>
      <c r="W244" t="s">
        <v>180</v>
      </c>
      <c r="X244" s="2" t="s">
        <v>29</v>
      </c>
      <c r="Y244" t="s">
        <v>30</v>
      </c>
      <c r="Z244" t="s">
        <v>31</v>
      </c>
      <c r="AA244" t="s">
        <v>32</v>
      </c>
      <c r="AB244" t="s">
        <v>33</v>
      </c>
      <c r="AC244" s="51">
        <v>3219658</v>
      </c>
      <c r="AD244">
        <v>0</v>
      </c>
      <c r="AE244" s="4">
        <v>0</v>
      </c>
      <c r="AF244" s="4">
        <v>0</v>
      </c>
      <c r="AG244" t="s">
        <v>462</v>
      </c>
      <c r="AH244">
        <v>0</v>
      </c>
      <c r="AI244">
        <v>0</v>
      </c>
      <c r="AJ244" s="2" t="s">
        <v>463</v>
      </c>
      <c r="AK244" s="2">
        <v>0</v>
      </c>
      <c r="AL244">
        <v>0</v>
      </c>
      <c r="AM244">
        <v>0</v>
      </c>
      <c r="AN244">
        <v>0</v>
      </c>
      <c r="AO244">
        <v>0</v>
      </c>
      <c r="AP244">
        <v>3825</v>
      </c>
      <c r="AQ244">
        <v>3825</v>
      </c>
      <c r="AR244">
        <v>18625</v>
      </c>
      <c r="AS244">
        <v>0</v>
      </c>
      <c r="AT244">
        <v>0</v>
      </c>
      <c r="AU244">
        <v>24925</v>
      </c>
      <c r="AV244">
        <v>64572625</v>
      </c>
      <c r="AW244">
        <v>0</v>
      </c>
      <c r="AX244" s="5">
        <v>45696</v>
      </c>
      <c r="AY244" t="s">
        <v>356</v>
      </c>
      <c r="AZ244" t="s">
        <v>1404</v>
      </c>
      <c r="BA244" t="s">
        <v>1405</v>
      </c>
    </row>
    <row r="245" spans="1:53" ht="15" customHeight="1" x14ac:dyDescent="0.2">
      <c r="A245" t="s">
        <v>5089</v>
      </c>
      <c r="B245" t="s">
        <v>2395</v>
      </c>
      <c r="C245" t="s">
        <v>4917</v>
      </c>
      <c r="D245">
        <v>64572725</v>
      </c>
      <c r="E245" s="5">
        <v>45726</v>
      </c>
      <c r="F245" s="5">
        <v>45728.099305555559</v>
      </c>
      <c r="G245" s="4" t="s">
        <v>460</v>
      </c>
      <c r="H245" s="49">
        <v>3219658</v>
      </c>
      <c r="I245" s="49">
        <v>16883</v>
      </c>
      <c r="J245" s="50">
        <v>3202775</v>
      </c>
      <c r="K245" t="s">
        <v>2615</v>
      </c>
      <c r="L245" s="4" t="s">
        <v>461</v>
      </c>
      <c r="M245" t="s">
        <v>351</v>
      </c>
      <c r="N245" s="2">
        <v>65812579</v>
      </c>
      <c r="O245" t="s">
        <v>1407</v>
      </c>
      <c r="P245" t="s">
        <v>316</v>
      </c>
      <c r="Q245" t="s">
        <v>317</v>
      </c>
      <c r="R245">
        <v>1770130480</v>
      </c>
      <c r="S245" t="s">
        <v>319</v>
      </c>
      <c r="T245">
        <v>860034313</v>
      </c>
      <c r="U245" t="s">
        <v>355</v>
      </c>
      <c r="V245">
        <v>923245</v>
      </c>
      <c r="W245" t="s">
        <v>180</v>
      </c>
      <c r="X245" s="2" t="s">
        <v>29</v>
      </c>
      <c r="Y245" t="s">
        <v>30</v>
      </c>
      <c r="Z245" t="s">
        <v>31</v>
      </c>
      <c r="AA245" t="s">
        <v>32</v>
      </c>
      <c r="AB245" t="s">
        <v>33</v>
      </c>
      <c r="AC245" s="51">
        <v>3219658</v>
      </c>
      <c r="AD245">
        <v>0</v>
      </c>
      <c r="AE245" s="4">
        <v>0</v>
      </c>
      <c r="AF245" s="4">
        <v>0</v>
      </c>
      <c r="AG245" t="s">
        <v>462</v>
      </c>
      <c r="AH245">
        <v>0</v>
      </c>
      <c r="AI245">
        <v>0</v>
      </c>
      <c r="AJ245" s="2" t="s">
        <v>463</v>
      </c>
      <c r="AK245" s="2">
        <v>0</v>
      </c>
      <c r="AL245">
        <v>0</v>
      </c>
      <c r="AM245">
        <v>0</v>
      </c>
      <c r="AN245">
        <v>0</v>
      </c>
      <c r="AO245">
        <v>0</v>
      </c>
      <c r="AP245">
        <v>3825</v>
      </c>
      <c r="AQ245">
        <v>3825</v>
      </c>
      <c r="AR245">
        <v>18725</v>
      </c>
      <c r="AS245">
        <v>0</v>
      </c>
      <c r="AT245">
        <v>0</v>
      </c>
      <c r="AU245">
        <v>25025</v>
      </c>
      <c r="AV245">
        <v>64572725</v>
      </c>
      <c r="AW245">
        <v>0</v>
      </c>
      <c r="AX245" s="5">
        <v>45696</v>
      </c>
      <c r="AY245" t="s">
        <v>356</v>
      </c>
      <c r="AZ245" t="s">
        <v>1410</v>
      </c>
      <c r="BA245" t="s">
        <v>1332</v>
      </c>
    </row>
    <row r="246" spans="1:53" ht="15" customHeight="1" x14ac:dyDescent="0.2">
      <c r="A246" t="s">
        <v>5090</v>
      </c>
      <c r="B246" t="s">
        <v>2396</v>
      </c>
      <c r="C246" t="s">
        <v>4917</v>
      </c>
      <c r="D246">
        <v>64572825</v>
      </c>
      <c r="E246" s="5">
        <v>45726</v>
      </c>
      <c r="F246" s="5">
        <v>45728.083333333336</v>
      </c>
      <c r="G246" s="4" t="s">
        <v>460</v>
      </c>
      <c r="H246" s="49">
        <v>3219658</v>
      </c>
      <c r="I246" s="49">
        <v>16883</v>
      </c>
      <c r="J246" s="50">
        <v>3202775</v>
      </c>
      <c r="K246" t="s">
        <v>2615</v>
      </c>
      <c r="L246" s="4" t="s">
        <v>461</v>
      </c>
      <c r="M246" t="s">
        <v>351</v>
      </c>
      <c r="N246" s="2">
        <v>79746948</v>
      </c>
      <c r="O246" t="s">
        <v>1412</v>
      </c>
      <c r="P246" t="s">
        <v>316</v>
      </c>
      <c r="Q246" t="s">
        <v>317</v>
      </c>
      <c r="R246">
        <v>157519638</v>
      </c>
      <c r="S246" t="s">
        <v>319</v>
      </c>
      <c r="T246">
        <v>860002964</v>
      </c>
      <c r="U246" t="s">
        <v>419</v>
      </c>
      <c r="V246">
        <v>923245</v>
      </c>
      <c r="W246" t="s">
        <v>180</v>
      </c>
      <c r="X246" s="2" t="s">
        <v>29</v>
      </c>
      <c r="Y246" t="s">
        <v>30</v>
      </c>
      <c r="Z246" t="s">
        <v>31</v>
      </c>
      <c r="AA246" t="s">
        <v>32</v>
      </c>
      <c r="AB246" t="s">
        <v>33</v>
      </c>
      <c r="AC246" s="51">
        <v>3219658</v>
      </c>
      <c r="AD246">
        <v>0</v>
      </c>
      <c r="AE246" s="4">
        <v>0</v>
      </c>
      <c r="AF246" s="4">
        <v>0</v>
      </c>
      <c r="AG246" t="s">
        <v>462</v>
      </c>
      <c r="AH246">
        <v>0</v>
      </c>
      <c r="AI246">
        <v>0</v>
      </c>
      <c r="AJ246" s="2" t="s">
        <v>463</v>
      </c>
      <c r="AK246" s="2">
        <v>0</v>
      </c>
      <c r="AL246">
        <v>0</v>
      </c>
      <c r="AM246">
        <v>0</v>
      </c>
      <c r="AN246">
        <v>0</v>
      </c>
      <c r="AO246">
        <v>0</v>
      </c>
      <c r="AP246">
        <v>3825</v>
      </c>
      <c r="AQ246">
        <v>3825</v>
      </c>
      <c r="AR246">
        <v>18825</v>
      </c>
      <c r="AS246">
        <v>0</v>
      </c>
      <c r="AT246">
        <v>0</v>
      </c>
      <c r="AU246">
        <v>25125</v>
      </c>
      <c r="AV246">
        <v>64572825</v>
      </c>
      <c r="AW246">
        <v>0</v>
      </c>
      <c r="AX246" s="5">
        <v>45696</v>
      </c>
      <c r="AY246" t="s">
        <v>356</v>
      </c>
      <c r="AZ246" t="s">
        <v>1415</v>
      </c>
      <c r="BA246" t="s">
        <v>1332</v>
      </c>
    </row>
    <row r="247" spans="1:53" ht="15" customHeight="1" x14ac:dyDescent="0.2">
      <c r="A247" t="s">
        <v>5091</v>
      </c>
      <c r="B247" t="s">
        <v>2397</v>
      </c>
      <c r="C247" t="s">
        <v>4917</v>
      </c>
      <c r="D247">
        <v>64572925</v>
      </c>
      <c r="E247" s="5">
        <v>45726</v>
      </c>
      <c r="F247" s="5">
        <v>45728.088888888888</v>
      </c>
      <c r="G247" s="4" t="s">
        <v>460</v>
      </c>
      <c r="H247" s="49">
        <v>3219658</v>
      </c>
      <c r="I247" s="49">
        <v>16883</v>
      </c>
      <c r="J247" s="50">
        <v>3202775</v>
      </c>
      <c r="K247" t="s">
        <v>2615</v>
      </c>
      <c r="L247" s="4" t="s">
        <v>461</v>
      </c>
      <c r="M247" t="s">
        <v>351</v>
      </c>
      <c r="N247" s="2">
        <v>7917926</v>
      </c>
      <c r="O247" t="s">
        <v>1416</v>
      </c>
      <c r="P247" t="s">
        <v>316</v>
      </c>
      <c r="Q247" t="s">
        <v>317</v>
      </c>
      <c r="R247">
        <v>4685237569</v>
      </c>
      <c r="S247" t="s">
        <v>319</v>
      </c>
      <c r="T247">
        <v>890903938</v>
      </c>
      <c r="U247" t="s">
        <v>342</v>
      </c>
      <c r="V247">
        <v>923245</v>
      </c>
      <c r="W247" t="s">
        <v>180</v>
      </c>
      <c r="X247" s="2" t="s">
        <v>29</v>
      </c>
      <c r="Y247" t="s">
        <v>30</v>
      </c>
      <c r="Z247" t="s">
        <v>31</v>
      </c>
      <c r="AA247" t="s">
        <v>32</v>
      </c>
      <c r="AB247" t="s">
        <v>33</v>
      </c>
      <c r="AC247" s="51">
        <v>3219658</v>
      </c>
      <c r="AD247">
        <v>0</v>
      </c>
      <c r="AE247" s="4">
        <v>0</v>
      </c>
      <c r="AF247" s="4">
        <v>0</v>
      </c>
      <c r="AG247" t="s">
        <v>462</v>
      </c>
      <c r="AH247">
        <v>0</v>
      </c>
      <c r="AI247">
        <v>0</v>
      </c>
      <c r="AJ247" s="2" t="s">
        <v>463</v>
      </c>
      <c r="AK247" s="2">
        <v>0</v>
      </c>
      <c r="AL247">
        <v>0</v>
      </c>
      <c r="AM247">
        <v>0</v>
      </c>
      <c r="AN247">
        <v>0</v>
      </c>
      <c r="AO247">
        <v>0</v>
      </c>
      <c r="AP247">
        <v>3825</v>
      </c>
      <c r="AQ247">
        <v>3825</v>
      </c>
      <c r="AR247">
        <v>18925</v>
      </c>
      <c r="AS247">
        <v>0</v>
      </c>
      <c r="AT247">
        <v>0</v>
      </c>
      <c r="AU247">
        <v>25225</v>
      </c>
      <c r="AV247">
        <v>64572925</v>
      </c>
      <c r="AW247">
        <v>0</v>
      </c>
      <c r="AX247" s="5">
        <v>45696</v>
      </c>
      <c r="AY247" t="s">
        <v>356</v>
      </c>
      <c r="AZ247" t="s">
        <v>1419</v>
      </c>
      <c r="BA247" t="s">
        <v>1332</v>
      </c>
    </row>
    <row r="248" spans="1:53" ht="15" customHeight="1" x14ac:dyDescent="0.2">
      <c r="A248" t="s">
        <v>5092</v>
      </c>
      <c r="B248" t="s">
        <v>2398</v>
      </c>
      <c r="C248" t="s">
        <v>4917</v>
      </c>
      <c r="D248">
        <v>64573025</v>
      </c>
      <c r="E248" s="5">
        <v>45726</v>
      </c>
      <c r="F248" s="5">
        <v>45728.099305555559</v>
      </c>
      <c r="G248" s="4" t="s">
        <v>460</v>
      </c>
      <c r="H248" s="49">
        <v>3219658</v>
      </c>
      <c r="I248" s="49">
        <v>16883</v>
      </c>
      <c r="J248" s="50">
        <v>3202775</v>
      </c>
      <c r="K248" t="s">
        <v>2615</v>
      </c>
      <c r="L248" s="4" t="s">
        <v>461</v>
      </c>
      <c r="M248" t="s">
        <v>351</v>
      </c>
      <c r="N248" s="2">
        <v>80168802</v>
      </c>
      <c r="O248" t="s">
        <v>1421</v>
      </c>
      <c r="P248" t="s">
        <v>316</v>
      </c>
      <c r="Q248" t="s">
        <v>317</v>
      </c>
      <c r="R248">
        <v>406170033566</v>
      </c>
      <c r="S248" t="s">
        <v>319</v>
      </c>
      <c r="T248">
        <v>860034313</v>
      </c>
      <c r="U248" t="s">
        <v>355</v>
      </c>
      <c r="V248">
        <v>923245</v>
      </c>
      <c r="W248" t="s">
        <v>180</v>
      </c>
      <c r="X248" s="2" t="s">
        <v>29</v>
      </c>
      <c r="Y248" t="s">
        <v>30</v>
      </c>
      <c r="Z248" t="s">
        <v>31</v>
      </c>
      <c r="AA248" t="s">
        <v>32</v>
      </c>
      <c r="AB248" t="s">
        <v>33</v>
      </c>
      <c r="AC248" s="51">
        <v>3219658</v>
      </c>
      <c r="AD248">
        <v>0</v>
      </c>
      <c r="AE248" s="4">
        <v>0</v>
      </c>
      <c r="AF248" s="4">
        <v>0</v>
      </c>
      <c r="AG248" t="s">
        <v>462</v>
      </c>
      <c r="AH248">
        <v>0</v>
      </c>
      <c r="AI248">
        <v>0</v>
      </c>
      <c r="AJ248" s="2" t="s">
        <v>463</v>
      </c>
      <c r="AK248" s="2">
        <v>0</v>
      </c>
      <c r="AL248">
        <v>0</v>
      </c>
      <c r="AM248">
        <v>0</v>
      </c>
      <c r="AN248">
        <v>0</v>
      </c>
      <c r="AO248">
        <v>0</v>
      </c>
      <c r="AP248">
        <v>3825</v>
      </c>
      <c r="AQ248">
        <v>3825</v>
      </c>
      <c r="AR248">
        <v>19025</v>
      </c>
      <c r="AS248">
        <v>0</v>
      </c>
      <c r="AT248">
        <v>0</v>
      </c>
      <c r="AU248">
        <v>25325</v>
      </c>
      <c r="AV248">
        <v>64573025</v>
      </c>
      <c r="AW248">
        <v>0</v>
      </c>
      <c r="AX248" s="5">
        <v>45696</v>
      </c>
      <c r="AY248" t="s">
        <v>356</v>
      </c>
      <c r="AZ248" t="s">
        <v>1424</v>
      </c>
      <c r="BA248" t="s">
        <v>1332</v>
      </c>
    </row>
    <row r="249" spans="1:53" ht="15" customHeight="1" x14ac:dyDescent="0.2">
      <c r="A249" t="s">
        <v>5093</v>
      </c>
      <c r="B249" t="s">
        <v>2399</v>
      </c>
      <c r="C249" t="s">
        <v>4917</v>
      </c>
      <c r="D249">
        <v>64573125</v>
      </c>
      <c r="E249" s="5">
        <v>45726</v>
      </c>
      <c r="F249" s="5">
        <v>45728.099305555559</v>
      </c>
      <c r="G249" s="4" t="s">
        <v>460</v>
      </c>
      <c r="H249" s="49">
        <v>3219658</v>
      </c>
      <c r="I249" s="49">
        <v>16883</v>
      </c>
      <c r="J249" s="50">
        <v>3202775</v>
      </c>
      <c r="K249" t="s">
        <v>2615</v>
      </c>
      <c r="L249" s="4" t="s">
        <v>461</v>
      </c>
      <c r="M249" t="s">
        <v>351</v>
      </c>
      <c r="N249" s="2">
        <v>1024499356</v>
      </c>
      <c r="O249" t="s">
        <v>1426</v>
      </c>
      <c r="P249" t="s">
        <v>316</v>
      </c>
      <c r="Q249" t="s">
        <v>317</v>
      </c>
      <c r="R249">
        <v>7380827118</v>
      </c>
      <c r="S249" t="s">
        <v>319</v>
      </c>
      <c r="T249">
        <v>860034313</v>
      </c>
      <c r="U249" t="s">
        <v>355</v>
      </c>
      <c r="V249">
        <v>923245</v>
      </c>
      <c r="W249" t="s">
        <v>180</v>
      </c>
      <c r="X249" s="2" t="s">
        <v>29</v>
      </c>
      <c r="Y249" t="s">
        <v>30</v>
      </c>
      <c r="Z249" t="s">
        <v>31</v>
      </c>
      <c r="AA249" t="s">
        <v>32</v>
      </c>
      <c r="AB249" t="s">
        <v>33</v>
      </c>
      <c r="AC249" s="51">
        <v>3219658</v>
      </c>
      <c r="AD249">
        <v>0</v>
      </c>
      <c r="AE249" s="4">
        <v>0</v>
      </c>
      <c r="AF249" s="4">
        <v>0</v>
      </c>
      <c r="AG249" t="s">
        <v>462</v>
      </c>
      <c r="AH249">
        <v>0</v>
      </c>
      <c r="AI249">
        <v>0</v>
      </c>
      <c r="AJ249" s="2" t="s">
        <v>463</v>
      </c>
      <c r="AK249" s="2">
        <v>0</v>
      </c>
      <c r="AL249">
        <v>0</v>
      </c>
      <c r="AM249">
        <v>0</v>
      </c>
      <c r="AN249">
        <v>0</v>
      </c>
      <c r="AO249">
        <v>0</v>
      </c>
      <c r="AP249">
        <v>3825</v>
      </c>
      <c r="AQ249">
        <v>3825</v>
      </c>
      <c r="AR249">
        <v>19125</v>
      </c>
      <c r="AS249">
        <v>0</v>
      </c>
      <c r="AT249">
        <v>0</v>
      </c>
      <c r="AU249">
        <v>25425</v>
      </c>
      <c r="AV249">
        <v>64573125</v>
      </c>
      <c r="AW249">
        <v>0</v>
      </c>
      <c r="AX249" s="5">
        <v>45696</v>
      </c>
      <c r="AY249" t="s">
        <v>356</v>
      </c>
      <c r="AZ249" t="s">
        <v>1429</v>
      </c>
      <c r="BA249" t="s">
        <v>1430</v>
      </c>
    </row>
    <row r="250" spans="1:53" ht="15" customHeight="1" x14ac:dyDescent="0.2">
      <c r="A250" t="s">
        <v>5094</v>
      </c>
      <c r="B250" t="s">
        <v>2400</v>
      </c>
      <c r="C250" t="s">
        <v>4917</v>
      </c>
      <c r="D250">
        <v>64573225</v>
      </c>
      <c r="E250" s="5">
        <v>45726</v>
      </c>
      <c r="F250" s="5">
        <v>45728.095833333333</v>
      </c>
      <c r="G250" s="4" t="s">
        <v>460</v>
      </c>
      <c r="H250" s="49">
        <v>3219658</v>
      </c>
      <c r="I250" s="49">
        <v>16883</v>
      </c>
      <c r="J250" s="50">
        <v>3202775</v>
      </c>
      <c r="K250" t="s">
        <v>2615</v>
      </c>
      <c r="L250" s="4" t="s">
        <v>461</v>
      </c>
      <c r="M250" t="s">
        <v>351</v>
      </c>
      <c r="N250" s="2">
        <v>1023954487</v>
      </c>
      <c r="O250" t="s">
        <v>1432</v>
      </c>
      <c r="P250" t="s">
        <v>316</v>
      </c>
      <c r="Q250" t="s">
        <v>317</v>
      </c>
      <c r="R250">
        <v>24065490752</v>
      </c>
      <c r="S250" t="s">
        <v>319</v>
      </c>
      <c r="T250">
        <v>860007335</v>
      </c>
      <c r="U250" t="s">
        <v>381</v>
      </c>
      <c r="V250">
        <v>923245</v>
      </c>
      <c r="W250" t="s">
        <v>180</v>
      </c>
      <c r="X250" s="2" t="s">
        <v>29</v>
      </c>
      <c r="Y250" t="s">
        <v>30</v>
      </c>
      <c r="Z250" t="s">
        <v>31</v>
      </c>
      <c r="AA250" t="s">
        <v>32</v>
      </c>
      <c r="AB250" t="s">
        <v>33</v>
      </c>
      <c r="AC250" s="51">
        <v>3219658</v>
      </c>
      <c r="AD250">
        <v>0</v>
      </c>
      <c r="AE250" s="4">
        <v>0</v>
      </c>
      <c r="AF250" s="4">
        <v>0</v>
      </c>
      <c r="AG250" t="s">
        <v>462</v>
      </c>
      <c r="AH250">
        <v>0</v>
      </c>
      <c r="AI250">
        <v>0</v>
      </c>
      <c r="AJ250" s="2" t="s">
        <v>463</v>
      </c>
      <c r="AK250" s="2">
        <v>0</v>
      </c>
      <c r="AL250">
        <v>0</v>
      </c>
      <c r="AM250">
        <v>0</v>
      </c>
      <c r="AN250">
        <v>0</v>
      </c>
      <c r="AO250">
        <v>0</v>
      </c>
      <c r="AP250">
        <v>3825</v>
      </c>
      <c r="AQ250">
        <v>3825</v>
      </c>
      <c r="AR250">
        <v>19225</v>
      </c>
      <c r="AS250">
        <v>0</v>
      </c>
      <c r="AT250">
        <v>0</v>
      </c>
      <c r="AU250">
        <v>25525</v>
      </c>
      <c r="AV250">
        <v>64573225</v>
      </c>
      <c r="AW250">
        <v>0</v>
      </c>
      <c r="AX250" s="5">
        <v>45696</v>
      </c>
      <c r="AY250" t="s">
        <v>356</v>
      </c>
      <c r="AZ250" t="s">
        <v>1435</v>
      </c>
      <c r="BA250" t="s">
        <v>1436</v>
      </c>
    </row>
    <row r="251" spans="1:53" ht="15" customHeight="1" x14ac:dyDescent="0.2">
      <c r="A251" t="s">
        <v>5095</v>
      </c>
      <c r="B251" t="s">
        <v>2401</v>
      </c>
      <c r="C251" t="s">
        <v>4917</v>
      </c>
      <c r="D251">
        <v>64573325</v>
      </c>
      <c r="E251" s="5">
        <v>45726</v>
      </c>
      <c r="F251" s="5">
        <v>45728.088888888888</v>
      </c>
      <c r="G251" s="4" t="s">
        <v>460</v>
      </c>
      <c r="H251" s="49">
        <v>3219658</v>
      </c>
      <c r="I251" s="49">
        <v>16882</v>
      </c>
      <c r="J251" s="50">
        <v>3202776</v>
      </c>
      <c r="K251" t="s">
        <v>2615</v>
      </c>
      <c r="L251" s="4" t="s">
        <v>461</v>
      </c>
      <c r="M251" t="s">
        <v>351</v>
      </c>
      <c r="N251" s="2">
        <v>1069740339</v>
      </c>
      <c r="O251" t="s">
        <v>1438</v>
      </c>
      <c r="P251" t="s">
        <v>316</v>
      </c>
      <c r="Q251" t="s">
        <v>317</v>
      </c>
      <c r="R251">
        <v>26440507726</v>
      </c>
      <c r="S251" t="s">
        <v>319</v>
      </c>
      <c r="T251">
        <v>890903938</v>
      </c>
      <c r="U251" t="s">
        <v>342</v>
      </c>
      <c r="V251">
        <v>923245</v>
      </c>
      <c r="W251" t="s">
        <v>180</v>
      </c>
      <c r="X251" s="2" t="s">
        <v>29</v>
      </c>
      <c r="Y251" t="s">
        <v>30</v>
      </c>
      <c r="Z251" t="s">
        <v>31</v>
      </c>
      <c r="AA251" t="s">
        <v>32</v>
      </c>
      <c r="AB251" t="s">
        <v>33</v>
      </c>
      <c r="AC251" s="51">
        <v>3219658</v>
      </c>
      <c r="AD251">
        <v>0</v>
      </c>
      <c r="AE251" s="4">
        <v>0</v>
      </c>
      <c r="AF251" s="4">
        <v>0</v>
      </c>
      <c r="AG251" t="s">
        <v>462</v>
      </c>
      <c r="AH251">
        <v>0</v>
      </c>
      <c r="AI251">
        <v>0</v>
      </c>
      <c r="AJ251" s="2" t="s">
        <v>463</v>
      </c>
      <c r="AK251" s="2">
        <v>0</v>
      </c>
      <c r="AL251">
        <v>0</v>
      </c>
      <c r="AM251">
        <v>0</v>
      </c>
      <c r="AN251">
        <v>0</v>
      </c>
      <c r="AO251">
        <v>0</v>
      </c>
      <c r="AP251">
        <v>3825</v>
      </c>
      <c r="AQ251">
        <v>3825</v>
      </c>
      <c r="AR251">
        <v>19325</v>
      </c>
      <c r="AS251">
        <v>0</v>
      </c>
      <c r="AT251">
        <v>0</v>
      </c>
      <c r="AU251">
        <v>25625</v>
      </c>
      <c r="AV251">
        <v>64573325</v>
      </c>
      <c r="AW251">
        <v>0</v>
      </c>
      <c r="AX251" s="5">
        <v>45696</v>
      </c>
      <c r="AY251" t="s">
        <v>356</v>
      </c>
      <c r="AZ251" t="s">
        <v>1441</v>
      </c>
      <c r="BA251" t="s">
        <v>1442</v>
      </c>
    </row>
    <row r="252" spans="1:53" ht="15" customHeight="1" x14ac:dyDescent="0.2">
      <c r="A252" t="s">
        <v>5096</v>
      </c>
      <c r="B252" t="s">
        <v>2402</v>
      </c>
      <c r="C252" t="s">
        <v>4917</v>
      </c>
      <c r="D252">
        <v>64573425</v>
      </c>
      <c r="E252" s="5">
        <v>45726</v>
      </c>
      <c r="F252" s="5">
        <v>45728.099305555559</v>
      </c>
      <c r="G252" s="4" t="s">
        <v>460</v>
      </c>
      <c r="H252" s="49">
        <v>3219658</v>
      </c>
      <c r="I252" s="49">
        <v>16883</v>
      </c>
      <c r="J252" s="50">
        <v>3202775</v>
      </c>
      <c r="K252" t="s">
        <v>2615</v>
      </c>
      <c r="L252" s="4" t="s">
        <v>461</v>
      </c>
      <c r="M252" t="s">
        <v>351</v>
      </c>
      <c r="N252" s="2">
        <v>1012428522</v>
      </c>
      <c r="O252" t="s">
        <v>1444</v>
      </c>
      <c r="P252" t="s">
        <v>316</v>
      </c>
      <c r="Q252" t="s">
        <v>317</v>
      </c>
      <c r="R252">
        <v>488448748274</v>
      </c>
      <c r="S252" t="s">
        <v>319</v>
      </c>
      <c r="T252">
        <v>860034313</v>
      </c>
      <c r="U252" t="s">
        <v>355</v>
      </c>
      <c r="V252">
        <v>923245</v>
      </c>
      <c r="W252" t="s">
        <v>180</v>
      </c>
      <c r="X252" s="2" t="s">
        <v>29</v>
      </c>
      <c r="Y252" t="s">
        <v>30</v>
      </c>
      <c r="Z252" t="s">
        <v>31</v>
      </c>
      <c r="AA252" t="s">
        <v>32</v>
      </c>
      <c r="AB252" t="s">
        <v>33</v>
      </c>
      <c r="AC252" s="51">
        <v>3219658</v>
      </c>
      <c r="AD252">
        <v>0</v>
      </c>
      <c r="AE252" s="4">
        <v>0</v>
      </c>
      <c r="AF252" s="4">
        <v>0</v>
      </c>
      <c r="AG252" t="s">
        <v>462</v>
      </c>
      <c r="AH252">
        <v>0</v>
      </c>
      <c r="AI252">
        <v>0</v>
      </c>
      <c r="AJ252" s="2" t="s">
        <v>463</v>
      </c>
      <c r="AK252" s="2">
        <v>0</v>
      </c>
      <c r="AL252">
        <v>0</v>
      </c>
      <c r="AM252">
        <v>0</v>
      </c>
      <c r="AN252">
        <v>0</v>
      </c>
      <c r="AO252">
        <v>0</v>
      </c>
      <c r="AP252">
        <v>3825</v>
      </c>
      <c r="AQ252">
        <v>3825</v>
      </c>
      <c r="AR252">
        <v>19425</v>
      </c>
      <c r="AS252">
        <v>0</v>
      </c>
      <c r="AT252">
        <v>0</v>
      </c>
      <c r="AU252">
        <v>25725</v>
      </c>
      <c r="AV252">
        <v>64573425</v>
      </c>
      <c r="AW252">
        <v>0</v>
      </c>
      <c r="AX252" s="5">
        <v>45696</v>
      </c>
      <c r="AY252" t="s">
        <v>356</v>
      </c>
      <c r="AZ252" t="s">
        <v>1447</v>
      </c>
      <c r="BA252" t="s">
        <v>1442</v>
      </c>
    </row>
    <row r="253" spans="1:53" ht="15" customHeight="1" x14ac:dyDescent="0.2">
      <c r="A253" t="s">
        <v>5097</v>
      </c>
      <c r="B253" t="s">
        <v>2403</v>
      </c>
      <c r="C253" t="s">
        <v>4917</v>
      </c>
      <c r="D253">
        <v>64573525</v>
      </c>
      <c r="E253" s="5">
        <v>45726</v>
      </c>
      <c r="F253" s="5">
        <v>45728.089583333334</v>
      </c>
      <c r="G253" s="4" t="s">
        <v>460</v>
      </c>
      <c r="H253" s="49">
        <v>3219658</v>
      </c>
      <c r="I253" s="49">
        <v>16883</v>
      </c>
      <c r="J253" s="50">
        <v>3202775</v>
      </c>
      <c r="K253" t="s">
        <v>2615</v>
      </c>
      <c r="L253" s="4" t="s">
        <v>461</v>
      </c>
      <c r="M253" t="s">
        <v>351</v>
      </c>
      <c r="N253" s="2">
        <v>79644336</v>
      </c>
      <c r="O253" t="s">
        <v>1449</v>
      </c>
      <c r="P253" t="s">
        <v>316</v>
      </c>
      <c r="Q253" t="s">
        <v>317</v>
      </c>
      <c r="R253">
        <v>21118751652</v>
      </c>
      <c r="S253" t="s">
        <v>319</v>
      </c>
      <c r="T253">
        <v>890903938</v>
      </c>
      <c r="U253" t="s">
        <v>342</v>
      </c>
      <c r="V253">
        <v>923245</v>
      </c>
      <c r="W253" t="s">
        <v>180</v>
      </c>
      <c r="X253" s="2" t="s">
        <v>29</v>
      </c>
      <c r="Y253" t="s">
        <v>30</v>
      </c>
      <c r="Z253" t="s">
        <v>31</v>
      </c>
      <c r="AA253" t="s">
        <v>32</v>
      </c>
      <c r="AB253" t="s">
        <v>33</v>
      </c>
      <c r="AC253" s="51">
        <v>3219658</v>
      </c>
      <c r="AD253">
        <v>0</v>
      </c>
      <c r="AE253" s="4">
        <v>0</v>
      </c>
      <c r="AF253" s="4">
        <v>0</v>
      </c>
      <c r="AG253" t="s">
        <v>462</v>
      </c>
      <c r="AH253">
        <v>0</v>
      </c>
      <c r="AI253">
        <v>0</v>
      </c>
      <c r="AJ253" s="2" t="s">
        <v>463</v>
      </c>
      <c r="AK253" s="2">
        <v>0</v>
      </c>
      <c r="AL253">
        <v>0</v>
      </c>
      <c r="AM253">
        <v>0</v>
      </c>
      <c r="AN253">
        <v>0</v>
      </c>
      <c r="AO253">
        <v>0</v>
      </c>
      <c r="AP253">
        <v>3825</v>
      </c>
      <c r="AQ253">
        <v>3825</v>
      </c>
      <c r="AR253">
        <v>19525</v>
      </c>
      <c r="AS253">
        <v>0</v>
      </c>
      <c r="AT253">
        <v>0</v>
      </c>
      <c r="AU253">
        <v>25825</v>
      </c>
      <c r="AV253">
        <v>64573525</v>
      </c>
      <c r="AW253">
        <v>0</v>
      </c>
      <c r="AX253" s="5">
        <v>45696</v>
      </c>
      <c r="AY253" t="s">
        <v>356</v>
      </c>
      <c r="AZ253" t="s">
        <v>1452</v>
      </c>
      <c r="BA253" t="s">
        <v>1453</v>
      </c>
    </row>
    <row r="254" spans="1:53" ht="15" customHeight="1" x14ac:dyDescent="0.2">
      <c r="A254" t="s">
        <v>5098</v>
      </c>
      <c r="B254" t="s">
        <v>2405</v>
      </c>
      <c r="C254" t="s">
        <v>4917</v>
      </c>
      <c r="D254">
        <v>64573625</v>
      </c>
      <c r="E254" s="5">
        <v>45726</v>
      </c>
      <c r="F254" s="5">
        <v>45728.089583333334</v>
      </c>
      <c r="G254" s="4" t="s">
        <v>460</v>
      </c>
      <c r="H254" s="49">
        <v>3219658</v>
      </c>
      <c r="I254" s="49">
        <v>16883</v>
      </c>
      <c r="J254" s="50">
        <v>3202775</v>
      </c>
      <c r="K254" t="s">
        <v>2615</v>
      </c>
      <c r="L254" s="4" t="s">
        <v>461</v>
      </c>
      <c r="M254" t="s">
        <v>351</v>
      </c>
      <c r="N254" s="2">
        <v>11227260</v>
      </c>
      <c r="O254" t="s">
        <v>1459</v>
      </c>
      <c r="P254" t="s">
        <v>316</v>
      </c>
      <c r="Q254" t="s">
        <v>317</v>
      </c>
      <c r="R254">
        <v>65954775610</v>
      </c>
      <c r="S254" t="s">
        <v>319</v>
      </c>
      <c r="T254">
        <v>890903938</v>
      </c>
      <c r="U254" t="s">
        <v>342</v>
      </c>
      <c r="V254">
        <v>923245</v>
      </c>
      <c r="W254" t="s">
        <v>180</v>
      </c>
      <c r="X254" s="2" t="s">
        <v>29</v>
      </c>
      <c r="Y254" t="s">
        <v>30</v>
      </c>
      <c r="Z254" t="s">
        <v>31</v>
      </c>
      <c r="AA254" t="s">
        <v>32</v>
      </c>
      <c r="AB254" t="s">
        <v>33</v>
      </c>
      <c r="AC254" s="51">
        <v>3219658</v>
      </c>
      <c r="AD254">
        <v>0</v>
      </c>
      <c r="AE254" s="4">
        <v>0</v>
      </c>
      <c r="AF254" s="4">
        <v>0</v>
      </c>
      <c r="AG254" t="s">
        <v>462</v>
      </c>
      <c r="AH254">
        <v>0</v>
      </c>
      <c r="AI254">
        <v>0</v>
      </c>
      <c r="AJ254" s="2" t="s">
        <v>463</v>
      </c>
      <c r="AK254" s="2">
        <v>0</v>
      </c>
      <c r="AL254">
        <v>0</v>
      </c>
      <c r="AM254">
        <v>0</v>
      </c>
      <c r="AN254">
        <v>0</v>
      </c>
      <c r="AO254">
        <v>0</v>
      </c>
      <c r="AP254">
        <v>3825</v>
      </c>
      <c r="AQ254">
        <v>3825</v>
      </c>
      <c r="AR254">
        <v>19725</v>
      </c>
      <c r="AS254">
        <v>0</v>
      </c>
      <c r="AT254">
        <v>0</v>
      </c>
      <c r="AU254">
        <v>25925</v>
      </c>
      <c r="AV254">
        <v>64573625</v>
      </c>
      <c r="AW254">
        <v>0</v>
      </c>
      <c r="AX254" s="5">
        <v>45696</v>
      </c>
      <c r="AY254" t="s">
        <v>356</v>
      </c>
      <c r="AZ254" t="s">
        <v>1462</v>
      </c>
      <c r="BA254" t="s">
        <v>1453</v>
      </c>
    </row>
    <row r="255" spans="1:53" ht="15" customHeight="1" x14ac:dyDescent="0.2">
      <c r="A255" t="s">
        <v>5099</v>
      </c>
      <c r="B255" t="s">
        <v>2406</v>
      </c>
      <c r="C255" t="s">
        <v>4917</v>
      </c>
      <c r="D255">
        <v>64573725</v>
      </c>
      <c r="E255" s="5">
        <v>45726</v>
      </c>
      <c r="F255" s="5">
        <v>45728.094444444447</v>
      </c>
      <c r="G255" s="4" t="s">
        <v>460</v>
      </c>
      <c r="H255" s="49">
        <v>3219658</v>
      </c>
      <c r="I255" s="49">
        <v>18182</v>
      </c>
      <c r="J255" s="50">
        <v>3201476</v>
      </c>
      <c r="K255" t="s">
        <v>2615</v>
      </c>
      <c r="L255" s="4" t="s">
        <v>461</v>
      </c>
      <c r="M255" t="s">
        <v>351</v>
      </c>
      <c r="N255" s="2">
        <v>80732528</v>
      </c>
      <c r="O255" t="s">
        <v>1464</v>
      </c>
      <c r="P255" t="s">
        <v>316</v>
      </c>
      <c r="Q255" t="s">
        <v>317</v>
      </c>
      <c r="R255">
        <v>1003442264</v>
      </c>
      <c r="S255" t="s">
        <v>319</v>
      </c>
      <c r="T255">
        <v>860034594</v>
      </c>
      <c r="U255" t="s">
        <v>374</v>
      </c>
      <c r="V255">
        <v>923245</v>
      </c>
      <c r="W255" t="s">
        <v>180</v>
      </c>
      <c r="X255" s="2" t="s">
        <v>29</v>
      </c>
      <c r="Y255" t="s">
        <v>30</v>
      </c>
      <c r="Z255" t="s">
        <v>31</v>
      </c>
      <c r="AA255" t="s">
        <v>32</v>
      </c>
      <c r="AB255" t="s">
        <v>33</v>
      </c>
      <c r="AC255" s="51">
        <v>3219658</v>
      </c>
      <c r="AD255">
        <v>0</v>
      </c>
      <c r="AE255" s="4">
        <v>0</v>
      </c>
      <c r="AF255" s="4">
        <v>0</v>
      </c>
      <c r="AG255" t="s">
        <v>462</v>
      </c>
      <c r="AH255">
        <v>0</v>
      </c>
      <c r="AI255">
        <v>0</v>
      </c>
      <c r="AJ255" s="2" t="s">
        <v>463</v>
      </c>
      <c r="AK255" s="2">
        <v>0</v>
      </c>
      <c r="AL255">
        <v>0</v>
      </c>
      <c r="AM255">
        <v>0</v>
      </c>
      <c r="AN255">
        <v>0</v>
      </c>
      <c r="AO255">
        <v>0</v>
      </c>
      <c r="AP255">
        <v>3825</v>
      </c>
      <c r="AQ255">
        <v>3825</v>
      </c>
      <c r="AR255">
        <v>19825</v>
      </c>
      <c r="AS255">
        <v>0</v>
      </c>
      <c r="AT255">
        <v>0</v>
      </c>
      <c r="AU255">
        <v>26025</v>
      </c>
      <c r="AV255">
        <v>64573725</v>
      </c>
      <c r="AW255">
        <v>0</v>
      </c>
      <c r="AX255" s="5">
        <v>45696</v>
      </c>
      <c r="AY255" t="s">
        <v>356</v>
      </c>
      <c r="AZ255" t="s">
        <v>1467</v>
      </c>
      <c r="BA255" t="s">
        <v>1453</v>
      </c>
    </row>
    <row r="256" spans="1:53" ht="15" customHeight="1" x14ac:dyDescent="0.2">
      <c r="A256" t="s">
        <v>5100</v>
      </c>
      <c r="B256" t="s">
        <v>2407</v>
      </c>
      <c r="C256" t="s">
        <v>4917</v>
      </c>
      <c r="D256">
        <v>64573825</v>
      </c>
      <c r="E256" s="5">
        <v>45726</v>
      </c>
      <c r="F256" s="5">
        <v>45728.089583333334</v>
      </c>
      <c r="G256" s="4" t="s">
        <v>460</v>
      </c>
      <c r="H256" s="49">
        <v>3219658</v>
      </c>
      <c r="I256" s="49">
        <v>16883</v>
      </c>
      <c r="J256" s="50">
        <v>3202775</v>
      </c>
      <c r="K256" t="s">
        <v>2615</v>
      </c>
      <c r="L256" s="4" t="s">
        <v>461</v>
      </c>
      <c r="M256" t="s">
        <v>351</v>
      </c>
      <c r="N256" s="2">
        <v>1085257212</v>
      </c>
      <c r="O256" t="s">
        <v>1469</v>
      </c>
      <c r="P256" t="s">
        <v>316</v>
      </c>
      <c r="Q256" t="s">
        <v>317</v>
      </c>
      <c r="R256">
        <v>94316081767</v>
      </c>
      <c r="S256" t="s">
        <v>319</v>
      </c>
      <c r="T256">
        <v>890903938</v>
      </c>
      <c r="U256" t="s">
        <v>342</v>
      </c>
      <c r="V256">
        <v>923245</v>
      </c>
      <c r="W256" t="s">
        <v>180</v>
      </c>
      <c r="X256" s="2" t="s">
        <v>29</v>
      </c>
      <c r="Y256" t="s">
        <v>30</v>
      </c>
      <c r="Z256" t="s">
        <v>31</v>
      </c>
      <c r="AA256" t="s">
        <v>32</v>
      </c>
      <c r="AB256" t="s">
        <v>33</v>
      </c>
      <c r="AC256" s="51">
        <v>3219658</v>
      </c>
      <c r="AD256">
        <v>0</v>
      </c>
      <c r="AE256" s="4">
        <v>0</v>
      </c>
      <c r="AF256" s="4">
        <v>0</v>
      </c>
      <c r="AG256" t="s">
        <v>462</v>
      </c>
      <c r="AH256">
        <v>0</v>
      </c>
      <c r="AI256">
        <v>0</v>
      </c>
      <c r="AJ256" s="2" t="s">
        <v>463</v>
      </c>
      <c r="AK256" s="2">
        <v>0</v>
      </c>
      <c r="AL256">
        <v>0</v>
      </c>
      <c r="AM256">
        <v>0</v>
      </c>
      <c r="AN256">
        <v>0</v>
      </c>
      <c r="AO256">
        <v>0</v>
      </c>
      <c r="AP256">
        <v>3825</v>
      </c>
      <c r="AQ256">
        <v>3825</v>
      </c>
      <c r="AR256">
        <v>19925</v>
      </c>
      <c r="AS256">
        <v>0</v>
      </c>
      <c r="AT256">
        <v>0</v>
      </c>
      <c r="AU256">
        <v>26125</v>
      </c>
      <c r="AV256">
        <v>64573825</v>
      </c>
      <c r="AW256">
        <v>0</v>
      </c>
      <c r="AX256" s="5">
        <v>45696</v>
      </c>
      <c r="AY256" t="s">
        <v>356</v>
      </c>
      <c r="AZ256" t="s">
        <v>1472</v>
      </c>
      <c r="BA256" t="s">
        <v>1453</v>
      </c>
    </row>
    <row r="257" spans="1:53" ht="15" customHeight="1" x14ac:dyDescent="0.2">
      <c r="A257" t="s">
        <v>5101</v>
      </c>
      <c r="B257" t="s">
        <v>2408</v>
      </c>
      <c r="C257" t="s">
        <v>4917</v>
      </c>
      <c r="D257">
        <v>64573925</v>
      </c>
      <c r="E257" s="5">
        <v>45726</v>
      </c>
      <c r="F257" s="5">
        <v>45728.088888888888</v>
      </c>
      <c r="G257" s="4" t="s">
        <v>460</v>
      </c>
      <c r="H257" s="49">
        <v>3219658</v>
      </c>
      <c r="I257" s="49">
        <v>16883</v>
      </c>
      <c r="J257" s="50">
        <v>3202775</v>
      </c>
      <c r="K257" t="s">
        <v>2615</v>
      </c>
      <c r="L257" s="4" t="s">
        <v>461</v>
      </c>
      <c r="M257" t="s">
        <v>351</v>
      </c>
      <c r="N257" s="2">
        <v>39725669</v>
      </c>
      <c r="O257" t="s">
        <v>1474</v>
      </c>
      <c r="P257" t="s">
        <v>316</v>
      </c>
      <c r="Q257" t="s">
        <v>317</v>
      </c>
      <c r="R257">
        <v>20778547711</v>
      </c>
      <c r="S257" t="s">
        <v>319</v>
      </c>
      <c r="T257">
        <v>890903938</v>
      </c>
      <c r="U257" t="s">
        <v>342</v>
      </c>
      <c r="V257">
        <v>923245</v>
      </c>
      <c r="W257" t="s">
        <v>180</v>
      </c>
      <c r="X257" s="2" t="s">
        <v>29</v>
      </c>
      <c r="Y257" t="s">
        <v>30</v>
      </c>
      <c r="Z257" t="s">
        <v>31</v>
      </c>
      <c r="AA257" t="s">
        <v>32</v>
      </c>
      <c r="AB257" t="s">
        <v>33</v>
      </c>
      <c r="AC257" s="51">
        <v>3219658</v>
      </c>
      <c r="AD257">
        <v>0</v>
      </c>
      <c r="AE257" s="4">
        <v>0</v>
      </c>
      <c r="AF257" s="4">
        <v>0</v>
      </c>
      <c r="AG257" t="s">
        <v>462</v>
      </c>
      <c r="AH257">
        <v>0</v>
      </c>
      <c r="AI257">
        <v>0</v>
      </c>
      <c r="AJ257" s="2" t="s">
        <v>463</v>
      </c>
      <c r="AK257" s="2">
        <v>0</v>
      </c>
      <c r="AL257">
        <v>0</v>
      </c>
      <c r="AM257">
        <v>0</v>
      </c>
      <c r="AN257">
        <v>0</v>
      </c>
      <c r="AO257">
        <v>0</v>
      </c>
      <c r="AP257">
        <v>3825</v>
      </c>
      <c r="AQ257">
        <v>3825</v>
      </c>
      <c r="AR257">
        <v>20025</v>
      </c>
      <c r="AS257">
        <v>0</v>
      </c>
      <c r="AT257">
        <v>0</v>
      </c>
      <c r="AU257">
        <v>26225</v>
      </c>
      <c r="AV257">
        <v>64573925</v>
      </c>
      <c r="AW257">
        <v>0</v>
      </c>
      <c r="AX257" s="5">
        <v>45696</v>
      </c>
      <c r="AY257" t="s">
        <v>356</v>
      </c>
      <c r="AZ257" t="s">
        <v>1477</v>
      </c>
      <c r="BA257" t="s">
        <v>1453</v>
      </c>
    </row>
    <row r="258" spans="1:53" ht="15" customHeight="1" x14ac:dyDescent="0.2">
      <c r="A258" t="s">
        <v>5102</v>
      </c>
      <c r="B258" t="s">
        <v>2409</v>
      </c>
      <c r="C258" t="s">
        <v>4917</v>
      </c>
      <c r="D258">
        <v>64574025</v>
      </c>
      <c r="E258" s="5">
        <v>45726</v>
      </c>
      <c r="F258" s="5">
        <v>45728.099305555559</v>
      </c>
      <c r="G258" s="4" t="s">
        <v>460</v>
      </c>
      <c r="H258" s="49">
        <v>3219658</v>
      </c>
      <c r="I258" s="49">
        <v>16883</v>
      </c>
      <c r="J258" s="50">
        <v>3202775</v>
      </c>
      <c r="K258" t="s">
        <v>2615</v>
      </c>
      <c r="L258" s="4" t="s">
        <v>461</v>
      </c>
      <c r="M258" t="s">
        <v>351</v>
      </c>
      <c r="N258" s="2">
        <v>52123001</v>
      </c>
      <c r="O258" t="s">
        <v>1479</v>
      </c>
      <c r="P258" t="s">
        <v>316</v>
      </c>
      <c r="Q258" t="s">
        <v>317</v>
      </c>
      <c r="R258">
        <v>53576625</v>
      </c>
      <c r="S258" t="s">
        <v>319</v>
      </c>
      <c r="T258">
        <v>860034313</v>
      </c>
      <c r="U258" t="s">
        <v>355</v>
      </c>
      <c r="V258">
        <v>923245</v>
      </c>
      <c r="W258" t="s">
        <v>180</v>
      </c>
      <c r="X258" s="2" t="s">
        <v>29</v>
      </c>
      <c r="Y258" t="s">
        <v>30</v>
      </c>
      <c r="Z258" t="s">
        <v>31</v>
      </c>
      <c r="AA258" t="s">
        <v>32</v>
      </c>
      <c r="AB258" t="s">
        <v>33</v>
      </c>
      <c r="AC258" s="51">
        <v>3219658</v>
      </c>
      <c r="AD258">
        <v>0</v>
      </c>
      <c r="AE258" s="4">
        <v>0</v>
      </c>
      <c r="AF258" s="4">
        <v>0</v>
      </c>
      <c r="AG258" t="s">
        <v>462</v>
      </c>
      <c r="AH258">
        <v>0</v>
      </c>
      <c r="AI258">
        <v>0</v>
      </c>
      <c r="AJ258" s="2" t="s">
        <v>463</v>
      </c>
      <c r="AK258" s="2">
        <v>0</v>
      </c>
      <c r="AL258">
        <v>0</v>
      </c>
      <c r="AM258">
        <v>0</v>
      </c>
      <c r="AN258">
        <v>0</v>
      </c>
      <c r="AO258">
        <v>0</v>
      </c>
      <c r="AP258">
        <v>3825</v>
      </c>
      <c r="AQ258">
        <v>3825</v>
      </c>
      <c r="AR258">
        <v>20125</v>
      </c>
      <c r="AS258">
        <v>0</v>
      </c>
      <c r="AT258">
        <v>0</v>
      </c>
      <c r="AU258">
        <v>26325</v>
      </c>
      <c r="AV258">
        <v>64574025</v>
      </c>
      <c r="AW258">
        <v>0</v>
      </c>
      <c r="AX258" s="5">
        <v>45696</v>
      </c>
      <c r="AY258" t="s">
        <v>356</v>
      </c>
      <c r="AZ258" t="s">
        <v>1482</v>
      </c>
      <c r="BA258" t="s">
        <v>1453</v>
      </c>
    </row>
    <row r="259" spans="1:53" ht="15" customHeight="1" x14ac:dyDescent="0.2">
      <c r="A259" t="s">
        <v>5103</v>
      </c>
      <c r="B259" t="s">
        <v>2410</v>
      </c>
      <c r="C259" t="s">
        <v>4917</v>
      </c>
      <c r="D259">
        <v>64574125</v>
      </c>
      <c r="E259" s="5">
        <v>45726</v>
      </c>
      <c r="F259" s="5">
        <v>45728.089583333334</v>
      </c>
      <c r="G259" s="4" t="s">
        <v>460</v>
      </c>
      <c r="H259" s="49">
        <v>3219658</v>
      </c>
      <c r="I259" s="49">
        <v>16883</v>
      </c>
      <c r="J259" s="50">
        <v>3202775</v>
      </c>
      <c r="K259" t="s">
        <v>2615</v>
      </c>
      <c r="L259" s="4" t="s">
        <v>461</v>
      </c>
      <c r="M259" t="s">
        <v>351</v>
      </c>
      <c r="N259" s="2">
        <v>93372441</v>
      </c>
      <c r="O259" t="s">
        <v>1483</v>
      </c>
      <c r="P259" t="s">
        <v>316</v>
      </c>
      <c r="Q259" t="s">
        <v>317</v>
      </c>
      <c r="R259">
        <v>82906037471</v>
      </c>
      <c r="S259" t="s">
        <v>319</v>
      </c>
      <c r="T259">
        <v>890903938</v>
      </c>
      <c r="U259" t="s">
        <v>342</v>
      </c>
      <c r="V259">
        <v>923245</v>
      </c>
      <c r="W259" t="s">
        <v>180</v>
      </c>
      <c r="X259" s="2" t="s">
        <v>29</v>
      </c>
      <c r="Y259" t="s">
        <v>30</v>
      </c>
      <c r="Z259" t="s">
        <v>31</v>
      </c>
      <c r="AA259" t="s">
        <v>32</v>
      </c>
      <c r="AB259" t="s">
        <v>33</v>
      </c>
      <c r="AC259" s="51">
        <v>3219658</v>
      </c>
      <c r="AD259">
        <v>0</v>
      </c>
      <c r="AE259" s="4">
        <v>0</v>
      </c>
      <c r="AF259" s="4">
        <v>0</v>
      </c>
      <c r="AG259" t="s">
        <v>462</v>
      </c>
      <c r="AH259">
        <v>0</v>
      </c>
      <c r="AI259">
        <v>0</v>
      </c>
      <c r="AJ259" s="2" t="s">
        <v>463</v>
      </c>
      <c r="AK259" s="2">
        <v>0</v>
      </c>
      <c r="AL259">
        <v>0</v>
      </c>
      <c r="AM259">
        <v>0</v>
      </c>
      <c r="AN259">
        <v>0</v>
      </c>
      <c r="AO259">
        <v>0</v>
      </c>
      <c r="AP259">
        <v>3825</v>
      </c>
      <c r="AQ259">
        <v>3825</v>
      </c>
      <c r="AR259">
        <v>20225</v>
      </c>
      <c r="AS259">
        <v>0</v>
      </c>
      <c r="AT259">
        <v>0</v>
      </c>
      <c r="AU259">
        <v>26425</v>
      </c>
      <c r="AV259">
        <v>64574125</v>
      </c>
      <c r="AW259">
        <v>0</v>
      </c>
      <c r="AX259" s="5">
        <v>45696</v>
      </c>
      <c r="AY259" t="s">
        <v>356</v>
      </c>
      <c r="AZ259" t="s">
        <v>1486</v>
      </c>
      <c r="BA259" t="s">
        <v>1453</v>
      </c>
    </row>
    <row r="260" spans="1:53" ht="15" customHeight="1" x14ac:dyDescent="0.2">
      <c r="A260" t="s">
        <v>5104</v>
      </c>
      <c r="B260" t="s">
        <v>2411</v>
      </c>
      <c r="C260" t="s">
        <v>4917</v>
      </c>
      <c r="D260">
        <v>64574225</v>
      </c>
      <c r="E260" s="5">
        <v>45726</v>
      </c>
      <c r="F260" s="5">
        <v>45728.099305555559</v>
      </c>
      <c r="G260" s="4" t="s">
        <v>460</v>
      </c>
      <c r="H260" s="49">
        <v>3219658</v>
      </c>
      <c r="I260" s="49">
        <v>16883</v>
      </c>
      <c r="J260" s="50">
        <v>3202775</v>
      </c>
      <c r="K260" t="s">
        <v>2615</v>
      </c>
      <c r="L260" s="4" t="s">
        <v>461</v>
      </c>
      <c r="M260" t="s">
        <v>351</v>
      </c>
      <c r="N260" s="2">
        <v>79002678</v>
      </c>
      <c r="O260" t="s">
        <v>1488</v>
      </c>
      <c r="P260" t="s">
        <v>316</v>
      </c>
      <c r="Q260" t="s">
        <v>317</v>
      </c>
      <c r="R260">
        <v>451870040743</v>
      </c>
      <c r="S260" t="s">
        <v>319</v>
      </c>
      <c r="T260">
        <v>860034313</v>
      </c>
      <c r="U260" t="s">
        <v>355</v>
      </c>
      <c r="V260">
        <v>923245</v>
      </c>
      <c r="W260" t="s">
        <v>180</v>
      </c>
      <c r="X260" s="2" t="s">
        <v>29</v>
      </c>
      <c r="Y260" t="s">
        <v>30</v>
      </c>
      <c r="Z260" t="s">
        <v>31</v>
      </c>
      <c r="AA260" t="s">
        <v>32</v>
      </c>
      <c r="AB260" t="s">
        <v>33</v>
      </c>
      <c r="AC260" s="51">
        <v>3219658</v>
      </c>
      <c r="AD260">
        <v>0</v>
      </c>
      <c r="AE260" s="4">
        <v>0</v>
      </c>
      <c r="AF260" s="4">
        <v>0</v>
      </c>
      <c r="AG260" t="s">
        <v>462</v>
      </c>
      <c r="AH260">
        <v>0</v>
      </c>
      <c r="AI260">
        <v>0</v>
      </c>
      <c r="AJ260" s="2" t="s">
        <v>463</v>
      </c>
      <c r="AK260" s="2">
        <v>0</v>
      </c>
      <c r="AL260">
        <v>0</v>
      </c>
      <c r="AM260">
        <v>0</v>
      </c>
      <c r="AN260">
        <v>0</v>
      </c>
      <c r="AO260">
        <v>0</v>
      </c>
      <c r="AP260">
        <v>3825</v>
      </c>
      <c r="AQ260">
        <v>3825</v>
      </c>
      <c r="AR260">
        <v>20325</v>
      </c>
      <c r="AS260">
        <v>0</v>
      </c>
      <c r="AT260">
        <v>0</v>
      </c>
      <c r="AU260">
        <v>26525</v>
      </c>
      <c r="AV260">
        <v>64574225</v>
      </c>
      <c r="AW260">
        <v>0</v>
      </c>
      <c r="AX260" s="5">
        <v>45696</v>
      </c>
      <c r="AY260" t="s">
        <v>356</v>
      </c>
      <c r="AZ260" t="s">
        <v>1491</v>
      </c>
      <c r="BA260" t="s">
        <v>1453</v>
      </c>
    </row>
    <row r="261" spans="1:53" ht="15" customHeight="1" x14ac:dyDescent="0.2">
      <c r="A261" t="s">
        <v>5105</v>
      </c>
      <c r="B261" t="s">
        <v>2412</v>
      </c>
      <c r="C261" t="s">
        <v>4917</v>
      </c>
      <c r="D261">
        <v>64574325</v>
      </c>
      <c r="E261" s="5">
        <v>45726</v>
      </c>
      <c r="F261" s="5">
        <v>45728.095833333333</v>
      </c>
      <c r="G261" s="4" t="s">
        <v>460</v>
      </c>
      <c r="H261" s="49">
        <v>3219658</v>
      </c>
      <c r="I261" s="49">
        <v>16883</v>
      </c>
      <c r="J261" s="50">
        <v>3202775</v>
      </c>
      <c r="K261" t="s">
        <v>2615</v>
      </c>
      <c r="L261" s="4" t="s">
        <v>461</v>
      </c>
      <c r="M261" t="s">
        <v>351</v>
      </c>
      <c r="N261" s="2">
        <v>65630940</v>
      </c>
      <c r="O261" t="s">
        <v>1493</v>
      </c>
      <c r="P261" t="s">
        <v>316</v>
      </c>
      <c r="Q261" t="s">
        <v>317</v>
      </c>
      <c r="R261">
        <v>24066599861</v>
      </c>
      <c r="S261" t="s">
        <v>319</v>
      </c>
      <c r="T261">
        <v>860007335</v>
      </c>
      <c r="U261" t="s">
        <v>381</v>
      </c>
      <c r="V261">
        <v>923245</v>
      </c>
      <c r="W261" t="s">
        <v>180</v>
      </c>
      <c r="X261" s="2" t="s">
        <v>29</v>
      </c>
      <c r="Y261" t="s">
        <v>30</v>
      </c>
      <c r="Z261" t="s">
        <v>31</v>
      </c>
      <c r="AA261" t="s">
        <v>32</v>
      </c>
      <c r="AB261" t="s">
        <v>33</v>
      </c>
      <c r="AC261" s="51">
        <v>3219658</v>
      </c>
      <c r="AD261">
        <v>0</v>
      </c>
      <c r="AE261" s="4">
        <v>0</v>
      </c>
      <c r="AF261" s="4">
        <v>0</v>
      </c>
      <c r="AG261" t="s">
        <v>462</v>
      </c>
      <c r="AH261">
        <v>0</v>
      </c>
      <c r="AI261">
        <v>0</v>
      </c>
      <c r="AJ261" s="2" t="s">
        <v>463</v>
      </c>
      <c r="AK261" s="2">
        <v>0</v>
      </c>
      <c r="AL261">
        <v>0</v>
      </c>
      <c r="AM261">
        <v>0</v>
      </c>
      <c r="AN261">
        <v>0</v>
      </c>
      <c r="AO261">
        <v>0</v>
      </c>
      <c r="AP261">
        <v>3825</v>
      </c>
      <c r="AQ261">
        <v>3825</v>
      </c>
      <c r="AR261">
        <v>20425</v>
      </c>
      <c r="AS261">
        <v>0</v>
      </c>
      <c r="AT261">
        <v>0</v>
      </c>
      <c r="AU261">
        <v>26625</v>
      </c>
      <c r="AV261">
        <v>64574325</v>
      </c>
      <c r="AW261">
        <v>0</v>
      </c>
      <c r="AX261" s="5">
        <v>45696</v>
      </c>
      <c r="AY261" t="s">
        <v>356</v>
      </c>
      <c r="AZ261" t="s">
        <v>1496</v>
      </c>
      <c r="BA261" t="s">
        <v>1453</v>
      </c>
    </row>
    <row r="262" spans="1:53" ht="15" customHeight="1" x14ac:dyDescent="0.2">
      <c r="A262" t="s">
        <v>5106</v>
      </c>
      <c r="B262" t="s">
        <v>2413</v>
      </c>
      <c r="C262" t="s">
        <v>4917</v>
      </c>
      <c r="D262">
        <v>64574425</v>
      </c>
      <c r="E262" s="5">
        <v>45726</v>
      </c>
      <c r="F262" s="5">
        <v>45728.088888888888</v>
      </c>
      <c r="G262" s="4" t="s">
        <v>460</v>
      </c>
      <c r="H262" s="49">
        <v>3219658</v>
      </c>
      <c r="I262" s="49">
        <v>18912</v>
      </c>
      <c r="J262" s="50">
        <v>3200746</v>
      </c>
      <c r="K262" t="s">
        <v>2615</v>
      </c>
      <c r="L262" s="4" t="s">
        <v>461</v>
      </c>
      <c r="M262" t="s">
        <v>351</v>
      </c>
      <c r="N262" s="2">
        <v>1024562193</v>
      </c>
      <c r="O262" t="s">
        <v>1498</v>
      </c>
      <c r="P262" t="s">
        <v>316</v>
      </c>
      <c r="Q262" t="s">
        <v>317</v>
      </c>
      <c r="R262">
        <v>29903264568</v>
      </c>
      <c r="S262" t="s">
        <v>319</v>
      </c>
      <c r="T262">
        <v>890903938</v>
      </c>
      <c r="U262" t="s">
        <v>342</v>
      </c>
      <c r="V262">
        <v>923245</v>
      </c>
      <c r="W262" t="s">
        <v>180</v>
      </c>
      <c r="X262" s="2" t="s">
        <v>29</v>
      </c>
      <c r="Y262" t="s">
        <v>30</v>
      </c>
      <c r="Z262" t="s">
        <v>31</v>
      </c>
      <c r="AA262" t="s">
        <v>32</v>
      </c>
      <c r="AB262" t="s">
        <v>33</v>
      </c>
      <c r="AC262" s="51">
        <v>3219658</v>
      </c>
      <c r="AD262">
        <v>0</v>
      </c>
      <c r="AE262" s="4">
        <v>0</v>
      </c>
      <c r="AF262" s="4">
        <v>0</v>
      </c>
      <c r="AG262" t="s">
        <v>462</v>
      </c>
      <c r="AH262">
        <v>0</v>
      </c>
      <c r="AI262">
        <v>0</v>
      </c>
      <c r="AJ262" s="2" t="s">
        <v>463</v>
      </c>
      <c r="AK262" s="2">
        <v>0</v>
      </c>
      <c r="AL262">
        <v>0</v>
      </c>
      <c r="AM262">
        <v>0</v>
      </c>
      <c r="AN262">
        <v>0</v>
      </c>
      <c r="AO262">
        <v>0</v>
      </c>
      <c r="AP262">
        <v>3825</v>
      </c>
      <c r="AQ262">
        <v>3825</v>
      </c>
      <c r="AR262">
        <v>20525</v>
      </c>
      <c r="AS262">
        <v>0</v>
      </c>
      <c r="AT262">
        <v>0</v>
      </c>
      <c r="AU262">
        <v>26725</v>
      </c>
      <c r="AV262">
        <v>64574425</v>
      </c>
      <c r="AW262">
        <v>0</v>
      </c>
      <c r="AX262" s="5">
        <v>45696</v>
      </c>
      <c r="AY262" t="s">
        <v>356</v>
      </c>
      <c r="AZ262" t="s">
        <v>1501</v>
      </c>
      <c r="BA262" t="s">
        <v>1453</v>
      </c>
    </row>
    <row r="263" spans="1:53" ht="15" customHeight="1" x14ac:dyDescent="0.2">
      <c r="A263" t="s">
        <v>5107</v>
      </c>
      <c r="B263" t="s">
        <v>2414</v>
      </c>
      <c r="C263" t="s">
        <v>4917</v>
      </c>
      <c r="D263">
        <v>64574525</v>
      </c>
      <c r="E263" s="5">
        <v>45726</v>
      </c>
      <c r="F263" s="5">
        <v>45728.099305555559</v>
      </c>
      <c r="G263" s="4" t="s">
        <v>460</v>
      </c>
      <c r="H263" s="49">
        <v>3219658</v>
      </c>
      <c r="I263" s="49">
        <v>16883</v>
      </c>
      <c r="J263" s="50">
        <v>3202775</v>
      </c>
      <c r="K263" t="s">
        <v>2615</v>
      </c>
      <c r="L263" s="4" t="s">
        <v>461</v>
      </c>
      <c r="M263" t="s">
        <v>351</v>
      </c>
      <c r="N263" s="2">
        <v>1030569761</v>
      </c>
      <c r="O263" t="s">
        <v>1503</v>
      </c>
      <c r="P263" t="s">
        <v>316</v>
      </c>
      <c r="Q263" t="s">
        <v>317</v>
      </c>
      <c r="R263">
        <v>2870560923</v>
      </c>
      <c r="S263" t="s">
        <v>319</v>
      </c>
      <c r="T263">
        <v>860034313</v>
      </c>
      <c r="U263" t="s">
        <v>355</v>
      </c>
      <c r="V263">
        <v>923245</v>
      </c>
      <c r="W263" t="s">
        <v>180</v>
      </c>
      <c r="X263" s="2" t="s">
        <v>29</v>
      </c>
      <c r="Y263" t="s">
        <v>30</v>
      </c>
      <c r="Z263" t="s">
        <v>31</v>
      </c>
      <c r="AA263" t="s">
        <v>32</v>
      </c>
      <c r="AB263" t="s">
        <v>33</v>
      </c>
      <c r="AC263" s="51">
        <v>3219658</v>
      </c>
      <c r="AD263">
        <v>0</v>
      </c>
      <c r="AE263" s="4">
        <v>0</v>
      </c>
      <c r="AF263" s="4">
        <v>0</v>
      </c>
      <c r="AG263" t="s">
        <v>462</v>
      </c>
      <c r="AH263">
        <v>0</v>
      </c>
      <c r="AI263">
        <v>0</v>
      </c>
      <c r="AJ263" s="2" t="s">
        <v>463</v>
      </c>
      <c r="AK263" s="2">
        <v>0</v>
      </c>
      <c r="AL263">
        <v>0</v>
      </c>
      <c r="AM263">
        <v>0</v>
      </c>
      <c r="AN263">
        <v>0</v>
      </c>
      <c r="AO263">
        <v>0</v>
      </c>
      <c r="AP263">
        <v>3825</v>
      </c>
      <c r="AQ263">
        <v>3825</v>
      </c>
      <c r="AR263">
        <v>20625</v>
      </c>
      <c r="AS263">
        <v>0</v>
      </c>
      <c r="AT263">
        <v>0</v>
      </c>
      <c r="AU263">
        <v>26825</v>
      </c>
      <c r="AV263">
        <v>64574525</v>
      </c>
      <c r="AW263">
        <v>0</v>
      </c>
      <c r="AX263" s="5">
        <v>45696</v>
      </c>
      <c r="AY263" t="s">
        <v>356</v>
      </c>
      <c r="AZ263" t="s">
        <v>1506</v>
      </c>
      <c r="BA263" t="s">
        <v>1453</v>
      </c>
    </row>
    <row r="264" spans="1:53" ht="15" customHeight="1" x14ac:dyDescent="0.2">
      <c r="A264" t="s">
        <v>5108</v>
      </c>
      <c r="B264" t="s">
        <v>2415</v>
      </c>
      <c r="C264" t="s">
        <v>4917</v>
      </c>
      <c r="D264">
        <v>64574625</v>
      </c>
      <c r="E264" s="5">
        <v>45726</v>
      </c>
      <c r="F264" s="5">
        <v>45728.09652777778</v>
      </c>
      <c r="G264" s="4" t="s">
        <v>460</v>
      </c>
      <c r="H264" s="49">
        <v>3219658</v>
      </c>
      <c r="I264" s="49">
        <v>16883</v>
      </c>
      <c r="J264" s="50">
        <v>3202775</v>
      </c>
      <c r="K264" t="s">
        <v>2615</v>
      </c>
      <c r="L264" s="4" t="s">
        <v>461</v>
      </c>
      <c r="M264" t="s">
        <v>351</v>
      </c>
      <c r="N264" s="2">
        <v>79354889</v>
      </c>
      <c r="O264" t="s">
        <v>1508</v>
      </c>
      <c r="P264" t="s">
        <v>316</v>
      </c>
      <c r="Q264" t="s">
        <v>317</v>
      </c>
      <c r="R264">
        <v>4841834</v>
      </c>
      <c r="S264" t="s">
        <v>319</v>
      </c>
      <c r="T264">
        <v>860035827</v>
      </c>
      <c r="U264" t="s">
        <v>653</v>
      </c>
      <c r="V264">
        <v>923245</v>
      </c>
      <c r="W264" t="s">
        <v>180</v>
      </c>
      <c r="X264" s="2" t="s">
        <v>29</v>
      </c>
      <c r="Y264" t="s">
        <v>30</v>
      </c>
      <c r="Z264" t="s">
        <v>31</v>
      </c>
      <c r="AA264" t="s">
        <v>32</v>
      </c>
      <c r="AB264" t="s">
        <v>33</v>
      </c>
      <c r="AC264" s="51">
        <v>3219658</v>
      </c>
      <c r="AD264">
        <v>0</v>
      </c>
      <c r="AE264" s="4">
        <v>0</v>
      </c>
      <c r="AF264" s="4">
        <v>0</v>
      </c>
      <c r="AG264" t="s">
        <v>462</v>
      </c>
      <c r="AH264">
        <v>0</v>
      </c>
      <c r="AI264">
        <v>0</v>
      </c>
      <c r="AJ264" s="2" t="s">
        <v>463</v>
      </c>
      <c r="AK264" s="2">
        <v>0</v>
      </c>
      <c r="AL264">
        <v>0</v>
      </c>
      <c r="AM264">
        <v>0</v>
      </c>
      <c r="AN264">
        <v>0</v>
      </c>
      <c r="AO264">
        <v>0</v>
      </c>
      <c r="AP264">
        <v>3825</v>
      </c>
      <c r="AQ264">
        <v>3825</v>
      </c>
      <c r="AR264">
        <v>20725</v>
      </c>
      <c r="AS264">
        <v>0</v>
      </c>
      <c r="AT264">
        <v>0</v>
      </c>
      <c r="AU264">
        <v>26925</v>
      </c>
      <c r="AV264">
        <v>64574625</v>
      </c>
      <c r="AW264">
        <v>0</v>
      </c>
      <c r="AX264" s="5">
        <v>45696</v>
      </c>
      <c r="AY264" t="s">
        <v>356</v>
      </c>
      <c r="AZ264" t="s">
        <v>1511</v>
      </c>
      <c r="BA264" t="s">
        <v>1332</v>
      </c>
    </row>
    <row r="265" spans="1:53" ht="15" customHeight="1" x14ac:dyDescent="0.2">
      <c r="A265" t="s">
        <v>5109</v>
      </c>
      <c r="B265" t="s">
        <v>2417</v>
      </c>
      <c r="C265" t="s">
        <v>4917</v>
      </c>
      <c r="D265">
        <v>64574725</v>
      </c>
      <c r="E265" s="5">
        <v>45726</v>
      </c>
      <c r="F265" s="5">
        <v>45728.095833333333</v>
      </c>
      <c r="G265" s="4" t="s">
        <v>460</v>
      </c>
      <c r="H265" s="49">
        <v>2489112</v>
      </c>
      <c r="I265" s="49">
        <v>13867</v>
      </c>
      <c r="J265" s="50">
        <v>2475245</v>
      </c>
      <c r="K265" t="s">
        <v>2615</v>
      </c>
      <c r="L265" s="4" t="s">
        <v>461</v>
      </c>
      <c r="M265" t="s">
        <v>351</v>
      </c>
      <c r="N265" s="2">
        <v>39631710</v>
      </c>
      <c r="O265" t="s">
        <v>1518</v>
      </c>
      <c r="P265" t="s">
        <v>316</v>
      </c>
      <c r="Q265" t="s">
        <v>317</v>
      </c>
      <c r="R265">
        <v>24059331269</v>
      </c>
      <c r="S265" t="s">
        <v>319</v>
      </c>
      <c r="T265">
        <v>860007335</v>
      </c>
      <c r="U265" t="s">
        <v>381</v>
      </c>
      <c r="V265">
        <v>923245</v>
      </c>
      <c r="W265" t="s">
        <v>180</v>
      </c>
      <c r="X265" s="2" t="s">
        <v>29</v>
      </c>
      <c r="Y265" t="s">
        <v>30</v>
      </c>
      <c r="Z265" t="s">
        <v>31</v>
      </c>
      <c r="AA265" t="s">
        <v>32</v>
      </c>
      <c r="AB265" t="s">
        <v>33</v>
      </c>
      <c r="AC265" s="51">
        <v>2489112</v>
      </c>
      <c r="AD265">
        <v>0</v>
      </c>
      <c r="AE265" s="4">
        <v>0</v>
      </c>
      <c r="AF265" s="4">
        <v>0</v>
      </c>
      <c r="AG265" t="s">
        <v>462</v>
      </c>
      <c r="AH265">
        <v>0</v>
      </c>
      <c r="AI265">
        <v>0</v>
      </c>
      <c r="AJ265" s="2" t="s">
        <v>463</v>
      </c>
      <c r="AK265" s="2">
        <v>0</v>
      </c>
      <c r="AL265">
        <v>0</v>
      </c>
      <c r="AM265">
        <v>0</v>
      </c>
      <c r="AN265">
        <v>0</v>
      </c>
      <c r="AO265">
        <v>0</v>
      </c>
      <c r="AP265">
        <v>3825</v>
      </c>
      <c r="AQ265">
        <v>3825</v>
      </c>
      <c r="AR265">
        <v>20925</v>
      </c>
      <c r="AS265">
        <v>0</v>
      </c>
      <c r="AT265">
        <v>0</v>
      </c>
      <c r="AU265">
        <v>27025</v>
      </c>
      <c r="AV265">
        <v>64574725</v>
      </c>
      <c r="AW265">
        <v>0</v>
      </c>
      <c r="AX265" s="5">
        <v>45696</v>
      </c>
      <c r="AY265" t="s">
        <v>356</v>
      </c>
      <c r="AZ265" t="s">
        <v>1521</v>
      </c>
      <c r="BA265" t="s">
        <v>1332</v>
      </c>
    </row>
    <row r="266" spans="1:53" ht="15" customHeight="1" x14ac:dyDescent="0.2">
      <c r="A266" t="s">
        <v>5110</v>
      </c>
      <c r="B266" t="s">
        <v>2418</v>
      </c>
      <c r="C266" t="s">
        <v>4917</v>
      </c>
      <c r="D266">
        <v>64574825</v>
      </c>
      <c r="E266" s="5">
        <v>45726</v>
      </c>
      <c r="F266" s="5">
        <v>45728.098611111112</v>
      </c>
      <c r="G266" s="4" t="s">
        <v>460</v>
      </c>
      <c r="H266" s="49">
        <v>2489112</v>
      </c>
      <c r="I266" s="49">
        <v>12500</v>
      </c>
      <c r="J266" s="50">
        <v>2476612</v>
      </c>
      <c r="K266" t="s">
        <v>2615</v>
      </c>
      <c r="L266" s="4" t="s">
        <v>461</v>
      </c>
      <c r="M266" t="s">
        <v>351</v>
      </c>
      <c r="N266" s="2">
        <v>33367155</v>
      </c>
      <c r="O266" t="s">
        <v>1522</v>
      </c>
      <c r="P266" t="s">
        <v>316</v>
      </c>
      <c r="Q266" t="s">
        <v>317</v>
      </c>
      <c r="R266">
        <v>176500047095</v>
      </c>
      <c r="S266" t="s">
        <v>319</v>
      </c>
      <c r="T266">
        <v>860034313</v>
      </c>
      <c r="U266" t="s">
        <v>355</v>
      </c>
      <c r="V266">
        <v>923245</v>
      </c>
      <c r="W266" t="s">
        <v>180</v>
      </c>
      <c r="X266" s="2" t="s">
        <v>29</v>
      </c>
      <c r="Y266" t="s">
        <v>30</v>
      </c>
      <c r="Z266" t="s">
        <v>31</v>
      </c>
      <c r="AA266" t="s">
        <v>32</v>
      </c>
      <c r="AB266" t="s">
        <v>33</v>
      </c>
      <c r="AC266" s="51">
        <v>2489112</v>
      </c>
      <c r="AD266">
        <v>0</v>
      </c>
      <c r="AE266" s="4">
        <v>0</v>
      </c>
      <c r="AF266" s="4">
        <v>0</v>
      </c>
      <c r="AG266" t="s">
        <v>462</v>
      </c>
      <c r="AH266">
        <v>0</v>
      </c>
      <c r="AI266">
        <v>0</v>
      </c>
      <c r="AJ266" s="2" t="s">
        <v>463</v>
      </c>
      <c r="AK266" s="2">
        <v>0</v>
      </c>
      <c r="AL266">
        <v>0</v>
      </c>
      <c r="AM266">
        <v>0</v>
      </c>
      <c r="AN266">
        <v>0</v>
      </c>
      <c r="AO266">
        <v>0</v>
      </c>
      <c r="AP266">
        <v>3825</v>
      </c>
      <c r="AQ266">
        <v>3825</v>
      </c>
      <c r="AR266">
        <v>21025</v>
      </c>
      <c r="AS266">
        <v>0</v>
      </c>
      <c r="AT266">
        <v>0</v>
      </c>
      <c r="AU266">
        <v>27125</v>
      </c>
      <c r="AV266">
        <v>64574825</v>
      </c>
      <c r="AW266">
        <v>0</v>
      </c>
      <c r="AX266" s="5">
        <v>45696</v>
      </c>
      <c r="AY266" t="s">
        <v>356</v>
      </c>
      <c r="AZ266" t="s">
        <v>1525</v>
      </c>
      <c r="BA266" t="s">
        <v>1332</v>
      </c>
    </row>
    <row r="267" spans="1:53" ht="15" customHeight="1" x14ac:dyDescent="0.2">
      <c r="A267" t="s">
        <v>5111</v>
      </c>
      <c r="B267" t="s">
        <v>2419</v>
      </c>
      <c r="C267" t="s">
        <v>4892</v>
      </c>
      <c r="D267">
        <v>64574925</v>
      </c>
      <c r="E267" s="5">
        <v>45726</v>
      </c>
      <c r="F267" s="5">
        <v>45728.089583333334</v>
      </c>
      <c r="G267" s="4" t="s">
        <v>460</v>
      </c>
      <c r="H267" s="49">
        <v>3219658</v>
      </c>
      <c r="I267" s="49">
        <v>16883</v>
      </c>
      <c r="J267" s="50">
        <v>3202775</v>
      </c>
      <c r="K267" t="s">
        <v>2615</v>
      </c>
      <c r="L267" s="4" t="s">
        <v>461</v>
      </c>
      <c r="M267" t="s">
        <v>351</v>
      </c>
      <c r="N267" s="2">
        <v>35535223</v>
      </c>
      <c r="O267" t="s">
        <v>1528</v>
      </c>
      <c r="P267" t="s">
        <v>316</v>
      </c>
      <c r="Q267" t="s">
        <v>317</v>
      </c>
      <c r="R267">
        <v>37245096209</v>
      </c>
      <c r="S267" t="s">
        <v>319</v>
      </c>
      <c r="T267">
        <v>890903938</v>
      </c>
      <c r="U267" t="s">
        <v>342</v>
      </c>
      <c r="V267">
        <v>923211</v>
      </c>
      <c r="W267" t="s">
        <v>69</v>
      </c>
      <c r="X267" s="2" t="s">
        <v>29</v>
      </c>
      <c r="Y267" t="s">
        <v>30</v>
      </c>
      <c r="Z267" t="s">
        <v>31</v>
      </c>
      <c r="AA267" t="s">
        <v>32</v>
      </c>
      <c r="AB267" t="s">
        <v>33</v>
      </c>
      <c r="AC267" s="51">
        <v>3219658</v>
      </c>
      <c r="AD267">
        <v>0</v>
      </c>
      <c r="AE267" s="4">
        <v>0</v>
      </c>
      <c r="AF267" s="4">
        <v>0</v>
      </c>
      <c r="AG267" t="s">
        <v>462</v>
      </c>
      <c r="AH267">
        <v>0</v>
      </c>
      <c r="AI267">
        <v>0</v>
      </c>
      <c r="AJ267" s="2" t="s">
        <v>463</v>
      </c>
      <c r="AK267" s="2">
        <v>0</v>
      </c>
      <c r="AL267">
        <v>0</v>
      </c>
      <c r="AM267">
        <v>0</v>
      </c>
      <c r="AN267">
        <v>0</v>
      </c>
      <c r="AO267">
        <v>0</v>
      </c>
      <c r="AP267">
        <v>2125</v>
      </c>
      <c r="AQ267">
        <v>2125</v>
      </c>
      <c r="AR267">
        <v>21125</v>
      </c>
      <c r="AS267">
        <v>0</v>
      </c>
      <c r="AT267">
        <v>0</v>
      </c>
      <c r="AU267">
        <v>27225</v>
      </c>
      <c r="AV267">
        <v>64574925</v>
      </c>
      <c r="AW267">
        <v>0</v>
      </c>
      <c r="AX267" s="5">
        <v>45697</v>
      </c>
      <c r="AY267" t="s">
        <v>356</v>
      </c>
      <c r="AZ267" t="s">
        <v>1531</v>
      </c>
      <c r="BA267" t="s">
        <v>1532</v>
      </c>
    </row>
    <row r="268" spans="1:53" ht="15" customHeight="1" x14ac:dyDescent="0.2">
      <c r="A268" t="s">
        <v>5112</v>
      </c>
      <c r="B268" t="s">
        <v>2420</v>
      </c>
      <c r="C268" t="s">
        <v>4892</v>
      </c>
      <c r="D268">
        <v>64575025</v>
      </c>
      <c r="E268" s="5">
        <v>45726</v>
      </c>
      <c r="F268" s="5">
        <v>45728.09652777778</v>
      </c>
      <c r="G268" s="4" t="s">
        <v>460</v>
      </c>
      <c r="H268" s="49">
        <v>3219658</v>
      </c>
      <c r="I268" s="49">
        <v>16883</v>
      </c>
      <c r="J268" s="50">
        <v>3202775</v>
      </c>
      <c r="K268" t="s">
        <v>2615</v>
      </c>
      <c r="L268" s="4" t="s">
        <v>461</v>
      </c>
      <c r="M268" t="s">
        <v>351</v>
      </c>
      <c r="N268" s="2">
        <v>1024467029</v>
      </c>
      <c r="O268" t="s">
        <v>1534</v>
      </c>
      <c r="P268" t="s">
        <v>316</v>
      </c>
      <c r="Q268" t="s">
        <v>317</v>
      </c>
      <c r="R268">
        <v>24094321520</v>
      </c>
      <c r="S268" t="s">
        <v>319</v>
      </c>
      <c r="T268">
        <v>860007335</v>
      </c>
      <c r="U268" t="s">
        <v>381</v>
      </c>
      <c r="V268">
        <v>923211</v>
      </c>
      <c r="W268" t="s">
        <v>69</v>
      </c>
      <c r="X268" s="2" t="s">
        <v>29</v>
      </c>
      <c r="Y268" t="s">
        <v>30</v>
      </c>
      <c r="Z268" t="s">
        <v>31</v>
      </c>
      <c r="AA268" t="s">
        <v>32</v>
      </c>
      <c r="AB268" t="s">
        <v>33</v>
      </c>
      <c r="AC268" s="51">
        <v>3219658</v>
      </c>
      <c r="AD268">
        <v>0</v>
      </c>
      <c r="AE268" s="4">
        <v>0</v>
      </c>
      <c r="AF268" s="4">
        <v>0</v>
      </c>
      <c r="AG268" t="s">
        <v>462</v>
      </c>
      <c r="AH268">
        <v>0</v>
      </c>
      <c r="AI268">
        <v>0</v>
      </c>
      <c r="AJ268" s="2" t="s">
        <v>463</v>
      </c>
      <c r="AK268" s="2">
        <v>0</v>
      </c>
      <c r="AL268">
        <v>0</v>
      </c>
      <c r="AM268">
        <v>0</v>
      </c>
      <c r="AN268">
        <v>0</v>
      </c>
      <c r="AO268">
        <v>0</v>
      </c>
      <c r="AP268">
        <v>2125</v>
      </c>
      <c r="AQ268">
        <v>2125</v>
      </c>
      <c r="AR268">
        <v>21225</v>
      </c>
      <c r="AS268">
        <v>0</v>
      </c>
      <c r="AT268">
        <v>0</v>
      </c>
      <c r="AU268">
        <v>27325</v>
      </c>
      <c r="AV268">
        <v>64575025</v>
      </c>
      <c r="AW268">
        <v>0</v>
      </c>
      <c r="AX268" s="5">
        <v>45697</v>
      </c>
      <c r="AY268" t="s">
        <v>356</v>
      </c>
      <c r="AZ268" t="s">
        <v>1537</v>
      </c>
      <c r="BA268" t="s">
        <v>1532</v>
      </c>
    </row>
    <row r="269" spans="1:53" ht="15" customHeight="1" x14ac:dyDescent="0.2">
      <c r="A269" t="s">
        <v>5113</v>
      </c>
      <c r="B269" t="s">
        <v>2421</v>
      </c>
      <c r="C269" t="s">
        <v>4892</v>
      </c>
      <c r="D269">
        <v>64582325</v>
      </c>
      <c r="E269" s="5">
        <v>45726</v>
      </c>
      <c r="F269" s="5">
        <v>45728.088888888888</v>
      </c>
      <c r="G269" s="4" t="s">
        <v>460</v>
      </c>
      <c r="H269" s="49">
        <v>3219658</v>
      </c>
      <c r="I269" s="49">
        <v>16883</v>
      </c>
      <c r="J269" s="50">
        <v>3202775</v>
      </c>
      <c r="K269" t="s">
        <v>2615</v>
      </c>
      <c r="L269" s="4" t="s">
        <v>461</v>
      </c>
      <c r="M269" t="s">
        <v>351</v>
      </c>
      <c r="N269" s="2">
        <v>15645611</v>
      </c>
      <c r="O269" t="s">
        <v>1539</v>
      </c>
      <c r="P269" t="s">
        <v>316</v>
      </c>
      <c r="Q269" t="s">
        <v>317</v>
      </c>
      <c r="R269">
        <v>68164362446</v>
      </c>
      <c r="S269" t="s">
        <v>319</v>
      </c>
      <c r="T269">
        <v>890903938</v>
      </c>
      <c r="U269" t="s">
        <v>342</v>
      </c>
      <c r="V269">
        <v>923211</v>
      </c>
      <c r="W269" t="s">
        <v>69</v>
      </c>
      <c r="X269" s="2" t="s">
        <v>29</v>
      </c>
      <c r="Y269" t="s">
        <v>30</v>
      </c>
      <c r="Z269" t="s">
        <v>31</v>
      </c>
      <c r="AA269" t="s">
        <v>32</v>
      </c>
      <c r="AB269" t="s">
        <v>33</v>
      </c>
      <c r="AC269" s="51">
        <v>3219658</v>
      </c>
      <c r="AD269">
        <v>0</v>
      </c>
      <c r="AE269" s="4">
        <v>0</v>
      </c>
      <c r="AF269" s="4">
        <v>0</v>
      </c>
      <c r="AG269" t="s">
        <v>462</v>
      </c>
      <c r="AH269">
        <v>0</v>
      </c>
      <c r="AI269">
        <v>0</v>
      </c>
      <c r="AJ269" s="2" t="s">
        <v>463</v>
      </c>
      <c r="AK269" s="2">
        <v>0</v>
      </c>
      <c r="AL269">
        <v>0</v>
      </c>
      <c r="AM269">
        <v>0</v>
      </c>
      <c r="AN269">
        <v>0</v>
      </c>
      <c r="AO269">
        <v>0</v>
      </c>
      <c r="AP269">
        <v>2125</v>
      </c>
      <c r="AQ269">
        <v>2125</v>
      </c>
      <c r="AR269">
        <v>21325</v>
      </c>
      <c r="AS269">
        <v>0</v>
      </c>
      <c r="AT269">
        <v>0</v>
      </c>
      <c r="AU269">
        <v>27425</v>
      </c>
      <c r="AV269">
        <v>64582325</v>
      </c>
      <c r="AW269">
        <v>0</v>
      </c>
      <c r="AX269" s="5">
        <v>45697</v>
      </c>
      <c r="AY269" t="s">
        <v>356</v>
      </c>
      <c r="AZ269" t="s">
        <v>1542</v>
      </c>
      <c r="BA269" t="s">
        <v>1532</v>
      </c>
    </row>
    <row r="270" spans="1:53" ht="15" customHeight="1" x14ac:dyDescent="0.2">
      <c r="A270" t="s">
        <v>5114</v>
      </c>
      <c r="B270" t="s">
        <v>2422</v>
      </c>
      <c r="C270" t="s">
        <v>4892</v>
      </c>
      <c r="D270">
        <v>64582425</v>
      </c>
      <c r="E270" s="5">
        <v>45726</v>
      </c>
      <c r="F270" s="5">
        <v>45728.099305555559</v>
      </c>
      <c r="G270" s="4" t="s">
        <v>460</v>
      </c>
      <c r="H270" s="49">
        <v>3219658</v>
      </c>
      <c r="I270" s="49">
        <v>16883</v>
      </c>
      <c r="J270" s="50">
        <v>3202775</v>
      </c>
      <c r="K270" t="s">
        <v>2615</v>
      </c>
      <c r="L270" s="4" t="s">
        <v>461</v>
      </c>
      <c r="M270" t="s">
        <v>351</v>
      </c>
      <c r="N270" s="2">
        <v>1010182673</v>
      </c>
      <c r="O270" t="s">
        <v>1544</v>
      </c>
      <c r="P270" t="s">
        <v>316</v>
      </c>
      <c r="Q270" t="s">
        <v>317</v>
      </c>
      <c r="R270">
        <v>456870046459</v>
      </c>
      <c r="S270" t="s">
        <v>319</v>
      </c>
      <c r="T270">
        <v>860034313</v>
      </c>
      <c r="U270" t="s">
        <v>355</v>
      </c>
      <c r="V270">
        <v>923211</v>
      </c>
      <c r="W270" t="s">
        <v>69</v>
      </c>
      <c r="X270" s="2" t="s">
        <v>29</v>
      </c>
      <c r="Y270" t="s">
        <v>30</v>
      </c>
      <c r="Z270" t="s">
        <v>31</v>
      </c>
      <c r="AA270" t="s">
        <v>32</v>
      </c>
      <c r="AB270" t="s">
        <v>33</v>
      </c>
      <c r="AC270" s="51">
        <v>3219658</v>
      </c>
      <c r="AD270">
        <v>0</v>
      </c>
      <c r="AE270" s="4">
        <v>0</v>
      </c>
      <c r="AF270" s="4">
        <v>0</v>
      </c>
      <c r="AG270" t="s">
        <v>462</v>
      </c>
      <c r="AH270">
        <v>0</v>
      </c>
      <c r="AI270">
        <v>0</v>
      </c>
      <c r="AJ270" s="2" t="s">
        <v>463</v>
      </c>
      <c r="AK270" s="2">
        <v>0</v>
      </c>
      <c r="AL270">
        <v>0</v>
      </c>
      <c r="AM270">
        <v>0</v>
      </c>
      <c r="AN270">
        <v>0</v>
      </c>
      <c r="AO270">
        <v>0</v>
      </c>
      <c r="AP270">
        <v>2125</v>
      </c>
      <c r="AQ270">
        <v>2125</v>
      </c>
      <c r="AR270">
        <v>21425</v>
      </c>
      <c r="AS270">
        <v>0</v>
      </c>
      <c r="AT270">
        <v>0</v>
      </c>
      <c r="AU270">
        <v>27525</v>
      </c>
      <c r="AV270">
        <v>64582425</v>
      </c>
      <c r="AW270">
        <v>0</v>
      </c>
      <c r="AX270" s="5">
        <v>45697</v>
      </c>
      <c r="AY270" t="s">
        <v>356</v>
      </c>
      <c r="AZ270" t="s">
        <v>1547</v>
      </c>
      <c r="BA270" t="s">
        <v>1548</v>
      </c>
    </row>
    <row r="271" spans="1:53" ht="15" customHeight="1" x14ac:dyDescent="0.2">
      <c r="A271" t="s">
        <v>5115</v>
      </c>
      <c r="B271" t="s">
        <v>2423</v>
      </c>
      <c r="C271" t="s">
        <v>4892</v>
      </c>
      <c r="D271">
        <v>64582525</v>
      </c>
      <c r="E271" s="5">
        <v>45726</v>
      </c>
      <c r="F271" s="5">
        <v>45728.083333333336</v>
      </c>
      <c r="G271" s="4" t="s">
        <v>460</v>
      </c>
      <c r="H271" s="49">
        <v>3219658</v>
      </c>
      <c r="I271" s="49">
        <v>16883</v>
      </c>
      <c r="J271" s="50">
        <v>3202775</v>
      </c>
      <c r="K271" t="s">
        <v>2615</v>
      </c>
      <c r="L271" s="4" t="s">
        <v>461</v>
      </c>
      <c r="M271" t="s">
        <v>351</v>
      </c>
      <c r="N271" s="2">
        <v>1010183074</v>
      </c>
      <c r="O271" t="s">
        <v>1550</v>
      </c>
      <c r="P271" t="s">
        <v>316</v>
      </c>
      <c r="Q271" t="s">
        <v>317</v>
      </c>
      <c r="R271">
        <v>587098120</v>
      </c>
      <c r="S271" t="s">
        <v>319</v>
      </c>
      <c r="T271">
        <v>860002964</v>
      </c>
      <c r="U271" t="s">
        <v>419</v>
      </c>
      <c r="V271">
        <v>923211</v>
      </c>
      <c r="W271" t="s">
        <v>69</v>
      </c>
      <c r="X271" s="2" t="s">
        <v>29</v>
      </c>
      <c r="Y271" t="s">
        <v>30</v>
      </c>
      <c r="Z271" t="s">
        <v>31</v>
      </c>
      <c r="AA271" t="s">
        <v>32</v>
      </c>
      <c r="AB271" t="s">
        <v>33</v>
      </c>
      <c r="AC271" s="51">
        <v>3219658</v>
      </c>
      <c r="AD271">
        <v>0</v>
      </c>
      <c r="AE271" s="4">
        <v>0</v>
      </c>
      <c r="AF271" s="4">
        <v>0</v>
      </c>
      <c r="AG271" t="s">
        <v>462</v>
      </c>
      <c r="AH271">
        <v>0</v>
      </c>
      <c r="AI271">
        <v>0</v>
      </c>
      <c r="AJ271" s="2" t="s">
        <v>463</v>
      </c>
      <c r="AK271" s="2">
        <v>0</v>
      </c>
      <c r="AL271">
        <v>0</v>
      </c>
      <c r="AM271">
        <v>0</v>
      </c>
      <c r="AN271">
        <v>0</v>
      </c>
      <c r="AO271">
        <v>0</v>
      </c>
      <c r="AP271">
        <v>2125</v>
      </c>
      <c r="AQ271">
        <v>2125</v>
      </c>
      <c r="AR271">
        <v>21525</v>
      </c>
      <c r="AS271">
        <v>0</v>
      </c>
      <c r="AT271">
        <v>0</v>
      </c>
      <c r="AU271">
        <v>27625</v>
      </c>
      <c r="AV271">
        <v>64582525</v>
      </c>
      <c r="AW271">
        <v>0</v>
      </c>
      <c r="AX271" s="5">
        <v>45697</v>
      </c>
      <c r="AY271" t="s">
        <v>356</v>
      </c>
      <c r="AZ271" t="s">
        <v>1553</v>
      </c>
      <c r="BA271" t="s">
        <v>1532</v>
      </c>
    </row>
    <row r="272" spans="1:53" ht="15" customHeight="1" x14ac:dyDescent="0.2">
      <c r="A272" t="s">
        <v>5116</v>
      </c>
      <c r="B272" t="s">
        <v>2424</v>
      </c>
      <c r="C272" t="s">
        <v>4892</v>
      </c>
      <c r="D272">
        <v>64582625</v>
      </c>
      <c r="E272" s="5">
        <v>45726</v>
      </c>
      <c r="F272" s="5">
        <v>45728.095833333333</v>
      </c>
      <c r="G272" s="4" t="s">
        <v>460</v>
      </c>
      <c r="H272" s="49">
        <v>3219658</v>
      </c>
      <c r="I272" s="49">
        <v>16883</v>
      </c>
      <c r="J272" s="50">
        <v>3202775</v>
      </c>
      <c r="K272" t="s">
        <v>2615</v>
      </c>
      <c r="L272" s="4" t="s">
        <v>461</v>
      </c>
      <c r="M272" t="s">
        <v>351</v>
      </c>
      <c r="N272" s="2">
        <v>1013659725</v>
      </c>
      <c r="O272" t="s">
        <v>1555</v>
      </c>
      <c r="P272" t="s">
        <v>316</v>
      </c>
      <c r="Q272" t="s">
        <v>317</v>
      </c>
      <c r="R272">
        <v>24071291626</v>
      </c>
      <c r="S272" t="s">
        <v>319</v>
      </c>
      <c r="T272">
        <v>860007335</v>
      </c>
      <c r="U272" t="s">
        <v>381</v>
      </c>
      <c r="V272">
        <v>923211</v>
      </c>
      <c r="W272" t="s">
        <v>69</v>
      </c>
      <c r="X272" s="2" t="s">
        <v>29</v>
      </c>
      <c r="Y272" t="s">
        <v>30</v>
      </c>
      <c r="Z272" t="s">
        <v>31</v>
      </c>
      <c r="AA272" t="s">
        <v>32</v>
      </c>
      <c r="AB272" t="s">
        <v>33</v>
      </c>
      <c r="AC272" s="51">
        <v>3219658</v>
      </c>
      <c r="AD272">
        <v>0</v>
      </c>
      <c r="AE272" s="4">
        <v>0</v>
      </c>
      <c r="AF272" s="4">
        <v>0</v>
      </c>
      <c r="AG272" t="s">
        <v>462</v>
      </c>
      <c r="AH272">
        <v>0</v>
      </c>
      <c r="AI272">
        <v>0</v>
      </c>
      <c r="AJ272" s="2" t="s">
        <v>463</v>
      </c>
      <c r="AK272" s="2">
        <v>0</v>
      </c>
      <c r="AL272">
        <v>0</v>
      </c>
      <c r="AM272">
        <v>0</v>
      </c>
      <c r="AN272">
        <v>0</v>
      </c>
      <c r="AO272">
        <v>0</v>
      </c>
      <c r="AP272">
        <v>2125</v>
      </c>
      <c r="AQ272">
        <v>2125</v>
      </c>
      <c r="AR272">
        <v>21625</v>
      </c>
      <c r="AS272">
        <v>0</v>
      </c>
      <c r="AT272">
        <v>0</v>
      </c>
      <c r="AU272">
        <v>27725</v>
      </c>
      <c r="AV272">
        <v>64582625</v>
      </c>
      <c r="AW272">
        <v>0</v>
      </c>
      <c r="AX272" s="5">
        <v>45697</v>
      </c>
      <c r="AY272" t="s">
        <v>356</v>
      </c>
      <c r="AZ272" t="s">
        <v>1558</v>
      </c>
      <c r="BA272" t="s">
        <v>1532</v>
      </c>
    </row>
    <row r="273" spans="1:53" ht="15" customHeight="1" x14ac:dyDescent="0.2">
      <c r="A273" t="s">
        <v>5117</v>
      </c>
      <c r="B273" t="s">
        <v>2425</v>
      </c>
      <c r="C273" t="s">
        <v>4892</v>
      </c>
      <c r="D273">
        <v>64582725</v>
      </c>
      <c r="E273" s="5">
        <v>45726</v>
      </c>
      <c r="F273" s="5">
        <v>45728.088888888888</v>
      </c>
      <c r="G273" s="4" t="s">
        <v>460</v>
      </c>
      <c r="H273" s="49">
        <v>3219658</v>
      </c>
      <c r="I273" s="49">
        <v>16883</v>
      </c>
      <c r="J273" s="50">
        <v>3202775</v>
      </c>
      <c r="K273" t="s">
        <v>2615</v>
      </c>
      <c r="L273" s="4" t="s">
        <v>461</v>
      </c>
      <c r="M273" t="s">
        <v>351</v>
      </c>
      <c r="N273" s="2">
        <v>1070959413</v>
      </c>
      <c r="O273" t="s">
        <v>1560</v>
      </c>
      <c r="P273" t="s">
        <v>316</v>
      </c>
      <c r="Q273" t="s">
        <v>317</v>
      </c>
      <c r="R273">
        <v>37238942196</v>
      </c>
      <c r="S273" t="s">
        <v>319</v>
      </c>
      <c r="T273">
        <v>890903938</v>
      </c>
      <c r="U273" t="s">
        <v>342</v>
      </c>
      <c r="V273">
        <v>923211</v>
      </c>
      <c r="W273" t="s">
        <v>69</v>
      </c>
      <c r="X273" s="2" t="s">
        <v>29</v>
      </c>
      <c r="Y273" t="s">
        <v>30</v>
      </c>
      <c r="Z273" t="s">
        <v>31</v>
      </c>
      <c r="AA273" t="s">
        <v>32</v>
      </c>
      <c r="AB273" t="s">
        <v>33</v>
      </c>
      <c r="AC273" s="51">
        <v>3219658</v>
      </c>
      <c r="AD273">
        <v>0</v>
      </c>
      <c r="AE273" s="4">
        <v>0</v>
      </c>
      <c r="AF273" s="4">
        <v>0</v>
      </c>
      <c r="AG273" t="s">
        <v>462</v>
      </c>
      <c r="AH273">
        <v>0</v>
      </c>
      <c r="AI273">
        <v>0</v>
      </c>
      <c r="AJ273" s="2" t="s">
        <v>463</v>
      </c>
      <c r="AK273" s="2">
        <v>0</v>
      </c>
      <c r="AL273">
        <v>0</v>
      </c>
      <c r="AM273">
        <v>0</v>
      </c>
      <c r="AN273">
        <v>0</v>
      </c>
      <c r="AO273">
        <v>0</v>
      </c>
      <c r="AP273">
        <v>2125</v>
      </c>
      <c r="AQ273">
        <v>2125</v>
      </c>
      <c r="AR273">
        <v>21725</v>
      </c>
      <c r="AS273">
        <v>0</v>
      </c>
      <c r="AT273">
        <v>0</v>
      </c>
      <c r="AU273">
        <v>27825</v>
      </c>
      <c r="AV273">
        <v>64582725</v>
      </c>
      <c r="AW273">
        <v>0</v>
      </c>
      <c r="AX273" s="5">
        <v>45697</v>
      </c>
      <c r="AY273" t="s">
        <v>356</v>
      </c>
      <c r="AZ273" t="s">
        <v>1563</v>
      </c>
      <c r="BA273" t="s">
        <v>1532</v>
      </c>
    </row>
    <row r="274" spans="1:53" ht="15" customHeight="1" x14ac:dyDescent="0.2">
      <c r="A274" t="s">
        <v>5118</v>
      </c>
      <c r="B274" t="s">
        <v>2426</v>
      </c>
      <c r="C274" t="s">
        <v>4892</v>
      </c>
      <c r="D274">
        <v>64582825</v>
      </c>
      <c r="E274" s="5">
        <v>45726</v>
      </c>
      <c r="F274" s="5">
        <v>45728.099305555559</v>
      </c>
      <c r="G274" s="4" t="s">
        <v>460</v>
      </c>
      <c r="H274" s="49">
        <v>3219658</v>
      </c>
      <c r="I274" s="49">
        <v>16883</v>
      </c>
      <c r="J274" s="50">
        <v>3202775</v>
      </c>
      <c r="K274" t="s">
        <v>2615</v>
      </c>
      <c r="L274" s="4" t="s">
        <v>461</v>
      </c>
      <c r="M274" t="s">
        <v>351</v>
      </c>
      <c r="N274" s="2">
        <v>1070611613</v>
      </c>
      <c r="O274" t="s">
        <v>1565</v>
      </c>
      <c r="P274" t="s">
        <v>316</v>
      </c>
      <c r="Q274" t="s">
        <v>317</v>
      </c>
      <c r="R274">
        <v>488431229027</v>
      </c>
      <c r="S274" t="s">
        <v>319</v>
      </c>
      <c r="T274">
        <v>860034313</v>
      </c>
      <c r="U274" t="s">
        <v>355</v>
      </c>
      <c r="V274">
        <v>923211</v>
      </c>
      <c r="W274" t="s">
        <v>69</v>
      </c>
      <c r="X274" s="2" t="s">
        <v>29</v>
      </c>
      <c r="Y274" t="s">
        <v>30</v>
      </c>
      <c r="Z274" t="s">
        <v>31</v>
      </c>
      <c r="AA274" t="s">
        <v>32</v>
      </c>
      <c r="AB274" t="s">
        <v>33</v>
      </c>
      <c r="AC274" s="51">
        <v>3219658</v>
      </c>
      <c r="AD274">
        <v>0</v>
      </c>
      <c r="AE274" s="4">
        <v>0</v>
      </c>
      <c r="AF274" s="4">
        <v>0</v>
      </c>
      <c r="AG274" t="s">
        <v>462</v>
      </c>
      <c r="AH274">
        <v>0</v>
      </c>
      <c r="AI274">
        <v>0</v>
      </c>
      <c r="AJ274" s="2" t="s">
        <v>463</v>
      </c>
      <c r="AK274" s="2">
        <v>0</v>
      </c>
      <c r="AL274">
        <v>0</v>
      </c>
      <c r="AM274">
        <v>0</v>
      </c>
      <c r="AN274">
        <v>0</v>
      </c>
      <c r="AO274">
        <v>0</v>
      </c>
      <c r="AP274">
        <v>2125</v>
      </c>
      <c r="AQ274">
        <v>2125</v>
      </c>
      <c r="AR274">
        <v>21825</v>
      </c>
      <c r="AS274">
        <v>0</v>
      </c>
      <c r="AT274">
        <v>0</v>
      </c>
      <c r="AU274">
        <v>27925</v>
      </c>
      <c r="AV274">
        <v>64582825</v>
      </c>
      <c r="AW274">
        <v>0</v>
      </c>
      <c r="AX274" s="5">
        <v>45697</v>
      </c>
      <c r="AY274" t="s">
        <v>356</v>
      </c>
      <c r="AZ274" t="s">
        <v>1568</v>
      </c>
      <c r="BA274" t="s">
        <v>1532</v>
      </c>
    </row>
    <row r="275" spans="1:53" ht="15" customHeight="1" x14ac:dyDescent="0.2">
      <c r="A275" t="s">
        <v>5119</v>
      </c>
      <c r="B275" t="s">
        <v>2427</v>
      </c>
      <c r="C275" t="s">
        <v>4892</v>
      </c>
      <c r="D275">
        <v>64582925</v>
      </c>
      <c r="E275" s="5">
        <v>45726</v>
      </c>
      <c r="F275" s="5">
        <v>45728.095833333333</v>
      </c>
      <c r="G275" s="4" t="s">
        <v>460</v>
      </c>
      <c r="H275" s="49">
        <v>3219658</v>
      </c>
      <c r="I275" s="49">
        <v>18587</v>
      </c>
      <c r="J275" s="50">
        <v>3201071</v>
      </c>
      <c r="K275" t="s">
        <v>2615</v>
      </c>
      <c r="L275" s="4" t="s">
        <v>461</v>
      </c>
      <c r="M275" t="s">
        <v>351</v>
      </c>
      <c r="N275" s="2">
        <v>79062962</v>
      </c>
      <c r="O275" t="s">
        <v>1569</v>
      </c>
      <c r="P275" t="s">
        <v>316</v>
      </c>
      <c r="Q275" t="s">
        <v>317</v>
      </c>
      <c r="R275">
        <v>24059238144</v>
      </c>
      <c r="S275" t="s">
        <v>319</v>
      </c>
      <c r="T275">
        <v>860007335</v>
      </c>
      <c r="U275" t="s">
        <v>381</v>
      </c>
      <c r="V275">
        <v>923211</v>
      </c>
      <c r="W275" t="s">
        <v>69</v>
      </c>
      <c r="X275" s="2" t="s">
        <v>29</v>
      </c>
      <c r="Y275" t="s">
        <v>30</v>
      </c>
      <c r="Z275" t="s">
        <v>31</v>
      </c>
      <c r="AA275" t="s">
        <v>32</v>
      </c>
      <c r="AB275" t="s">
        <v>33</v>
      </c>
      <c r="AC275" s="51">
        <v>3219658</v>
      </c>
      <c r="AD275">
        <v>0</v>
      </c>
      <c r="AE275" s="4">
        <v>0</v>
      </c>
      <c r="AF275" s="4">
        <v>0</v>
      </c>
      <c r="AG275" t="s">
        <v>462</v>
      </c>
      <c r="AH275">
        <v>0</v>
      </c>
      <c r="AI275">
        <v>0</v>
      </c>
      <c r="AJ275" s="2" t="s">
        <v>463</v>
      </c>
      <c r="AK275" s="2">
        <v>0</v>
      </c>
      <c r="AL275">
        <v>0</v>
      </c>
      <c r="AM275">
        <v>0</v>
      </c>
      <c r="AN275">
        <v>0</v>
      </c>
      <c r="AO275">
        <v>0</v>
      </c>
      <c r="AP275">
        <v>2125</v>
      </c>
      <c r="AQ275">
        <v>2125</v>
      </c>
      <c r="AR275">
        <v>21925</v>
      </c>
      <c r="AS275">
        <v>0</v>
      </c>
      <c r="AT275">
        <v>0</v>
      </c>
      <c r="AU275">
        <v>28025</v>
      </c>
      <c r="AV275">
        <v>64582925</v>
      </c>
      <c r="AW275">
        <v>0</v>
      </c>
      <c r="AX275" s="5">
        <v>45697</v>
      </c>
      <c r="AY275" t="s">
        <v>356</v>
      </c>
      <c r="AZ275" t="s">
        <v>1572</v>
      </c>
      <c r="BA275" t="s">
        <v>1532</v>
      </c>
    </row>
    <row r="276" spans="1:53" ht="15" customHeight="1" x14ac:dyDescent="0.2">
      <c r="A276" t="s">
        <v>5120</v>
      </c>
      <c r="B276" t="s">
        <v>2428</v>
      </c>
      <c r="C276" t="s">
        <v>4892</v>
      </c>
      <c r="D276">
        <v>64583025</v>
      </c>
      <c r="E276" s="5">
        <v>45726</v>
      </c>
      <c r="F276" s="5">
        <v>45728.099305555559</v>
      </c>
      <c r="G276" s="4" t="s">
        <v>460</v>
      </c>
      <c r="H276" s="49">
        <v>3219658</v>
      </c>
      <c r="I276" s="49">
        <v>16883</v>
      </c>
      <c r="J276" s="50">
        <v>3202775</v>
      </c>
      <c r="K276" t="s">
        <v>2615</v>
      </c>
      <c r="L276" s="4" t="s">
        <v>461</v>
      </c>
      <c r="M276" t="s">
        <v>351</v>
      </c>
      <c r="N276" s="2">
        <v>39731146</v>
      </c>
      <c r="O276" t="s">
        <v>1574</v>
      </c>
      <c r="P276" t="s">
        <v>316</v>
      </c>
      <c r="Q276" t="s">
        <v>317</v>
      </c>
      <c r="R276">
        <v>570004070214012</v>
      </c>
      <c r="S276" t="s">
        <v>319</v>
      </c>
      <c r="T276">
        <v>860034313</v>
      </c>
      <c r="U276" t="s">
        <v>355</v>
      </c>
      <c r="V276">
        <v>923211</v>
      </c>
      <c r="W276" t="s">
        <v>69</v>
      </c>
      <c r="X276" s="2" t="s">
        <v>29</v>
      </c>
      <c r="Y276" t="s">
        <v>30</v>
      </c>
      <c r="Z276" t="s">
        <v>31</v>
      </c>
      <c r="AA276" t="s">
        <v>32</v>
      </c>
      <c r="AB276" t="s">
        <v>33</v>
      </c>
      <c r="AC276" s="51">
        <v>3219658</v>
      </c>
      <c r="AD276">
        <v>0</v>
      </c>
      <c r="AE276" s="4">
        <v>0</v>
      </c>
      <c r="AF276" s="4">
        <v>0</v>
      </c>
      <c r="AG276" t="s">
        <v>462</v>
      </c>
      <c r="AH276">
        <v>0</v>
      </c>
      <c r="AI276">
        <v>0</v>
      </c>
      <c r="AJ276" s="2" t="s">
        <v>463</v>
      </c>
      <c r="AK276" s="2">
        <v>0</v>
      </c>
      <c r="AL276">
        <v>0</v>
      </c>
      <c r="AM276">
        <v>0</v>
      </c>
      <c r="AN276">
        <v>0</v>
      </c>
      <c r="AO276">
        <v>0</v>
      </c>
      <c r="AP276">
        <v>2125</v>
      </c>
      <c r="AQ276">
        <v>2125</v>
      </c>
      <c r="AR276">
        <v>22025</v>
      </c>
      <c r="AS276">
        <v>0</v>
      </c>
      <c r="AT276">
        <v>0</v>
      </c>
      <c r="AU276">
        <v>28125</v>
      </c>
      <c r="AV276">
        <v>64583025</v>
      </c>
      <c r="AW276">
        <v>0</v>
      </c>
      <c r="AX276" s="5">
        <v>45697</v>
      </c>
      <c r="AY276" t="s">
        <v>356</v>
      </c>
      <c r="AZ276" t="s">
        <v>1577</v>
      </c>
      <c r="BA276" t="s">
        <v>1532</v>
      </c>
    </row>
    <row r="277" spans="1:53" ht="15" customHeight="1" x14ac:dyDescent="0.2">
      <c r="A277" t="s">
        <v>5121</v>
      </c>
      <c r="B277" t="s">
        <v>2429</v>
      </c>
      <c r="C277" t="s">
        <v>4892</v>
      </c>
      <c r="D277">
        <v>64583125</v>
      </c>
      <c r="E277" s="5">
        <v>45726</v>
      </c>
      <c r="F277" s="5">
        <v>45728.099305555559</v>
      </c>
      <c r="G277" s="4" t="s">
        <v>460</v>
      </c>
      <c r="H277" s="49">
        <v>3219658</v>
      </c>
      <c r="I277" s="49">
        <v>17613</v>
      </c>
      <c r="J277" s="50">
        <v>3202045</v>
      </c>
      <c r="K277" t="s">
        <v>2615</v>
      </c>
      <c r="L277" s="4" t="s">
        <v>461</v>
      </c>
      <c r="M277" t="s">
        <v>351</v>
      </c>
      <c r="N277" s="2">
        <v>40040382</v>
      </c>
      <c r="O277" t="s">
        <v>1579</v>
      </c>
      <c r="P277" t="s">
        <v>316</v>
      </c>
      <c r="Q277" t="s">
        <v>317</v>
      </c>
      <c r="R277">
        <v>176570060390</v>
      </c>
      <c r="S277" t="s">
        <v>319</v>
      </c>
      <c r="T277">
        <v>860034313</v>
      </c>
      <c r="U277" t="s">
        <v>355</v>
      </c>
      <c r="V277">
        <v>923211</v>
      </c>
      <c r="W277" t="s">
        <v>69</v>
      </c>
      <c r="X277" s="2" t="s">
        <v>29</v>
      </c>
      <c r="Y277" t="s">
        <v>30</v>
      </c>
      <c r="Z277" t="s">
        <v>31</v>
      </c>
      <c r="AA277" t="s">
        <v>32</v>
      </c>
      <c r="AB277" t="s">
        <v>33</v>
      </c>
      <c r="AC277" s="51">
        <v>3219658</v>
      </c>
      <c r="AD277">
        <v>0</v>
      </c>
      <c r="AE277" s="4">
        <v>0</v>
      </c>
      <c r="AF277" s="4">
        <v>0</v>
      </c>
      <c r="AG277" t="s">
        <v>462</v>
      </c>
      <c r="AH277">
        <v>0</v>
      </c>
      <c r="AI277">
        <v>0</v>
      </c>
      <c r="AJ277" s="2" t="s">
        <v>463</v>
      </c>
      <c r="AK277" s="2">
        <v>0</v>
      </c>
      <c r="AL277">
        <v>0</v>
      </c>
      <c r="AM277">
        <v>0</v>
      </c>
      <c r="AN277">
        <v>0</v>
      </c>
      <c r="AO277">
        <v>0</v>
      </c>
      <c r="AP277">
        <v>2125</v>
      </c>
      <c r="AQ277">
        <v>2125</v>
      </c>
      <c r="AR277">
        <v>22125</v>
      </c>
      <c r="AS277">
        <v>0</v>
      </c>
      <c r="AT277">
        <v>0</v>
      </c>
      <c r="AU277">
        <v>28225</v>
      </c>
      <c r="AV277">
        <v>64583125</v>
      </c>
      <c r="AW277">
        <v>0</v>
      </c>
      <c r="AX277" s="5">
        <v>45697</v>
      </c>
      <c r="AY277" t="s">
        <v>356</v>
      </c>
      <c r="AZ277" t="s">
        <v>1582</v>
      </c>
      <c r="BA277" t="s">
        <v>1532</v>
      </c>
    </row>
    <row r="278" spans="1:53" ht="15" customHeight="1" x14ac:dyDescent="0.2">
      <c r="A278" t="s">
        <v>5122</v>
      </c>
      <c r="B278" t="s">
        <v>2430</v>
      </c>
      <c r="C278" t="s">
        <v>4892</v>
      </c>
      <c r="D278">
        <v>64583225</v>
      </c>
      <c r="E278" s="5">
        <v>45726</v>
      </c>
      <c r="F278" s="5">
        <v>45728.095833333333</v>
      </c>
      <c r="G278" s="4" t="s">
        <v>460</v>
      </c>
      <c r="H278" s="49">
        <v>3219658</v>
      </c>
      <c r="I278" s="49">
        <v>16883</v>
      </c>
      <c r="J278" s="50">
        <v>3202775</v>
      </c>
      <c r="K278" t="s">
        <v>2615</v>
      </c>
      <c r="L278" s="4" t="s">
        <v>461</v>
      </c>
      <c r="M278" t="s">
        <v>351</v>
      </c>
      <c r="N278" s="2">
        <v>46362690</v>
      </c>
      <c r="O278" t="s">
        <v>1584</v>
      </c>
      <c r="P278" t="s">
        <v>316</v>
      </c>
      <c r="Q278" t="s">
        <v>317</v>
      </c>
      <c r="R278">
        <v>24065752140</v>
      </c>
      <c r="S278" t="s">
        <v>319</v>
      </c>
      <c r="T278">
        <v>860007335</v>
      </c>
      <c r="U278" t="s">
        <v>381</v>
      </c>
      <c r="V278">
        <v>923211</v>
      </c>
      <c r="W278" t="s">
        <v>69</v>
      </c>
      <c r="X278" s="2" t="s">
        <v>29</v>
      </c>
      <c r="Y278" t="s">
        <v>30</v>
      </c>
      <c r="Z278" t="s">
        <v>31</v>
      </c>
      <c r="AA278" t="s">
        <v>32</v>
      </c>
      <c r="AB278" t="s">
        <v>33</v>
      </c>
      <c r="AC278" s="51">
        <v>3219658</v>
      </c>
      <c r="AD278">
        <v>0</v>
      </c>
      <c r="AE278" s="4">
        <v>0</v>
      </c>
      <c r="AF278" s="4">
        <v>0</v>
      </c>
      <c r="AG278" t="s">
        <v>462</v>
      </c>
      <c r="AH278">
        <v>0</v>
      </c>
      <c r="AI278">
        <v>0</v>
      </c>
      <c r="AJ278" s="2" t="s">
        <v>463</v>
      </c>
      <c r="AK278" s="2">
        <v>0</v>
      </c>
      <c r="AL278">
        <v>0</v>
      </c>
      <c r="AM278">
        <v>0</v>
      </c>
      <c r="AN278">
        <v>0</v>
      </c>
      <c r="AO278">
        <v>0</v>
      </c>
      <c r="AP278">
        <v>2125</v>
      </c>
      <c r="AQ278">
        <v>2125</v>
      </c>
      <c r="AR278">
        <v>22225</v>
      </c>
      <c r="AS278">
        <v>0</v>
      </c>
      <c r="AT278">
        <v>0</v>
      </c>
      <c r="AU278">
        <v>28325</v>
      </c>
      <c r="AV278">
        <v>64583225</v>
      </c>
      <c r="AW278">
        <v>0</v>
      </c>
      <c r="AX278" s="5">
        <v>45697</v>
      </c>
      <c r="AY278" t="s">
        <v>356</v>
      </c>
      <c r="AZ278" t="s">
        <v>1587</v>
      </c>
      <c r="BA278" t="s">
        <v>1532</v>
      </c>
    </row>
    <row r="279" spans="1:53" ht="15" customHeight="1" x14ac:dyDescent="0.2">
      <c r="A279" t="s">
        <v>5123</v>
      </c>
      <c r="B279" t="s">
        <v>2431</v>
      </c>
      <c r="C279" t="s">
        <v>4892</v>
      </c>
      <c r="D279">
        <v>64583425</v>
      </c>
      <c r="E279" s="5">
        <v>45726</v>
      </c>
      <c r="F279" s="5">
        <v>45728.099305555559</v>
      </c>
      <c r="G279" s="4" t="s">
        <v>460</v>
      </c>
      <c r="H279" s="49">
        <v>3219658</v>
      </c>
      <c r="I279" s="49">
        <v>16883</v>
      </c>
      <c r="J279" s="50">
        <v>3202775</v>
      </c>
      <c r="K279" t="s">
        <v>2615</v>
      </c>
      <c r="L279" s="4" t="s">
        <v>461</v>
      </c>
      <c r="M279" t="s">
        <v>351</v>
      </c>
      <c r="N279" s="2">
        <v>52850963</v>
      </c>
      <c r="O279" t="s">
        <v>1589</v>
      </c>
      <c r="P279" t="s">
        <v>316</v>
      </c>
      <c r="Q279" t="s">
        <v>317</v>
      </c>
      <c r="R279">
        <v>9670310565</v>
      </c>
      <c r="S279" t="s">
        <v>319</v>
      </c>
      <c r="T279">
        <v>860034313</v>
      </c>
      <c r="U279" t="s">
        <v>355</v>
      </c>
      <c r="V279">
        <v>923211</v>
      </c>
      <c r="W279" t="s">
        <v>69</v>
      </c>
      <c r="X279" s="2" t="s">
        <v>29</v>
      </c>
      <c r="Y279" t="s">
        <v>30</v>
      </c>
      <c r="Z279" t="s">
        <v>31</v>
      </c>
      <c r="AA279" t="s">
        <v>32</v>
      </c>
      <c r="AB279" t="s">
        <v>33</v>
      </c>
      <c r="AC279" s="51">
        <v>3219658</v>
      </c>
      <c r="AD279">
        <v>0</v>
      </c>
      <c r="AE279" s="4">
        <v>0</v>
      </c>
      <c r="AF279" s="4">
        <v>0</v>
      </c>
      <c r="AG279" t="s">
        <v>462</v>
      </c>
      <c r="AH279">
        <v>0</v>
      </c>
      <c r="AI279">
        <v>0</v>
      </c>
      <c r="AJ279" s="2" t="s">
        <v>463</v>
      </c>
      <c r="AK279" s="2">
        <v>0</v>
      </c>
      <c r="AL279">
        <v>0</v>
      </c>
      <c r="AM279">
        <v>0</v>
      </c>
      <c r="AN279">
        <v>0</v>
      </c>
      <c r="AO279">
        <v>0</v>
      </c>
      <c r="AP279">
        <v>2125</v>
      </c>
      <c r="AQ279">
        <v>2125</v>
      </c>
      <c r="AR279">
        <v>22325</v>
      </c>
      <c r="AS279">
        <v>0</v>
      </c>
      <c r="AT279">
        <v>0</v>
      </c>
      <c r="AU279">
        <v>28425</v>
      </c>
      <c r="AV279">
        <v>64583425</v>
      </c>
      <c r="AW279">
        <v>0</v>
      </c>
      <c r="AX279" s="5">
        <v>45697</v>
      </c>
      <c r="AY279" t="s">
        <v>356</v>
      </c>
      <c r="AZ279" t="s">
        <v>1592</v>
      </c>
      <c r="BA279" t="s">
        <v>1532</v>
      </c>
    </row>
    <row r="280" spans="1:53" ht="15" customHeight="1" x14ac:dyDescent="0.2">
      <c r="A280" t="s">
        <v>5124</v>
      </c>
      <c r="B280" t="s">
        <v>2432</v>
      </c>
      <c r="C280" t="s">
        <v>4892</v>
      </c>
      <c r="D280">
        <v>64583525</v>
      </c>
      <c r="E280" s="5">
        <v>45726</v>
      </c>
      <c r="F280" s="5">
        <v>45728.099305555559</v>
      </c>
      <c r="G280" s="4" t="s">
        <v>460</v>
      </c>
      <c r="H280" s="49">
        <v>3219658</v>
      </c>
      <c r="I280" s="49">
        <v>16883</v>
      </c>
      <c r="J280" s="50">
        <v>3202775</v>
      </c>
      <c r="K280" t="s">
        <v>2615</v>
      </c>
      <c r="L280" s="4" t="s">
        <v>461</v>
      </c>
      <c r="M280" t="s">
        <v>351</v>
      </c>
      <c r="N280" s="2">
        <v>72252961</v>
      </c>
      <c r="O280" t="s">
        <v>1593</v>
      </c>
      <c r="P280" t="s">
        <v>316</v>
      </c>
      <c r="Q280" t="s">
        <v>317</v>
      </c>
      <c r="R280">
        <v>488430112471</v>
      </c>
      <c r="S280" t="s">
        <v>319</v>
      </c>
      <c r="T280">
        <v>860034313</v>
      </c>
      <c r="U280" t="s">
        <v>355</v>
      </c>
      <c r="V280">
        <v>923211</v>
      </c>
      <c r="W280" t="s">
        <v>69</v>
      </c>
      <c r="X280" s="2" t="s">
        <v>29</v>
      </c>
      <c r="Y280" t="s">
        <v>30</v>
      </c>
      <c r="Z280" t="s">
        <v>31</v>
      </c>
      <c r="AA280" t="s">
        <v>32</v>
      </c>
      <c r="AB280" t="s">
        <v>33</v>
      </c>
      <c r="AC280" s="51">
        <v>3219658</v>
      </c>
      <c r="AD280">
        <v>0</v>
      </c>
      <c r="AE280" s="4">
        <v>0</v>
      </c>
      <c r="AF280" s="4">
        <v>0</v>
      </c>
      <c r="AG280" t="s">
        <v>462</v>
      </c>
      <c r="AH280">
        <v>0</v>
      </c>
      <c r="AI280">
        <v>0</v>
      </c>
      <c r="AJ280" s="2" t="s">
        <v>463</v>
      </c>
      <c r="AK280" s="2">
        <v>0</v>
      </c>
      <c r="AL280">
        <v>0</v>
      </c>
      <c r="AM280">
        <v>0</v>
      </c>
      <c r="AN280">
        <v>0</v>
      </c>
      <c r="AO280">
        <v>0</v>
      </c>
      <c r="AP280">
        <v>2125</v>
      </c>
      <c r="AQ280">
        <v>2125</v>
      </c>
      <c r="AR280">
        <v>22425</v>
      </c>
      <c r="AS280">
        <v>0</v>
      </c>
      <c r="AT280">
        <v>0</v>
      </c>
      <c r="AU280">
        <v>28525</v>
      </c>
      <c r="AV280">
        <v>64583525</v>
      </c>
      <c r="AW280">
        <v>0</v>
      </c>
      <c r="AX280" s="5">
        <v>45697</v>
      </c>
      <c r="AY280" t="s">
        <v>356</v>
      </c>
      <c r="AZ280" t="s">
        <v>1596</v>
      </c>
      <c r="BA280" t="s">
        <v>1532</v>
      </c>
    </row>
    <row r="281" spans="1:53" ht="15" customHeight="1" x14ac:dyDescent="0.2">
      <c r="A281" t="s">
        <v>5125</v>
      </c>
      <c r="B281" t="s">
        <v>2433</v>
      </c>
      <c r="C281" t="s">
        <v>4892</v>
      </c>
      <c r="D281">
        <v>64583625</v>
      </c>
      <c r="E281" s="5">
        <v>45726</v>
      </c>
      <c r="F281" s="5">
        <v>45728.088888888888</v>
      </c>
      <c r="G281" s="4" t="s">
        <v>460</v>
      </c>
      <c r="H281" s="49">
        <v>3219658</v>
      </c>
      <c r="I281" s="49">
        <v>16883</v>
      </c>
      <c r="J281" s="50">
        <v>3202775</v>
      </c>
      <c r="K281" t="s">
        <v>2615</v>
      </c>
      <c r="L281" s="4" t="s">
        <v>461</v>
      </c>
      <c r="M281" t="s">
        <v>351</v>
      </c>
      <c r="N281" s="2">
        <v>79537849</v>
      </c>
      <c r="O281" t="s">
        <v>1598</v>
      </c>
      <c r="P281" t="s">
        <v>316</v>
      </c>
      <c r="Q281" t="s">
        <v>317</v>
      </c>
      <c r="R281">
        <v>65955963932</v>
      </c>
      <c r="S281" t="s">
        <v>319</v>
      </c>
      <c r="T281">
        <v>890903938</v>
      </c>
      <c r="U281" t="s">
        <v>342</v>
      </c>
      <c r="V281">
        <v>923211</v>
      </c>
      <c r="W281" t="s">
        <v>69</v>
      </c>
      <c r="X281" s="2" t="s">
        <v>29</v>
      </c>
      <c r="Y281" t="s">
        <v>30</v>
      </c>
      <c r="Z281" t="s">
        <v>31</v>
      </c>
      <c r="AA281" t="s">
        <v>32</v>
      </c>
      <c r="AB281" t="s">
        <v>33</v>
      </c>
      <c r="AC281" s="51">
        <v>3219658</v>
      </c>
      <c r="AD281">
        <v>0</v>
      </c>
      <c r="AE281" s="4">
        <v>0</v>
      </c>
      <c r="AF281" s="4">
        <v>0</v>
      </c>
      <c r="AG281" t="s">
        <v>462</v>
      </c>
      <c r="AH281">
        <v>0</v>
      </c>
      <c r="AI281">
        <v>0</v>
      </c>
      <c r="AJ281" s="2" t="s">
        <v>463</v>
      </c>
      <c r="AK281" s="2">
        <v>0</v>
      </c>
      <c r="AL281">
        <v>0</v>
      </c>
      <c r="AM281">
        <v>0</v>
      </c>
      <c r="AN281">
        <v>0</v>
      </c>
      <c r="AO281">
        <v>0</v>
      </c>
      <c r="AP281">
        <v>2125</v>
      </c>
      <c r="AQ281">
        <v>2125</v>
      </c>
      <c r="AR281">
        <v>22525</v>
      </c>
      <c r="AS281">
        <v>0</v>
      </c>
      <c r="AT281">
        <v>0</v>
      </c>
      <c r="AU281">
        <v>28625</v>
      </c>
      <c r="AV281">
        <v>64583625</v>
      </c>
      <c r="AW281">
        <v>0</v>
      </c>
      <c r="AX281" s="5">
        <v>45697</v>
      </c>
      <c r="AY281" t="s">
        <v>356</v>
      </c>
      <c r="AZ281" t="s">
        <v>1601</v>
      </c>
      <c r="BA281" t="s">
        <v>1532</v>
      </c>
    </row>
    <row r="282" spans="1:53" ht="15" customHeight="1" x14ac:dyDescent="0.2">
      <c r="A282" t="s">
        <v>5126</v>
      </c>
      <c r="B282" t="s">
        <v>2434</v>
      </c>
      <c r="C282" t="s">
        <v>4892</v>
      </c>
      <c r="D282">
        <v>64583725</v>
      </c>
      <c r="E282" s="5">
        <v>45726</v>
      </c>
      <c r="F282" s="5">
        <v>45728.083333333336</v>
      </c>
      <c r="G282" s="4" t="s">
        <v>460</v>
      </c>
      <c r="H282" s="49">
        <v>3219658</v>
      </c>
      <c r="I282" s="49">
        <v>16883</v>
      </c>
      <c r="J282" s="50">
        <v>3202775</v>
      </c>
      <c r="K282" t="s">
        <v>2615</v>
      </c>
      <c r="L282" s="4" t="s">
        <v>461</v>
      </c>
      <c r="M282" t="s">
        <v>351</v>
      </c>
      <c r="N282" s="2">
        <v>80764556</v>
      </c>
      <c r="O282" t="s">
        <v>1603</v>
      </c>
      <c r="P282" t="s">
        <v>316</v>
      </c>
      <c r="Q282" t="s">
        <v>317</v>
      </c>
      <c r="R282">
        <v>123251043</v>
      </c>
      <c r="S282" t="s">
        <v>319</v>
      </c>
      <c r="T282">
        <v>860002964</v>
      </c>
      <c r="U282" t="s">
        <v>419</v>
      </c>
      <c r="V282">
        <v>923211</v>
      </c>
      <c r="W282" t="s">
        <v>69</v>
      </c>
      <c r="X282" s="2" t="s">
        <v>29</v>
      </c>
      <c r="Y282" t="s">
        <v>30</v>
      </c>
      <c r="Z282" t="s">
        <v>31</v>
      </c>
      <c r="AA282" t="s">
        <v>32</v>
      </c>
      <c r="AB282" t="s">
        <v>33</v>
      </c>
      <c r="AC282" s="51">
        <v>3219658</v>
      </c>
      <c r="AD282">
        <v>0</v>
      </c>
      <c r="AE282" s="4">
        <v>0</v>
      </c>
      <c r="AF282" s="4">
        <v>0</v>
      </c>
      <c r="AG282" t="s">
        <v>462</v>
      </c>
      <c r="AH282">
        <v>0</v>
      </c>
      <c r="AI282">
        <v>0</v>
      </c>
      <c r="AJ282" s="2" t="s">
        <v>463</v>
      </c>
      <c r="AK282" s="2">
        <v>0</v>
      </c>
      <c r="AL282">
        <v>0</v>
      </c>
      <c r="AM282">
        <v>0</v>
      </c>
      <c r="AN282">
        <v>0</v>
      </c>
      <c r="AO282">
        <v>0</v>
      </c>
      <c r="AP282">
        <v>2125</v>
      </c>
      <c r="AQ282">
        <v>2125</v>
      </c>
      <c r="AR282">
        <v>22625</v>
      </c>
      <c r="AS282">
        <v>0</v>
      </c>
      <c r="AT282">
        <v>0</v>
      </c>
      <c r="AU282">
        <v>28725</v>
      </c>
      <c r="AV282">
        <v>64583725</v>
      </c>
      <c r="AW282">
        <v>0</v>
      </c>
      <c r="AX282" s="5">
        <v>45697</v>
      </c>
      <c r="AY282" t="s">
        <v>356</v>
      </c>
      <c r="AZ282" t="s">
        <v>1606</v>
      </c>
      <c r="BA282" t="s">
        <v>1532</v>
      </c>
    </row>
    <row r="283" spans="1:53" ht="15" customHeight="1" x14ac:dyDescent="0.2">
      <c r="A283" t="s">
        <v>5127</v>
      </c>
      <c r="B283" t="s">
        <v>2435</v>
      </c>
      <c r="C283" t="s">
        <v>4892</v>
      </c>
      <c r="D283">
        <v>64583825</v>
      </c>
      <c r="E283" s="5">
        <v>45726</v>
      </c>
      <c r="F283" s="5">
        <v>45728.09375</v>
      </c>
      <c r="G283" s="4" t="s">
        <v>460</v>
      </c>
      <c r="H283" s="49">
        <v>3219658</v>
      </c>
      <c r="I283" s="49">
        <v>18263</v>
      </c>
      <c r="J283" s="50">
        <v>3201395</v>
      </c>
      <c r="K283" t="s">
        <v>2615</v>
      </c>
      <c r="L283" s="4" t="s">
        <v>461</v>
      </c>
      <c r="M283" t="s">
        <v>351</v>
      </c>
      <c r="N283" s="2">
        <v>84079403</v>
      </c>
      <c r="O283" t="s">
        <v>1608</v>
      </c>
      <c r="P283" t="s">
        <v>316</v>
      </c>
      <c r="Q283" t="s">
        <v>317</v>
      </c>
      <c r="R283">
        <v>758442297</v>
      </c>
      <c r="S283" t="s">
        <v>319</v>
      </c>
      <c r="T283">
        <v>860003020</v>
      </c>
      <c r="U283" t="s">
        <v>393</v>
      </c>
      <c r="V283">
        <v>923211</v>
      </c>
      <c r="W283" t="s">
        <v>69</v>
      </c>
      <c r="X283" s="2" t="s">
        <v>29</v>
      </c>
      <c r="Y283" t="s">
        <v>30</v>
      </c>
      <c r="Z283" t="s">
        <v>31</v>
      </c>
      <c r="AA283" t="s">
        <v>32</v>
      </c>
      <c r="AB283" t="s">
        <v>33</v>
      </c>
      <c r="AC283" s="51">
        <v>3219658</v>
      </c>
      <c r="AD283">
        <v>0</v>
      </c>
      <c r="AE283" s="4">
        <v>0</v>
      </c>
      <c r="AF283" s="4">
        <v>0</v>
      </c>
      <c r="AG283" t="s">
        <v>462</v>
      </c>
      <c r="AH283">
        <v>0</v>
      </c>
      <c r="AI283">
        <v>0</v>
      </c>
      <c r="AJ283" s="2" t="s">
        <v>463</v>
      </c>
      <c r="AK283" s="2">
        <v>0</v>
      </c>
      <c r="AL283">
        <v>0</v>
      </c>
      <c r="AM283">
        <v>0</v>
      </c>
      <c r="AN283">
        <v>0</v>
      </c>
      <c r="AO283">
        <v>0</v>
      </c>
      <c r="AP283">
        <v>2125</v>
      </c>
      <c r="AQ283">
        <v>2125</v>
      </c>
      <c r="AR283">
        <v>22725</v>
      </c>
      <c r="AS283">
        <v>0</v>
      </c>
      <c r="AT283">
        <v>0</v>
      </c>
      <c r="AU283">
        <v>28825</v>
      </c>
      <c r="AV283">
        <v>64583825</v>
      </c>
      <c r="AW283">
        <v>0</v>
      </c>
      <c r="AX283" s="5">
        <v>45697</v>
      </c>
      <c r="AY283" t="s">
        <v>356</v>
      </c>
      <c r="AZ283" t="s">
        <v>1611</v>
      </c>
      <c r="BA283" t="s">
        <v>1532</v>
      </c>
    </row>
    <row r="284" spans="1:53" ht="15" customHeight="1" x14ac:dyDescent="0.2">
      <c r="A284" t="s">
        <v>5128</v>
      </c>
      <c r="B284" t="s">
        <v>2436</v>
      </c>
      <c r="C284" t="s">
        <v>4892</v>
      </c>
      <c r="D284">
        <v>64583925</v>
      </c>
      <c r="E284" s="5">
        <v>45726</v>
      </c>
      <c r="F284" s="5">
        <v>45728.09375</v>
      </c>
      <c r="G284" s="4" t="s">
        <v>460</v>
      </c>
      <c r="H284" s="49">
        <v>3219658</v>
      </c>
      <c r="I284" s="49">
        <v>16883</v>
      </c>
      <c r="J284" s="50">
        <v>3202775</v>
      </c>
      <c r="K284" t="s">
        <v>2615</v>
      </c>
      <c r="L284" s="4" t="s">
        <v>461</v>
      </c>
      <c r="M284" t="s">
        <v>351</v>
      </c>
      <c r="N284" s="2">
        <v>79348348</v>
      </c>
      <c r="O284" t="s">
        <v>1613</v>
      </c>
      <c r="P284" t="s">
        <v>316</v>
      </c>
      <c r="Q284" t="s">
        <v>317</v>
      </c>
      <c r="R284">
        <v>83385880</v>
      </c>
      <c r="S284" t="s">
        <v>319</v>
      </c>
      <c r="T284">
        <v>860003020</v>
      </c>
      <c r="U284" t="s">
        <v>393</v>
      </c>
      <c r="V284">
        <v>923211</v>
      </c>
      <c r="W284" t="s">
        <v>69</v>
      </c>
      <c r="X284" s="2" t="s">
        <v>29</v>
      </c>
      <c r="Y284" t="s">
        <v>30</v>
      </c>
      <c r="Z284" t="s">
        <v>31</v>
      </c>
      <c r="AA284" t="s">
        <v>32</v>
      </c>
      <c r="AB284" t="s">
        <v>33</v>
      </c>
      <c r="AC284" s="51">
        <v>3219658</v>
      </c>
      <c r="AD284">
        <v>0</v>
      </c>
      <c r="AE284" s="4">
        <v>0</v>
      </c>
      <c r="AF284" s="4">
        <v>0</v>
      </c>
      <c r="AG284" t="s">
        <v>462</v>
      </c>
      <c r="AH284">
        <v>0</v>
      </c>
      <c r="AI284">
        <v>0</v>
      </c>
      <c r="AJ284" s="2" t="s">
        <v>463</v>
      </c>
      <c r="AK284" s="2">
        <v>0</v>
      </c>
      <c r="AL284">
        <v>0</v>
      </c>
      <c r="AM284">
        <v>0</v>
      </c>
      <c r="AN284">
        <v>0</v>
      </c>
      <c r="AO284">
        <v>0</v>
      </c>
      <c r="AP284">
        <v>2125</v>
      </c>
      <c r="AQ284">
        <v>2125</v>
      </c>
      <c r="AR284">
        <v>22825</v>
      </c>
      <c r="AS284">
        <v>0</v>
      </c>
      <c r="AT284">
        <v>0</v>
      </c>
      <c r="AU284">
        <v>28925</v>
      </c>
      <c r="AV284">
        <v>64583925</v>
      </c>
      <c r="AW284">
        <v>0</v>
      </c>
      <c r="AX284" s="5">
        <v>45697</v>
      </c>
      <c r="AY284" t="s">
        <v>356</v>
      </c>
      <c r="AZ284" t="s">
        <v>1616</v>
      </c>
      <c r="BA284" t="s">
        <v>1532</v>
      </c>
    </row>
    <row r="285" spans="1:53" ht="15" customHeight="1" x14ac:dyDescent="0.2">
      <c r="A285" t="s">
        <v>5129</v>
      </c>
      <c r="B285" t="s">
        <v>2437</v>
      </c>
      <c r="C285" t="s">
        <v>4892</v>
      </c>
      <c r="D285">
        <v>64584025</v>
      </c>
      <c r="E285" s="5">
        <v>45726</v>
      </c>
      <c r="F285" s="5">
        <v>45728.095833333333</v>
      </c>
      <c r="G285" s="4" t="s">
        <v>460</v>
      </c>
      <c r="H285" s="49">
        <v>3219658</v>
      </c>
      <c r="I285" s="49">
        <v>16883</v>
      </c>
      <c r="J285" s="50">
        <v>3202775</v>
      </c>
      <c r="K285" t="s">
        <v>2615</v>
      </c>
      <c r="L285" s="4" t="s">
        <v>461</v>
      </c>
      <c r="M285" t="s">
        <v>351</v>
      </c>
      <c r="N285" s="2">
        <v>79712469</v>
      </c>
      <c r="O285" t="s">
        <v>1618</v>
      </c>
      <c r="P285" t="s">
        <v>316</v>
      </c>
      <c r="Q285" t="s">
        <v>317</v>
      </c>
      <c r="R285">
        <v>24076395965</v>
      </c>
      <c r="S285" t="s">
        <v>319</v>
      </c>
      <c r="T285">
        <v>860007335</v>
      </c>
      <c r="U285" t="s">
        <v>381</v>
      </c>
      <c r="V285">
        <v>923211</v>
      </c>
      <c r="W285" t="s">
        <v>69</v>
      </c>
      <c r="X285" s="2" t="s">
        <v>29</v>
      </c>
      <c r="Y285" t="s">
        <v>30</v>
      </c>
      <c r="Z285" t="s">
        <v>31</v>
      </c>
      <c r="AA285" t="s">
        <v>32</v>
      </c>
      <c r="AB285" t="s">
        <v>33</v>
      </c>
      <c r="AC285" s="51">
        <v>3219658</v>
      </c>
      <c r="AD285">
        <v>0</v>
      </c>
      <c r="AE285" s="4">
        <v>0</v>
      </c>
      <c r="AF285" s="4">
        <v>0</v>
      </c>
      <c r="AG285" t="s">
        <v>462</v>
      </c>
      <c r="AH285">
        <v>0</v>
      </c>
      <c r="AI285">
        <v>0</v>
      </c>
      <c r="AJ285" s="2" t="s">
        <v>463</v>
      </c>
      <c r="AK285" s="2">
        <v>0</v>
      </c>
      <c r="AL285">
        <v>0</v>
      </c>
      <c r="AM285">
        <v>0</v>
      </c>
      <c r="AN285">
        <v>0</v>
      </c>
      <c r="AO285">
        <v>0</v>
      </c>
      <c r="AP285">
        <v>2125</v>
      </c>
      <c r="AQ285">
        <v>2125</v>
      </c>
      <c r="AR285">
        <v>22925</v>
      </c>
      <c r="AS285">
        <v>0</v>
      </c>
      <c r="AT285">
        <v>0</v>
      </c>
      <c r="AU285">
        <v>29025</v>
      </c>
      <c r="AV285">
        <v>64584025</v>
      </c>
      <c r="AW285">
        <v>0</v>
      </c>
      <c r="AX285" s="5">
        <v>45697</v>
      </c>
      <c r="AY285" t="s">
        <v>356</v>
      </c>
      <c r="AZ285" t="s">
        <v>1621</v>
      </c>
      <c r="BA285" t="s">
        <v>1532</v>
      </c>
    </row>
    <row r="286" spans="1:53" ht="15" customHeight="1" x14ac:dyDescent="0.2">
      <c r="A286" t="s">
        <v>5130</v>
      </c>
      <c r="B286" t="s">
        <v>2438</v>
      </c>
      <c r="C286" t="s">
        <v>4892</v>
      </c>
      <c r="D286">
        <v>64584125</v>
      </c>
      <c r="E286" s="5">
        <v>45726</v>
      </c>
      <c r="F286" s="5">
        <v>45728.099305555559</v>
      </c>
      <c r="G286" s="4" t="s">
        <v>460</v>
      </c>
      <c r="H286" s="49">
        <v>3219658</v>
      </c>
      <c r="I286" s="49">
        <v>16883</v>
      </c>
      <c r="J286" s="50">
        <v>3202775</v>
      </c>
      <c r="K286" t="s">
        <v>2615</v>
      </c>
      <c r="L286" s="4" t="s">
        <v>461</v>
      </c>
      <c r="M286" t="s">
        <v>351</v>
      </c>
      <c r="N286" s="2">
        <v>5916502</v>
      </c>
      <c r="O286" t="s">
        <v>1623</v>
      </c>
      <c r="P286" t="s">
        <v>316</v>
      </c>
      <c r="Q286" t="s">
        <v>317</v>
      </c>
      <c r="R286">
        <v>488437713362</v>
      </c>
      <c r="S286" t="s">
        <v>319</v>
      </c>
      <c r="T286">
        <v>860034313</v>
      </c>
      <c r="U286" t="s">
        <v>355</v>
      </c>
      <c r="V286">
        <v>923211</v>
      </c>
      <c r="W286" t="s">
        <v>69</v>
      </c>
      <c r="X286" s="2" t="s">
        <v>29</v>
      </c>
      <c r="Y286" t="s">
        <v>30</v>
      </c>
      <c r="Z286" t="s">
        <v>31</v>
      </c>
      <c r="AA286" t="s">
        <v>32</v>
      </c>
      <c r="AB286" t="s">
        <v>33</v>
      </c>
      <c r="AC286" s="51">
        <v>3219658</v>
      </c>
      <c r="AD286">
        <v>0</v>
      </c>
      <c r="AE286" s="4">
        <v>0</v>
      </c>
      <c r="AF286" s="4">
        <v>0</v>
      </c>
      <c r="AG286" t="s">
        <v>462</v>
      </c>
      <c r="AH286">
        <v>0</v>
      </c>
      <c r="AI286">
        <v>0</v>
      </c>
      <c r="AJ286" s="2" t="s">
        <v>463</v>
      </c>
      <c r="AK286" s="2">
        <v>0</v>
      </c>
      <c r="AL286">
        <v>0</v>
      </c>
      <c r="AM286">
        <v>0</v>
      </c>
      <c r="AN286">
        <v>0</v>
      </c>
      <c r="AO286">
        <v>0</v>
      </c>
      <c r="AP286">
        <v>2125</v>
      </c>
      <c r="AQ286">
        <v>2125</v>
      </c>
      <c r="AR286">
        <v>23025</v>
      </c>
      <c r="AS286">
        <v>0</v>
      </c>
      <c r="AT286">
        <v>0</v>
      </c>
      <c r="AU286">
        <v>29125</v>
      </c>
      <c r="AV286">
        <v>64584125</v>
      </c>
      <c r="AW286">
        <v>0</v>
      </c>
      <c r="AX286" s="5">
        <v>45697</v>
      </c>
      <c r="AY286" t="s">
        <v>356</v>
      </c>
      <c r="AZ286" t="s">
        <v>1625</v>
      </c>
      <c r="BA286" t="s">
        <v>1532</v>
      </c>
    </row>
    <row r="287" spans="1:53" ht="15" customHeight="1" x14ac:dyDescent="0.2">
      <c r="A287" t="s">
        <v>5131</v>
      </c>
      <c r="B287" t="s">
        <v>2439</v>
      </c>
      <c r="C287" t="s">
        <v>4892</v>
      </c>
      <c r="D287">
        <v>64584225</v>
      </c>
      <c r="E287" s="5">
        <v>45726</v>
      </c>
      <c r="F287" s="5">
        <v>45728.094444444447</v>
      </c>
      <c r="G287" s="4" t="s">
        <v>460</v>
      </c>
      <c r="H287" s="49">
        <v>3219658</v>
      </c>
      <c r="I287" s="49">
        <v>16883</v>
      </c>
      <c r="J287" s="50">
        <v>3202775</v>
      </c>
      <c r="K287" t="s">
        <v>2615</v>
      </c>
      <c r="L287" s="4" t="s">
        <v>461</v>
      </c>
      <c r="M287" t="s">
        <v>351</v>
      </c>
      <c r="N287" s="2">
        <v>3230265</v>
      </c>
      <c r="O287" t="s">
        <v>1627</v>
      </c>
      <c r="P287" t="s">
        <v>316</v>
      </c>
      <c r="Q287" t="s">
        <v>317</v>
      </c>
      <c r="R287">
        <v>7002068522</v>
      </c>
      <c r="S287" t="s">
        <v>319</v>
      </c>
      <c r="T287">
        <v>860034594</v>
      </c>
      <c r="U287" t="s">
        <v>374</v>
      </c>
      <c r="V287">
        <v>923211</v>
      </c>
      <c r="W287" t="s">
        <v>69</v>
      </c>
      <c r="X287" s="2" t="s">
        <v>29</v>
      </c>
      <c r="Y287" t="s">
        <v>30</v>
      </c>
      <c r="Z287" t="s">
        <v>31</v>
      </c>
      <c r="AA287" t="s">
        <v>32</v>
      </c>
      <c r="AB287" t="s">
        <v>33</v>
      </c>
      <c r="AC287" s="51">
        <v>3219658</v>
      </c>
      <c r="AD287">
        <v>0</v>
      </c>
      <c r="AE287" s="4">
        <v>0</v>
      </c>
      <c r="AF287" s="4">
        <v>0</v>
      </c>
      <c r="AG287" t="s">
        <v>462</v>
      </c>
      <c r="AH287">
        <v>0</v>
      </c>
      <c r="AI287">
        <v>0</v>
      </c>
      <c r="AJ287" s="2" t="s">
        <v>463</v>
      </c>
      <c r="AK287" s="2">
        <v>0</v>
      </c>
      <c r="AL287">
        <v>0</v>
      </c>
      <c r="AM287">
        <v>0</v>
      </c>
      <c r="AN287">
        <v>0</v>
      </c>
      <c r="AO287">
        <v>0</v>
      </c>
      <c r="AP287">
        <v>2125</v>
      </c>
      <c r="AQ287">
        <v>2125</v>
      </c>
      <c r="AR287">
        <v>23125</v>
      </c>
      <c r="AS287">
        <v>0</v>
      </c>
      <c r="AT287">
        <v>0</v>
      </c>
      <c r="AU287">
        <v>29225</v>
      </c>
      <c r="AV287">
        <v>64584225</v>
      </c>
      <c r="AW287">
        <v>0</v>
      </c>
      <c r="AX287" s="5">
        <v>45697</v>
      </c>
      <c r="AY287" t="s">
        <v>356</v>
      </c>
      <c r="AZ287" t="s">
        <v>1630</v>
      </c>
      <c r="BA287" t="s">
        <v>1532</v>
      </c>
    </row>
    <row r="288" spans="1:53" ht="15" customHeight="1" x14ac:dyDescent="0.2">
      <c r="A288" t="s">
        <v>5132</v>
      </c>
      <c r="B288" t="s">
        <v>2440</v>
      </c>
      <c r="C288" t="s">
        <v>4892</v>
      </c>
      <c r="D288">
        <v>64584325</v>
      </c>
      <c r="E288" s="5">
        <v>45726</v>
      </c>
      <c r="F288" s="5">
        <v>45728.095833333333</v>
      </c>
      <c r="G288" s="4" t="s">
        <v>460</v>
      </c>
      <c r="H288" s="49">
        <v>3219658</v>
      </c>
      <c r="I288" s="49">
        <v>17613</v>
      </c>
      <c r="J288" s="50">
        <v>3202045</v>
      </c>
      <c r="K288" t="s">
        <v>2615</v>
      </c>
      <c r="L288" s="4" t="s">
        <v>461</v>
      </c>
      <c r="M288" t="s">
        <v>351</v>
      </c>
      <c r="N288" s="2">
        <v>20755992</v>
      </c>
      <c r="O288" t="s">
        <v>1632</v>
      </c>
      <c r="P288" t="s">
        <v>316</v>
      </c>
      <c r="Q288" t="s">
        <v>317</v>
      </c>
      <c r="R288">
        <v>24051442110</v>
      </c>
      <c r="S288" t="s">
        <v>319</v>
      </c>
      <c r="T288">
        <v>860007335</v>
      </c>
      <c r="U288" t="s">
        <v>381</v>
      </c>
      <c r="V288">
        <v>923211</v>
      </c>
      <c r="W288" t="s">
        <v>69</v>
      </c>
      <c r="X288" s="2" t="s">
        <v>29</v>
      </c>
      <c r="Y288" t="s">
        <v>30</v>
      </c>
      <c r="Z288" t="s">
        <v>31</v>
      </c>
      <c r="AA288" t="s">
        <v>32</v>
      </c>
      <c r="AB288" t="s">
        <v>33</v>
      </c>
      <c r="AC288" s="51">
        <v>3219658</v>
      </c>
      <c r="AD288">
        <v>0</v>
      </c>
      <c r="AE288" s="4">
        <v>0</v>
      </c>
      <c r="AF288" s="4">
        <v>0</v>
      </c>
      <c r="AG288" t="s">
        <v>462</v>
      </c>
      <c r="AH288">
        <v>0</v>
      </c>
      <c r="AI288">
        <v>0</v>
      </c>
      <c r="AJ288" s="2" t="s">
        <v>463</v>
      </c>
      <c r="AK288" s="2">
        <v>0</v>
      </c>
      <c r="AL288">
        <v>0</v>
      </c>
      <c r="AM288">
        <v>0</v>
      </c>
      <c r="AN288">
        <v>0</v>
      </c>
      <c r="AO288">
        <v>0</v>
      </c>
      <c r="AP288">
        <v>2125</v>
      </c>
      <c r="AQ288">
        <v>2125</v>
      </c>
      <c r="AR288">
        <v>23225</v>
      </c>
      <c r="AS288">
        <v>0</v>
      </c>
      <c r="AT288">
        <v>0</v>
      </c>
      <c r="AU288">
        <v>29325</v>
      </c>
      <c r="AV288">
        <v>64584325</v>
      </c>
      <c r="AW288">
        <v>0</v>
      </c>
      <c r="AX288" s="5">
        <v>45697</v>
      </c>
      <c r="AY288" t="s">
        <v>356</v>
      </c>
      <c r="AZ288" t="s">
        <v>1635</v>
      </c>
      <c r="BA288" t="s">
        <v>1532</v>
      </c>
    </row>
    <row r="289" spans="1:53" ht="15" customHeight="1" x14ac:dyDescent="0.2">
      <c r="A289" t="s">
        <v>5133</v>
      </c>
      <c r="B289" t="s">
        <v>2441</v>
      </c>
      <c r="C289" t="s">
        <v>4892</v>
      </c>
      <c r="D289">
        <v>64584425</v>
      </c>
      <c r="E289" s="5">
        <v>45726</v>
      </c>
      <c r="F289" s="5">
        <v>45728.089583333334</v>
      </c>
      <c r="G289" s="4" t="s">
        <v>460</v>
      </c>
      <c r="H289" s="49">
        <v>3219658</v>
      </c>
      <c r="I289" s="49">
        <v>16883</v>
      </c>
      <c r="J289" s="50">
        <v>3202775</v>
      </c>
      <c r="K289" t="s">
        <v>2615</v>
      </c>
      <c r="L289" s="4" t="s">
        <v>461</v>
      </c>
      <c r="M289" t="s">
        <v>351</v>
      </c>
      <c r="N289" s="2">
        <v>33702053</v>
      </c>
      <c r="O289" t="s">
        <v>1637</v>
      </c>
      <c r="P289" t="s">
        <v>316</v>
      </c>
      <c r="Q289" t="s">
        <v>317</v>
      </c>
      <c r="R289">
        <v>67318748826</v>
      </c>
      <c r="S289" t="s">
        <v>319</v>
      </c>
      <c r="T289">
        <v>890903938</v>
      </c>
      <c r="U289" t="s">
        <v>342</v>
      </c>
      <c r="V289">
        <v>923211</v>
      </c>
      <c r="W289" t="s">
        <v>69</v>
      </c>
      <c r="X289" s="2" t="s">
        <v>29</v>
      </c>
      <c r="Y289" t="s">
        <v>30</v>
      </c>
      <c r="Z289" t="s">
        <v>31</v>
      </c>
      <c r="AA289" t="s">
        <v>32</v>
      </c>
      <c r="AB289" t="s">
        <v>33</v>
      </c>
      <c r="AC289" s="51">
        <v>3219658</v>
      </c>
      <c r="AD289">
        <v>0</v>
      </c>
      <c r="AE289" s="4">
        <v>0</v>
      </c>
      <c r="AF289" s="4">
        <v>0</v>
      </c>
      <c r="AG289" t="s">
        <v>462</v>
      </c>
      <c r="AH289">
        <v>0</v>
      </c>
      <c r="AI289">
        <v>0</v>
      </c>
      <c r="AJ289" s="2" t="s">
        <v>463</v>
      </c>
      <c r="AK289" s="2">
        <v>0</v>
      </c>
      <c r="AL289">
        <v>0</v>
      </c>
      <c r="AM289">
        <v>0</v>
      </c>
      <c r="AN289">
        <v>0</v>
      </c>
      <c r="AO289">
        <v>0</v>
      </c>
      <c r="AP289">
        <v>2125</v>
      </c>
      <c r="AQ289">
        <v>2125</v>
      </c>
      <c r="AR289">
        <v>23325</v>
      </c>
      <c r="AS289">
        <v>0</v>
      </c>
      <c r="AT289">
        <v>0</v>
      </c>
      <c r="AU289">
        <v>29425</v>
      </c>
      <c r="AV289">
        <v>64584425</v>
      </c>
      <c r="AW289">
        <v>0</v>
      </c>
      <c r="AX289" s="5">
        <v>45697</v>
      </c>
      <c r="AY289" t="s">
        <v>356</v>
      </c>
      <c r="AZ289" t="s">
        <v>1640</v>
      </c>
      <c r="BA289" t="s">
        <v>1532</v>
      </c>
    </row>
    <row r="290" spans="1:53" ht="15" customHeight="1" x14ac:dyDescent="0.2">
      <c r="A290" t="s">
        <v>5134</v>
      </c>
      <c r="B290" t="s">
        <v>2442</v>
      </c>
      <c r="C290" t="s">
        <v>4892</v>
      </c>
      <c r="D290">
        <v>64584525</v>
      </c>
      <c r="E290" s="5">
        <v>45726</v>
      </c>
      <c r="F290" s="5">
        <v>45728.088888888888</v>
      </c>
      <c r="G290" s="4" t="s">
        <v>460</v>
      </c>
      <c r="H290" s="49">
        <v>3219658</v>
      </c>
      <c r="I290" s="49">
        <v>16883</v>
      </c>
      <c r="J290" s="50">
        <v>3202775</v>
      </c>
      <c r="K290" t="s">
        <v>2615</v>
      </c>
      <c r="L290" s="4" t="s">
        <v>461</v>
      </c>
      <c r="M290" t="s">
        <v>351</v>
      </c>
      <c r="N290" s="2">
        <v>82390869</v>
      </c>
      <c r="O290" t="s">
        <v>1642</v>
      </c>
      <c r="P290" t="s">
        <v>316</v>
      </c>
      <c r="Q290" t="s">
        <v>317</v>
      </c>
      <c r="R290">
        <v>26457557816</v>
      </c>
      <c r="S290" t="s">
        <v>319</v>
      </c>
      <c r="T290">
        <v>890903938</v>
      </c>
      <c r="U290" t="s">
        <v>342</v>
      </c>
      <c r="V290">
        <v>923211</v>
      </c>
      <c r="W290" t="s">
        <v>69</v>
      </c>
      <c r="X290" s="2" t="s">
        <v>29</v>
      </c>
      <c r="Y290" t="s">
        <v>30</v>
      </c>
      <c r="Z290" t="s">
        <v>31</v>
      </c>
      <c r="AA290" t="s">
        <v>32</v>
      </c>
      <c r="AB290" t="s">
        <v>33</v>
      </c>
      <c r="AC290" s="51">
        <v>3219658</v>
      </c>
      <c r="AD290">
        <v>0</v>
      </c>
      <c r="AE290" s="4">
        <v>0</v>
      </c>
      <c r="AF290" s="4">
        <v>0</v>
      </c>
      <c r="AG290" t="s">
        <v>462</v>
      </c>
      <c r="AH290">
        <v>0</v>
      </c>
      <c r="AI290">
        <v>0</v>
      </c>
      <c r="AJ290" s="2" t="s">
        <v>463</v>
      </c>
      <c r="AK290" s="2">
        <v>0</v>
      </c>
      <c r="AL290">
        <v>0</v>
      </c>
      <c r="AM290">
        <v>0</v>
      </c>
      <c r="AN290">
        <v>0</v>
      </c>
      <c r="AO290">
        <v>0</v>
      </c>
      <c r="AP290">
        <v>2125</v>
      </c>
      <c r="AQ290">
        <v>2125</v>
      </c>
      <c r="AR290">
        <v>23425</v>
      </c>
      <c r="AS290">
        <v>0</v>
      </c>
      <c r="AT290">
        <v>0</v>
      </c>
      <c r="AU290">
        <v>29525</v>
      </c>
      <c r="AV290">
        <v>64584525</v>
      </c>
      <c r="AW290">
        <v>0</v>
      </c>
      <c r="AX290" s="5">
        <v>45697</v>
      </c>
      <c r="AY290" t="s">
        <v>356</v>
      </c>
      <c r="AZ290" t="s">
        <v>1645</v>
      </c>
      <c r="BA290" t="s">
        <v>1532</v>
      </c>
    </row>
    <row r="291" spans="1:53" ht="15" customHeight="1" x14ac:dyDescent="0.2">
      <c r="A291" t="s">
        <v>5135</v>
      </c>
      <c r="B291" t="s">
        <v>2443</v>
      </c>
      <c r="C291" t="s">
        <v>4892</v>
      </c>
      <c r="D291">
        <v>64584625</v>
      </c>
      <c r="E291" s="5">
        <v>45726</v>
      </c>
      <c r="F291" s="5">
        <v>45728.099305555559</v>
      </c>
      <c r="G291" s="4" t="s">
        <v>460</v>
      </c>
      <c r="H291" s="49">
        <v>3219658</v>
      </c>
      <c r="I291" s="49">
        <v>16883</v>
      </c>
      <c r="J291" s="50">
        <v>3202775</v>
      </c>
      <c r="K291" t="s">
        <v>2615</v>
      </c>
      <c r="L291" s="4" t="s">
        <v>461</v>
      </c>
      <c r="M291" t="s">
        <v>351</v>
      </c>
      <c r="N291" s="2">
        <v>82395377</v>
      </c>
      <c r="O291" t="s">
        <v>1647</v>
      </c>
      <c r="P291" t="s">
        <v>316</v>
      </c>
      <c r="Q291" t="s">
        <v>317</v>
      </c>
      <c r="R291">
        <v>466870056648</v>
      </c>
      <c r="S291" t="s">
        <v>319</v>
      </c>
      <c r="T291">
        <v>860034313</v>
      </c>
      <c r="U291" t="s">
        <v>355</v>
      </c>
      <c r="V291">
        <v>923211</v>
      </c>
      <c r="W291" t="s">
        <v>69</v>
      </c>
      <c r="X291" s="2" t="s">
        <v>29</v>
      </c>
      <c r="Y291" t="s">
        <v>30</v>
      </c>
      <c r="Z291" t="s">
        <v>31</v>
      </c>
      <c r="AA291" t="s">
        <v>32</v>
      </c>
      <c r="AB291" t="s">
        <v>33</v>
      </c>
      <c r="AC291" s="51">
        <v>3219658</v>
      </c>
      <c r="AD291">
        <v>0</v>
      </c>
      <c r="AE291" s="4">
        <v>0</v>
      </c>
      <c r="AF291" s="4">
        <v>0</v>
      </c>
      <c r="AG291" t="s">
        <v>462</v>
      </c>
      <c r="AH291">
        <v>0</v>
      </c>
      <c r="AI291">
        <v>0</v>
      </c>
      <c r="AJ291" s="2" t="s">
        <v>463</v>
      </c>
      <c r="AK291" s="2">
        <v>0</v>
      </c>
      <c r="AL291">
        <v>0</v>
      </c>
      <c r="AM291">
        <v>0</v>
      </c>
      <c r="AN291">
        <v>0</v>
      </c>
      <c r="AO291">
        <v>0</v>
      </c>
      <c r="AP291">
        <v>2125</v>
      </c>
      <c r="AQ291">
        <v>2125</v>
      </c>
      <c r="AR291">
        <v>23525</v>
      </c>
      <c r="AS291">
        <v>0</v>
      </c>
      <c r="AT291">
        <v>0</v>
      </c>
      <c r="AU291">
        <v>29625</v>
      </c>
      <c r="AV291">
        <v>64584625</v>
      </c>
      <c r="AW291">
        <v>0</v>
      </c>
      <c r="AX291" s="5">
        <v>45697</v>
      </c>
      <c r="AY291" t="s">
        <v>356</v>
      </c>
      <c r="AZ291" t="s">
        <v>1650</v>
      </c>
      <c r="BA291" t="s">
        <v>1532</v>
      </c>
    </row>
    <row r="292" spans="1:53" ht="15" customHeight="1" x14ac:dyDescent="0.2">
      <c r="A292" t="s">
        <v>5136</v>
      </c>
      <c r="B292" t="s">
        <v>2445</v>
      </c>
      <c r="C292" t="s">
        <v>4892</v>
      </c>
      <c r="D292">
        <v>64584725</v>
      </c>
      <c r="E292" s="5">
        <v>45726</v>
      </c>
      <c r="F292" s="5">
        <v>45728.09652777778</v>
      </c>
      <c r="G292" s="4" t="s">
        <v>460</v>
      </c>
      <c r="H292" s="49">
        <v>3219658</v>
      </c>
      <c r="I292" s="49">
        <v>16883</v>
      </c>
      <c r="J292" s="50">
        <v>3202775</v>
      </c>
      <c r="K292" t="s">
        <v>2615</v>
      </c>
      <c r="L292" s="4" t="s">
        <v>461</v>
      </c>
      <c r="M292" t="s">
        <v>351</v>
      </c>
      <c r="N292" s="2">
        <v>91285312</v>
      </c>
      <c r="O292" t="s">
        <v>1656</v>
      </c>
      <c r="P292" t="s">
        <v>316</v>
      </c>
      <c r="Q292" t="s">
        <v>317</v>
      </c>
      <c r="R292">
        <v>666009956</v>
      </c>
      <c r="S292" t="s">
        <v>319</v>
      </c>
      <c r="T292">
        <v>860035827</v>
      </c>
      <c r="U292" t="s">
        <v>653</v>
      </c>
      <c r="V292">
        <v>923211</v>
      </c>
      <c r="W292" t="s">
        <v>69</v>
      </c>
      <c r="X292" s="2" t="s">
        <v>29</v>
      </c>
      <c r="Y292" t="s">
        <v>30</v>
      </c>
      <c r="Z292" t="s">
        <v>31</v>
      </c>
      <c r="AA292" t="s">
        <v>32</v>
      </c>
      <c r="AB292" t="s">
        <v>33</v>
      </c>
      <c r="AC292" s="51">
        <v>3219658</v>
      </c>
      <c r="AD292">
        <v>0</v>
      </c>
      <c r="AE292" s="4">
        <v>0</v>
      </c>
      <c r="AF292" s="4">
        <v>0</v>
      </c>
      <c r="AG292" t="s">
        <v>462</v>
      </c>
      <c r="AH292">
        <v>0</v>
      </c>
      <c r="AI292">
        <v>0</v>
      </c>
      <c r="AJ292" s="2" t="s">
        <v>463</v>
      </c>
      <c r="AK292" s="2">
        <v>0</v>
      </c>
      <c r="AL292">
        <v>0</v>
      </c>
      <c r="AM292">
        <v>0</v>
      </c>
      <c r="AN292">
        <v>0</v>
      </c>
      <c r="AO292">
        <v>0</v>
      </c>
      <c r="AP292">
        <v>2125</v>
      </c>
      <c r="AQ292">
        <v>2125</v>
      </c>
      <c r="AR292">
        <v>23725</v>
      </c>
      <c r="AS292">
        <v>0</v>
      </c>
      <c r="AT292">
        <v>0</v>
      </c>
      <c r="AU292">
        <v>29825</v>
      </c>
      <c r="AV292">
        <v>64584725</v>
      </c>
      <c r="AW292">
        <v>0</v>
      </c>
      <c r="AX292" s="5">
        <v>45697</v>
      </c>
      <c r="AY292" t="s">
        <v>356</v>
      </c>
      <c r="AZ292" t="s">
        <v>1659</v>
      </c>
      <c r="BA292" t="s">
        <v>1532</v>
      </c>
    </row>
    <row r="293" spans="1:53" ht="15" customHeight="1" x14ac:dyDescent="0.2">
      <c r="A293" t="s">
        <v>5137</v>
      </c>
      <c r="B293" t="s">
        <v>2446</v>
      </c>
      <c r="C293" t="s">
        <v>4892</v>
      </c>
      <c r="D293">
        <v>64584825</v>
      </c>
      <c r="E293" s="5">
        <v>45726</v>
      </c>
      <c r="F293" s="5">
        <v>45728.099305555559</v>
      </c>
      <c r="G293" s="4" t="s">
        <v>460</v>
      </c>
      <c r="H293" s="49">
        <v>3219658</v>
      </c>
      <c r="I293" s="49">
        <v>16883</v>
      </c>
      <c r="J293" s="50">
        <v>3202775</v>
      </c>
      <c r="K293" t="s">
        <v>2615</v>
      </c>
      <c r="L293" s="4" t="s">
        <v>461</v>
      </c>
      <c r="M293" t="s">
        <v>351</v>
      </c>
      <c r="N293" s="2">
        <v>93412419</v>
      </c>
      <c r="O293" t="s">
        <v>1661</v>
      </c>
      <c r="P293" t="s">
        <v>316</v>
      </c>
      <c r="Q293" t="s">
        <v>317</v>
      </c>
      <c r="R293">
        <v>488443116824</v>
      </c>
      <c r="S293" t="s">
        <v>319</v>
      </c>
      <c r="T293">
        <v>860034313</v>
      </c>
      <c r="U293" t="s">
        <v>355</v>
      </c>
      <c r="V293">
        <v>923211</v>
      </c>
      <c r="W293" t="s">
        <v>69</v>
      </c>
      <c r="X293" s="2" t="s">
        <v>29</v>
      </c>
      <c r="Y293" t="s">
        <v>30</v>
      </c>
      <c r="Z293" t="s">
        <v>31</v>
      </c>
      <c r="AA293" t="s">
        <v>32</v>
      </c>
      <c r="AB293" t="s">
        <v>33</v>
      </c>
      <c r="AC293" s="51">
        <v>3219658</v>
      </c>
      <c r="AD293">
        <v>0</v>
      </c>
      <c r="AE293" s="4">
        <v>0</v>
      </c>
      <c r="AF293" s="4">
        <v>0</v>
      </c>
      <c r="AG293" t="s">
        <v>462</v>
      </c>
      <c r="AH293">
        <v>0</v>
      </c>
      <c r="AI293">
        <v>0</v>
      </c>
      <c r="AJ293" s="2" t="s">
        <v>463</v>
      </c>
      <c r="AK293" s="2">
        <v>0</v>
      </c>
      <c r="AL293">
        <v>0</v>
      </c>
      <c r="AM293">
        <v>0</v>
      </c>
      <c r="AN293">
        <v>0</v>
      </c>
      <c r="AO293">
        <v>0</v>
      </c>
      <c r="AP293">
        <v>2125</v>
      </c>
      <c r="AQ293">
        <v>2125</v>
      </c>
      <c r="AR293">
        <v>23825</v>
      </c>
      <c r="AS293">
        <v>0</v>
      </c>
      <c r="AT293">
        <v>0</v>
      </c>
      <c r="AU293">
        <v>29925</v>
      </c>
      <c r="AV293">
        <v>64584825</v>
      </c>
      <c r="AW293">
        <v>0</v>
      </c>
      <c r="AX293" s="5">
        <v>45697</v>
      </c>
      <c r="AY293" t="s">
        <v>356</v>
      </c>
      <c r="AZ293" t="s">
        <v>1664</v>
      </c>
      <c r="BA293" t="s">
        <v>1532</v>
      </c>
    </row>
    <row r="294" spans="1:53" ht="15" customHeight="1" x14ac:dyDescent="0.2">
      <c r="A294" t="s">
        <v>5138</v>
      </c>
      <c r="B294" t="s">
        <v>2447</v>
      </c>
      <c r="C294" t="s">
        <v>4892</v>
      </c>
      <c r="D294">
        <v>64584925</v>
      </c>
      <c r="E294" s="5">
        <v>45726</v>
      </c>
      <c r="F294" s="5">
        <v>45728.099305555559</v>
      </c>
      <c r="G294" s="4" t="s">
        <v>460</v>
      </c>
      <c r="H294" s="49">
        <v>3219658</v>
      </c>
      <c r="I294" s="49">
        <v>16883</v>
      </c>
      <c r="J294" s="50">
        <v>3202775</v>
      </c>
      <c r="K294" t="s">
        <v>2615</v>
      </c>
      <c r="L294" s="4" t="s">
        <v>461</v>
      </c>
      <c r="M294" t="s">
        <v>351</v>
      </c>
      <c r="N294" s="2">
        <v>14136095</v>
      </c>
      <c r="O294" t="s">
        <v>1666</v>
      </c>
      <c r="P294" t="s">
        <v>316</v>
      </c>
      <c r="Q294" t="s">
        <v>317</v>
      </c>
      <c r="R294">
        <v>570463570023002</v>
      </c>
      <c r="S294" t="s">
        <v>319</v>
      </c>
      <c r="T294">
        <v>860034313</v>
      </c>
      <c r="U294" t="s">
        <v>355</v>
      </c>
      <c r="V294">
        <v>923211</v>
      </c>
      <c r="W294" t="s">
        <v>69</v>
      </c>
      <c r="X294" s="2" t="s">
        <v>29</v>
      </c>
      <c r="Y294" t="s">
        <v>30</v>
      </c>
      <c r="Z294" t="s">
        <v>31</v>
      </c>
      <c r="AA294" t="s">
        <v>32</v>
      </c>
      <c r="AB294" t="s">
        <v>33</v>
      </c>
      <c r="AC294" s="51">
        <v>3219658</v>
      </c>
      <c r="AD294">
        <v>0</v>
      </c>
      <c r="AE294" s="4">
        <v>0</v>
      </c>
      <c r="AF294" s="4">
        <v>0</v>
      </c>
      <c r="AG294" t="s">
        <v>462</v>
      </c>
      <c r="AH294">
        <v>0</v>
      </c>
      <c r="AI294">
        <v>0</v>
      </c>
      <c r="AJ294" s="2" t="s">
        <v>463</v>
      </c>
      <c r="AK294" s="2">
        <v>0</v>
      </c>
      <c r="AL294">
        <v>0</v>
      </c>
      <c r="AM294">
        <v>0</v>
      </c>
      <c r="AN294">
        <v>0</v>
      </c>
      <c r="AO294">
        <v>0</v>
      </c>
      <c r="AP294">
        <v>2125</v>
      </c>
      <c r="AQ294">
        <v>2125</v>
      </c>
      <c r="AR294">
        <v>23925</v>
      </c>
      <c r="AS294">
        <v>0</v>
      </c>
      <c r="AT294">
        <v>0</v>
      </c>
      <c r="AU294">
        <v>30025</v>
      </c>
      <c r="AV294">
        <v>64584925</v>
      </c>
      <c r="AW294">
        <v>0</v>
      </c>
      <c r="AX294" s="5">
        <v>45697</v>
      </c>
      <c r="AY294" t="s">
        <v>356</v>
      </c>
      <c r="AZ294" t="s">
        <v>1669</v>
      </c>
      <c r="BA294" t="s">
        <v>1670</v>
      </c>
    </row>
    <row r="295" spans="1:53" ht="15" customHeight="1" x14ac:dyDescent="0.2">
      <c r="A295" t="s">
        <v>5139</v>
      </c>
      <c r="B295" t="s">
        <v>2448</v>
      </c>
      <c r="C295" t="s">
        <v>4892</v>
      </c>
      <c r="D295">
        <v>64585025</v>
      </c>
      <c r="E295" s="5">
        <v>45726</v>
      </c>
      <c r="F295" s="5">
        <v>45728.088888888888</v>
      </c>
      <c r="G295" s="4" t="s">
        <v>460</v>
      </c>
      <c r="H295" s="49">
        <v>3219658</v>
      </c>
      <c r="I295" s="49">
        <v>18250</v>
      </c>
      <c r="J295" s="50">
        <v>3201408</v>
      </c>
      <c r="K295" t="s">
        <v>2615</v>
      </c>
      <c r="L295" s="4" t="s">
        <v>461</v>
      </c>
      <c r="M295" t="s">
        <v>351</v>
      </c>
      <c r="N295" s="2">
        <v>19281696</v>
      </c>
      <c r="O295" t="s">
        <v>1672</v>
      </c>
      <c r="P295" t="s">
        <v>316</v>
      </c>
      <c r="Q295" t="s">
        <v>317</v>
      </c>
      <c r="R295">
        <v>26458194113</v>
      </c>
      <c r="S295" t="s">
        <v>319</v>
      </c>
      <c r="T295">
        <v>890903938</v>
      </c>
      <c r="U295" t="s">
        <v>342</v>
      </c>
      <c r="V295">
        <v>923211</v>
      </c>
      <c r="W295" t="s">
        <v>69</v>
      </c>
      <c r="X295" s="2" t="s">
        <v>29</v>
      </c>
      <c r="Y295" t="s">
        <v>30</v>
      </c>
      <c r="Z295" t="s">
        <v>31</v>
      </c>
      <c r="AA295" t="s">
        <v>32</v>
      </c>
      <c r="AB295" t="s">
        <v>33</v>
      </c>
      <c r="AC295" s="51">
        <v>3219658</v>
      </c>
      <c r="AD295">
        <v>0</v>
      </c>
      <c r="AE295" s="4">
        <v>0</v>
      </c>
      <c r="AF295" s="4">
        <v>0</v>
      </c>
      <c r="AG295" t="s">
        <v>462</v>
      </c>
      <c r="AH295">
        <v>0</v>
      </c>
      <c r="AI295">
        <v>0</v>
      </c>
      <c r="AJ295" s="2" t="s">
        <v>463</v>
      </c>
      <c r="AK295" s="2">
        <v>0</v>
      </c>
      <c r="AL295">
        <v>0</v>
      </c>
      <c r="AM295">
        <v>0</v>
      </c>
      <c r="AN295">
        <v>0</v>
      </c>
      <c r="AO295">
        <v>0</v>
      </c>
      <c r="AP295">
        <v>2125</v>
      </c>
      <c r="AQ295">
        <v>2125</v>
      </c>
      <c r="AR295">
        <v>24025</v>
      </c>
      <c r="AS295">
        <v>0</v>
      </c>
      <c r="AT295">
        <v>0</v>
      </c>
      <c r="AU295">
        <v>30125</v>
      </c>
      <c r="AV295">
        <v>64585025</v>
      </c>
      <c r="AW295">
        <v>0</v>
      </c>
      <c r="AX295" s="5">
        <v>45697</v>
      </c>
      <c r="AY295" t="s">
        <v>356</v>
      </c>
      <c r="AZ295" t="s">
        <v>1675</v>
      </c>
      <c r="BA295" t="s">
        <v>1532</v>
      </c>
    </row>
    <row r="296" spans="1:53" ht="15" customHeight="1" x14ac:dyDescent="0.2">
      <c r="A296" t="s">
        <v>5140</v>
      </c>
      <c r="B296" t="s">
        <v>2449</v>
      </c>
      <c r="C296" t="s">
        <v>4892</v>
      </c>
      <c r="D296">
        <v>64585125</v>
      </c>
      <c r="E296" s="5">
        <v>45726</v>
      </c>
      <c r="F296" s="5">
        <v>45728.089583333334</v>
      </c>
      <c r="G296" s="4" t="s">
        <v>460</v>
      </c>
      <c r="H296" s="49">
        <v>3219658</v>
      </c>
      <c r="I296" s="49">
        <v>16883</v>
      </c>
      <c r="J296" s="50">
        <v>3202775</v>
      </c>
      <c r="K296" t="s">
        <v>2615</v>
      </c>
      <c r="L296" s="4" t="s">
        <v>461</v>
      </c>
      <c r="M296" t="s">
        <v>351</v>
      </c>
      <c r="N296" s="2">
        <v>79051081</v>
      </c>
      <c r="O296" t="s">
        <v>1677</v>
      </c>
      <c r="P296" t="s">
        <v>316</v>
      </c>
      <c r="Q296" t="s">
        <v>317</v>
      </c>
      <c r="R296">
        <v>94576831441</v>
      </c>
      <c r="S296" t="s">
        <v>319</v>
      </c>
      <c r="T296">
        <v>890903938</v>
      </c>
      <c r="U296" t="s">
        <v>342</v>
      </c>
      <c r="V296">
        <v>923211</v>
      </c>
      <c r="W296" t="s">
        <v>69</v>
      </c>
      <c r="X296" s="2" t="s">
        <v>29</v>
      </c>
      <c r="Y296" t="s">
        <v>30</v>
      </c>
      <c r="Z296" t="s">
        <v>31</v>
      </c>
      <c r="AA296" t="s">
        <v>32</v>
      </c>
      <c r="AB296" t="s">
        <v>33</v>
      </c>
      <c r="AC296" s="51">
        <v>3219658</v>
      </c>
      <c r="AD296">
        <v>0</v>
      </c>
      <c r="AE296" s="4">
        <v>0</v>
      </c>
      <c r="AF296" s="4">
        <v>0</v>
      </c>
      <c r="AG296" t="s">
        <v>462</v>
      </c>
      <c r="AH296">
        <v>0</v>
      </c>
      <c r="AI296">
        <v>0</v>
      </c>
      <c r="AJ296" s="2" t="s">
        <v>463</v>
      </c>
      <c r="AK296" s="2">
        <v>0</v>
      </c>
      <c r="AL296">
        <v>0</v>
      </c>
      <c r="AM296">
        <v>0</v>
      </c>
      <c r="AN296">
        <v>0</v>
      </c>
      <c r="AO296">
        <v>0</v>
      </c>
      <c r="AP296">
        <v>2125</v>
      </c>
      <c r="AQ296">
        <v>2125</v>
      </c>
      <c r="AR296">
        <v>24125</v>
      </c>
      <c r="AS296">
        <v>0</v>
      </c>
      <c r="AT296">
        <v>0</v>
      </c>
      <c r="AU296">
        <v>30225</v>
      </c>
      <c r="AV296">
        <v>64585125</v>
      </c>
      <c r="AW296">
        <v>0</v>
      </c>
      <c r="AX296" s="5">
        <v>45697</v>
      </c>
      <c r="AY296" t="s">
        <v>356</v>
      </c>
      <c r="AZ296" t="s">
        <v>1680</v>
      </c>
      <c r="BA296" t="s">
        <v>1532</v>
      </c>
    </row>
    <row r="297" spans="1:53" ht="15" customHeight="1" x14ac:dyDescent="0.2">
      <c r="A297" t="s">
        <v>5141</v>
      </c>
      <c r="B297" t="s">
        <v>2450</v>
      </c>
      <c r="C297" t="s">
        <v>4892</v>
      </c>
      <c r="D297">
        <v>64585225</v>
      </c>
      <c r="E297" s="5">
        <v>45726</v>
      </c>
      <c r="F297" s="5">
        <v>45728.095833333333</v>
      </c>
      <c r="G297" s="4" t="s">
        <v>460</v>
      </c>
      <c r="H297" s="49">
        <v>3219658</v>
      </c>
      <c r="I297" s="49">
        <v>16883</v>
      </c>
      <c r="J297" s="50">
        <v>3202775</v>
      </c>
      <c r="K297" t="s">
        <v>2615</v>
      </c>
      <c r="L297" s="4" t="s">
        <v>461</v>
      </c>
      <c r="M297" t="s">
        <v>351</v>
      </c>
      <c r="N297" s="2">
        <v>79876770</v>
      </c>
      <c r="O297" t="s">
        <v>1682</v>
      </c>
      <c r="P297" t="s">
        <v>316</v>
      </c>
      <c r="Q297" t="s">
        <v>317</v>
      </c>
      <c r="R297">
        <v>24088387222</v>
      </c>
      <c r="S297" t="s">
        <v>319</v>
      </c>
      <c r="T297">
        <v>860007335</v>
      </c>
      <c r="U297" t="s">
        <v>381</v>
      </c>
      <c r="V297">
        <v>923211</v>
      </c>
      <c r="W297" t="s">
        <v>69</v>
      </c>
      <c r="X297" s="2" t="s">
        <v>29</v>
      </c>
      <c r="Y297" t="s">
        <v>30</v>
      </c>
      <c r="Z297" t="s">
        <v>31</v>
      </c>
      <c r="AA297" t="s">
        <v>32</v>
      </c>
      <c r="AB297" t="s">
        <v>33</v>
      </c>
      <c r="AC297" s="51">
        <v>3219658</v>
      </c>
      <c r="AD297">
        <v>0</v>
      </c>
      <c r="AE297" s="4">
        <v>0</v>
      </c>
      <c r="AF297" s="4">
        <v>0</v>
      </c>
      <c r="AG297" t="s">
        <v>462</v>
      </c>
      <c r="AH297">
        <v>0</v>
      </c>
      <c r="AI297">
        <v>0</v>
      </c>
      <c r="AJ297" s="2" t="s">
        <v>463</v>
      </c>
      <c r="AK297" s="2">
        <v>0</v>
      </c>
      <c r="AL297">
        <v>0</v>
      </c>
      <c r="AM297">
        <v>0</v>
      </c>
      <c r="AN297">
        <v>0</v>
      </c>
      <c r="AO297">
        <v>0</v>
      </c>
      <c r="AP297">
        <v>2125</v>
      </c>
      <c r="AQ297">
        <v>2125</v>
      </c>
      <c r="AR297">
        <v>24225</v>
      </c>
      <c r="AS297">
        <v>0</v>
      </c>
      <c r="AT297">
        <v>0</v>
      </c>
      <c r="AU297">
        <v>30325</v>
      </c>
      <c r="AV297">
        <v>64585225</v>
      </c>
      <c r="AW297">
        <v>0</v>
      </c>
      <c r="AX297" s="5">
        <v>45697</v>
      </c>
      <c r="AY297" t="s">
        <v>356</v>
      </c>
      <c r="AZ297" t="s">
        <v>1685</v>
      </c>
      <c r="BA297" t="s">
        <v>1532</v>
      </c>
    </row>
    <row r="298" spans="1:53" ht="15" customHeight="1" x14ac:dyDescent="0.2">
      <c r="A298" t="s">
        <v>5142</v>
      </c>
      <c r="B298" t="s">
        <v>2451</v>
      </c>
      <c r="C298" t="s">
        <v>4877</v>
      </c>
      <c r="D298">
        <v>64585325</v>
      </c>
      <c r="E298" s="5">
        <v>45726</v>
      </c>
      <c r="F298" s="5">
        <v>45728.088888888888</v>
      </c>
      <c r="G298" s="4" t="s">
        <v>460</v>
      </c>
      <c r="H298" s="49">
        <v>3219658</v>
      </c>
      <c r="I298" s="49">
        <v>16883</v>
      </c>
      <c r="J298" s="50">
        <v>3202775</v>
      </c>
      <c r="K298" t="s">
        <v>2615</v>
      </c>
      <c r="L298" s="4" t="s">
        <v>461</v>
      </c>
      <c r="M298" t="s">
        <v>351</v>
      </c>
      <c r="N298" s="2">
        <v>11257178</v>
      </c>
      <c r="O298" t="s">
        <v>1687</v>
      </c>
      <c r="P298" t="s">
        <v>316</v>
      </c>
      <c r="Q298" t="s">
        <v>317</v>
      </c>
      <c r="R298">
        <v>26430709061</v>
      </c>
      <c r="S298" t="s">
        <v>319</v>
      </c>
      <c r="T298">
        <v>890903938</v>
      </c>
      <c r="U298" t="s">
        <v>342</v>
      </c>
      <c r="V298">
        <v>923238</v>
      </c>
      <c r="W298" t="s">
        <v>569</v>
      </c>
      <c r="X298" s="2" t="s">
        <v>29</v>
      </c>
      <c r="Y298" t="s">
        <v>30</v>
      </c>
      <c r="Z298" t="s">
        <v>31</v>
      </c>
      <c r="AA298" t="s">
        <v>32</v>
      </c>
      <c r="AB298" t="s">
        <v>33</v>
      </c>
      <c r="AC298" s="51">
        <v>3219658</v>
      </c>
      <c r="AD298">
        <v>0</v>
      </c>
      <c r="AE298" s="4">
        <v>0</v>
      </c>
      <c r="AF298" s="4">
        <v>0</v>
      </c>
      <c r="AG298" t="s">
        <v>462</v>
      </c>
      <c r="AH298">
        <v>0</v>
      </c>
      <c r="AI298">
        <v>0</v>
      </c>
      <c r="AJ298" s="2" t="s">
        <v>463</v>
      </c>
      <c r="AK298" s="2">
        <v>0</v>
      </c>
      <c r="AL298">
        <v>0</v>
      </c>
      <c r="AM298">
        <v>0</v>
      </c>
      <c r="AN298">
        <v>0</v>
      </c>
      <c r="AO298">
        <v>0</v>
      </c>
      <c r="AP298">
        <v>125</v>
      </c>
      <c r="AQ298">
        <v>125</v>
      </c>
      <c r="AR298">
        <v>24325</v>
      </c>
      <c r="AS298">
        <v>0</v>
      </c>
      <c r="AT298">
        <v>0</v>
      </c>
      <c r="AU298">
        <v>30425</v>
      </c>
      <c r="AV298">
        <v>64585325</v>
      </c>
      <c r="AW298">
        <v>0</v>
      </c>
      <c r="AX298" s="5">
        <v>45697</v>
      </c>
      <c r="AY298" t="s">
        <v>356</v>
      </c>
      <c r="AZ298" t="s">
        <v>1690</v>
      </c>
      <c r="BA298" t="s">
        <v>742</v>
      </c>
    </row>
    <row r="299" spans="1:53" ht="15" customHeight="1" x14ac:dyDescent="0.2">
      <c r="A299" t="s">
        <v>5143</v>
      </c>
      <c r="B299" t="s">
        <v>2452</v>
      </c>
      <c r="C299" t="s">
        <v>4877</v>
      </c>
      <c r="D299">
        <v>64585425</v>
      </c>
      <c r="E299" s="5">
        <v>45726</v>
      </c>
      <c r="F299" s="5">
        <v>45728.09375</v>
      </c>
      <c r="G299" s="4" t="s">
        <v>460</v>
      </c>
      <c r="H299" s="49">
        <v>3219658</v>
      </c>
      <c r="I299" s="49">
        <v>16883</v>
      </c>
      <c r="J299" s="50">
        <v>3202775</v>
      </c>
      <c r="K299" t="s">
        <v>2615</v>
      </c>
      <c r="L299" s="4" t="s">
        <v>461</v>
      </c>
      <c r="M299" t="s">
        <v>351</v>
      </c>
      <c r="N299" s="2">
        <v>82395365</v>
      </c>
      <c r="O299" t="s">
        <v>1692</v>
      </c>
      <c r="P299" t="s">
        <v>316</v>
      </c>
      <c r="Q299" t="s">
        <v>317</v>
      </c>
      <c r="R299">
        <v>378341564</v>
      </c>
      <c r="S299" t="s">
        <v>319</v>
      </c>
      <c r="T299">
        <v>860003020</v>
      </c>
      <c r="U299" t="s">
        <v>393</v>
      </c>
      <c r="V299">
        <v>923238</v>
      </c>
      <c r="W299" t="s">
        <v>569</v>
      </c>
      <c r="X299" s="2" t="s">
        <v>29</v>
      </c>
      <c r="Y299" t="s">
        <v>30</v>
      </c>
      <c r="Z299" t="s">
        <v>31</v>
      </c>
      <c r="AA299" t="s">
        <v>32</v>
      </c>
      <c r="AB299" t="s">
        <v>33</v>
      </c>
      <c r="AC299" s="51">
        <v>3219658</v>
      </c>
      <c r="AD299">
        <v>0</v>
      </c>
      <c r="AE299" s="4">
        <v>0</v>
      </c>
      <c r="AF299" s="4">
        <v>0</v>
      </c>
      <c r="AG299" t="s">
        <v>462</v>
      </c>
      <c r="AH299">
        <v>0</v>
      </c>
      <c r="AI299">
        <v>0</v>
      </c>
      <c r="AJ299" s="2" t="s">
        <v>463</v>
      </c>
      <c r="AK299" s="2">
        <v>0</v>
      </c>
      <c r="AL299">
        <v>0</v>
      </c>
      <c r="AM299">
        <v>0</v>
      </c>
      <c r="AN299">
        <v>0</v>
      </c>
      <c r="AO299">
        <v>0</v>
      </c>
      <c r="AP299">
        <v>125</v>
      </c>
      <c r="AQ299">
        <v>125</v>
      </c>
      <c r="AR299">
        <v>24425</v>
      </c>
      <c r="AS299">
        <v>0</v>
      </c>
      <c r="AT299">
        <v>0</v>
      </c>
      <c r="AU299">
        <v>30525</v>
      </c>
      <c r="AV299">
        <v>64585425</v>
      </c>
      <c r="AW299">
        <v>0</v>
      </c>
      <c r="AX299" s="5">
        <v>45697</v>
      </c>
      <c r="AY299" t="s">
        <v>356</v>
      </c>
      <c r="AZ299" t="s">
        <v>1695</v>
      </c>
      <c r="BA299" t="s">
        <v>742</v>
      </c>
    </row>
    <row r="300" spans="1:53" ht="15" customHeight="1" x14ac:dyDescent="0.2">
      <c r="A300" t="s">
        <v>5144</v>
      </c>
      <c r="B300" t="s">
        <v>2453</v>
      </c>
      <c r="C300" t="s">
        <v>4877</v>
      </c>
      <c r="D300">
        <v>64585525</v>
      </c>
      <c r="E300" s="5">
        <v>45726</v>
      </c>
      <c r="F300" s="5">
        <v>45728.095833333333</v>
      </c>
      <c r="G300" s="4" t="s">
        <v>460</v>
      </c>
      <c r="H300" s="49">
        <v>3219658</v>
      </c>
      <c r="I300" s="49">
        <v>16883</v>
      </c>
      <c r="J300" s="50">
        <v>3202775</v>
      </c>
      <c r="K300" t="s">
        <v>2615</v>
      </c>
      <c r="L300" s="4" t="s">
        <v>461</v>
      </c>
      <c r="M300" t="s">
        <v>351</v>
      </c>
      <c r="N300" s="2">
        <v>79703448</v>
      </c>
      <c r="O300" t="s">
        <v>1697</v>
      </c>
      <c r="P300" t="s">
        <v>316</v>
      </c>
      <c r="Q300" t="s">
        <v>317</v>
      </c>
      <c r="R300">
        <v>24091399973</v>
      </c>
      <c r="S300" t="s">
        <v>319</v>
      </c>
      <c r="T300">
        <v>860007335</v>
      </c>
      <c r="U300" t="s">
        <v>381</v>
      </c>
      <c r="V300">
        <v>923238</v>
      </c>
      <c r="W300" t="s">
        <v>569</v>
      </c>
      <c r="X300" s="2" t="s">
        <v>29</v>
      </c>
      <c r="Y300" t="s">
        <v>30</v>
      </c>
      <c r="Z300" t="s">
        <v>31</v>
      </c>
      <c r="AA300" t="s">
        <v>32</v>
      </c>
      <c r="AB300" t="s">
        <v>33</v>
      </c>
      <c r="AC300" s="51">
        <v>3219658</v>
      </c>
      <c r="AD300">
        <v>0</v>
      </c>
      <c r="AE300" s="4">
        <v>0</v>
      </c>
      <c r="AF300" s="4">
        <v>0</v>
      </c>
      <c r="AG300" t="s">
        <v>462</v>
      </c>
      <c r="AH300">
        <v>0</v>
      </c>
      <c r="AI300">
        <v>0</v>
      </c>
      <c r="AJ300" s="2" t="s">
        <v>463</v>
      </c>
      <c r="AK300" s="2">
        <v>0</v>
      </c>
      <c r="AL300">
        <v>0</v>
      </c>
      <c r="AM300">
        <v>0</v>
      </c>
      <c r="AN300">
        <v>0</v>
      </c>
      <c r="AO300">
        <v>0</v>
      </c>
      <c r="AP300">
        <v>125</v>
      </c>
      <c r="AQ300">
        <v>125</v>
      </c>
      <c r="AR300">
        <v>24525</v>
      </c>
      <c r="AS300">
        <v>0</v>
      </c>
      <c r="AT300">
        <v>0</v>
      </c>
      <c r="AU300">
        <v>30625</v>
      </c>
      <c r="AV300">
        <v>64585525</v>
      </c>
      <c r="AW300">
        <v>0</v>
      </c>
      <c r="AX300" s="5">
        <v>45697</v>
      </c>
      <c r="AY300" t="s">
        <v>356</v>
      </c>
      <c r="AZ300" t="s">
        <v>1700</v>
      </c>
      <c r="BA300" t="s">
        <v>742</v>
      </c>
    </row>
    <row r="301" spans="1:53" ht="15" customHeight="1" x14ac:dyDescent="0.2">
      <c r="A301" t="s">
        <v>5145</v>
      </c>
      <c r="B301" t="s">
        <v>2454</v>
      </c>
      <c r="C301" t="s">
        <v>4877</v>
      </c>
      <c r="D301">
        <v>64585625</v>
      </c>
      <c r="E301" s="5">
        <v>45726</v>
      </c>
      <c r="F301" s="5">
        <v>45728.084027777775</v>
      </c>
      <c r="G301" s="4" t="s">
        <v>460</v>
      </c>
      <c r="H301" s="49">
        <v>3219658</v>
      </c>
      <c r="I301" s="49">
        <v>16883</v>
      </c>
      <c r="J301" s="50">
        <v>3202775</v>
      </c>
      <c r="K301" t="s">
        <v>2615</v>
      </c>
      <c r="L301" s="4" t="s">
        <v>461</v>
      </c>
      <c r="M301" t="s">
        <v>351</v>
      </c>
      <c r="N301" s="2">
        <v>1052381667</v>
      </c>
      <c r="O301" t="s">
        <v>1702</v>
      </c>
      <c r="P301" t="s">
        <v>316</v>
      </c>
      <c r="Q301" t="s">
        <v>317</v>
      </c>
      <c r="R301">
        <v>500802182095</v>
      </c>
      <c r="S301" t="s">
        <v>319</v>
      </c>
      <c r="T301">
        <v>860007738</v>
      </c>
      <c r="U301" t="s">
        <v>784</v>
      </c>
      <c r="V301">
        <v>923238</v>
      </c>
      <c r="W301" t="s">
        <v>569</v>
      </c>
      <c r="X301" s="2" t="s">
        <v>29</v>
      </c>
      <c r="Y301" t="s">
        <v>30</v>
      </c>
      <c r="Z301" t="s">
        <v>31</v>
      </c>
      <c r="AA301" t="s">
        <v>32</v>
      </c>
      <c r="AB301" t="s">
        <v>33</v>
      </c>
      <c r="AC301" s="51">
        <v>3219658</v>
      </c>
      <c r="AD301">
        <v>0</v>
      </c>
      <c r="AE301" s="4">
        <v>0</v>
      </c>
      <c r="AF301" s="4">
        <v>0</v>
      </c>
      <c r="AG301" t="s">
        <v>462</v>
      </c>
      <c r="AH301">
        <v>0</v>
      </c>
      <c r="AI301">
        <v>0</v>
      </c>
      <c r="AJ301" s="2" t="s">
        <v>463</v>
      </c>
      <c r="AK301" s="2">
        <v>0</v>
      </c>
      <c r="AL301">
        <v>0</v>
      </c>
      <c r="AM301">
        <v>0</v>
      </c>
      <c r="AN301">
        <v>0</v>
      </c>
      <c r="AO301">
        <v>0</v>
      </c>
      <c r="AP301">
        <v>125</v>
      </c>
      <c r="AQ301">
        <v>125</v>
      </c>
      <c r="AR301">
        <v>24625</v>
      </c>
      <c r="AS301">
        <v>0</v>
      </c>
      <c r="AT301">
        <v>0</v>
      </c>
      <c r="AU301">
        <v>30725</v>
      </c>
      <c r="AV301">
        <v>64585625</v>
      </c>
      <c r="AW301">
        <v>0</v>
      </c>
      <c r="AX301" s="5">
        <v>45697</v>
      </c>
      <c r="AY301" t="s">
        <v>356</v>
      </c>
      <c r="AZ301" t="s">
        <v>1705</v>
      </c>
      <c r="BA301" t="s">
        <v>742</v>
      </c>
    </row>
    <row r="302" spans="1:53" ht="15" customHeight="1" x14ac:dyDescent="0.2">
      <c r="A302" t="s">
        <v>5146</v>
      </c>
      <c r="B302" t="s">
        <v>2456</v>
      </c>
      <c r="C302" t="s">
        <v>4877</v>
      </c>
      <c r="D302">
        <v>64599325</v>
      </c>
      <c r="E302" s="5">
        <v>45726</v>
      </c>
      <c r="F302" s="5">
        <v>45728.099305555559</v>
      </c>
      <c r="G302" s="4" t="s">
        <v>460</v>
      </c>
      <c r="H302" s="49">
        <v>3219658</v>
      </c>
      <c r="I302" s="49">
        <v>16883</v>
      </c>
      <c r="J302" s="50">
        <v>3202775</v>
      </c>
      <c r="K302" t="s">
        <v>2615</v>
      </c>
      <c r="L302" s="4" t="s">
        <v>461</v>
      </c>
      <c r="M302" t="s">
        <v>351</v>
      </c>
      <c r="N302" s="2">
        <v>79592386</v>
      </c>
      <c r="O302" t="s">
        <v>1710</v>
      </c>
      <c r="P302" t="s">
        <v>316</v>
      </c>
      <c r="Q302" t="s">
        <v>317</v>
      </c>
      <c r="R302">
        <v>473870032165</v>
      </c>
      <c r="S302" t="s">
        <v>319</v>
      </c>
      <c r="T302">
        <v>860034313</v>
      </c>
      <c r="U302" t="s">
        <v>355</v>
      </c>
      <c r="V302">
        <v>923238</v>
      </c>
      <c r="W302" t="s">
        <v>569</v>
      </c>
      <c r="X302" s="2" t="s">
        <v>29</v>
      </c>
      <c r="Y302" t="s">
        <v>30</v>
      </c>
      <c r="Z302" t="s">
        <v>31</v>
      </c>
      <c r="AA302" t="s">
        <v>32</v>
      </c>
      <c r="AB302" t="s">
        <v>33</v>
      </c>
      <c r="AC302" s="51">
        <v>3219658</v>
      </c>
      <c r="AD302">
        <v>0</v>
      </c>
      <c r="AE302" s="4">
        <v>0</v>
      </c>
      <c r="AF302" s="4">
        <v>0</v>
      </c>
      <c r="AG302" t="s">
        <v>462</v>
      </c>
      <c r="AH302">
        <v>0</v>
      </c>
      <c r="AI302">
        <v>0</v>
      </c>
      <c r="AJ302" s="2" t="s">
        <v>463</v>
      </c>
      <c r="AK302" s="2">
        <v>0</v>
      </c>
      <c r="AL302">
        <v>0</v>
      </c>
      <c r="AM302">
        <v>0</v>
      </c>
      <c r="AN302">
        <v>0</v>
      </c>
      <c r="AO302">
        <v>0</v>
      </c>
      <c r="AP302">
        <v>125</v>
      </c>
      <c r="AQ302">
        <v>125</v>
      </c>
      <c r="AR302">
        <v>24825</v>
      </c>
      <c r="AS302">
        <v>0</v>
      </c>
      <c r="AT302">
        <v>0</v>
      </c>
      <c r="AU302">
        <v>30925</v>
      </c>
      <c r="AV302">
        <v>64599325</v>
      </c>
      <c r="AW302">
        <v>0</v>
      </c>
      <c r="AX302" s="5">
        <v>45697</v>
      </c>
      <c r="AY302" t="s">
        <v>356</v>
      </c>
      <c r="AZ302" t="s">
        <v>1713</v>
      </c>
      <c r="BA302" t="s">
        <v>742</v>
      </c>
    </row>
    <row r="303" spans="1:53" ht="15" customHeight="1" x14ac:dyDescent="0.2">
      <c r="A303" t="s">
        <v>5147</v>
      </c>
      <c r="B303" t="s">
        <v>2457</v>
      </c>
      <c r="C303" t="s">
        <v>4877</v>
      </c>
      <c r="D303">
        <v>64599425</v>
      </c>
      <c r="E303" s="5">
        <v>45726</v>
      </c>
      <c r="F303" s="5">
        <v>45728.088888888888</v>
      </c>
      <c r="G303" s="4" t="s">
        <v>460</v>
      </c>
      <c r="H303" s="49">
        <v>3219658</v>
      </c>
      <c r="I303" s="49">
        <v>16883</v>
      </c>
      <c r="J303" s="50">
        <v>3202775</v>
      </c>
      <c r="K303" t="s">
        <v>2615</v>
      </c>
      <c r="L303" s="4" t="s">
        <v>461</v>
      </c>
      <c r="M303" t="s">
        <v>351</v>
      </c>
      <c r="N303" s="2">
        <v>79863951</v>
      </c>
      <c r="O303" t="s">
        <v>1715</v>
      </c>
      <c r="P303" t="s">
        <v>316</v>
      </c>
      <c r="Q303" t="s">
        <v>317</v>
      </c>
      <c r="R303">
        <v>76669971547</v>
      </c>
      <c r="S303" t="s">
        <v>319</v>
      </c>
      <c r="T303">
        <v>890903938</v>
      </c>
      <c r="U303" t="s">
        <v>342</v>
      </c>
      <c r="V303">
        <v>923238</v>
      </c>
      <c r="W303" t="s">
        <v>569</v>
      </c>
      <c r="X303" s="2" t="s">
        <v>29</v>
      </c>
      <c r="Y303" t="s">
        <v>30</v>
      </c>
      <c r="Z303" t="s">
        <v>31</v>
      </c>
      <c r="AA303" t="s">
        <v>32</v>
      </c>
      <c r="AB303" t="s">
        <v>33</v>
      </c>
      <c r="AC303" s="51">
        <v>3219658</v>
      </c>
      <c r="AD303">
        <v>0</v>
      </c>
      <c r="AE303" s="4">
        <v>0</v>
      </c>
      <c r="AF303" s="4">
        <v>0</v>
      </c>
      <c r="AG303" t="s">
        <v>462</v>
      </c>
      <c r="AH303">
        <v>0</v>
      </c>
      <c r="AI303">
        <v>0</v>
      </c>
      <c r="AJ303" s="2" t="s">
        <v>463</v>
      </c>
      <c r="AK303" s="2">
        <v>0</v>
      </c>
      <c r="AL303">
        <v>0</v>
      </c>
      <c r="AM303">
        <v>0</v>
      </c>
      <c r="AN303">
        <v>0</v>
      </c>
      <c r="AO303">
        <v>0</v>
      </c>
      <c r="AP303">
        <v>125</v>
      </c>
      <c r="AQ303">
        <v>125</v>
      </c>
      <c r="AR303">
        <v>24925</v>
      </c>
      <c r="AS303">
        <v>0</v>
      </c>
      <c r="AT303">
        <v>0</v>
      </c>
      <c r="AU303">
        <v>31025</v>
      </c>
      <c r="AV303">
        <v>64599425</v>
      </c>
      <c r="AW303">
        <v>0</v>
      </c>
      <c r="AX303" s="5">
        <v>45697</v>
      </c>
      <c r="AY303" t="s">
        <v>356</v>
      </c>
      <c r="AZ303" t="s">
        <v>1718</v>
      </c>
      <c r="BA303" t="s">
        <v>742</v>
      </c>
    </row>
    <row r="304" spans="1:53" ht="15" customHeight="1" x14ac:dyDescent="0.2">
      <c r="A304" t="s">
        <v>5148</v>
      </c>
      <c r="B304" t="s">
        <v>2458</v>
      </c>
      <c r="C304" t="s">
        <v>4877</v>
      </c>
      <c r="D304">
        <v>64599525</v>
      </c>
      <c r="E304" s="5">
        <v>45726</v>
      </c>
      <c r="F304" s="5">
        <v>45728.099305555559</v>
      </c>
      <c r="G304" s="4" t="s">
        <v>460</v>
      </c>
      <c r="H304" s="49">
        <v>3219658</v>
      </c>
      <c r="I304" s="49">
        <v>16883</v>
      </c>
      <c r="J304" s="50">
        <v>3202775</v>
      </c>
      <c r="K304" t="s">
        <v>2615</v>
      </c>
      <c r="L304" s="4" t="s">
        <v>461</v>
      </c>
      <c r="M304" t="s">
        <v>351</v>
      </c>
      <c r="N304" s="2">
        <v>52556422</v>
      </c>
      <c r="O304" t="s">
        <v>1720</v>
      </c>
      <c r="P304" t="s">
        <v>316</v>
      </c>
      <c r="Q304" t="s">
        <v>317</v>
      </c>
      <c r="R304">
        <v>478170004988</v>
      </c>
      <c r="S304" t="s">
        <v>319</v>
      </c>
      <c r="T304">
        <v>860034313</v>
      </c>
      <c r="U304" t="s">
        <v>355</v>
      </c>
      <c r="V304">
        <v>923238</v>
      </c>
      <c r="W304" t="s">
        <v>569</v>
      </c>
      <c r="X304" s="2" t="s">
        <v>29</v>
      </c>
      <c r="Y304" t="s">
        <v>30</v>
      </c>
      <c r="Z304" t="s">
        <v>31</v>
      </c>
      <c r="AA304" t="s">
        <v>32</v>
      </c>
      <c r="AB304" t="s">
        <v>33</v>
      </c>
      <c r="AC304" s="51">
        <v>3219658</v>
      </c>
      <c r="AD304">
        <v>0</v>
      </c>
      <c r="AE304" s="4">
        <v>0</v>
      </c>
      <c r="AF304" s="4">
        <v>0</v>
      </c>
      <c r="AG304" t="s">
        <v>462</v>
      </c>
      <c r="AH304">
        <v>0</v>
      </c>
      <c r="AI304">
        <v>0</v>
      </c>
      <c r="AJ304" s="2" t="s">
        <v>463</v>
      </c>
      <c r="AK304" s="2">
        <v>0</v>
      </c>
      <c r="AL304">
        <v>0</v>
      </c>
      <c r="AM304">
        <v>0</v>
      </c>
      <c r="AN304">
        <v>0</v>
      </c>
      <c r="AO304">
        <v>0</v>
      </c>
      <c r="AP304">
        <v>125</v>
      </c>
      <c r="AQ304">
        <v>125</v>
      </c>
      <c r="AR304">
        <v>25025</v>
      </c>
      <c r="AS304">
        <v>0</v>
      </c>
      <c r="AT304">
        <v>0</v>
      </c>
      <c r="AU304">
        <v>31125</v>
      </c>
      <c r="AV304">
        <v>64599525</v>
      </c>
      <c r="AW304">
        <v>0</v>
      </c>
      <c r="AX304" s="5">
        <v>45697</v>
      </c>
      <c r="AY304" t="s">
        <v>356</v>
      </c>
      <c r="AZ304" t="s">
        <v>1723</v>
      </c>
      <c r="BA304" t="s">
        <v>742</v>
      </c>
    </row>
    <row r="305" spans="1:53" ht="15" customHeight="1" x14ac:dyDescent="0.2">
      <c r="A305" t="s">
        <v>5149</v>
      </c>
      <c r="B305" t="s">
        <v>2459</v>
      </c>
      <c r="C305" t="s">
        <v>4877</v>
      </c>
      <c r="D305">
        <v>64599625</v>
      </c>
      <c r="E305" s="5">
        <v>45726</v>
      </c>
      <c r="F305" s="5">
        <v>45728.088888888888</v>
      </c>
      <c r="G305" s="4" t="s">
        <v>460</v>
      </c>
      <c r="H305" s="49">
        <v>3219658</v>
      </c>
      <c r="I305" s="49">
        <v>16883</v>
      </c>
      <c r="J305" s="50">
        <v>3202775</v>
      </c>
      <c r="K305" t="s">
        <v>2615</v>
      </c>
      <c r="L305" s="4" t="s">
        <v>461</v>
      </c>
      <c r="M305" t="s">
        <v>351</v>
      </c>
      <c r="N305" s="2">
        <v>49718628</v>
      </c>
      <c r="O305" t="s">
        <v>1725</v>
      </c>
      <c r="P305" t="s">
        <v>316</v>
      </c>
      <c r="Q305" t="s">
        <v>317</v>
      </c>
      <c r="R305">
        <v>66845657182</v>
      </c>
      <c r="S305" t="s">
        <v>319</v>
      </c>
      <c r="T305">
        <v>890903938</v>
      </c>
      <c r="U305" t="s">
        <v>342</v>
      </c>
      <c r="V305">
        <v>923238</v>
      </c>
      <c r="W305" t="s">
        <v>569</v>
      </c>
      <c r="X305" s="2" t="s">
        <v>29</v>
      </c>
      <c r="Y305" t="s">
        <v>30</v>
      </c>
      <c r="Z305" t="s">
        <v>31</v>
      </c>
      <c r="AA305" t="s">
        <v>32</v>
      </c>
      <c r="AB305" t="s">
        <v>33</v>
      </c>
      <c r="AC305" s="51">
        <v>3219658</v>
      </c>
      <c r="AD305">
        <v>0</v>
      </c>
      <c r="AE305" s="4">
        <v>0</v>
      </c>
      <c r="AF305" s="4">
        <v>0</v>
      </c>
      <c r="AG305" t="s">
        <v>462</v>
      </c>
      <c r="AH305">
        <v>0</v>
      </c>
      <c r="AI305">
        <v>0</v>
      </c>
      <c r="AJ305" s="2" t="s">
        <v>463</v>
      </c>
      <c r="AK305" s="2">
        <v>0</v>
      </c>
      <c r="AL305">
        <v>0</v>
      </c>
      <c r="AM305">
        <v>0</v>
      </c>
      <c r="AN305">
        <v>0</v>
      </c>
      <c r="AO305">
        <v>0</v>
      </c>
      <c r="AP305">
        <v>125</v>
      </c>
      <c r="AQ305">
        <v>125</v>
      </c>
      <c r="AR305">
        <v>25125</v>
      </c>
      <c r="AS305">
        <v>0</v>
      </c>
      <c r="AT305">
        <v>0</v>
      </c>
      <c r="AU305">
        <v>31225</v>
      </c>
      <c r="AV305">
        <v>64599625</v>
      </c>
      <c r="AW305">
        <v>0</v>
      </c>
      <c r="AX305" s="5">
        <v>45697</v>
      </c>
      <c r="AY305" t="s">
        <v>356</v>
      </c>
      <c r="AZ305" t="s">
        <v>1728</v>
      </c>
      <c r="BA305" t="s">
        <v>742</v>
      </c>
    </row>
    <row r="306" spans="1:53" ht="15" customHeight="1" x14ac:dyDescent="0.2">
      <c r="A306" t="s">
        <v>5150</v>
      </c>
      <c r="B306" t="s">
        <v>2460</v>
      </c>
      <c r="C306" t="s">
        <v>4877</v>
      </c>
      <c r="D306">
        <v>64599725</v>
      </c>
      <c r="E306" s="5">
        <v>45726</v>
      </c>
      <c r="F306" s="5">
        <v>45728.088888888888</v>
      </c>
      <c r="G306" s="4" t="s">
        <v>460</v>
      </c>
      <c r="H306" s="49">
        <v>3219658</v>
      </c>
      <c r="I306" s="49">
        <v>16883</v>
      </c>
      <c r="J306" s="50">
        <v>3202775</v>
      </c>
      <c r="K306" t="s">
        <v>2615</v>
      </c>
      <c r="L306" s="4" t="s">
        <v>461</v>
      </c>
      <c r="M306" t="s">
        <v>351</v>
      </c>
      <c r="N306" s="2">
        <v>80232876</v>
      </c>
      <c r="O306" t="s">
        <v>1730</v>
      </c>
      <c r="P306" t="s">
        <v>316</v>
      </c>
      <c r="Q306" t="s">
        <v>317</v>
      </c>
      <c r="R306">
        <v>34143658998</v>
      </c>
      <c r="S306" t="s">
        <v>319</v>
      </c>
      <c r="T306">
        <v>890903938</v>
      </c>
      <c r="U306" t="s">
        <v>342</v>
      </c>
      <c r="V306">
        <v>923238</v>
      </c>
      <c r="W306" t="s">
        <v>569</v>
      </c>
      <c r="X306" s="2" t="s">
        <v>29</v>
      </c>
      <c r="Y306" t="s">
        <v>30</v>
      </c>
      <c r="Z306" t="s">
        <v>31</v>
      </c>
      <c r="AA306" t="s">
        <v>32</v>
      </c>
      <c r="AB306" t="s">
        <v>33</v>
      </c>
      <c r="AC306" s="51">
        <v>3219658</v>
      </c>
      <c r="AD306">
        <v>0</v>
      </c>
      <c r="AE306" s="4">
        <v>0</v>
      </c>
      <c r="AF306" s="4">
        <v>0</v>
      </c>
      <c r="AG306" t="s">
        <v>462</v>
      </c>
      <c r="AH306">
        <v>0</v>
      </c>
      <c r="AI306">
        <v>0</v>
      </c>
      <c r="AJ306" s="2" t="s">
        <v>463</v>
      </c>
      <c r="AK306" s="2">
        <v>0</v>
      </c>
      <c r="AL306">
        <v>0</v>
      </c>
      <c r="AM306">
        <v>0</v>
      </c>
      <c r="AN306">
        <v>0</v>
      </c>
      <c r="AO306">
        <v>0</v>
      </c>
      <c r="AP306">
        <v>125</v>
      </c>
      <c r="AQ306">
        <v>125</v>
      </c>
      <c r="AR306">
        <v>25225</v>
      </c>
      <c r="AS306">
        <v>0</v>
      </c>
      <c r="AT306">
        <v>0</v>
      </c>
      <c r="AU306">
        <v>31325</v>
      </c>
      <c r="AV306">
        <v>64599725</v>
      </c>
      <c r="AW306">
        <v>0</v>
      </c>
      <c r="AX306" s="5">
        <v>45697</v>
      </c>
      <c r="AY306" t="s">
        <v>356</v>
      </c>
      <c r="AZ306" t="s">
        <v>1733</v>
      </c>
      <c r="BA306" t="s">
        <v>742</v>
      </c>
    </row>
    <row r="307" spans="1:53" ht="15" customHeight="1" x14ac:dyDescent="0.2">
      <c r="A307" t="s">
        <v>5151</v>
      </c>
      <c r="B307" t="s">
        <v>2470</v>
      </c>
      <c r="C307" t="s">
        <v>4877</v>
      </c>
      <c r="D307">
        <v>64599825</v>
      </c>
      <c r="E307" s="5">
        <v>45726</v>
      </c>
      <c r="F307" s="5">
        <v>45728.089583333334</v>
      </c>
      <c r="G307" s="4" t="s">
        <v>460</v>
      </c>
      <c r="H307" s="49">
        <v>3219658</v>
      </c>
      <c r="I307" s="49">
        <v>16883</v>
      </c>
      <c r="J307" s="50">
        <v>3202775</v>
      </c>
      <c r="K307" t="s">
        <v>2615</v>
      </c>
      <c r="L307" s="4" t="s">
        <v>461</v>
      </c>
      <c r="M307" t="s">
        <v>351</v>
      </c>
      <c r="N307" s="2">
        <v>1136887061</v>
      </c>
      <c r="O307" t="s">
        <v>1779</v>
      </c>
      <c r="P307" t="s">
        <v>316</v>
      </c>
      <c r="Q307" t="s">
        <v>317</v>
      </c>
      <c r="R307">
        <v>4525906138</v>
      </c>
      <c r="S307" t="s">
        <v>319</v>
      </c>
      <c r="T307">
        <v>890903938</v>
      </c>
      <c r="U307" t="s">
        <v>342</v>
      </c>
      <c r="V307">
        <v>923238</v>
      </c>
      <c r="W307" t="s">
        <v>569</v>
      </c>
      <c r="X307" s="2" t="s">
        <v>29</v>
      </c>
      <c r="Y307" t="s">
        <v>30</v>
      </c>
      <c r="Z307" t="s">
        <v>31</v>
      </c>
      <c r="AA307" t="s">
        <v>32</v>
      </c>
      <c r="AB307" t="s">
        <v>33</v>
      </c>
      <c r="AC307" s="51">
        <v>3219658</v>
      </c>
      <c r="AD307">
        <v>0</v>
      </c>
      <c r="AE307" s="4">
        <v>0</v>
      </c>
      <c r="AF307" s="4">
        <v>0</v>
      </c>
      <c r="AG307" t="s">
        <v>462</v>
      </c>
      <c r="AH307">
        <v>0</v>
      </c>
      <c r="AI307">
        <v>0</v>
      </c>
      <c r="AJ307" s="2" t="s">
        <v>463</v>
      </c>
      <c r="AK307" s="2">
        <v>0</v>
      </c>
      <c r="AL307">
        <v>0</v>
      </c>
      <c r="AM307">
        <v>0</v>
      </c>
      <c r="AN307">
        <v>0</v>
      </c>
      <c r="AO307">
        <v>0</v>
      </c>
      <c r="AP307">
        <v>125</v>
      </c>
      <c r="AQ307">
        <v>125</v>
      </c>
      <c r="AR307">
        <v>26225</v>
      </c>
      <c r="AS307">
        <v>0</v>
      </c>
      <c r="AT307">
        <v>0</v>
      </c>
      <c r="AU307">
        <v>31425</v>
      </c>
      <c r="AV307">
        <v>64599825</v>
      </c>
      <c r="AW307">
        <v>0</v>
      </c>
      <c r="AX307" s="5">
        <v>45697</v>
      </c>
      <c r="AY307" t="s">
        <v>356</v>
      </c>
      <c r="AZ307" t="s">
        <v>1782</v>
      </c>
      <c r="BA307" t="s">
        <v>742</v>
      </c>
    </row>
    <row r="308" spans="1:53" ht="15" customHeight="1" x14ac:dyDescent="0.2">
      <c r="A308" t="s">
        <v>5152</v>
      </c>
      <c r="B308" t="s">
        <v>2471</v>
      </c>
      <c r="C308" t="s">
        <v>4859</v>
      </c>
      <c r="D308">
        <v>64599925</v>
      </c>
      <c r="E308" s="5">
        <v>45726</v>
      </c>
      <c r="F308" s="5">
        <v>45728.086805555555</v>
      </c>
      <c r="G308" s="4" t="s">
        <v>460</v>
      </c>
      <c r="H308" s="49">
        <v>2489112</v>
      </c>
      <c r="I308" s="49">
        <v>12500</v>
      </c>
      <c r="J308" s="50">
        <v>2476612</v>
      </c>
      <c r="K308" t="s">
        <v>2615</v>
      </c>
      <c r="L308" s="4" t="s">
        <v>461</v>
      </c>
      <c r="M308" t="s">
        <v>351</v>
      </c>
      <c r="N308" s="2">
        <v>39656823</v>
      </c>
      <c r="O308" t="s">
        <v>1784</v>
      </c>
      <c r="P308" t="s">
        <v>316</v>
      </c>
      <c r="Q308" t="s">
        <v>317</v>
      </c>
      <c r="R308">
        <v>42728755002</v>
      </c>
      <c r="S308" t="s">
        <v>319</v>
      </c>
      <c r="T308">
        <v>890903938</v>
      </c>
      <c r="U308" t="s">
        <v>342</v>
      </c>
      <c r="V308">
        <v>923210</v>
      </c>
      <c r="W308" t="s">
        <v>56</v>
      </c>
      <c r="X308" s="2" t="s">
        <v>57</v>
      </c>
      <c r="Y308" t="s">
        <v>58</v>
      </c>
      <c r="Z308" t="s">
        <v>31</v>
      </c>
      <c r="AA308" t="s">
        <v>32</v>
      </c>
      <c r="AB308" t="s">
        <v>33</v>
      </c>
      <c r="AC308" s="51">
        <v>2489112</v>
      </c>
      <c r="AD308">
        <v>0</v>
      </c>
      <c r="AE308" s="4">
        <v>0</v>
      </c>
      <c r="AF308" s="4">
        <v>0</v>
      </c>
      <c r="AG308" t="s">
        <v>462</v>
      </c>
      <c r="AH308">
        <v>0</v>
      </c>
      <c r="AI308">
        <v>0</v>
      </c>
      <c r="AJ308" s="2" t="s">
        <v>463</v>
      </c>
      <c r="AK308" s="2">
        <v>0</v>
      </c>
      <c r="AL308">
        <v>0</v>
      </c>
      <c r="AM308">
        <v>0</v>
      </c>
      <c r="AN308">
        <v>0</v>
      </c>
      <c r="AO308">
        <v>0</v>
      </c>
      <c r="AP308">
        <v>825</v>
      </c>
      <c r="AQ308">
        <v>825</v>
      </c>
      <c r="AR308">
        <v>26325</v>
      </c>
      <c r="AS308">
        <v>0</v>
      </c>
      <c r="AT308">
        <v>0</v>
      </c>
      <c r="AU308">
        <v>31525</v>
      </c>
      <c r="AV308">
        <v>64599925</v>
      </c>
      <c r="AW308">
        <v>0</v>
      </c>
      <c r="AX308" s="5">
        <v>45697</v>
      </c>
      <c r="AY308" t="s">
        <v>356</v>
      </c>
      <c r="AZ308" t="s">
        <v>1787</v>
      </c>
      <c r="BA308" t="s">
        <v>1332</v>
      </c>
    </row>
    <row r="309" spans="1:53" ht="15" customHeight="1" x14ac:dyDescent="0.2">
      <c r="A309" t="s">
        <v>5153</v>
      </c>
      <c r="B309" t="s">
        <v>2472</v>
      </c>
      <c r="C309" t="s">
        <v>4859</v>
      </c>
      <c r="D309">
        <v>64600025</v>
      </c>
      <c r="E309" s="5">
        <v>45726</v>
      </c>
      <c r="F309" s="5">
        <v>45728.09652777778</v>
      </c>
      <c r="G309" s="4" t="s">
        <v>460</v>
      </c>
      <c r="H309" s="49">
        <v>3219658</v>
      </c>
      <c r="I309" s="49">
        <v>16883</v>
      </c>
      <c r="J309" s="50">
        <v>3202775</v>
      </c>
      <c r="K309" t="s">
        <v>2615</v>
      </c>
      <c r="L309" s="4" t="s">
        <v>461</v>
      </c>
      <c r="M309" t="s">
        <v>351</v>
      </c>
      <c r="N309" s="2">
        <v>93122691</v>
      </c>
      <c r="O309" t="s">
        <v>1789</v>
      </c>
      <c r="P309" t="s">
        <v>316</v>
      </c>
      <c r="Q309" t="s">
        <v>317</v>
      </c>
      <c r="R309">
        <v>24121798572</v>
      </c>
      <c r="S309" t="s">
        <v>319</v>
      </c>
      <c r="T309">
        <v>860007335</v>
      </c>
      <c r="U309" t="s">
        <v>381</v>
      </c>
      <c r="V309">
        <v>923210</v>
      </c>
      <c r="W309" t="s">
        <v>56</v>
      </c>
      <c r="X309" s="2" t="s">
        <v>57</v>
      </c>
      <c r="Y309" t="s">
        <v>58</v>
      </c>
      <c r="Z309" t="s">
        <v>31</v>
      </c>
      <c r="AA309" t="s">
        <v>32</v>
      </c>
      <c r="AB309" t="s">
        <v>33</v>
      </c>
      <c r="AC309" s="51">
        <v>3219658</v>
      </c>
      <c r="AD309">
        <v>0</v>
      </c>
      <c r="AE309" s="4">
        <v>0</v>
      </c>
      <c r="AF309" s="4">
        <v>0</v>
      </c>
      <c r="AG309" t="s">
        <v>462</v>
      </c>
      <c r="AH309">
        <v>0</v>
      </c>
      <c r="AI309">
        <v>0</v>
      </c>
      <c r="AJ309" s="2" t="s">
        <v>463</v>
      </c>
      <c r="AK309" s="2">
        <v>0</v>
      </c>
      <c r="AL309">
        <v>0</v>
      </c>
      <c r="AM309">
        <v>0</v>
      </c>
      <c r="AN309">
        <v>0</v>
      </c>
      <c r="AO309">
        <v>0</v>
      </c>
      <c r="AP309">
        <v>825</v>
      </c>
      <c r="AQ309">
        <v>825</v>
      </c>
      <c r="AR309">
        <v>26425</v>
      </c>
      <c r="AS309">
        <v>0</v>
      </c>
      <c r="AT309">
        <v>0</v>
      </c>
      <c r="AU309">
        <v>31625</v>
      </c>
      <c r="AV309">
        <v>64600025</v>
      </c>
      <c r="AW309">
        <v>0</v>
      </c>
      <c r="AX309" s="5">
        <v>45697</v>
      </c>
      <c r="AY309" t="s">
        <v>356</v>
      </c>
      <c r="AZ309" t="s">
        <v>1792</v>
      </c>
      <c r="BA309" t="s">
        <v>1332</v>
      </c>
    </row>
    <row r="310" spans="1:53" ht="15" customHeight="1" x14ac:dyDescent="0.2">
      <c r="A310" t="s">
        <v>5154</v>
      </c>
      <c r="B310" t="s">
        <v>2473</v>
      </c>
      <c r="C310" t="s">
        <v>4859</v>
      </c>
      <c r="D310">
        <v>64600125</v>
      </c>
      <c r="E310" s="5">
        <v>45726</v>
      </c>
      <c r="F310" s="5">
        <v>45728.099305555559</v>
      </c>
      <c r="G310" s="4" t="s">
        <v>460</v>
      </c>
      <c r="H310" s="49">
        <v>3219658</v>
      </c>
      <c r="I310" s="49">
        <v>16883</v>
      </c>
      <c r="J310" s="50">
        <v>3202775</v>
      </c>
      <c r="K310" t="s">
        <v>2615</v>
      </c>
      <c r="L310" s="4" t="s">
        <v>461</v>
      </c>
      <c r="M310" t="s">
        <v>351</v>
      </c>
      <c r="N310" s="2">
        <v>79572241</v>
      </c>
      <c r="O310" t="s">
        <v>1794</v>
      </c>
      <c r="P310" t="s">
        <v>316</v>
      </c>
      <c r="Q310" t="s">
        <v>317</v>
      </c>
      <c r="R310">
        <v>488436656117</v>
      </c>
      <c r="S310" t="s">
        <v>319</v>
      </c>
      <c r="T310">
        <v>860034313</v>
      </c>
      <c r="U310" t="s">
        <v>355</v>
      </c>
      <c r="V310">
        <v>923210</v>
      </c>
      <c r="W310" t="s">
        <v>56</v>
      </c>
      <c r="X310" s="2" t="s">
        <v>57</v>
      </c>
      <c r="Y310" t="s">
        <v>58</v>
      </c>
      <c r="Z310" t="s">
        <v>31</v>
      </c>
      <c r="AA310" t="s">
        <v>32</v>
      </c>
      <c r="AB310" t="s">
        <v>33</v>
      </c>
      <c r="AC310" s="51">
        <v>3219658</v>
      </c>
      <c r="AD310">
        <v>0</v>
      </c>
      <c r="AE310" s="4">
        <v>0</v>
      </c>
      <c r="AF310" s="4">
        <v>0</v>
      </c>
      <c r="AG310" t="s">
        <v>462</v>
      </c>
      <c r="AH310">
        <v>0</v>
      </c>
      <c r="AI310">
        <v>0</v>
      </c>
      <c r="AJ310" s="2" t="s">
        <v>463</v>
      </c>
      <c r="AK310" s="2">
        <v>0</v>
      </c>
      <c r="AL310">
        <v>0</v>
      </c>
      <c r="AM310">
        <v>0</v>
      </c>
      <c r="AN310">
        <v>0</v>
      </c>
      <c r="AO310">
        <v>0</v>
      </c>
      <c r="AP310">
        <v>825</v>
      </c>
      <c r="AQ310">
        <v>825</v>
      </c>
      <c r="AR310">
        <v>26525</v>
      </c>
      <c r="AS310">
        <v>0</v>
      </c>
      <c r="AT310">
        <v>0</v>
      </c>
      <c r="AU310">
        <v>31725</v>
      </c>
      <c r="AV310">
        <v>64600125</v>
      </c>
      <c r="AW310">
        <v>0</v>
      </c>
      <c r="AX310" s="5">
        <v>45697</v>
      </c>
      <c r="AY310" t="s">
        <v>356</v>
      </c>
      <c r="AZ310" t="s">
        <v>1797</v>
      </c>
      <c r="BA310" t="s">
        <v>1332</v>
      </c>
    </row>
    <row r="311" spans="1:53" ht="15" customHeight="1" x14ac:dyDescent="0.2">
      <c r="A311" t="s">
        <v>5155</v>
      </c>
      <c r="B311" t="s">
        <v>2474</v>
      </c>
      <c r="C311" t="s">
        <v>4859</v>
      </c>
      <c r="D311">
        <v>64600225</v>
      </c>
      <c r="E311" s="5">
        <v>45726</v>
      </c>
      <c r="F311" s="5">
        <v>45728.088888888888</v>
      </c>
      <c r="G311" s="4" t="s">
        <v>460</v>
      </c>
      <c r="H311" s="49">
        <v>3219658</v>
      </c>
      <c r="I311" s="49">
        <v>16883</v>
      </c>
      <c r="J311" s="50">
        <v>3202775</v>
      </c>
      <c r="K311" t="s">
        <v>2615</v>
      </c>
      <c r="L311" s="4" t="s">
        <v>461</v>
      </c>
      <c r="M311" t="s">
        <v>351</v>
      </c>
      <c r="N311" s="2">
        <v>1015994841</v>
      </c>
      <c r="O311" t="s">
        <v>1799</v>
      </c>
      <c r="P311" t="s">
        <v>316</v>
      </c>
      <c r="Q311" t="s">
        <v>317</v>
      </c>
      <c r="R311">
        <v>24163073176</v>
      </c>
      <c r="S311" t="s">
        <v>319</v>
      </c>
      <c r="T311">
        <v>890903938</v>
      </c>
      <c r="U311" t="s">
        <v>342</v>
      </c>
      <c r="V311">
        <v>923210</v>
      </c>
      <c r="W311" t="s">
        <v>56</v>
      </c>
      <c r="X311" s="2" t="s">
        <v>57</v>
      </c>
      <c r="Y311" t="s">
        <v>58</v>
      </c>
      <c r="Z311" t="s">
        <v>31</v>
      </c>
      <c r="AA311" t="s">
        <v>32</v>
      </c>
      <c r="AB311" t="s">
        <v>33</v>
      </c>
      <c r="AC311" s="51">
        <v>3219658</v>
      </c>
      <c r="AD311">
        <v>0</v>
      </c>
      <c r="AE311" s="4">
        <v>0</v>
      </c>
      <c r="AF311" s="4">
        <v>0</v>
      </c>
      <c r="AG311" t="s">
        <v>462</v>
      </c>
      <c r="AH311">
        <v>0</v>
      </c>
      <c r="AI311">
        <v>0</v>
      </c>
      <c r="AJ311" s="2" t="s">
        <v>463</v>
      </c>
      <c r="AK311" s="2">
        <v>0</v>
      </c>
      <c r="AL311">
        <v>0</v>
      </c>
      <c r="AM311">
        <v>0</v>
      </c>
      <c r="AN311">
        <v>0</v>
      </c>
      <c r="AO311">
        <v>0</v>
      </c>
      <c r="AP311">
        <v>825</v>
      </c>
      <c r="AQ311">
        <v>825</v>
      </c>
      <c r="AR311">
        <v>26625</v>
      </c>
      <c r="AS311">
        <v>0</v>
      </c>
      <c r="AT311">
        <v>0</v>
      </c>
      <c r="AU311">
        <v>31825</v>
      </c>
      <c r="AV311">
        <v>64600225</v>
      </c>
      <c r="AW311">
        <v>0</v>
      </c>
      <c r="AX311" s="5">
        <v>45697</v>
      </c>
      <c r="AY311" t="s">
        <v>356</v>
      </c>
      <c r="AZ311" t="s">
        <v>1802</v>
      </c>
      <c r="BA311" t="s">
        <v>1332</v>
      </c>
    </row>
    <row r="312" spans="1:53" ht="15" customHeight="1" x14ac:dyDescent="0.2">
      <c r="A312" t="s">
        <v>5156</v>
      </c>
      <c r="B312" t="s">
        <v>2475</v>
      </c>
      <c r="C312" t="s">
        <v>4859</v>
      </c>
      <c r="D312">
        <v>64600325</v>
      </c>
      <c r="E312" s="5">
        <v>45726</v>
      </c>
      <c r="F312" s="5">
        <v>45728.088888888888</v>
      </c>
      <c r="G312" s="4" t="s">
        <v>460</v>
      </c>
      <c r="H312" s="49">
        <v>3219658</v>
      </c>
      <c r="I312" s="49">
        <v>18321</v>
      </c>
      <c r="J312" s="50">
        <v>3201337</v>
      </c>
      <c r="K312" t="s">
        <v>2615</v>
      </c>
      <c r="L312" s="4" t="s">
        <v>461</v>
      </c>
      <c r="M312" t="s">
        <v>351</v>
      </c>
      <c r="N312" s="2">
        <v>45464937</v>
      </c>
      <c r="O312" t="s">
        <v>1804</v>
      </c>
      <c r="P312" t="s">
        <v>316</v>
      </c>
      <c r="Q312" t="s">
        <v>317</v>
      </c>
      <c r="R312">
        <v>56754326382</v>
      </c>
      <c r="S312" t="s">
        <v>319</v>
      </c>
      <c r="T312">
        <v>890903938</v>
      </c>
      <c r="U312" t="s">
        <v>342</v>
      </c>
      <c r="V312">
        <v>923210</v>
      </c>
      <c r="W312" t="s">
        <v>56</v>
      </c>
      <c r="X312" s="2" t="s">
        <v>57</v>
      </c>
      <c r="Y312" t="s">
        <v>58</v>
      </c>
      <c r="Z312" t="s">
        <v>31</v>
      </c>
      <c r="AA312" t="s">
        <v>32</v>
      </c>
      <c r="AB312" t="s">
        <v>33</v>
      </c>
      <c r="AC312" s="51">
        <v>3219658</v>
      </c>
      <c r="AD312">
        <v>0</v>
      </c>
      <c r="AE312" s="4">
        <v>0</v>
      </c>
      <c r="AF312" s="4">
        <v>0</v>
      </c>
      <c r="AG312" t="s">
        <v>462</v>
      </c>
      <c r="AH312">
        <v>0</v>
      </c>
      <c r="AI312">
        <v>0</v>
      </c>
      <c r="AJ312" s="2" t="s">
        <v>463</v>
      </c>
      <c r="AK312" s="2">
        <v>0</v>
      </c>
      <c r="AL312">
        <v>0</v>
      </c>
      <c r="AM312">
        <v>0</v>
      </c>
      <c r="AN312">
        <v>0</v>
      </c>
      <c r="AO312">
        <v>0</v>
      </c>
      <c r="AP312">
        <v>825</v>
      </c>
      <c r="AQ312">
        <v>825</v>
      </c>
      <c r="AR312">
        <v>26725</v>
      </c>
      <c r="AS312">
        <v>0</v>
      </c>
      <c r="AT312">
        <v>0</v>
      </c>
      <c r="AU312">
        <v>31925</v>
      </c>
      <c r="AV312">
        <v>64600325</v>
      </c>
      <c r="AW312">
        <v>0</v>
      </c>
      <c r="AX312" s="5">
        <v>45697</v>
      </c>
      <c r="AY312" t="s">
        <v>356</v>
      </c>
      <c r="AZ312" t="s">
        <v>1807</v>
      </c>
      <c r="BA312" t="s">
        <v>1332</v>
      </c>
    </row>
    <row r="313" spans="1:53" ht="15" customHeight="1" x14ac:dyDescent="0.2">
      <c r="A313" t="s">
        <v>5157</v>
      </c>
      <c r="B313" t="s">
        <v>2476</v>
      </c>
      <c r="C313" t="s">
        <v>4859</v>
      </c>
      <c r="D313">
        <v>64600425</v>
      </c>
      <c r="E313" s="5">
        <v>45726</v>
      </c>
      <c r="F313" s="5">
        <v>45728.082638888889</v>
      </c>
      <c r="G313" s="4" t="s">
        <v>460</v>
      </c>
      <c r="H313" s="49">
        <v>3219658</v>
      </c>
      <c r="I313" s="49">
        <v>16883</v>
      </c>
      <c r="J313" s="50">
        <v>3202775</v>
      </c>
      <c r="K313" t="s">
        <v>2615</v>
      </c>
      <c r="L313" s="4" t="s">
        <v>461</v>
      </c>
      <c r="M313" t="s">
        <v>351</v>
      </c>
      <c r="N313" s="2">
        <v>79431471</v>
      </c>
      <c r="O313" t="s">
        <v>1809</v>
      </c>
      <c r="P313" t="s">
        <v>316</v>
      </c>
      <c r="Q313" t="s">
        <v>317</v>
      </c>
      <c r="R313">
        <v>415510052604</v>
      </c>
      <c r="S313" t="s">
        <v>319</v>
      </c>
      <c r="T313">
        <v>800037800</v>
      </c>
      <c r="U313" t="s">
        <v>660</v>
      </c>
      <c r="V313">
        <v>923210</v>
      </c>
      <c r="W313" t="s">
        <v>56</v>
      </c>
      <c r="X313" s="2" t="s">
        <v>57</v>
      </c>
      <c r="Y313" t="s">
        <v>58</v>
      </c>
      <c r="Z313" t="s">
        <v>31</v>
      </c>
      <c r="AA313" t="s">
        <v>32</v>
      </c>
      <c r="AB313" t="s">
        <v>33</v>
      </c>
      <c r="AC313" s="51">
        <v>3219658</v>
      </c>
      <c r="AD313">
        <v>0</v>
      </c>
      <c r="AE313" s="4">
        <v>0</v>
      </c>
      <c r="AF313" s="4">
        <v>0</v>
      </c>
      <c r="AG313" t="s">
        <v>462</v>
      </c>
      <c r="AH313">
        <v>0</v>
      </c>
      <c r="AI313">
        <v>0</v>
      </c>
      <c r="AJ313" s="2" t="s">
        <v>463</v>
      </c>
      <c r="AK313" s="2">
        <v>0</v>
      </c>
      <c r="AL313">
        <v>0</v>
      </c>
      <c r="AM313">
        <v>0</v>
      </c>
      <c r="AN313">
        <v>0</v>
      </c>
      <c r="AO313">
        <v>0</v>
      </c>
      <c r="AP313">
        <v>825</v>
      </c>
      <c r="AQ313">
        <v>825</v>
      </c>
      <c r="AR313">
        <v>26825</v>
      </c>
      <c r="AS313">
        <v>0</v>
      </c>
      <c r="AT313">
        <v>0</v>
      </c>
      <c r="AU313">
        <v>32025</v>
      </c>
      <c r="AV313">
        <v>64600425</v>
      </c>
      <c r="AW313">
        <v>0</v>
      </c>
      <c r="AX313" s="5">
        <v>45697</v>
      </c>
      <c r="AY313" t="s">
        <v>356</v>
      </c>
      <c r="AZ313" t="s">
        <v>1812</v>
      </c>
      <c r="BA313" t="s">
        <v>1332</v>
      </c>
    </row>
    <row r="314" spans="1:53" ht="15" customHeight="1" x14ac:dyDescent="0.2">
      <c r="A314" t="s">
        <v>5158</v>
      </c>
      <c r="B314" t="s">
        <v>2477</v>
      </c>
      <c r="C314" t="s">
        <v>4859</v>
      </c>
      <c r="D314">
        <v>64600525</v>
      </c>
      <c r="E314" s="5">
        <v>45726</v>
      </c>
      <c r="F314" s="5">
        <v>45728.09652777778</v>
      </c>
      <c r="G314" s="4" t="s">
        <v>460</v>
      </c>
      <c r="H314" s="49">
        <v>3219658</v>
      </c>
      <c r="I314" s="49">
        <v>17694</v>
      </c>
      <c r="J314" s="50">
        <v>3201964</v>
      </c>
      <c r="K314" t="s">
        <v>2615</v>
      </c>
      <c r="L314" s="4" t="s">
        <v>461</v>
      </c>
      <c r="M314" t="s">
        <v>351</v>
      </c>
      <c r="N314" s="2">
        <v>80249078</v>
      </c>
      <c r="O314" t="s">
        <v>1814</v>
      </c>
      <c r="P314" t="s">
        <v>316</v>
      </c>
      <c r="Q314" t="s">
        <v>317</v>
      </c>
      <c r="R314">
        <v>688895932</v>
      </c>
      <c r="S314" t="s">
        <v>319</v>
      </c>
      <c r="T314">
        <v>860035827</v>
      </c>
      <c r="U314" t="s">
        <v>653</v>
      </c>
      <c r="V314">
        <v>923210</v>
      </c>
      <c r="W314" t="s">
        <v>56</v>
      </c>
      <c r="X314" s="2" t="s">
        <v>57</v>
      </c>
      <c r="Y314" t="s">
        <v>58</v>
      </c>
      <c r="Z314" t="s">
        <v>31</v>
      </c>
      <c r="AA314" t="s">
        <v>32</v>
      </c>
      <c r="AB314" t="s">
        <v>33</v>
      </c>
      <c r="AC314" s="51">
        <v>3219658</v>
      </c>
      <c r="AD314">
        <v>0</v>
      </c>
      <c r="AE314" s="4">
        <v>0</v>
      </c>
      <c r="AF314" s="4">
        <v>0</v>
      </c>
      <c r="AG314" t="s">
        <v>462</v>
      </c>
      <c r="AH314">
        <v>0</v>
      </c>
      <c r="AI314">
        <v>0</v>
      </c>
      <c r="AJ314" s="2" t="s">
        <v>463</v>
      </c>
      <c r="AK314" s="2">
        <v>0</v>
      </c>
      <c r="AL314">
        <v>0</v>
      </c>
      <c r="AM314">
        <v>0</v>
      </c>
      <c r="AN314">
        <v>0</v>
      </c>
      <c r="AO314">
        <v>0</v>
      </c>
      <c r="AP314">
        <v>825</v>
      </c>
      <c r="AQ314">
        <v>825</v>
      </c>
      <c r="AR314">
        <v>26925</v>
      </c>
      <c r="AS314">
        <v>0</v>
      </c>
      <c r="AT314">
        <v>0</v>
      </c>
      <c r="AU314">
        <v>32125</v>
      </c>
      <c r="AV314">
        <v>64600525</v>
      </c>
      <c r="AW314">
        <v>0</v>
      </c>
      <c r="AX314" s="5">
        <v>45697</v>
      </c>
      <c r="AY314" t="s">
        <v>356</v>
      </c>
      <c r="AZ314" t="s">
        <v>1817</v>
      </c>
      <c r="BA314" t="s">
        <v>1332</v>
      </c>
    </row>
    <row r="315" spans="1:53" ht="15" customHeight="1" x14ac:dyDescent="0.2">
      <c r="A315" t="s">
        <v>5159</v>
      </c>
      <c r="B315" t="s">
        <v>2478</v>
      </c>
      <c r="C315" t="s">
        <v>4859</v>
      </c>
      <c r="D315">
        <v>64600625</v>
      </c>
      <c r="E315" s="5">
        <v>45726</v>
      </c>
      <c r="F315" s="5">
        <v>45728.095833333333</v>
      </c>
      <c r="G315" s="4" t="s">
        <v>460</v>
      </c>
      <c r="H315" s="49">
        <v>3219658</v>
      </c>
      <c r="I315" s="49">
        <v>16883</v>
      </c>
      <c r="J315" s="50">
        <v>3202775</v>
      </c>
      <c r="K315" t="s">
        <v>2615</v>
      </c>
      <c r="L315" s="4" t="s">
        <v>461</v>
      </c>
      <c r="M315" t="s">
        <v>351</v>
      </c>
      <c r="N315" s="2">
        <v>93343728</v>
      </c>
      <c r="O315" t="s">
        <v>1819</v>
      </c>
      <c r="P315" t="s">
        <v>316</v>
      </c>
      <c r="Q315" t="s">
        <v>317</v>
      </c>
      <c r="R315">
        <v>24130639615</v>
      </c>
      <c r="S315" t="s">
        <v>319</v>
      </c>
      <c r="T315">
        <v>860007335</v>
      </c>
      <c r="U315" t="s">
        <v>381</v>
      </c>
      <c r="V315">
        <v>923210</v>
      </c>
      <c r="W315" t="s">
        <v>56</v>
      </c>
      <c r="X315" s="2" t="s">
        <v>57</v>
      </c>
      <c r="Y315" t="s">
        <v>58</v>
      </c>
      <c r="Z315" t="s">
        <v>31</v>
      </c>
      <c r="AA315" t="s">
        <v>32</v>
      </c>
      <c r="AB315" t="s">
        <v>33</v>
      </c>
      <c r="AC315" s="51">
        <v>3219658</v>
      </c>
      <c r="AD315">
        <v>0</v>
      </c>
      <c r="AE315" s="4">
        <v>0</v>
      </c>
      <c r="AF315" s="4">
        <v>0</v>
      </c>
      <c r="AG315" t="s">
        <v>462</v>
      </c>
      <c r="AH315">
        <v>0</v>
      </c>
      <c r="AI315">
        <v>0</v>
      </c>
      <c r="AJ315" s="2" t="s">
        <v>463</v>
      </c>
      <c r="AK315" s="2">
        <v>0</v>
      </c>
      <c r="AL315">
        <v>0</v>
      </c>
      <c r="AM315">
        <v>0</v>
      </c>
      <c r="AN315">
        <v>0</v>
      </c>
      <c r="AO315">
        <v>0</v>
      </c>
      <c r="AP315">
        <v>825</v>
      </c>
      <c r="AQ315">
        <v>825</v>
      </c>
      <c r="AR315">
        <v>27025</v>
      </c>
      <c r="AS315">
        <v>0</v>
      </c>
      <c r="AT315">
        <v>0</v>
      </c>
      <c r="AU315">
        <v>32225</v>
      </c>
      <c r="AV315">
        <v>64600625</v>
      </c>
      <c r="AW315">
        <v>0</v>
      </c>
      <c r="AX315" s="5">
        <v>45697</v>
      </c>
      <c r="AY315" t="s">
        <v>356</v>
      </c>
      <c r="AZ315" t="s">
        <v>1822</v>
      </c>
      <c r="BA315" t="s">
        <v>1332</v>
      </c>
    </row>
    <row r="316" spans="1:53" ht="15" customHeight="1" x14ac:dyDescent="0.2">
      <c r="A316" t="s">
        <v>5160</v>
      </c>
      <c r="B316" t="s">
        <v>2479</v>
      </c>
      <c r="C316" t="s">
        <v>4859</v>
      </c>
      <c r="D316">
        <v>64600725</v>
      </c>
      <c r="E316" s="5">
        <v>45726</v>
      </c>
      <c r="F316" s="5">
        <v>45728.095833333333</v>
      </c>
      <c r="G316" s="4" t="s">
        <v>460</v>
      </c>
      <c r="H316" s="49">
        <v>2489112</v>
      </c>
      <c r="I316" s="49">
        <v>12500</v>
      </c>
      <c r="J316" s="50">
        <v>2476612</v>
      </c>
      <c r="K316" t="s">
        <v>2615</v>
      </c>
      <c r="L316" s="4" t="s">
        <v>461</v>
      </c>
      <c r="M316" t="s">
        <v>351</v>
      </c>
      <c r="N316" s="2">
        <v>52843265</v>
      </c>
      <c r="O316" t="s">
        <v>1824</v>
      </c>
      <c r="P316" t="s">
        <v>316</v>
      </c>
      <c r="Q316" t="s">
        <v>317</v>
      </c>
      <c r="R316">
        <v>24054166756</v>
      </c>
      <c r="S316" t="s">
        <v>319</v>
      </c>
      <c r="T316">
        <v>860007335</v>
      </c>
      <c r="U316" t="s">
        <v>381</v>
      </c>
      <c r="V316">
        <v>923210</v>
      </c>
      <c r="W316" t="s">
        <v>56</v>
      </c>
      <c r="X316" s="2" t="s">
        <v>57</v>
      </c>
      <c r="Y316" t="s">
        <v>58</v>
      </c>
      <c r="Z316" t="s">
        <v>31</v>
      </c>
      <c r="AA316" t="s">
        <v>32</v>
      </c>
      <c r="AB316" t="s">
        <v>33</v>
      </c>
      <c r="AC316" s="51">
        <v>2489112</v>
      </c>
      <c r="AD316">
        <v>0</v>
      </c>
      <c r="AE316" s="4">
        <v>0</v>
      </c>
      <c r="AF316" s="4">
        <v>0</v>
      </c>
      <c r="AG316" t="s">
        <v>462</v>
      </c>
      <c r="AH316">
        <v>0</v>
      </c>
      <c r="AI316">
        <v>0</v>
      </c>
      <c r="AJ316" s="2" t="s">
        <v>463</v>
      </c>
      <c r="AK316" s="2">
        <v>0</v>
      </c>
      <c r="AL316">
        <v>0</v>
      </c>
      <c r="AM316">
        <v>0</v>
      </c>
      <c r="AN316">
        <v>0</v>
      </c>
      <c r="AO316">
        <v>0</v>
      </c>
      <c r="AP316">
        <v>825</v>
      </c>
      <c r="AQ316">
        <v>825</v>
      </c>
      <c r="AR316">
        <v>27125</v>
      </c>
      <c r="AS316">
        <v>0</v>
      </c>
      <c r="AT316">
        <v>0</v>
      </c>
      <c r="AU316">
        <v>32325</v>
      </c>
      <c r="AV316">
        <v>64600725</v>
      </c>
      <c r="AW316">
        <v>0</v>
      </c>
      <c r="AX316" s="5">
        <v>45697</v>
      </c>
      <c r="AY316" t="s">
        <v>356</v>
      </c>
      <c r="AZ316" t="s">
        <v>1827</v>
      </c>
      <c r="BA316" t="s">
        <v>1332</v>
      </c>
    </row>
    <row r="317" spans="1:53" ht="15" customHeight="1" x14ac:dyDescent="0.2">
      <c r="A317" t="s">
        <v>5161</v>
      </c>
      <c r="B317" t="s">
        <v>2480</v>
      </c>
      <c r="C317" t="s">
        <v>4859</v>
      </c>
      <c r="D317">
        <v>64600825</v>
      </c>
      <c r="E317" s="5">
        <v>45726</v>
      </c>
      <c r="F317" s="5">
        <v>45728.095138888886</v>
      </c>
      <c r="G317" s="4" t="s">
        <v>460</v>
      </c>
      <c r="H317" s="49">
        <v>2170000</v>
      </c>
      <c r="I317" s="49">
        <v>10585</v>
      </c>
      <c r="J317" s="50">
        <v>2159415</v>
      </c>
      <c r="K317" t="s">
        <v>2615</v>
      </c>
      <c r="L317" s="4" t="s">
        <v>461</v>
      </c>
      <c r="M317" t="s">
        <v>351</v>
      </c>
      <c r="N317" s="2">
        <v>1010151692</v>
      </c>
      <c r="O317" t="s">
        <v>1830</v>
      </c>
      <c r="P317" t="s">
        <v>316</v>
      </c>
      <c r="Q317" t="s">
        <v>317</v>
      </c>
      <c r="R317">
        <v>24129030410</v>
      </c>
      <c r="S317" t="s">
        <v>319</v>
      </c>
      <c r="T317">
        <v>860007335</v>
      </c>
      <c r="U317" t="s">
        <v>381</v>
      </c>
      <c r="V317">
        <v>923210</v>
      </c>
      <c r="W317" t="s">
        <v>56</v>
      </c>
      <c r="X317" s="2" t="s">
        <v>29</v>
      </c>
      <c r="Y317" t="s">
        <v>30</v>
      </c>
      <c r="Z317" t="s">
        <v>31</v>
      </c>
      <c r="AA317" t="s">
        <v>32</v>
      </c>
      <c r="AB317" t="s">
        <v>33</v>
      </c>
      <c r="AC317" s="51">
        <v>2170000</v>
      </c>
      <c r="AD317">
        <v>0</v>
      </c>
      <c r="AE317" s="4">
        <v>0</v>
      </c>
      <c r="AF317" s="4">
        <v>0</v>
      </c>
      <c r="AG317" t="s">
        <v>462</v>
      </c>
      <c r="AH317">
        <v>0</v>
      </c>
      <c r="AI317">
        <v>0</v>
      </c>
      <c r="AJ317" s="2" t="s">
        <v>463</v>
      </c>
      <c r="AK317" s="2">
        <v>0</v>
      </c>
      <c r="AL317">
        <v>0</v>
      </c>
      <c r="AM317">
        <v>0</v>
      </c>
      <c r="AN317">
        <v>0</v>
      </c>
      <c r="AO317">
        <v>0</v>
      </c>
      <c r="AP317">
        <v>1925</v>
      </c>
      <c r="AQ317">
        <v>1925</v>
      </c>
      <c r="AR317">
        <v>27225</v>
      </c>
      <c r="AS317">
        <v>0</v>
      </c>
      <c r="AT317">
        <v>0</v>
      </c>
      <c r="AU317">
        <v>32425</v>
      </c>
      <c r="AV317">
        <v>64600825</v>
      </c>
      <c r="AW317">
        <v>0</v>
      </c>
      <c r="AX317" s="5">
        <v>45698</v>
      </c>
      <c r="AY317" t="s">
        <v>356</v>
      </c>
      <c r="AZ317" t="s">
        <v>1833</v>
      </c>
      <c r="BA317" t="s">
        <v>1834</v>
      </c>
    </row>
    <row r="318" spans="1:53" ht="15" customHeight="1" x14ac:dyDescent="0.2">
      <c r="A318" t="s">
        <v>5162</v>
      </c>
      <c r="B318" t="s">
        <v>2481</v>
      </c>
      <c r="C318" t="s">
        <v>4859</v>
      </c>
      <c r="D318">
        <v>64600925</v>
      </c>
      <c r="E318" s="5">
        <v>45726</v>
      </c>
      <c r="F318" s="5">
        <v>45728.095138888886</v>
      </c>
      <c r="G318" s="4" t="s">
        <v>460</v>
      </c>
      <c r="H318" s="49">
        <v>1794713</v>
      </c>
      <c r="I318" s="49">
        <v>9226</v>
      </c>
      <c r="J318" s="50">
        <v>1785487</v>
      </c>
      <c r="K318" t="s">
        <v>2615</v>
      </c>
      <c r="L318" s="4" t="s">
        <v>461</v>
      </c>
      <c r="M318" t="s">
        <v>351</v>
      </c>
      <c r="N318" s="2">
        <v>1136889114</v>
      </c>
      <c r="O318" t="s">
        <v>1836</v>
      </c>
      <c r="P318" t="s">
        <v>316</v>
      </c>
      <c r="Q318" t="s">
        <v>317</v>
      </c>
      <c r="R318">
        <v>24104851841</v>
      </c>
      <c r="S318" t="s">
        <v>319</v>
      </c>
      <c r="T318">
        <v>860007335</v>
      </c>
      <c r="U318" t="s">
        <v>381</v>
      </c>
      <c r="V318">
        <v>923210</v>
      </c>
      <c r="W318" t="s">
        <v>56</v>
      </c>
      <c r="X318" s="2" t="s">
        <v>29</v>
      </c>
      <c r="Y318" t="s">
        <v>30</v>
      </c>
      <c r="Z318" t="s">
        <v>31</v>
      </c>
      <c r="AA318" t="s">
        <v>32</v>
      </c>
      <c r="AB318" t="s">
        <v>33</v>
      </c>
      <c r="AC318" s="51">
        <v>1794713</v>
      </c>
      <c r="AD318">
        <v>0</v>
      </c>
      <c r="AE318" s="4">
        <v>0</v>
      </c>
      <c r="AF318" s="4">
        <v>0</v>
      </c>
      <c r="AG318" t="s">
        <v>462</v>
      </c>
      <c r="AH318">
        <v>0</v>
      </c>
      <c r="AI318">
        <v>0</v>
      </c>
      <c r="AJ318" s="2" t="s">
        <v>463</v>
      </c>
      <c r="AK318" s="2">
        <v>0</v>
      </c>
      <c r="AL318">
        <v>0</v>
      </c>
      <c r="AM318">
        <v>0</v>
      </c>
      <c r="AN318">
        <v>0</v>
      </c>
      <c r="AO318">
        <v>0</v>
      </c>
      <c r="AP318">
        <v>1925</v>
      </c>
      <c r="AQ318">
        <v>1925</v>
      </c>
      <c r="AR318">
        <v>27325</v>
      </c>
      <c r="AS318">
        <v>0</v>
      </c>
      <c r="AT318">
        <v>0</v>
      </c>
      <c r="AU318">
        <v>32525</v>
      </c>
      <c r="AV318">
        <v>64600925</v>
      </c>
      <c r="AW318">
        <v>0</v>
      </c>
      <c r="AX318" s="5">
        <v>45698</v>
      </c>
      <c r="AY318" t="s">
        <v>356</v>
      </c>
      <c r="AZ318" t="s">
        <v>1839</v>
      </c>
      <c r="BA318" t="s">
        <v>1840</v>
      </c>
    </row>
    <row r="319" spans="1:53" ht="15" customHeight="1" x14ac:dyDescent="0.2">
      <c r="A319" t="s">
        <v>5163</v>
      </c>
      <c r="B319" t="s">
        <v>2482</v>
      </c>
      <c r="C319" t="s">
        <v>4859</v>
      </c>
      <c r="D319">
        <v>64601025</v>
      </c>
      <c r="E319" s="5">
        <v>45726</v>
      </c>
      <c r="F319" s="5">
        <v>45728.086111111108</v>
      </c>
      <c r="G319" s="4" t="s">
        <v>460</v>
      </c>
      <c r="H319" s="49">
        <v>1794713</v>
      </c>
      <c r="I319" s="49">
        <v>9226</v>
      </c>
      <c r="J319" s="50">
        <v>1785487</v>
      </c>
      <c r="K319" t="s">
        <v>2615</v>
      </c>
      <c r="L319" s="4" t="s">
        <v>461</v>
      </c>
      <c r="M319" t="s">
        <v>351</v>
      </c>
      <c r="N319" s="2">
        <v>16790163</v>
      </c>
      <c r="O319" t="s">
        <v>1842</v>
      </c>
      <c r="P319" t="s">
        <v>316</v>
      </c>
      <c r="Q319" t="s">
        <v>317</v>
      </c>
      <c r="R319">
        <v>91225315570</v>
      </c>
      <c r="S319" t="s">
        <v>319</v>
      </c>
      <c r="T319">
        <v>890903938</v>
      </c>
      <c r="U319" t="s">
        <v>342</v>
      </c>
      <c r="V319">
        <v>923210</v>
      </c>
      <c r="W319" t="s">
        <v>56</v>
      </c>
      <c r="X319" s="2" t="s">
        <v>29</v>
      </c>
      <c r="Y319" t="s">
        <v>30</v>
      </c>
      <c r="Z319" t="s">
        <v>31</v>
      </c>
      <c r="AA319" t="s">
        <v>32</v>
      </c>
      <c r="AB319" t="s">
        <v>33</v>
      </c>
      <c r="AC319" s="51">
        <v>1794713</v>
      </c>
      <c r="AD319">
        <v>0</v>
      </c>
      <c r="AE319" s="4">
        <v>0</v>
      </c>
      <c r="AF319" s="4">
        <v>0</v>
      </c>
      <c r="AG319" t="s">
        <v>462</v>
      </c>
      <c r="AH319">
        <v>0</v>
      </c>
      <c r="AI319">
        <v>0</v>
      </c>
      <c r="AJ319" s="2" t="s">
        <v>463</v>
      </c>
      <c r="AK319" s="2">
        <v>0</v>
      </c>
      <c r="AL319">
        <v>0</v>
      </c>
      <c r="AM319">
        <v>0</v>
      </c>
      <c r="AN319">
        <v>0</v>
      </c>
      <c r="AO319">
        <v>0</v>
      </c>
      <c r="AP319">
        <v>1925</v>
      </c>
      <c r="AQ319">
        <v>1925</v>
      </c>
      <c r="AR319">
        <v>27425</v>
      </c>
      <c r="AS319">
        <v>0</v>
      </c>
      <c r="AT319">
        <v>0</v>
      </c>
      <c r="AU319">
        <v>32625</v>
      </c>
      <c r="AV319">
        <v>64601025</v>
      </c>
      <c r="AW319">
        <v>0</v>
      </c>
      <c r="AX319" s="5">
        <v>45698</v>
      </c>
      <c r="AY319" t="s">
        <v>356</v>
      </c>
      <c r="AZ319" t="s">
        <v>1845</v>
      </c>
      <c r="BA319" t="s">
        <v>1846</v>
      </c>
    </row>
    <row r="320" spans="1:53" ht="15" customHeight="1" x14ac:dyDescent="0.2">
      <c r="A320" t="s">
        <v>5164</v>
      </c>
      <c r="B320" t="s">
        <v>2483</v>
      </c>
      <c r="C320" t="s">
        <v>4859</v>
      </c>
      <c r="D320">
        <v>64601125</v>
      </c>
      <c r="E320" s="5">
        <v>45726</v>
      </c>
      <c r="F320" s="5">
        <v>45728.098611111112</v>
      </c>
      <c r="G320" s="4" t="s">
        <v>460</v>
      </c>
      <c r="H320" s="49">
        <v>2660000</v>
      </c>
      <c r="I320" s="49">
        <v>14418</v>
      </c>
      <c r="J320" s="50">
        <v>2645582</v>
      </c>
      <c r="K320" t="s">
        <v>2615</v>
      </c>
      <c r="L320" s="4" t="s">
        <v>461</v>
      </c>
      <c r="M320" t="s">
        <v>351</v>
      </c>
      <c r="N320" s="2">
        <v>52905526</v>
      </c>
      <c r="O320" t="s">
        <v>1848</v>
      </c>
      <c r="P320" t="s">
        <v>316</v>
      </c>
      <c r="Q320" t="s">
        <v>317</v>
      </c>
      <c r="R320">
        <v>550456000048920</v>
      </c>
      <c r="S320" t="s">
        <v>319</v>
      </c>
      <c r="T320">
        <v>860034313</v>
      </c>
      <c r="U320" t="s">
        <v>355</v>
      </c>
      <c r="V320">
        <v>923210</v>
      </c>
      <c r="W320" t="s">
        <v>56</v>
      </c>
      <c r="X320" s="2" t="s">
        <v>29</v>
      </c>
      <c r="Y320" t="s">
        <v>30</v>
      </c>
      <c r="Z320" t="s">
        <v>31</v>
      </c>
      <c r="AA320" t="s">
        <v>32</v>
      </c>
      <c r="AB320" t="s">
        <v>33</v>
      </c>
      <c r="AC320" s="51">
        <v>2660000</v>
      </c>
      <c r="AD320">
        <v>0</v>
      </c>
      <c r="AE320" s="4">
        <v>0</v>
      </c>
      <c r="AF320" s="4">
        <v>0</v>
      </c>
      <c r="AG320" t="s">
        <v>462</v>
      </c>
      <c r="AH320">
        <v>0</v>
      </c>
      <c r="AI320">
        <v>0</v>
      </c>
      <c r="AJ320" s="2" t="s">
        <v>463</v>
      </c>
      <c r="AK320" s="2">
        <v>0</v>
      </c>
      <c r="AL320">
        <v>0</v>
      </c>
      <c r="AM320">
        <v>0</v>
      </c>
      <c r="AN320">
        <v>0</v>
      </c>
      <c r="AO320">
        <v>0</v>
      </c>
      <c r="AP320">
        <v>1925</v>
      </c>
      <c r="AQ320">
        <v>1925</v>
      </c>
      <c r="AR320">
        <v>27525</v>
      </c>
      <c r="AS320">
        <v>0</v>
      </c>
      <c r="AT320">
        <v>0</v>
      </c>
      <c r="AU320">
        <v>32725</v>
      </c>
      <c r="AV320">
        <v>64601125</v>
      </c>
      <c r="AW320">
        <v>0</v>
      </c>
      <c r="AX320" s="5">
        <v>45698</v>
      </c>
      <c r="AY320" t="s">
        <v>356</v>
      </c>
      <c r="AZ320" t="s">
        <v>1851</v>
      </c>
      <c r="BA320" t="s">
        <v>1852</v>
      </c>
    </row>
    <row r="321" spans="1:53" ht="15" customHeight="1" x14ac:dyDescent="0.2">
      <c r="A321" t="s">
        <v>5165</v>
      </c>
      <c r="B321" t="s">
        <v>2484</v>
      </c>
      <c r="C321" t="s">
        <v>4859</v>
      </c>
      <c r="D321">
        <v>64601225</v>
      </c>
      <c r="E321" s="5">
        <v>45726</v>
      </c>
      <c r="F321" s="5">
        <v>45728.095833333333</v>
      </c>
      <c r="G321" s="4" t="s">
        <v>460</v>
      </c>
      <c r="H321" s="49">
        <v>2597334</v>
      </c>
      <c r="I321" s="49">
        <v>14042</v>
      </c>
      <c r="J321" s="50">
        <v>2583292</v>
      </c>
      <c r="K321" t="s">
        <v>2615</v>
      </c>
      <c r="L321" s="4" t="s">
        <v>461</v>
      </c>
      <c r="M321" t="s">
        <v>351</v>
      </c>
      <c r="N321" s="2">
        <v>79428808</v>
      </c>
      <c r="O321" t="s">
        <v>1854</v>
      </c>
      <c r="P321" t="s">
        <v>316</v>
      </c>
      <c r="Q321" t="s">
        <v>317</v>
      </c>
      <c r="R321">
        <v>24023036488</v>
      </c>
      <c r="S321" t="s">
        <v>319</v>
      </c>
      <c r="T321">
        <v>860007335</v>
      </c>
      <c r="U321" t="s">
        <v>381</v>
      </c>
      <c r="V321">
        <v>923210</v>
      </c>
      <c r="W321" t="s">
        <v>56</v>
      </c>
      <c r="X321" s="2" t="s">
        <v>29</v>
      </c>
      <c r="Y321" t="s">
        <v>30</v>
      </c>
      <c r="Z321" t="s">
        <v>31</v>
      </c>
      <c r="AA321" t="s">
        <v>32</v>
      </c>
      <c r="AB321" t="s">
        <v>33</v>
      </c>
      <c r="AC321" s="51">
        <v>2597334</v>
      </c>
      <c r="AD321">
        <v>0</v>
      </c>
      <c r="AE321" s="4">
        <v>0</v>
      </c>
      <c r="AF321" s="4">
        <v>0</v>
      </c>
      <c r="AG321" t="s">
        <v>462</v>
      </c>
      <c r="AH321">
        <v>0</v>
      </c>
      <c r="AI321">
        <v>0</v>
      </c>
      <c r="AJ321" s="2" t="s">
        <v>463</v>
      </c>
      <c r="AK321" s="2">
        <v>0</v>
      </c>
      <c r="AL321">
        <v>0</v>
      </c>
      <c r="AM321">
        <v>0</v>
      </c>
      <c r="AN321">
        <v>0</v>
      </c>
      <c r="AO321">
        <v>0</v>
      </c>
      <c r="AP321">
        <v>1925</v>
      </c>
      <c r="AQ321">
        <v>1925</v>
      </c>
      <c r="AR321">
        <v>27625</v>
      </c>
      <c r="AS321">
        <v>0</v>
      </c>
      <c r="AT321">
        <v>0</v>
      </c>
      <c r="AU321">
        <v>32825</v>
      </c>
      <c r="AV321">
        <v>64601225</v>
      </c>
      <c r="AW321">
        <v>0</v>
      </c>
      <c r="AX321" s="5">
        <v>45698</v>
      </c>
      <c r="AY321" t="s">
        <v>356</v>
      </c>
      <c r="AZ321" t="s">
        <v>1857</v>
      </c>
      <c r="BA321" t="s">
        <v>1858</v>
      </c>
    </row>
    <row r="322" spans="1:53" ht="15" customHeight="1" x14ac:dyDescent="0.2">
      <c r="A322" t="s">
        <v>5166</v>
      </c>
      <c r="B322" t="s">
        <v>2485</v>
      </c>
      <c r="C322" t="s">
        <v>4867</v>
      </c>
      <c r="D322">
        <v>64601325</v>
      </c>
      <c r="E322" s="5">
        <v>45726</v>
      </c>
      <c r="F322" s="5">
        <v>45728.095138888886</v>
      </c>
      <c r="G322" s="4" t="s">
        <v>460</v>
      </c>
      <c r="H322" s="49">
        <v>1672605</v>
      </c>
      <c r="I322" s="49">
        <v>8969</v>
      </c>
      <c r="J322" s="50">
        <v>1663636</v>
      </c>
      <c r="K322" t="s">
        <v>2615</v>
      </c>
      <c r="L322" s="4" t="s">
        <v>461</v>
      </c>
      <c r="M322" t="s">
        <v>351</v>
      </c>
      <c r="N322" s="2">
        <v>79207235</v>
      </c>
      <c r="O322" t="s">
        <v>1860</v>
      </c>
      <c r="P322" t="s">
        <v>316</v>
      </c>
      <c r="Q322" t="s">
        <v>317</v>
      </c>
      <c r="R322">
        <v>24115675441</v>
      </c>
      <c r="S322" t="s">
        <v>319</v>
      </c>
      <c r="T322">
        <v>860007335</v>
      </c>
      <c r="U322" t="s">
        <v>381</v>
      </c>
      <c r="V322">
        <v>923290</v>
      </c>
      <c r="W322" t="s">
        <v>208</v>
      </c>
      <c r="X322" s="2" t="s">
        <v>29</v>
      </c>
      <c r="Y322" t="s">
        <v>30</v>
      </c>
      <c r="Z322" t="s">
        <v>31</v>
      </c>
      <c r="AA322" t="s">
        <v>32</v>
      </c>
      <c r="AB322" t="s">
        <v>33</v>
      </c>
      <c r="AC322" s="51">
        <v>1672605</v>
      </c>
      <c r="AD322">
        <v>0</v>
      </c>
      <c r="AE322" s="4">
        <v>0</v>
      </c>
      <c r="AF322" s="4">
        <v>0</v>
      </c>
      <c r="AG322" t="s">
        <v>462</v>
      </c>
      <c r="AH322">
        <v>0</v>
      </c>
      <c r="AI322">
        <v>0</v>
      </c>
      <c r="AJ322" s="2" t="s">
        <v>463</v>
      </c>
      <c r="AK322" s="2">
        <v>0</v>
      </c>
      <c r="AL322">
        <v>0</v>
      </c>
      <c r="AM322">
        <v>0</v>
      </c>
      <c r="AN322">
        <v>0</v>
      </c>
      <c r="AO322">
        <v>0</v>
      </c>
      <c r="AP322">
        <v>4525</v>
      </c>
      <c r="AQ322">
        <v>4525</v>
      </c>
      <c r="AR322">
        <v>27725</v>
      </c>
      <c r="AS322">
        <v>0</v>
      </c>
      <c r="AT322">
        <v>0</v>
      </c>
      <c r="AU322">
        <v>32925</v>
      </c>
      <c r="AV322">
        <v>64601325</v>
      </c>
      <c r="AW322">
        <v>0</v>
      </c>
      <c r="AX322" s="5">
        <v>45698</v>
      </c>
      <c r="AY322" t="s">
        <v>356</v>
      </c>
      <c r="AZ322" t="s">
        <v>1862</v>
      </c>
      <c r="BA322" t="s">
        <v>1863</v>
      </c>
    </row>
    <row r="323" spans="1:53" ht="15" customHeight="1" x14ac:dyDescent="0.2">
      <c r="A323" t="s">
        <v>5167</v>
      </c>
      <c r="B323" t="s">
        <v>2486</v>
      </c>
      <c r="C323" t="s">
        <v>4859</v>
      </c>
      <c r="D323">
        <v>64601425</v>
      </c>
      <c r="E323" s="5">
        <v>45726</v>
      </c>
      <c r="F323" s="5">
        <v>45728.082638888889</v>
      </c>
      <c r="G323" s="4" t="s">
        <v>460</v>
      </c>
      <c r="H323" s="49">
        <v>1626194</v>
      </c>
      <c r="I323" s="49">
        <v>8215</v>
      </c>
      <c r="J323" s="50">
        <v>1617979</v>
      </c>
      <c r="K323" t="s">
        <v>2615</v>
      </c>
      <c r="L323" s="4" t="s">
        <v>461</v>
      </c>
      <c r="M323" t="s">
        <v>351</v>
      </c>
      <c r="N323" s="2">
        <v>1028781645</v>
      </c>
      <c r="O323" t="s">
        <v>1865</v>
      </c>
      <c r="P323" t="s">
        <v>316</v>
      </c>
      <c r="Q323" t="s">
        <v>317</v>
      </c>
      <c r="R323">
        <v>261425169</v>
      </c>
      <c r="S323" t="s">
        <v>319</v>
      </c>
      <c r="T323">
        <v>860002964</v>
      </c>
      <c r="U323" t="s">
        <v>419</v>
      </c>
      <c r="V323">
        <v>923210</v>
      </c>
      <c r="W323" t="s">
        <v>56</v>
      </c>
      <c r="X323" s="2" t="s">
        <v>29</v>
      </c>
      <c r="Y323" t="s">
        <v>30</v>
      </c>
      <c r="Z323" t="s">
        <v>31</v>
      </c>
      <c r="AA323" t="s">
        <v>32</v>
      </c>
      <c r="AB323" t="s">
        <v>33</v>
      </c>
      <c r="AC323" s="51">
        <v>1626194</v>
      </c>
      <c r="AD323">
        <v>0</v>
      </c>
      <c r="AE323" s="4">
        <v>0</v>
      </c>
      <c r="AF323" s="4">
        <v>0</v>
      </c>
      <c r="AG323" t="s">
        <v>462</v>
      </c>
      <c r="AH323">
        <v>0</v>
      </c>
      <c r="AI323">
        <v>0</v>
      </c>
      <c r="AJ323" s="2" t="s">
        <v>463</v>
      </c>
      <c r="AK323" s="2">
        <v>0</v>
      </c>
      <c r="AL323">
        <v>0</v>
      </c>
      <c r="AM323">
        <v>0</v>
      </c>
      <c r="AN323">
        <v>0</v>
      </c>
      <c r="AO323">
        <v>0</v>
      </c>
      <c r="AP323">
        <v>1925</v>
      </c>
      <c r="AQ323">
        <v>1925</v>
      </c>
      <c r="AR323">
        <v>27825</v>
      </c>
      <c r="AS323">
        <v>0</v>
      </c>
      <c r="AT323">
        <v>0</v>
      </c>
      <c r="AU323">
        <v>33025</v>
      </c>
      <c r="AV323">
        <v>64601425</v>
      </c>
      <c r="AW323">
        <v>0</v>
      </c>
      <c r="AX323" s="5">
        <v>45698</v>
      </c>
      <c r="AY323" t="s">
        <v>356</v>
      </c>
      <c r="AZ323" t="s">
        <v>1868</v>
      </c>
      <c r="BA323" t="s">
        <v>1869</v>
      </c>
    </row>
    <row r="324" spans="1:53" ht="15" customHeight="1" x14ac:dyDescent="0.2">
      <c r="A324" t="s">
        <v>5168</v>
      </c>
      <c r="B324" t="s">
        <v>2487</v>
      </c>
      <c r="C324" t="s">
        <v>4859</v>
      </c>
      <c r="D324">
        <v>64601525</v>
      </c>
      <c r="E324" s="5">
        <v>45726</v>
      </c>
      <c r="F324" s="5">
        <v>45728.097222222219</v>
      </c>
      <c r="G324" s="4" t="s">
        <v>460</v>
      </c>
      <c r="H324" s="49">
        <v>1672605</v>
      </c>
      <c r="I324" s="49">
        <v>9303</v>
      </c>
      <c r="J324" s="50">
        <v>1663302</v>
      </c>
      <c r="K324" t="s">
        <v>2615</v>
      </c>
      <c r="L324" s="4" t="s">
        <v>461</v>
      </c>
      <c r="M324" t="s">
        <v>351</v>
      </c>
      <c r="N324" s="2">
        <v>79661139</v>
      </c>
      <c r="O324" t="s">
        <v>1871</v>
      </c>
      <c r="P324" t="s">
        <v>316</v>
      </c>
      <c r="Q324" t="s">
        <v>317</v>
      </c>
      <c r="R324">
        <v>4400141166</v>
      </c>
      <c r="S324" t="s">
        <v>319</v>
      </c>
      <c r="T324">
        <v>860034313</v>
      </c>
      <c r="U324" t="s">
        <v>355</v>
      </c>
      <c r="V324">
        <v>923210</v>
      </c>
      <c r="W324" t="s">
        <v>56</v>
      </c>
      <c r="X324" s="2" t="s">
        <v>29</v>
      </c>
      <c r="Y324" t="s">
        <v>30</v>
      </c>
      <c r="Z324" t="s">
        <v>31</v>
      </c>
      <c r="AA324" t="s">
        <v>32</v>
      </c>
      <c r="AB324" t="s">
        <v>33</v>
      </c>
      <c r="AC324" s="51">
        <v>1672605</v>
      </c>
      <c r="AD324">
        <v>0</v>
      </c>
      <c r="AE324" s="4">
        <v>0</v>
      </c>
      <c r="AF324" s="4">
        <v>0</v>
      </c>
      <c r="AG324" t="s">
        <v>462</v>
      </c>
      <c r="AH324">
        <v>0</v>
      </c>
      <c r="AI324">
        <v>0</v>
      </c>
      <c r="AJ324" s="2" t="s">
        <v>463</v>
      </c>
      <c r="AK324" s="2">
        <v>0</v>
      </c>
      <c r="AL324">
        <v>0</v>
      </c>
      <c r="AM324">
        <v>0</v>
      </c>
      <c r="AN324">
        <v>0</v>
      </c>
      <c r="AO324">
        <v>0</v>
      </c>
      <c r="AP324">
        <v>1925</v>
      </c>
      <c r="AQ324">
        <v>1925</v>
      </c>
      <c r="AR324">
        <v>27925</v>
      </c>
      <c r="AS324">
        <v>0</v>
      </c>
      <c r="AT324">
        <v>0</v>
      </c>
      <c r="AU324">
        <v>33125</v>
      </c>
      <c r="AV324">
        <v>64601525</v>
      </c>
      <c r="AW324">
        <v>0</v>
      </c>
      <c r="AX324" s="5">
        <v>45698</v>
      </c>
      <c r="AY324" t="s">
        <v>356</v>
      </c>
      <c r="AZ324" t="s">
        <v>1874</v>
      </c>
      <c r="BA324" t="s">
        <v>1875</v>
      </c>
    </row>
    <row r="325" spans="1:53" ht="15" customHeight="1" x14ac:dyDescent="0.2">
      <c r="A325" t="s">
        <v>5169</v>
      </c>
      <c r="B325" t="s">
        <v>2488</v>
      </c>
      <c r="C325" t="s">
        <v>4859</v>
      </c>
      <c r="D325">
        <v>64601625</v>
      </c>
      <c r="E325" s="5">
        <v>45726</v>
      </c>
      <c r="F325" s="5">
        <v>45728.082638888889</v>
      </c>
      <c r="G325" s="4" t="s">
        <v>460</v>
      </c>
      <c r="H325" s="49">
        <v>1672605</v>
      </c>
      <c r="I325" s="49">
        <v>7601</v>
      </c>
      <c r="J325" s="50">
        <v>1665004</v>
      </c>
      <c r="K325" t="s">
        <v>2615</v>
      </c>
      <c r="L325" s="4" t="s">
        <v>461</v>
      </c>
      <c r="M325" t="s">
        <v>351</v>
      </c>
      <c r="N325" s="2">
        <v>79205725</v>
      </c>
      <c r="O325" t="s">
        <v>1877</v>
      </c>
      <c r="P325" t="s">
        <v>316</v>
      </c>
      <c r="Q325" t="s">
        <v>317</v>
      </c>
      <c r="R325">
        <v>161545264</v>
      </c>
      <c r="S325" t="s">
        <v>319</v>
      </c>
      <c r="T325">
        <v>860002964</v>
      </c>
      <c r="U325" t="s">
        <v>419</v>
      </c>
      <c r="V325">
        <v>923210</v>
      </c>
      <c r="W325" t="s">
        <v>56</v>
      </c>
      <c r="X325" s="2" t="s">
        <v>29</v>
      </c>
      <c r="Y325" t="s">
        <v>30</v>
      </c>
      <c r="Z325" t="s">
        <v>31</v>
      </c>
      <c r="AA325" t="s">
        <v>32</v>
      </c>
      <c r="AB325" t="s">
        <v>33</v>
      </c>
      <c r="AC325" s="51">
        <v>1672605</v>
      </c>
      <c r="AD325">
        <v>0</v>
      </c>
      <c r="AE325" s="4">
        <v>0</v>
      </c>
      <c r="AF325" s="4">
        <v>0</v>
      </c>
      <c r="AG325" t="s">
        <v>462</v>
      </c>
      <c r="AH325">
        <v>0</v>
      </c>
      <c r="AI325">
        <v>0</v>
      </c>
      <c r="AJ325" s="2" t="s">
        <v>463</v>
      </c>
      <c r="AK325" s="2">
        <v>0</v>
      </c>
      <c r="AL325">
        <v>0</v>
      </c>
      <c r="AM325">
        <v>0</v>
      </c>
      <c r="AN325">
        <v>0</v>
      </c>
      <c r="AO325">
        <v>0</v>
      </c>
      <c r="AP325">
        <v>1925</v>
      </c>
      <c r="AQ325">
        <v>1925</v>
      </c>
      <c r="AR325">
        <v>28025</v>
      </c>
      <c r="AS325">
        <v>0</v>
      </c>
      <c r="AT325">
        <v>0</v>
      </c>
      <c r="AU325">
        <v>33225</v>
      </c>
      <c r="AV325">
        <v>64601625</v>
      </c>
      <c r="AW325">
        <v>0</v>
      </c>
      <c r="AX325" s="5">
        <v>45698</v>
      </c>
      <c r="AY325" t="s">
        <v>356</v>
      </c>
      <c r="AZ325" t="s">
        <v>1880</v>
      </c>
      <c r="BA325" t="s">
        <v>1875</v>
      </c>
    </row>
    <row r="326" spans="1:53" ht="15" customHeight="1" x14ac:dyDescent="0.2">
      <c r="A326" t="s">
        <v>5170</v>
      </c>
      <c r="B326" t="s">
        <v>2489</v>
      </c>
      <c r="C326" t="s">
        <v>4892</v>
      </c>
      <c r="D326">
        <v>64601725</v>
      </c>
      <c r="E326" s="5">
        <v>45726</v>
      </c>
      <c r="F326" s="5">
        <v>45728.088888888888</v>
      </c>
      <c r="G326" s="4" t="s">
        <v>460</v>
      </c>
      <c r="H326" s="49">
        <v>3219658</v>
      </c>
      <c r="I326" s="49">
        <v>16883</v>
      </c>
      <c r="J326" s="50">
        <v>3202775</v>
      </c>
      <c r="K326" t="s">
        <v>2615</v>
      </c>
      <c r="L326" s="4" t="s">
        <v>461</v>
      </c>
      <c r="M326" t="s">
        <v>351</v>
      </c>
      <c r="N326" s="2">
        <v>16897160</v>
      </c>
      <c r="O326" t="s">
        <v>1882</v>
      </c>
      <c r="P326" t="s">
        <v>316</v>
      </c>
      <c r="Q326" t="s">
        <v>317</v>
      </c>
      <c r="R326">
        <v>80600014548</v>
      </c>
      <c r="S326" t="s">
        <v>319</v>
      </c>
      <c r="T326">
        <v>890903938</v>
      </c>
      <c r="U326" t="s">
        <v>342</v>
      </c>
      <c r="V326">
        <v>923211</v>
      </c>
      <c r="W326" t="s">
        <v>69</v>
      </c>
      <c r="X326" s="2" t="s">
        <v>29</v>
      </c>
      <c r="Y326" t="s">
        <v>30</v>
      </c>
      <c r="Z326" t="s">
        <v>31</v>
      </c>
      <c r="AA326" t="s">
        <v>32</v>
      </c>
      <c r="AB326" t="s">
        <v>33</v>
      </c>
      <c r="AC326" s="51">
        <v>3219658</v>
      </c>
      <c r="AD326">
        <v>0</v>
      </c>
      <c r="AE326" s="4">
        <v>0</v>
      </c>
      <c r="AF326" s="4">
        <v>0</v>
      </c>
      <c r="AG326" t="s">
        <v>462</v>
      </c>
      <c r="AH326">
        <v>0</v>
      </c>
      <c r="AI326">
        <v>0</v>
      </c>
      <c r="AJ326" s="2" t="s">
        <v>463</v>
      </c>
      <c r="AK326" s="2">
        <v>0</v>
      </c>
      <c r="AL326">
        <v>0</v>
      </c>
      <c r="AM326">
        <v>0</v>
      </c>
      <c r="AN326">
        <v>0</v>
      </c>
      <c r="AO326">
        <v>0</v>
      </c>
      <c r="AP326">
        <v>2125</v>
      </c>
      <c r="AQ326">
        <v>2125</v>
      </c>
      <c r="AR326">
        <v>28125</v>
      </c>
      <c r="AS326">
        <v>0</v>
      </c>
      <c r="AT326">
        <v>0</v>
      </c>
      <c r="AU326">
        <v>33325</v>
      </c>
      <c r="AV326">
        <v>64601725</v>
      </c>
      <c r="AW326">
        <v>0</v>
      </c>
      <c r="AX326" s="5">
        <v>45698</v>
      </c>
      <c r="AY326" t="s">
        <v>356</v>
      </c>
      <c r="AZ326" t="s">
        <v>1885</v>
      </c>
      <c r="BA326" t="s">
        <v>1886</v>
      </c>
    </row>
    <row r="327" spans="1:53" ht="15" customHeight="1" x14ac:dyDescent="0.2">
      <c r="A327" t="s">
        <v>5171</v>
      </c>
      <c r="B327" t="s">
        <v>2490</v>
      </c>
      <c r="C327" t="s">
        <v>4859</v>
      </c>
      <c r="D327">
        <v>64601825</v>
      </c>
      <c r="E327" s="5">
        <v>45726</v>
      </c>
      <c r="F327" s="5">
        <v>45728.097222222219</v>
      </c>
      <c r="G327" s="4" t="s">
        <v>460</v>
      </c>
      <c r="H327" s="49">
        <v>1680000</v>
      </c>
      <c r="I327" s="49">
        <v>8538</v>
      </c>
      <c r="J327" s="50">
        <v>1671462</v>
      </c>
      <c r="K327" t="s">
        <v>2615</v>
      </c>
      <c r="L327" s="4" t="s">
        <v>461</v>
      </c>
      <c r="M327" t="s">
        <v>351</v>
      </c>
      <c r="N327" s="2">
        <v>52800088</v>
      </c>
      <c r="O327" t="s">
        <v>1888</v>
      </c>
      <c r="P327" t="s">
        <v>316</v>
      </c>
      <c r="Q327" t="s">
        <v>317</v>
      </c>
      <c r="R327">
        <v>456800259214</v>
      </c>
      <c r="S327" t="s">
        <v>319</v>
      </c>
      <c r="T327">
        <v>860034313</v>
      </c>
      <c r="U327" t="s">
        <v>355</v>
      </c>
      <c r="V327">
        <v>923210</v>
      </c>
      <c r="W327" t="s">
        <v>56</v>
      </c>
      <c r="X327" s="2" t="s">
        <v>29</v>
      </c>
      <c r="Y327" t="s">
        <v>30</v>
      </c>
      <c r="Z327" t="s">
        <v>31</v>
      </c>
      <c r="AA327" t="s">
        <v>32</v>
      </c>
      <c r="AB327" t="s">
        <v>33</v>
      </c>
      <c r="AC327" s="51">
        <v>1680000</v>
      </c>
      <c r="AD327">
        <v>0</v>
      </c>
      <c r="AE327" s="4">
        <v>0</v>
      </c>
      <c r="AF327" s="4">
        <v>0</v>
      </c>
      <c r="AG327" t="s">
        <v>462</v>
      </c>
      <c r="AH327">
        <v>0</v>
      </c>
      <c r="AI327">
        <v>0</v>
      </c>
      <c r="AJ327" s="2" t="s">
        <v>463</v>
      </c>
      <c r="AK327" s="2">
        <v>0</v>
      </c>
      <c r="AL327">
        <v>0</v>
      </c>
      <c r="AM327">
        <v>0</v>
      </c>
      <c r="AN327">
        <v>0</v>
      </c>
      <c r="AO327">
        <v>0</v>
      </c>
      <c r="AP327">
        <v>1925</v>
      </c>
      <c r="AQ327">
        <v>1925</v>
      </c>
      <c r="AR327">
        <v>28225</v>
      </c>
      <c r="AS327">
        <v>0</v>
      </c>
      <c r="AT327">
        <v>0</v>
      </c>
      <c r="AU327">
        <v>33425</v>
      </c>
      <c r="AV327">
        <v>64601825</v>
      </c>
      <c r="AW327">
        <v>0</v>
      </c>
      <c r="AX327" s="5">
        <v>45698</v>
      </c>
      <c r="AY327" t="s">
        <v>356</v>
      </c>
      <c r="AZ327" t="s">
        <v>1891</v>
      </c>
      <c r="BA327" t="s">
        <v>1892</v>
      </c>
    </row>
    <row r="328" spans="1:53" ht="15" customHeight="1" x14ac:dyDescent="0.2">
      <c r="A328" t="s">
        <v>5172</v>
      </c>
      <c r="B328" t="s">
        <v>2491</v>
      </c>
      <c r="C328" t="s">
        <v>5000</v>
      </c>
      <c r="D328">
        <v>64601925</v>
      </c>
      <c r="E328" s="5">
        <v>45726</v>
      </c>
      <c r="F328" s="5">
        <v>45728.095833333333</v>
      </c>
      <c r="G328" s="4" t="s">
        <v>460</v>
      </c>
      <c r="H328" s="49">
        <v>2646276</v>
      </c>
      <c r="I328" s="49">
        <v>14092</v>
      </c>
      <c r="J328" s="50">
        <v>2632184</v>
      </c>
      <c r="K328" t="s">
        <v>2615</v>
      </c>
      <c r="L328" s="4" t="s">
        <v>461</v>
      </c>
      <c r="M328" t="s">
        <v>351</v>
      </c>
      <c r="N328" s="2">
        <v>1010226452</v>
      </c>
      <c r="O328" t="s">
        <v>1894</v>
      </c>
      <c r="P328" t="s">
        <v>316</v>
      </c>
      <c r="Q328" t="s">
        <v>317</v>
      </c>
      <c r="R328">
        <v>24052664386</v>
      </c>
      <c r="S328" t="s">
        <v>319</v>
      </c>
      <c r="T328">
        <v>860007335</v>
      </c>
      <c r="U328" t="s">
        <v>381</v>
      </c>
      <c r="V328">
        <v>923242</v>
      </c>
      <c r="W328" t="s">
        <v>175</v>
      </c>
      <c r="X328" s="2" t="s">
        <v>29</v>
      </c>
      <c r="Y328" t="s">
        <v>30</v>
      </c>
      <c r="Z328" t="s">
        <v>31</v>
      </c>
      <c r="AA328" t="s">
        <v>32</v>
      </c>
      <c r="AB328" t="s">
        <v>33</v>
      </c>
      <c r="AC328" s="51">
        <v>2646276</v>
      </c>
      <c r="AD328">
        <v>0</v>
      </c>
      <c r="AE328" s="4">
        <v>0</v>
      </c>
      <c r="AF328" s="4">
        <v>0</v>
      </c>
      <c r="AG328" t="s">
        <v>462</v>
      </c>
      <c r="AH328">
        <v>0</v>
      </c>
      <c r="AI328">
        <v>0</v>
      </c>
      <c r="AJ328" s="2" t="s">
        <v>463</v>
      </c>
      <c r="AK328" s="2">
        <v>0</v>
      </c>
      <c r="AL328">
        <v>0</v>
      </c>
      <c r="AM328">
        <v>0</v>
      </c>
      <c r="AN328">
        <v>0</v>
      </c>
      <c r="AO328">
        <v>0</v>
      </c>
      <c r="AP328">
        <v>3625</v>
      </c>
      <c r="AQ328">
        <v>3625</v>
      </c>
      <c r="AR328">
        <v>28325</v>
      </c>
      <c r="AS328">
        <v>0</v>
      </c>
      <c r="AT328">
        <v>0</v>
      </c>
      <c r="AU328">
        <v>33525</v>
      </c>
      <c r="AV328">
        <v>64601925</v>
      </c>
      <c r="AW328">
        <v>0</v>
      </c>
      <c r="AX328" s="5">
        <v>45698</v>
      </c>
      <c r="AY328" t="s">
        <v>356</v>
      </c>
      <c r="AZ328" t="s">
        <v>1897</v>
      </c>
      <c r="BA328" t="s">
        <v>1898</v>
      </c>
    </row>
    <row r="329" spans="1:53" ht="15" customHeight="1" x14ac:dyDescent="0.2">
      <c r="A329" t="s">
        <v>5173</v>
      </c>
      <c r="B329" t="s">
        <v>2492</v>
      </c>
      <c r="C329" t="s">
        <v>5000</v>
      </c>
      <c r="D329">
        <v>64602025</v>
      </c>
      <c r="E329" s="5">
        <v>45726</v>
      </c>
      <c r="F329" s="5">
        <v>45728.094444444447</v>
      </c>
      <c r="G329" s="4" t="s">
        <v>460</v>
      </c>
      <c r="H329" s="49">
        <v>2115116</v>
      </c>
      <c r="I329" s="49">
        <v>10256</v>
      </c>
      <c r="J329" s="50">
        <v>2104860</v>
      </c>
      <c r="K329" t="s">
        <v>2615</v>
      </c>
      <c r="L329" s="4" t="s">
        <v>461</v>
      </c>
      <c r="M329" t="s">
        <v>351</v>
      </c>
      <c r="N329" s="2">
        <v>79418258</v>
      </c>
      <c r="O329" t="s">
        <v>1900</v>
      </c>
      <c r="P329" t="s">
        <v>316</v>
      </c>
      <c r="Q329" t="s">
        <v>317</v>
      </c>
      <c r="R329">
        <v>4622049045</v>
      </c>
      <c r="S329" t="s">
        <v>319</v>
      </c>
      <c r="T329">
        <v>860034594</v>
      </c>
      <c r="U329" t="s">
        <v>374</v>
      </c>
      <c r="V329">
        <v>923242</v>
      </c>
      <c r="W329" t="s">
        <v>175</v>
      </c>
      <c r="X329" s="2" t="s">
        <v>29</v>
      </c>
      <c r="Y329" t="s">
        <v>30</v>
      </c>
      <c r="Z329" t="s">
        <v>31</v>
      </c>
      <c r="AA329" t="s">
        <v>32</v>
      </c>
      <c r="AB329" t="s">
        <v>33</v>
      </c>
      <c r="AC329" s="51">
        <v>2115116</v>
      </c>
      <c r="AD329">
        <v>0</v>
      </c>
      <c r="AE329" s="4">
        <v>0</v>
      </c>
      <c r="AF329" s="4">
        <v>0</v>
      </c>
      <c r="AG329" t="s">
        <v>462</v>
      </c>
      <c r="AH329">
        <v>0</v>
      </c>
      <c r="AI329">
        <v>0</v>
      </c>
      <c r="AJ329" s="2" t="s">
        <v>463</v>
      </c>
      <c r="AK329" s="2">
        <v>0</v>
      </c>
      <c r="AL329">
        <v>0</v>
      </c>
      <c r="AM329">
        <v>0</v>
      </c>
      <c r="AN329">
        <v>0</v>
      </c>
      <c r="AO329">
        <v>0</v>
      </c>
      <c r="AP329">
        <v>3625</v>
      </c>
      <c r="AQ329">
        <v>3625</v>
      </c>
      <c r="AR329">
        <v>28425</v>
      </c>
      <c r="AS329">
        <v>0</v>
      </c>
      <c r="AT329">
        <v>0</v>
      </c>
      <c r="AU329">
        <v>33625</v>
      </c>
      <c r="AV329">
        <v>64602025</v>
      </c>
      <c r="AW329">
        <v>0</v>
      </c>
      <c r="AX329" s="5">
        <v>45698</v>
      </c>
      <c r="AY329" t="s">
        <v>356</v>
      </c>
      <c r="AZ329" t="s">
        <v>1903</v>
      </c>
      <c r="BA329" t="s">
        <v>1904</v>
      </c>
    </row>
    <row r="330" spans="1:53" ht="15" customHeight="1" x14ac:dyDescent="0.2">
      <c r="A330" t="s">
        <v>5174</v>
      </c>
      <c r="B330" t="s">
        <v>2493</v>
      </c>
      <c r="C330" t="s">
        <v>5000</v>
      </c>
      <c r="D330">
        <v>64602125</v>
      </c>
      <c r="E330" s="5">
        <v>45726</v>
      </c>
      <c r="F330" s="5">
        <v>45728.095833333333</v>
      </c>
      <c r="G330" s="4" t="s">
        <v>460</v>
      </c>
      <c r="H330" s="49">
        <v>2646276</v>
      </c>
      <c r="I330" s="49">
        <v>13443</v>
      </c>
      <c r="J330" s="50">
        <v>2632833</v>
      </c>
      <c r="K330" t="s">
        <v>2615</v>
      </c>
      <c r="L330" s="4" t="s">
        <v>461</v>
      </c>
      <c r="M330" t="s">
        <v>351</v>
      </c>
      <c r="N330" s="2">
        <v>1018427297</v>
      </c>
      <c r="O330" t="s">
        <v>1906</v>
      </c>
      <c r="P330" t="s">
        <v>316</v>
      </c>
      <c r="Q330" t="s">
        <v>317</v>
      </c>
      <c r="R330">
        <v>24077305352</v>
      </c>
      <c r="S330" t="s">
        <v>319</v>
      </c>
      <c r="T330">
        <v>860007335</v>
      </c>
      <c r="U330" t="s">
        <v>381</v>
      </c>
      <c r="V330">
        <v>923242</v>
      </c>
      <c r="W330" t="s">
        <v>175</v>
      </c>
      <c r="X330" s="2" t="s">
        <v>29</v>
      </c>
      <c r="Y330" t="s">
        <v>30</v>
      </c>
      <c r="Z330" t="s">
        <v>31</v>
      </c>
      <c r="AA330" t="s">
        <v>32</v>
      </c>
      <c r="AB330" t="s">
        <v>33</v>
      </c>
      <c r="AC330" s="51">
        <v>2646276</v>
      </c>
      <c r="AD330">
        <v>0</v>
      </c>
      <c r="AE330" s="4">
        <v>0</v>
      </c>
      <c r="AF330" s="4">
        <v>0</v>
      </c>
      <c r="AG330" t="s">
        <v>462</v>
      </c>
      <c r="AH330">
        <v>0</v>
      </c>
      <c r="AI330">
        <v>0</v>
      </c>
      <c r="AJ330" s="2" t="s">
        <v>463</v>
      </c>
      <c r="AK330" s="2">
        <v>0</v>
      </c>
      <c r="AL330">
        <v>0</v>
      </c>
      <c r="AM330">
        <v>0</v>
      </c>
      <c r="AN330">
        <v>0</v>
      </c>
      <c r="AO330">
        <v>0</v>
      </c>
      <c r="AP330">
        <v>3625</v>
      </c>
      <c r="AQ330">
        <v>3625</v>
      </c>
      <c r="AR330">
        <v>28525</v>
      </c>
      <c r="AS330">
        <v>0</v>
      </c>
      <c r="AT330">
        <v>0</v>
      </c>
      <c r="AU330">
        <v>33725</v>
      </c>
      <c r="AV330">
        <v>64602125</v>
      </c>
      <c r="AW330">
        <v>0</v>
      </c>
      <c r="AX330" s="5">
        <v>45698</v>
      </c>
      <c r="AY330" t="s">
        <v>356</v>
      </c>
      <c r="AZ330" t="s">
        <v>1909</v>
      </c>
      <c r="BA330" t="s">
        <v>1910</v>
      </c>
    </row>
    <row r="331" spans="1:53" ht="15" customHeight="1" x14ac:dyDescent="0.2">
      <c r="A331" t="s">
        <v>5175</v>
      </c>
      <c r="B331" t="s">
        <v>2501</v>
      </c>
      <c r="C331" t="s">
        <v>4859</v>
      </c>
      <c r="D331">
        <v>64602225</v>
      </c>
      <c r="E331" s="5">
        <v>45726</v>
      </c>
      <c r="F331" s="5">
        <v>45728.083333333336</v>
      </c>
      <c r="G331" s="4" t="s">
        <v>460</v>
      </c>
      <c r="H331" s="49">
        <v>1226000</v>
      </c>
      <c r="I331" s="49">
        <v>5976</v>
      </c>
      <c r="J331" s="50">
        <v>1220024</v>
      </c>
      <c r="K331" t="s">
        <v>2615</v>
      </c>
      <c r="L331" s="4" t="s">
        <v>461</v>
      </c>
      <c r="M331" t="s">
        <v>351</v>
      </c>
      <c r="N331" s="2">
        <v>1073704418</v>
      </c>
      <c r="O331" t="s">
        <v>1965</v>
      </c>
      <c r="P331" t="s">
        <v>316</v>
      </c>
      <c r="Q331" t="s">
        <v>317</v>
      </c>
      <c r="R331">
        <v>299122085</v>
      </c>
      <c r="S331" t="s">
        <v>319</v>
      </c>
      <c r="T331">
        <v>860002964</v>
      </c>
      <c r="U331" t="s">
        <v>419</v>
      </c>
      <c r="V331">
        <v>923210</v>
      </c>
      <c r="W331" t="s">
        <v>56</v>
      </c>
      <c r="X331" s="2" t="s">
        <v>29</v>
      </c>
      <c r="Y331" t="s">
        <v>30</v>
      </c>
      <c r="Z331" t="s">
        <v>31</v>
      </c>
      <c r="AA331" t="s">
        <v>32</v>
      </c>
      <c r="AB331" t="s">
        <v>33</v>
      </c>
      <c r="AC331" s="51">
        <v>1226000</v>
      </c>
      <c r="AD331">
        <v>0</v>
      </c>
      <c r="AE331" s="4">
        <v>0</v>
      </c>
      <c r="AF331" s="4">
        <v>0</v>
      </c>
      <c r="AG331" t="s">
        <v>462</v>
      </c>
      <c r="AH331">
        <v>0</v>
      </c>
      <c r="AI331">
        <v>0</v>
      </c>
      <c r="AJ331" s="2" t="s">
        <v>463</v>
      </c>
      <c r="AK331" s="2">
        <v>0</v>
      </c>
      <c r="AL331">
        <v>0</v>
      </c>
      <c r="AM331">
        <v>0</v>
      </c>
      <c r="AN331">
        <v>0</v>
      </c>
      <c r="AO331">
        <v>0</v>
      </c>
      <c r="AP331">
        <v>1925</v>
      </c>
      <c r="AQ331">
        <v>1925</v>
      </c>
      <c r="AR331">
        <v>29525</v>
      </c>
      <c r="AS331">
        <v>0</v>
      </c>
      <c r="AT331">
        <v>0</v>
      </c>
      <c r="AU331">
        <v>33825</v>
      </c>
      <c r="AV331">
        <v>64602225</v>
      </c>
      <c r="AW331">
        <v>0</v>
      </c>
      <c r="AX331" s="5">
        <v>45700</v>
      </c>
      <c r="AY331" t="s">
        <v>356</v>
      </c>
      <c r="AZ331" t="s">
        <v>1968</v>
      </c>
      <c r="BA331" t="s">
        <v>1969</v>
      </c>
    </row>
    <row r="332" spans="1:53" ht="15" customHeight="1" x14ac:dyDescent="0.2">
      <c r="A332" t="s">
        <v>5176</v>
      </c>
      <c r="B332" t="s">
        <v>2503</v>
      </c>
      <c r="C332" t="s">
        <v>4859</v>
      </c>
      <c r="D332">
        <v>64602325</v>
      </c>
      <c r="E332" s="5">
        <v>45726</v>
      </c>
      <c r="F332" s="5">
        <v>45728.1</v>
      </c>
      <c r="G332" s="4" t="s">
        <v>460</v>
      </c>
      <c r="H332" s="49">
        <v>1304667</v>
      </c>
      <c r="I332" s="49">
        <v>6448</v>
      </c>
      <c r="J332" s="50">
        <v>1298219</v>
      </c>
      <c r="K332" t="s">
        <v>2615</v>
      </c>
      <c r="L332" s="4" t="s">
        <v>461</v>
      </c>
      <c r="M332" t="s">
        <v>351</v>
      </c>
      <c r="N332" s="2">
        <v>52760141</v>
      </c>
      <c r="O332" t="s">
        <v>1976</v>
      </c>
      <c r="P332" t="s">
        <v>316</v>
      </c>
      <c r="Q332" t="s">
        <v>317</v>
      </c>
      <c r="R332">
        <v>550488450533549</v>
      </c>
      <c r="S332" t="s">
        <v>319</v>
      </c>
      <c r="T332">
        <v>860034313</v>
      </c>
      <c r="U332" t="s">
        <v>355</v>
      </c>
      <c r="V332">
        <v>923210</v>
      </c>
      <c r="W332" t="s">
        <v>56</v>
      </c>
      <c r="X332" s="2" t="s">
        <v>29</v>
      </c>
      <c r="Y332" t="s">
        <v>30</v>
      </c>
      <c r="Z332" t="s">
        <v>31</v>
      </c>
      <c r="AA332" t="s">
        <v>32</v>
      </c>
      <c r="AB332" t="s">
        <v>33</v>
      </c>
      <c r="AC332" s="51">
        <v>1304667</v>
      </c>
      <c r="AD332">
        <v>0</v>
      </c>
      <c r="AE332" s="4">
        <v>0</v>
      </c>
      <c r="AF332" s="4">
        <v>0</v>
      </c>
      <c r="AG332" t="s">
        <v>462</v>
      </c>
      <c r="AH332">
        <v>0</v>
      </c>
      <c r="AI332">
        <v>0</v>
      </c>
      <c r="AJ332" s="2" t="s">
        <v>463</v>
      </c>
      <c r="AK332" s="2">
        <v>0</v>
      </c>
      <c r="AL332">
        <v>0</v>
      </c>
      <c r="AM332">
        <v>0</v>
      </c>
      <c r="AN332">
        <v>0</v>
      </c>
      <c r="AO332">
        <v>0</v>
      </c>
      <c r="AP332">
        <v>1925</v>
      </c>
      <c r="AQ332">
        <v>1925</v>
      </c>
      <c r="AR332">
        <v>29725</v>
      </c>
      <c r="AS332">
        <v>0</v>
      </c>
      <c r="AT332">
        <v>0</v>
      </c>
      <c r="AU332">
        <v>34025</v>
      </c>
      <c r="AV332">
        <v>64602325</v>
      </c>
      <c r="AW332">
        <v>0</v>
      </c>
      <c r="AX332" s="5">
        <v>45700</v>
      </c>
      <c r="AY332" t="s">
        <v>356</v>
      </c>
      <c r="AZ332" t="s">
        <v>1979</v>
      </c>
      <c r="BA332" t="s">
        <v>1980</v>
      </c>
    </row>
    <row r="333" spans="1:53" ht="15" customHeight="1" x14ac:dyDescent="0.2">
      <c r="A333" t="s">
        <v>5177</v>
      </c>
      <c r="B333" t="s">
        <v>2505</v>
      </c>
      <c r="C333" t="s">
        <v>4859</v>
      </c>
      <c r="D333">
        <v>64602425</v>
      </c>
      <c r="E333" s="5">
        <v>45726</v>
      </c>
      <c r="F333" s="5">
        <v>45728.083333333336</v>
      </c>
      <c r="G333" s="4" t="s">
        <v>460</v>
      </c>
      <c r="H333" s="49">
        <v>1226000</v>
      </c>
      <c r="I333" s="49">
        <v>5976</v>
      </c>
      <c r="J333" s="50">
        <v>1220024</v>
      </c>
      <c r="K333" t="s">
        <v>2615</v>
      </c>
      <c r="L333" s="4" t="s">
        <v>461</v>
      </c>
      <c r="M333" t="s">
        <v>351</v>
      </c>
      <c r="N333" s="2">
        <v>1071349192</v>
      </c>
      <c r="O333" t="s">
        <v>1988</v>
      </c>
      <c r="P333" t="s">
        <v>316</v>
      </c>
      <c r="Q333" t="s">
        <v>317</v>
      </c>
      <c r="R333">
        <v>272399544</v>
      </c>
      <c r="S333" t="s">
        <v>319</v>
      </c>
      <c r="T333">
        <v>860002964</v>
      </c>
      <c r="U333" t="s">
        <v>419</v>
      </c>
      <c r="V333">
        <v>923210</v>
      </c>
      <c r="W333" t="s">
        <v>56</v>
      </c>
      <c r="X333" s="2" t="s">
        <v>29</v>
      </c>
      <c r="Y333" t="s">
        <v>30</v>
      </c>
      <c r="Z333" t="s">
        <v>31</v>
      </c>
      <c r="AA333" t="s">
        <v>32</v>
      </c>
      <c r="AB333" t="s">
        <v>33</v>
      </c>
      <c r="AC333" s="51">
        <v>1226000</v>
      </c>
      <c r="AD333">
        <v>0</v>
      </c>
      <c r="AE333" s="4">
        <v>0</v>
      </c>
      <c r="AF333" s="4">
        <v>0</v>
      </c>
      <c r="AG333" t="s">
        <v>462</v>
      </c>
      <c r="AH333">
        <v>0</v>
      </c>
      <c r="AI333">
        <v>0</v>
      </c>
      <c r="AJ333" s="2" t="s">
        <v>463</v>
      </c>
      <c r="AK333" s="2">
        <v>0</v>
      </c>
      <c r="AL333">
        <v>0</v>
      </c>
      <c r="AM333">
        <v>0</v>
      </c>
      <c r="AN333">
        <v>0</v>
      </c>
      <c r="AO333">
        <v>0</v>
      </c>
      <c r="AP333">
        <v>1925</v>
      </c>
      <c r="AQ333">
        <v>1925</v>
      </c>
      <c r="AR333">
        <v>29925</v>
      </c>
      <c r="AS333">
        <v>0</v>
      </c>
      <c r="AT333">
        <v>0</v>
      </c>
      <c r="AU333">
        <v>34125</v>
      </c>
      <c r="AV333">
        <v>64602425</v>
      </c>
      <c r="AW333">
        <v>0</v>
      </c>
      <c r="AX333" s="5">
        <v>45700</v>
      </c>
      <c r="AY333" t="s">
        <v>356</v>
      </c>
      <c r="AZ333" t="s">
        <v>1991</v>
      </c>
      <c r="BA333" t="s">
        <v>1992</v>
      </c>
    </row>
    <row r="334" spans="1:53" ht="15" customHeight="1" x14ac:dyDescent="0.2">
      <c r="A334" t="s">
        <v>5178</v>
      </c>
      <c r="B334" t="s">
        <v>2506</v>
      </c>
      <c r="C334" t="s">
        <v>4859</v>
      </c>
      <c r="D334">
        <v>64602525</v>
      </c>
      <c r="E334" s="5">
        <v>45726</v>
      </c>
      <c r="F334" s="5">
        <v>45728.095138888886</v>
      </c>
      <c r="G334" s="4" t="s">
        <v>460</v>
      </c>
      <c r="H334" s="49">
        <v>1765227</v>
      </c>
      <c r="I334" s="49">
        <v>8157</v>
      </c>
      <c r="J334" s="50">
        <v>1757070</v>
      </c>
      <c r="K334" t="s">
        <v>2615</v>
      </c>
      <c r="L334" s="4" t="s">
        <v>461</v>
      </c>
      <c r="M334" t="s">
        <v>351</v>
      </c>
      <c r="N334" s="2">
        <v>52202874</v>
      </c>
      <c r="O334" t="s">
        <v>1994</v>
      </c>
      <c r="P334" t="s">
        <v>316</v>
      </c>
      <c r="Q334" t="s">
        <v>317</v>
      </c>
      <c r="R334">
        <v>24116968045</v>
      </c>
      <c r="S334" t="s">
        <v>319</v>
      </c>
      <c r="T334">
        <v>860007335</v>
      </c>
      <c r="U334" t="s">
        <v>381</v>
      </c>
      <c r="V334">
        <v>923210</v>
      </c>
      <c r="W334" t="s">
        <v>56</v>
      </c>
      <c r="X334" s="2" t="s">
        <v>29</v>
      </c>
      <c r="Y334" t="s">
        <v>30</v>
      </c>
      <c r="Z334" t="s">
        <v>31</v>
      </c>
      <c r="AA334" t="s">
        <v>32</v>
      </c>
      <c r="AB334" t="s">
        <v>33</v>
      </c>
      <c r="AC334" s="51">
        <v>1765227</v>
      </c>
      <c r="AD334">
        <v>0</v>
      </c>
      <c r="AE334" s="4">
        <v>0</v>
      </c>
      <c r="AF334" s="4">
        <v>0</v>
      </c>
      <c r="AG334" t="s">
        <v>462</v>
      </c>
      <c r="AH334">
        <v>0</v>
      </c>
      <c r="AI334">
        <v>0</v>
      </c>
      <c r="AJ334" s="2" t="s">
        <v>463</v>
      </c>
      <c r="AK334" s="2">
        <v>0</v>
      </c>
      <c r="AL334">
        <v>0</v>
      </c>
      <c r="AM334">
        <v>0</v>
      </c>
      <c r="AN334">
        <v>0</v>
      </c>
      <c r="AO334">
        <v>0</v>
      </c>
      <c r="AP334">
        <v>1925</v>
      </c>
      <c r="AQ334">
        <v>1925</v>
      </c>
      <c r="AR334">
        <v>30025</v>
      </c>
      <c r="AS334">
        <v>0</v>
      </c>
      <c r="AT334">
        <v>0</v>
      </c>
      <c r="AU334">
        <v>34225</v>
      </c>
      <c r="AV334">
        <v>64602525</v>
      </c>
      <c r="AW334">
        <v>0</v>
      </c>
      <c r="AX334" s="5">
        <v>45700</v>
      </c>
      <c r="AY334" t="s">
        <v>356</v>
      </c>
      <c r="AZ334" t="s">
        <v>1997</v>
      </c>
      <c r="BA334" t="s">
        <v>1998</v>
      </c>
    </row>
    <row r="335" spans="1:53" ht="15" customHeight="1" x14ac:dyDescent="0.2">
      <c r="A335" t="s">
        <v>5179</v>
      </c>
      <c r="B335" t="s">
        <v>2507</v>
      </c>
      <c r="C335" t="s">
        <v>5000</v>
      </c>
      <c r="D335">
        <v>64602625</v>
      </c>
      <c r="E335" s="5">
        <v>45726</v>
      </c>
      <c r="F335" s="5">
        <v>45728.09097222222</v>
      </c>
      <c r="G335" s="4" t="s">
        <v>460</v>
      </c>
      <c r="H335" s="49">
        <v>1512334</v>
      </c>
      <c r="I335" s="49">
        <v>6639</v>
      </c>
      <c r="J335" s="50">
        <v>1505695</v>
      </c>
      <c r="K335" t="s">
        <v>2615</v>
      </c>
      <c r="L335" s="4" t="s">
        <v>461</v>
      </c>
      <c r="M335" t="s">
        <v>351</v>
      </c>
      <c r="N335" s="2">
        <v>51890685</v>
      </c>
      <c r="O335" t="s">
        <v>2000</v>
      </c>
      <c r="P335" t="s">
        <v>316</v>
      </c>
      <c r="Q335" t="s">
        <v>317</v>
      </c>
      <c r="R335">
        <v>22140037510</v>
      </c>
      <c r="S335" t="s">
        <v>319</v>
      </c>
      <c r="T335">
        <v>890903938</v>
      </c>
      <c r="U335" t="s">
        <v>342</v>
      </c>
      <c r="V335">
        <v>923242</v>
      </c>
      <c r="W335" t="s">
        <v>175</v>
      </c>
      <c r="X335" s="2" t="s">
        <v>29</v>
      </c>
      <c r="Y335" t="s">
        <v>30</v>
      </c>
      <c r="Z335" t="s">
        <v>31</v>
      </c>
      <c r="AA335" t="s">
        <v>32</v>
      </c>
      <c r="AB335" t="s">
        <v>33</v>
      </c>
      <c r="AC335" s="51">
        <v>1512334</v>
      </c>
      <c r="AD335">
        <v>0</v>
      </c>
      <c r="AE335" s="4">
        <v>0</v>
      </c>
      <c r="AF335" s="4">
        <v>0</v>
      </c>
      <c r="AG335" t="s">
        <v>462</v>
      </c>
      <c r="AH335">
        <v>0</v>
      </c>
      <c r="AI335">
        <v>0</v>
      </c>
      <c r="AJ335" s="2" t="s">
        <v>463</v>
      </c>
      <c r="AK335" s="2">
        <v>0</v>
      </c>
      <c r="AL335">
        <v>0</v>
      </c>
      <c r="AM335">
        <v>0</v>
      </c>
      <c r="AN335">
        <v>0</v>
      </c>
      <c r="AO335">
        <v>0</v>
      </c>
      <c r="AP335">
        <v>3625</v>
      </c>
      <c r="AQ335">
        <v>3625</v>
      </c>
      <c r="AR335">
        <v>30125</v>
      </c>
      <c r="AS335">
        <v>0</v>
      </c>
      <c r="AT335">
        <v>0</v>
      </c>
      <c r="AU335">
        <v>34325</v>
      </c>
      <c r="AV335">
        <v>64602625</v>
      </c>
      <c r="AW335">
        <v>0</v>
      </c>
      <c r="AX335" s="5">
        <v>45700</v>
      </c>
      <c r="AY335" t="s">
        <v>356</v>
      </c>
      <c r="AZ335" t="s">
        <v>2003</v>
      </c>
      <c r="BA335" t="s">
        <v>2004</v>
      </c>
    </row>
    <row r="336" spans="1:53" ht="15" customHeight="1" x14ac:dyDescent="0.2">
      <c r="A336" t="s">
        <v>5180</v>
      </c>
      <c r="B336" t="s">
        <v>2513</v>
      </c>
      <c r="C336" t="s">
        <v>5000</v>
      </c>
      <c r="D336">
        <v>64602725</v>
      </c>
      <c r="E336" s="5">
        <v>45726</v>
      </c>
      <c r="F336" s="5">
        <v>45728.095138888886</v>
      </c>
      <c r="G336" s="4" t="s">
        <v>460</v>
      </c>
      <c r="H336" s="49">
        <v>1764184</v>
      </c>
      <c r="I336" s="49">
        <v>8637</v>
      </c>
      <c r="J336" s="50">
        <v>1755547</v>
      </c>
      <c r="K336" t="s">
        <v>2615</v>
      </c>
      <c r="L336" s="4" t="s">
        <v>461</v>
      </c>
      <c r="M336" t="s">
        <v>351</v>
      </c>
      <c r="N336" s="2">
        <v>1073698639</v>
      </c>
      <c r="O336" t="s">
        <v>2049</v>
      </c>
      <c r="P336" t="s">
        <v>316</v>
      </c>
      <c r="Q336" t="s">
        <v>317</v>
      </c>
      <c r="R336">
        <v>24113487927</v>
      </c>
      <c r="S336" t="s">
        <v>319</v>
      </c>
      <c r="T336">
        <v>860007335</v>
      </c>
      <c r="U336" t="s">
        <v>381</v>
      </c>
      <c r="V336">
        <v>923242</v>
      </c>
      <c r="W336" t="s">
        <v>175</v>
      </c>
      <c r="X336" s="2" t="s">
        <v>29</v>
      </c>
      <c r="Y336" t="s">
        <v>30</v>
      </c>
      <c r="Z336" t="s">
        <v>31</v>
      </c>
      <c r="AA336" t="s">
        <v>32</v>
      </c>
      <c r="AB336" t="s">
        <v>33</v>
      </c>
      <c r="AC336" s="51">
        <v>1764184</v>
      </c>
      <c r="AD336">
        <v>0</v>
      </c>
      <c r="AE336" s="4">
        <v>0</v>
      </c>
      <c r="AF336" s="4">
        <v>0</v>
      </c>
      <c r="AG336" t="s">
        <v>462</v>
      </c>
      <c r="AH336">
        <v>0</v>
      </c>
      <c r="AI336">
        <v>0</v>
      </c>
      <c r="AJ336" s="2" t="s">
        <v>463</v>
      </c>
      <c r="AK336" s="2">
        <v>0</v>
      </c>
      <c r="AL336">
        <v>0</v>
      </c>
      <c r="AM336">
        <v>0</v>
      </c>
      <c r="AN336">
        <v>0</v>
      </c>
      <c r="AO336">
        <v>0</v>
      </c>
      <c r="AP336">
        <v>3625</v>
      </c>
      <c r="AQ336">
        <v>3625</v>
      </c>
      <c r="AR336">
        <v>30925</v>
      </c>
      <c r="AS336">
        <v>0</v>
      </c>
      <c r="AT336">
        <v>0</v>
      </c>
      <c r="AU336">
        <v>34425</v>
      </c>
      <c r="AV336">
        <v>64602725</v>
      </c>
      <c r="AW336">
        <v>0</v>
      </c>
      <c r="AX336" s="5">
        <v>45705</v>
      </c>
      <c r="AY336" t="s">
        <v>356</v>
      </c>
      <c r="AZ336" t="s">
        <v>2052</v>
      </c>
      <c r="BA336" t="s">
        <v>1910</v>
      </c>
    </row>
    <row r="337" spans="1:53" ht="15" customHeight="1" x14ac:dyDescent="0.2">
      <c r="A337" t="s">
        <v>5181</v>
      </c>
      <c r="B337" t="s">
        <v>2515</v>
      </c>
      <c r="C337" t="s">
        <v>5000</v>
      </c>
      <c r="D337">
        <v>64602825</v>
      </c>
      <c r="E337" s="5">
        <v>45726</v>
      </c>
      <c r="F337" s="5">
        <v>45728.095138888886</v>
      </c>
      <c r="G337" s="4" t="s">
        <v>460</v>
      </c>
      <c r="H337" s="49">
        <v>1790092</v>
      </c>
      <c r="I337" s="49">
        <v>9847</v>
      </c>
      <c r="J337" s="50">
        <v>1780245</v>
      </c>
      <c r="K337" t="s">
        <v>2615</v>
      </c>
      <c r="L337" s="4" t="s">
        <v>461</v>
      </c>
      <c r="M337" t="s">
        <v>351</v>
      </c>
      <c r="N337" s="2">
        <v>1024466962</v>
      </c>
      <c r="O337" t="s">
        <v>2059</v>
      </c>
      <c r="P337" t="s">
        <v>316</v>
      </c>
      <c r="Q337" t="s">
        <v>317</v>
      </c>
      <c r="R337">
        <v>24055278715</v>
      </c>
      <c r="S337" t="s">
        <v>319</v>
      </c>
      <c r="T337">
        <v>860007335</v>
      </c>
      <c r="U337" t="s">
        <v>381</v>
      </c>
      <c r="V337">
        <v>923242</v>
      </c>
      <c r="W337" t="s">
        <v>175</v>
      </c>
      <c r="X337" s="2" t="s">
        <v>29</v>
      </c>
      <c r="Y337" t="s">
        <v>30</v>
      </c>
      <c r="Z337" t="s">
        <v>31</v>
      </c>
      <c r="AA337" t="s">
        <v>32</v>
      </c>
      <c r="AB337" t="s">
        <v>33</v>
      </c>
      <c r="AC337" s="51">
        <v>1790092</v>
      </c>
      <c r="AD337">
        <v>0</v>
      </c>
      <c r="AE337" s="4">
        <v>0</v>
      </c>
      <c r="AF337" s="4">
        <v>0</v>
      </c>
      <c r="AG337" t="s">
        <v>462</v>
      </c>
      <c r="AH337">
        <v>0</v>
      </c>
      <c r="AI337">
        <v>0</v>
      </c>
      <c r="AJ337" s="2" t="s">
        <v>463</v>
      </c>
      <c r="AK337" s="2">
        <v>0</v>
      </c>
      <c r="AL337">
        <v>0</v>
      </c>
      <c r="AM337">
        <v>0</v>
      </c>
      <c r="AN337">
        <v>0</v>
      </c>
      <c r="AO337">
        <v>0</v>
      </c>
      <c r="AP337">
        <v>3625</v>
      </c>
      <c r="AQ337">
        <v>3625</v>
      </c>
      <c r="AR337">
        <v>31125</v>
      </c>
      <c r="AS337">
        <v>0</v>
      </c>
      <c r="AT337">
        <v>0</v>
      </c>
      <c r="AU337">
        <v>34525</v>
      </c>
      <c r="AV337">
        <v>64602825</v>
      </c>
      <c r="AW337">
        <v>0</v>
      </c>
      <c r="AX337" s="5">
        <v>45705</v>
      </c>
      <c r="AY337" t="s">
        <v>356</v>
      </c>
      <c r="AZ337" t="s">
        <v>2062</v>
      </c>
      <c r="BA337" t="s">
        <v>2063</v>
      </c>
    </row>
    <row r="338" spans="1:53" ht="15" customHeight="1" x14ac:dyDescent="0.2">
      <c r="A338" t="s">
        <v>5182</v>
      </c>
      <c r="B338" t="s">
        <v>2516</v>
      </c>
      <c r="C338" t="s">
        <v>4890</v>
      </c>
      <c r="D338">
        <v>64602925</v>
      </c>
      <c r="E338" s="5">
        <v>45726</v>
      </c>
      <c r="F338" s="5">
        <v>45728.097916666666</v>
      </c>
      <c r="G338" s="4" t="s">
        <v>460</v>
      </c>
      <c r="H338" s="49">
        <v>2258667</v>
      </c>
      <c r="I338" s="49">
        <v>11117</v>
      </c>
      <c r="J338" s="50">
        <v>2247550</v>
      </c>
      <c r="K338" t="s">
        <v>2615</v>
      </c>
      <c r="L338" s="4" t="s">
        <v>461</v>
      </c>
      <c r="M338" t="s">
        <v>351</v>
      </c>
      <c r="N338" s="2">
        <v>1022371659</v>
      </c>
      <c r="O338" t="s">
        <v>2065</v>
      </c>
      <c r="P338" t="s">
        <v>316</v>
      </c>
      <c r="Q338" t="s">
        <v>317</v>
      </c>
      <c r="R338">
        <v>1900270156</v>
      </c>
      <c r="S338" t="s">
        <v>319</v>
      </c>
      <c r="T338">
        <v>860034313</v>
      </c>
      <c r="U338" t="s">
        <v>355</v>
      </c>
      <c r="V338">
        <v>923228</v>
      </c>
      <c r="W338" t="s">
        <v>158</v>
      </c>
      <c r="X338" s="2" t="s">
        <v>159</v>
      </c>
      <c r="Y338" t="s">
        <v>160</v>
      </c>
      <c r="Z338" t="s">
        <v>31</v>
      </c>
      <c r="AA338" t="s">
        <v>32</v>
      </c>
      <c r="AB338" t="s">
        <v>33</v>
      </c>
      <c r="AC338" s="51">
        <v>2258667</v>
      </c>
      <c r="AD338">
        <v>0</v>
      </c>
      <c r="AE338" s="4">
        <v>0</v>
      </c>
      <c r="AF338" s="4">
        <v>0</v>
      </c>
      <c r="AG338" t="s">
        <v>462</v>
      </c>
      <c r="AH338">
        <v>0</v>
      </c>
      <c r="AI338">
        <v>0</v>
      </c>
      <c r="AJ338" s="2" t="s">
        <v>463</v>
      </c>
      <c r="AK338" s="2">
        <v>0</v>
      </c>
      <c r="AL338">
        <v>0</v>
      </c>
      <c r="AM338">
        <v>0</v>
      </c>
      <c r="AN338">
        <v>0</v>
      </c>
      <c r="AO338">
        <v>0</v>
      </c>
      <c r="AP338">
        <v>3325</v>
      </c>
      <c r="AQ338">
        <v>3325</v>
      </c>
      <c r="AR338">
        <v>31225</v>
      </c>
      <c r="AS338">
        <v>0</v>
      </c>
      <c r="AT338">
        <v>0</v>
      </c>
      <c r="AU338">
        <v>34625</v>
      </c>
      <c r="AV338">
        <v>64602925</v>
      </c>
      <c r="AW338">
        <v>0</v>
      </c>
      <c r="AX338" s="5">
        <v>45705</v>
      </c>
      <c r="AY338" t="s">
        <v>356</v>
      </c>
      <c r="AZ338" t="s">
        <v>2068</v>
      </c>
      <c r="BA338" t="s">
        <v>2069</v>
      </c>
    </row>
    <row r="339" spans="1:53" ht="15" customHeight="1" x14ac:dyDescent="0.2">
      <c r="A339" t="s">
        <v>5183</v>
      </c>
      <c r="B339" t="s">
        <v>2517</v>
      </c>
      <c r="C339" t="s">
        <v>4890</v>
      </c>
      <c r="D339">
        <v>64603025</v>
      </c>
      <c r="E339" s="5">
        <v>45726</v>
      </c>
      <c r="F339" s="5">
        <v>45728.097916666666</v>
      </c>
      <c r="G339" s="4" t="s">
        <v>460</v>
      </c>
      <c r="H339" s="49">
        <v>2258667</v>
      </c>
      <c r="I339" s="49">
        <v>11766</v>
      </c>
      <c r="J339" s="50">
        <v>2246901</v>
      </c>
      <c r="K339" t="s">
        <v>2615</v>
      </c>
      <c r="L339" s="4" t="s">
        <v>461</v>
      </c>
      <c r="M339" t="s">
        <v>351</v>
      </c>
      <c r="N339" s="2">
        <v>79822903</v>
      </c>
      <c r="O339" t="s">
        <v>2071</v>
      </c>
      <c r="P339" t="s">
        <v>316</v>
      </c>
      <c r="Q339" t="s">
        <v>317</v>
      </c>
      <c r="R339">
        <v>8480273344</v>
      </c>
      <c r="S339" t="s">
        <v>319</v>
      </c>
      <c r="T339">
        <v>860034313</v>
      </c>
      <c r="U339" t="s">
        <v>355</v>
      </c>
      <c r="V339">
        <v>923228</v>
      </c>
      <c r="W339" t="s">
        <v>158</v>
      </c>
      <c r="X339" s="2" t="s">
        <v>159</v>
      </c>
      <c r="Y339" t="s">
        <v>160</v>
      </c>
      <c r="Z339" t="s">
        <v>31</v>
      </c>
      <c r="AA339" t="s">
        <v>32</v>
      </c>
      <c r="AB339" t="s">
        <v>33</v>
      </c>
      <c r="AC339" s="51">
        <v>2258667</v>
      </c>
      <c r="AD339">
        <v>0</v>
      </c>
      <c r="AE339" s="4">
        <v>0</v>
      </c>
      <c r="AF339" s="4">
        <v>0</v>
      </c>
      <c r="AG339" t="s">
        <v>462</v>
      </c>
      <c r="AH339">
        <v>0</v>
      </c>
      <c r="AI339">
        <v>0</v>
      </c>
      <c r="AJ339" s="2" t="s">
        <v>463</v>
      </c>
      <c r="AK339" s="2">
        <v>0</v>
      </c>
      <c r="AL339">
        <v>0</v>
      </c>
      <c r="AM339">
        <v>0</v>
      </c>
      <c r="AN339">
        <v>0</v>
      </c>
      <c r="AO339">
        <v>0</v>
      </c>
      <c r="AP339">
        <v>3325</v>
      </c>
      <c r="AQ339">
        <v>3325</v>
      </c>
      <c r="AR339">
        <v>31325</v>
      </c>
      <c r="AS339">
        <v>0</v>
      </c>
      <c r="AT339">
        <v>0</v>
      </c>
      <c r="AU339">
        <v>34725</v>
      </c>
      <c r="AV339">
        <v>64603025</v>
      </c>
      <c r="AW339">
        <v>0</v>
      </c>
      <c r="AX339" s="5">
        <v>45705</v>
      </c>
      <c r="AY339" t="s">
        <v>356</v>
      </c>
      <c r="AZ339" t="s">
        <v>2074</v>
      </c>
      <c r="BA339" t="s">
        <v>2069</v>
      </c>
    </row>
    <row r="340" spans="1:53" ht="15" customHeight="1" x14ac:dyDescent="0.2">
      <c r="A340" t="s">
        <v>5184</v>
      </c>
      <c r="B340" t="s">
        <v>2518</v>
      </c>
      <c r="C340" t="s">
        <v>4890</v>
      </c>
      <c r="D340">
        <v>64603125</v>
      </c>
      <c r="E340" s="5">
        <v>45726</v>
      </c>
      <c r="F340" s="5">
        <v>45728.093055555553</v>
      </c>
      <c r="G340" s="4" t="s">
        <v>460</v>
      </c>
      <c r="H340" s="49">
        <v>2258667</v>
      </c>
      <c r="I340" s="49">
        <v>11117</v>
      </c>
      <c r="J340" s="50">
        <v>2247550</v>
      </c>
      <c r="K340" t="s">
        <v>2615</v>
      </c>
      <c r="L340" s="4" t="s">
        <v>461</v>
      </c>
      <c r="M340" t="s">
        <v>351</v>
      </c>
      <c r="N340" s="2">
        <v>3171437</v>
      </c>
      <c r="O340" t="s">
        <v>2076</v>
      </c>
      <c r="P340" t="s">
        <v>316</v>
      </c>
      <c r="Q340" t="s">
        <v>317</v>
      </c>
      <c r="R340">
        <v>378001287</v>
      </c>
      <c r="S340" t="s">
        <v>319</v>
      </c>
      <c r="T340">
        <v>860003020</v>
      </c>
      <c r="U340" t="s">
        <v>393</v>
      </c>
      <c r="V340">
        <v>923228</v>
      </c>
      <c r="W340" t="s">
        <v>158</v>
      </c>
      <c r="X340" s="2" t="s">
        <v>159</v>
      </c>
      <c r="Y340" t="s">
        <v>160</v>
      </c>
      <c r="Z340" t="s">
        <v>31</v>
      </c>
      <c r="AA340" t="s">
        <v>32</v>
      </c>
      <c r="AB340" t="s">
        <v>33</v>
      </c>
      <c r="AC340" s="51">
        <v>2258667</v>
      </c>
      <c r="AD340">
        <v>0</v>
      </c>
      <c r="AE340" s="4">
        <v>0</v>
      </c>
      <c r="AF340" s="4">
        <v>0</v>
      </c>
      <c r="AG340" t="s">
        <v>462</v>
      </c>
      <c r="AH340">
        <v>0</v>
      </c>
      <c r="AI340">
        <v>0</v>
      </c>
      <c r="AJ340" s="2" t="s">
        <v>463</v>
      </c>
      <c r="AK340" s="2">
        <v>0</v>
      </c>
      <c r="AL340">
        <v>0</v>
      </c>
      <c r="AM340">
        <v>0</v>
      </c>
      <c r="AN340">
        <v>0</v>
      </c>
      <c r="AO340">
        <v>0</v>
      </c>
      <c r="AP340">
        <v>3325</v>
      </c>
      <c r="AQ340">
        <v>3325</v>
      </c>
      <c r="AR340">
        <v>31425</v>
      </c>
      <c r="AS340">
        <v>0</v>
      </c>
      <c r="AT340">
        <v>0</v>
      </c>
      <c r="AU340">
        <v>34825</v>
      </c>
      <c r="AV340">
        <v>64603125</v>
      </c>
      <c r="AW340">
        <v>0</v>
      </c>
      <c r="AX340" s="5">
        <v>45705</v>
      </c>
      <c r="AY340" t="s">
        <v>356</v>
      </c>
      <c r="AZ340" t="s">
        <v>2079</v>
      </c>
      <c r="BA340" t="s">
        <v>2069</v>
      </c>
    </row>
    <row r="341" spans="1:53" ht="15" customHeight="1" x14ac:dyDescent="0.2">
      <c r="A341" t="s">
        <v>5185</v>
      </c>
      <c r="B341" t="s">
        <v>2519</v>
      </c>
      <c r="C341" t="s">
        <v>4890</v>
      </c>
      <c r="D341">
        <v>64603225</v>
      </c>
      <c r="E341" s="5">
        <v>45726</v>
      </c>
      <c r="F341" s="5">
        <v>45728.097916666666</v>
      </c>
      <c r="G341" s="4" t="s">
        <v>460</v>
      </c>
      <c r="H341" s="49">
        <v>2258667</v>
      </c>
      <c r="I341" s="49">
        <v>11117</v>
      </c>
      <c r="J341" s="50">
        <v>2247550</v>
      </c>
      <c r="K341" t="s">
        <v>2615</v>
      </c>
      <c r="L341" s="4" t="s">
        <v>461</v>
      </c>
      <c r="M341" t="s">
        <v>351</v>
      </c>
      <c r="N341" s="2">
        <v>17973156</v>
      </c>
      <c r="O341" t="s">
        <v>2081</v>
      </c>
      <c r="P341" t="s">
        <v>316</v>
      </c>
      <c r="Q341" t="s">
        <v>317</v>
      </c>
      <c r="R341">
        <v>256800051037</v>
      </c>
      <c r="S341" t="s">
        <v>319</v>
      </c>
      <c r="T341">
        <v>860034313</v>
      </c>
      <c r="U341" t="s">
        <v>355</v>
      </c>
      <c r="V341">
        <v>923228</v>
      </c>
      <c r="W341" t="s">
        <v>158</v>
      </c>
      <c r="X341" s="2" t="s">
        <v>159</v>
      </c>
      <c r="Y341" t="s">
        <v>160</v>
      </c>
      <c r="Z341" t="s">
        <v>31</v>
      </c>
      <c r="AA341" t="s">
        <v>32</v>
      </c>
      <c r="AB341" t="s">
        <v>33</v>
      </c>
      <c r="AC341" s="51">
        <v>2258667</v>
      </c>
      <c r="AD341">
        <v>0</v>
      </c>
      <c r="AE341" s="4">
        <v>0</v>
      </c>
      <c r="AF341" s="4">
        <v>0</v>
      </c>
      <c r="AG341" t="s">
        <v>462</v>
      </c>
      <c r="AH341">
        <v>0</v>
      </c>
      <c r="AI341">
        <v>0</v>
      </c>
      <c r="AJ341" s="2" t="s">
        <v>463</v>
      </c>
      <c r="AK341" s="2">
        <v>0</v>
      </c>
      <c r="AL341">
        <v>0</v>
      </c>
      <c r="AM341">
        <v>0</v>
      </c>
      <c r="AN341">
        <v>0</v>
      </c>
      <c r="AO341">
        <v>0</v>
      </c>
      <c r="AP341">
        <v>3325</v>
      </c>
      <c r="AQ341">
        <v>3325</v>
      </c>
      <c r="AR341">
        <v>31525</v>
      </c>
      <c r="AS341">
        <v>0</v>
      </c>
      <c r="AT341">
        <v>0</v>
      </c>
      <c r="AU341">
        <v>34925</v>
      </c>
      <c r="AV341">
        <v>64603225</v>
      </c>
      <c r="AW341">
        <v>0</v>
      </c>
      <c r="AX341" s="5">
        <v>45705</v>
      </c>
      <c r="AY341" t="s">
        <v>356</v>
      </c>
      <c r="AZ341" t="s">
        <v>2084</v>
      </c>
      <c r="BA341" t="s">
        <v>2069</v>
      </c>
    </row>
    <row r="342" spans="1:53" ht="15" customHeight="1" x14ac:dyDescent="0.2">
      <c r="A342" t="s">
        <v>5186</v>
      </c>
      <c r="B342" t="s">
        <v>2520</v>
      </c>
      <c r="C342" t="s">
        <v>4859</v>
      </c>
      <c r="D342">
        <v>64603325</v>
      </c>
      <c r="E342" s="5">
        <v>45726</v>
      </c>
      <c r="F342" s="5">
        <v>45728.091666666667</v>
      </c>
      <c r="G342" s="4" t="s">
        <v>460</v>
      </c>
      <c r="H342" s="49">
        <v>1414400</v>
      </c>
      <c r="I342" s="49">
        <v>7350</v>
      </c>
      <c r="J342" s="50">
        <v>1407050</v>
      </c>
      <c r="K342" t="s">
        <v>2615</v>
      </c>
      <c r="L342" s="4" t="s">
        <v>461</v>
      </c>
      <c r="M342" t="s">
        <v>351</v>
      </c>
      <c r="N342" s="2">
        <v>1010209964</v>
      </c>
      <c r="O342" t="s">
        <v>2086</v>
      </c>
      <c r="P342" t="s">
        <v>316</v>
      </c>
      <c r="Q342" t="s">
        <v>317</v>
      </c>
      <c r="R342">
        <v>22118601134</v>
      </c>
      <c r="S342" t="s">
        <v>319</v>
      </c>
      <c r="T342">
        <v>890903938</v>
      </c>
      <c r="U342" t="s">
        <v>342</v>
      </c>
      <c r="V342">
        <v>923210</v>
      </c>
      <c r="W342" t="s">
        <v>56</v>
      </c>
      <c r="X342" s="2" t="s">
        <v>29</v>
      </c>
      <c r="Y342" t="s">
        <v>30</v>
      </c>
      <c r="Z342" t="s">
        <v>31</v>
      </c>
      <c r="AA342" t="s">
        <v>32</v>
      </c>
      <c r="AB342" t="s">
        <v>33</v>
      </c>
      <c r="AC342" s="51">
        <v>1414400</v>
      </c>
      <c r="AD342">
        <v>0</v>
      </c>
      <c r="AE342" s="4">
        <v>0</v>
      </c>
      <c r="AF342" s="4">
        <v>0</v>
      </c>
      <c r="AG342" t="s">
        <v>462</v>
      </c>
      <c r="AH342">
        <v>0</v>
      </c>
      <c r="AI342">
        <v>0</v>
      </c>
      <c r="AJ342" s="2" t="s">
        <v>463</v>
      </c>
      <c r="AK342" s="2">
        <v>0</v>
      </c>
      <c r="AL342">
        <v>0</v>
      </c>
      <c r="AM342">
        <v>0</v>
      </c>
      <c r="AN342">
        <v>0</v>
      </c>
      <c r="AO342">
        <v>0</v>
      </c>
      <c r="AP342">
        <v>1925</v>
      </c>
      <c r="AQ342">
        <v>1925</v>
      </c>
      <c r="AR342">
        <v>31625</v>
      </c>
      <c r="AS342">
        <v>0</v>
      </c>
      <c r="AT342">
        <v>0</v>
      </c>
      <c r="AU342">
        <v>35025</v>
      </c>
      <c r="AV342">
        <v>64603325</v>
      </c>
      <c r="AW342">
        <v>0</v>
      </c>
      <c r="AX342" s="5">
        <v>45705</v>
      </c>
      <c r="AY342" t="s">
        <v>356</v>
      </c>
      <c r="AZ342" t="s">
        <v>2089</v>
      </c>
      <c r="BA342" t="s">
        <v>2090</v>
      </c>
    </row>
    <row r="343" spans="1:53" ht="15" customHeight="1" x14ac:dyDescent="0.2">
      <c r="A343" t="s">
        <v>5187</v>
      </c>
      <c r="B343" t="s">
        <v>2521</v>
      </c>
      <c r="C343" t="s">
        <v>4890</v>
      </c>
      <c r="D343">
        <v>64603425</v>
      </c>
      <c r="E343" s="5">
        <v>45726</v>
      </c>
      <c r="F343" s="5">
        <v>45728.088194444441</v>
      </c>
      <c r="G343" s="4" t="s">
        <v>460</v>
      </c>
      <c r="H343" s="49">
        <v>2258667</v>
      </c>
      <c r="I343" s="49">
        <v>11117</v>
      </c>
      <c r="J343" s="50">
        <v>2247550</v>
      </c>
      <c r="K343" t="s">
        <v>2615</v>
      </c>
      <c r="L343" s="4" t="s">
        <v>461</v>
      </c>
      <c r="M343" t="s">
        <v>351</v>
      </c>
      <c r="N343" s="2">
        <v>1032446718</v>
      </c>
      <c r="O343" t="s">
        <v>2092</v>
      </c>
      <c r="P343" t="s">
        <v>316</v>
      </c>
      <c r="Q343" t="s">
        <v>317</v>
      </c>
      <c r="R343">
        <v>19287282861</v>
      </c>
      <c r="S343" t="s">
        <v>319</v>
      </c>
      <c r="T343">
        <v>890903938</v>
      </c>
      <c r="U343" t="s">
        <v>342</v>
      </c>
      <c r="V343">
        <v>923228</v>
      </c>
      <c r="W343" t="s">
        <v>158</v>
      </c>
      <c r="X343" s="2" t="s">
        <v>159</v>
      </c>
      <c r="Y343" t="s">
        <v>160</v>
      </c>
      <c r="Z343" t="s">
        <v>31</v>
      </c>
      <c r="AA343" t="s">
        <v>32</v>
      </c>
      <c r="AB343" t="s">
        <v>33</v>
      </c>
      <c r="AC343" s="51">
        <v>2258667</v>
      </c>
      <c r="AD343">
        <v>0</v>
      </c>
      <c r="AE343" s="4">
        <v>0</v>
      </c>
      <c r="AF343" s="4">
        <v>0</v>
      </c>
      <c r="AG343" t="s">
        <v>462</v>
      </c>
      <c r="AH343">
        <v>0</v>
      </c>
      <c r="AI343">
        <v>0</v>
      </c>
      <c r="AJ343" s="2" t="s">
        <v>463</v>
      </c>
      <c r="AK343" s="2">
        <v>0</v>
      </c>
      <c r="AL343">
        <v>0</v>
      </c>
      <c r="AM343">
        <v>0</v>
      </c>
      <c r="AN343">
        <v>0</v>
      </c>
      <c r="AO343">
        <v>0</v>
      </c>
      <c r="AP343">
        <v>3325</v>
      </c>
      <c r="AQ343">
        <v>3325</v>
      </c>
      <c r="AR343">
        <v>31725</v>
      </c>
      <c r="AS343">
        <v>0</v>
      </c>
      <c r="AT343">
        <v>0</v>
      </c>
      <c r="AU343">
        <v>35125</v>
      </c>
      <c r="AV343">
        <v>64603425</v>
      </c>
      <c r="AW343">
        <v>0</v>
      </c>
      <c r="AX343" s="5">
        <v>45705</v>
      </c>
      <c r="AY343" t="s">
        <v>356</v>
      </c>
      <c r="AZ343" t="s">
        <v>2095</v>
      </c>
      <c r="BA343" t="s">
        <v>2069</v>
      </c>
    </row>
    <row r="344" spans="1:53" ht="15" customHeight="1" x14ac:dyDescent="0.2">
      <c r="A344" t="s">
        <v>5188</v>
      </c>
      <c r="B344" t="s">
        <v>2522</v>
      </c>
      <c r="C344" t="s">
        <v>4890</v>
      </c>
      <c r="D344">
        <v>64603525</v>
      </c>
      <c r="E344" s="5">
        <v>45726</v>
      </c>
      <c r="F344" s="5">
        <v>45728.085416666669</v>
      </c>
      <c r="G344" s="4" t="s">
        <v>460</v>
      </c>
      <c r="H344" s="49">
        <v>1590584</v>
      </c>
      <c r="I344" s="49">
        <v>7109</v>
      </c>
      <c r="J344" s="50">
        <v>1583475</v>
      </c>
      <c r="K344" t="s">
        <v>2615</v>
      </c>
      <c r="L344" s="4" t="s">
        <v>461</v>
      </c>
      <c r="M344" t="s">
        <v>351</v>
      </c>
      <c r="N344" s="2">
        <v>79324276</v>
      </c>
      <c r="O344" t="s">
        <v>2097</v>
      </c>
      <c r="P344" t="s">
        <v>316</v>
      </c>
      <c r="Q344" t="s">
        <v>317</v>
      </c>
      <c r="R344">
        <v>24745808464</v>
      </c>
      <c r="S344" t="s">
        <v>319</v>
      </c>
      <c r="T344">
        <v>890903938</v>
      </c>
      <c r="U344" t="s">
        <v>342</v>
      </c>
      <c r="V344">
        <v>923228</v>
      </c>
      <c r="W344" t="s">
        <v>158</v>
      </c>
      <c r="X344" s="2" t="s">
        <v>159</v>
      </c>
      <c r="Y344" t="s">
        <v>160</v>
      </c>
      <c r="Z344" t="s">
        <v>31</v>
      </c>
      <c r="AA344" t="s">
        <v>32</v>
      </c>
      <c r="AB344" t="s">
        <v>33</v>
      </c>
      <c r="AC344" s="51">
        <v>1590584</v>
      </c>
      <c r="AD344">
        <v>0</v>
      </c>
      <c r="AE344" s="4">
        <v>0</v>
      </c>
      <c r="AF344" s="4">
        <v>0</v>
      </c>
      <c r="AG344" t="s">
        <v>462</v>
      </c>
      <c r="AH344">
        <v>0</v>
      </c>
      <c r="AI344">
        <v>0</v>
      </c>
      <c r="AJ344" s="2" t="s">
        <v>463</v>
      </c>
      <c r="AK344" s="2">
        <v>0</v>
      </c>
      <c r="AL344">
        <v>0</v>
      </c>
      <c r="AM344">
        <v>0</v>
      </c>
      <c r="AN344">
        <v>0</v>
      </c>
      <c r="AO344">
        <v>0</v>
      </c>
      <c r="AP344">
        <v>3325</v>
      </c>
      <c r="AQ344">
        <v>3325</v>
      </c>
      <c r="AR344">
        <v>31825</v>
      </c>
      <c r="AS344">
        <v>0</v>
      </c>
      <c r="AT344">
        <v>0</v>
      </c>
      <c r="AU344">
        <v>35225</v>
      </c>
      <c r="AV344">
        <v>64603525</v>
      </c>
      <c r="AW344">
        <v>0</v>
      </c>
      <c r="AX344" s="5">
        <v>45705</v>
      </c>
      <c r="AY344" t="s">
        <v>356</v>
      </c>
      <c r="AZ344" t="s">
        <v>2100</v>
      </c>
      <c r="BA344" t="s">
        <v>2101</v>
      </c>
    </row>
    <row r="345" spans="1:53" ht="15" customHeight="1" x14ac:dyDescent="0.2">
      <c r="A345" t="s">
        <v>5189</v>
      </c>
      <c r="B345" t="s">
        <v>2523</v>
      </c>
      <c r="C345" t="s">
        <v>5000</v>
      </c>
      <c r="D345">
        <v>64603625</v>
      </c>
      <c r="E345" s="5">
        <v>45726</v>
      </c>
      <c r="F345" s="5">
        <v>45728.09652777778</v>
      </c>
      <c r="G345" s="4" t="s">
        <v>460</v>
      </c>
      <c r="H345" s="49">
        <v>1287500</v>
      </c>
      <c r="I345" s="49">
        <v>6589</v>
      </c>
      <c r="J345" s="50">
        <v>1280911</v>
      </c>
      <c r="K345" t="s">
        <v>2615</v>
      </c>
      <c r="L345" s="4" t="s">
        <v>461</v>
      </c>
      <c r="M345" t="s">
        <v>351</v>
      </c>
      <c r="N345" s="2">
        <v>1026276407</v>
      </c>
      <c r="O345" t="s">
        <v>2103</v>
      </c>
      <c r="P345" t="s">
        <v>316</v>
      </c>
      <c r="Q345" t="s">
        <v>317</v>
      </c>
      <c r="R345">
        <v>24076030383</v>
      </c>
      <c r="S345" t="s">
        <v>319</v>
      </c>
      <c r="T345">
        <v>860007335</v>
      </c>
      <c r="U345" t="s">
        <v>381</v>
      </c>
      <c r="V345">
        <v>923242</v>
      </c>
      <c r="W345" t="s">
        <v>175</v>
      </c>
      <c r="X345" s="2" t="s">
        <v>29</v>
      </c>
      <c r="Y345" t="s">
        <v>30</v>
      </c>
      <c r="Z345" t="s">
        <v>31</v>
      </c>
      <c r="AA345" t="s">
        <v>32</v>
      </c>
      <c r="AB345" t="s">
        <v>33</v>
      </c>
      <c r="AC345" s="51">
        <v>1287500</v>
      </c>
      <c r="AD345">
        <v>0</v>
      </c>
      <c r="AE345" s="4">
        <v>0</v>
      </c>
      <c r="AF345" s="4">
        <v>0</v>
      </c>
      <c r="AG345" t="s">
        <v>462</v>
      </c>
      <c r="AH345">
        <v>0</v>
      </c>
      <c r="AI345">
        <v>0</v>
      </c>
      <c r="AJ345" s="2" t="s">
        <v>463</v>
      </c>
      <c r="AK345" s="2">
        <v>0</v>
      </c>
      <c r="AL345">
        <v>0</v>
      </c>
      <c r="AM345">
        <v>0</v>
      </c>
      <c r="AN345">
        <v>0</v>
      </c>
      <c r="AO345">
        <v>0</v>
      </c>
      <c r="AP345">
        <v>3625</v>
      </c>
      <c r="AQ345">
        <v>3625</v>
      </c>
      <c r="AR345">
        <v>31925</v>
      </c>
      <c r="AS345">
        <v>0</v>
      </c>
      <c r="AT345">
        <v>0</v>
      </c>
      <c r="AU345">
        <v>35325</v>
      </c>
      <c r="AV345">
        <v>64603625</v>
      </c>
      <c r="AW345">
        <v>0</v>
      </c>
      <c r="AX345" s="5">
        <v>45705</v>
      </c>
      <c r="AY345" t="s">
        <v>356</v>
      </c>
      <c r="AZ345" t="s">
        <v>2106</v>
      </c>
      <c r="BA345" t="s">
        <v>2107</v>
      </c>
    </row>
    <row r="346" spans="1:53" ht="15" customHeight="1" x14ac:dyDescent="0.2">
      <c r="A346" t="s">
        <v>5190</v>
      </c>
      <c r="B346" t="s">
        <v>2524</v>
      </c>
      <c r="C346" t="s">
        <v>4890</v>
      </c>
      <c r="D346">
        <v>64603725</v>
      </c>
      <c r="E346" s="5">
        <v>45726</v>
      </c>
      <c r="F346" s="5">
        <v>45728.093055555553</v>
      </c>
      <c r="G346" s="4" t="s">
        <v>460</v>
      </c>
      <c r="H346" s="49">
        <v>2258667</v>
      </c>
      <c r="I346" s="49">
        <v>11117</v>
      </c>
      <c r="J346" s="50">
        <v>2247550</v>
      </c>
      <c r="K346" t="s">
        <v>2615</v>
      </c>
      <c r="L346" s="4" t="s">
        <v>461</v>
      </c>
      <c r="M346" t="s">
        <v>351</v>
      </c>
      <c r="N346" s="2">
        <v>80500306</v>
      </c>
      <c r="O346" t="s">
        <v>2109</v>
      </c>
      <c r="P346" t="s">
        <v>316</v>
      </c>
      <c r="Q346" t="s">
        <v>317</v>
      </c>
      <c r="R346">
        <v>378467807</v>
      </c>
      <c r="S346" t="s">
        <v>319</v>
      </c>
      <c r="T346">
        <v>860003020</v>
      </c>
      <c r="U346" t="s">
        <v>393</v>
      </c>
      <c r="V346">
        <v>923228</v>
      </c>
      <c r="W346" t="s">
        <v>158</v>
      </c>
      <c r="X346" s="2" t="s">
        <v>159</v>
      </c>
      <c r="Y346" t="s">
        <v>160</v>
      </c>
      <c r="Z346" t="s">
        <v>31</v>
      </c>
      <c r="AA346" t="s">
        <v>32</v>
      </c>
      <c r="AB346" t="s">
        <v>33</v>
      </c>
      <c r="AC346" s="51">
        <v>2258667</v>
      </c>
      <c r="AD346">
        <v>0</v>
      </c>
      <c r="AE346" s="4">
        <v>0</v>
      </c>
      <c r="AF346" s="4">
        <v>0</v>
      </c>
      <c r="AG346" t="s">
        <v>462</v>
      </c>
      <c r="AH346">
        <v>0</v>
      </c>
      <c r="AI346">
        <v>0</v>
      </c>
      <c r="AJ346" s="2" t="s">
        <v>463</v>
      </c>
      <c r="AK346" s="2">
        <v>0</v>
      </c>
      <c r="AL346">
        <v>0</v>
      </c>
      <c r="AM346">
        <v>0</v>
      </c>
      <c r="AN346">
        <v>0</v>
      </c>
      <c r="AO346">
        <v>0</v>
      </c>
      <c r="AP346">
        <v>3325</v>
      </c>
      <c r="AQ346">
        <v>3325</v>
      </c>
      <c r="AR346">
        <v>32025</v>
      </c>
      <c r="AS346">
        <v>0</v>
      </c>
      <c r="AT346">
        <v>0</v>
      </c>
      <c r="AU346">
        <v>35425</v>
      </c>
      <c r="AV346">
        <v>64603725</v>
      </c>
      <c r="AW346">
        <v>0</v>
      </c>
      <c r="AX346" s="5">
        <v>45705</v>
      </c>
      <c r="AY346" t="s">
        <v>356</v>
      </c>
      <c r="AZ346" t="s">
        <v>2112</v>
      </c>
      <c r="BA346" t="s">
        <v>2069</v>
      </c>
    </row>
    <row r="347" spans="1:53" ht="15" customHeight="1" x14ac:dyDescent="0.2">
      <c r="A347" t="s">
        <v>5191</v>
      </c>
      <c r="B347" t="s">
        <v>2528</v>
      </c>
      <c r="C347" t="s">
        <v>5192</v>
      </c>
      <c r="D347">
        <v>64603825</v>
      </c>
      <c r="E347" s="5">
        <v>45726</v>
      </c>
      <c r="F347" s="5">
        <v>45728.089583333334</v>
      </c>
      <c r="G347" s="4" t="s">
        <v>460</v>
      </c>
      <c r="H347" s="49">
        <v>2800000</v>
      </c>
      <c r="I347" s="49">
        <v>14365</v>
      </c>
      <c r="J347" s="50">
        <v>2785635</v>
      </c>
      <c r="K347" t="s">
        <v>2615</v>
      </c>
      <c r="L347" s="4" t="s">
        <v>461</v>
      </c>
      <c r="M347" t="s">
        <v>351</v>
      </c>
      <c r="N347" s="2">
        <v>52712359</v>
      </c>
      <c r="O347" t="s">
        <v>2135</v>
      </c>
      <c r="P347" t="s">
        <v>316</v>
      </c>
      <c r="Q347" t="s">
        <v>317</v>
      </c>
      <c r="R347">
        <v>24613606510</v>
      </c>
      <c r="S347" t="s">
        <v>319</v>
      </c>
      <c r="T347">
        <v>890903938</v>
      </c>
      <c r="U347" t="s">
        <v>342</v>
      </c>
      <c r="V347">
        <v>923270</v>
      </c>
      <c r="W347" t="s">
        <v>589</v>
      </c>
      <c r="X347" s="2" t="s">
        <v>590</v>
      </c>
      <c r="Y347" t="s">
        <v>591</v>
      </c>
      <c r="Z347" t="s">
        <v>47</v>
      </c>
      <c r="AA347" t="s">
        <v>76</v>
      </c>
      <c r="AB347" t="s">
        <v>33</v>
      </c>
      <c r="AC347" s="51">
        <v>2800000</v>
      </c>
      <c r="AD347">
        <v>0</v>
      </c>
      <c r="AE347" s="4">
        <v>0</v>
      </c>
      <c r="AF347" s="4">
        <v>0</v>
      </c>
      <c r="AG347" t="s">
        <v>462</v>
      </c>
      <c r="AH347">
        <v>0</v>
      </c>
      <c r="AI347">
        <v>0</v>
      </c>
      <c r="AJ347" s="2" t="s">
        <v>463</v>
      </c>
      <c r="AK347" s="2">
        <v>0</v>
      </c>
      <c r="AL347">
        <v>0</v>
      </c>
      <c r="AM347">
        <v>0</v>
      </c>
      <c r="AN347">
        <v>0</v>
      </c>
      <c r="AO347">
        <v>0</v>
      </c>
      <c r="AP347">
        <v>7125</v>
      </c>
      <c r="AQ347">
        <v>7125</v>
      </c>
      <c r="AR347">
        <v>32525</v>
      </c>
      <c r="AS347">
        <v>0</v>
      </c>
      <c r="AT347">
        <v>0</v>
      </c>
      <c r="AU347">
        <v>35525</v>
      </c>
      <c r="AV347">
        <v>64603825</v>
      </c>
      <c r="AW347">
        <v>0</v>
      </c>
      <c r="AX347" s="5">
        <v>45707</v>
      </c>
      <c r="AY347" t="s">
        <v>356</v>
      </c>
      <c r="AZ347" t="s">
        <v>2138</v>
      </c>
      <c r="BA347" t="s">
        <v>2139</v>
      </c>
    </row>
    <row r="348" spans="1:53" ht="15" customHeight="1" x14ac:dyDescent="0.2">
      <c r="A348" t="s">
        <v>5193</v>
      </c>
      <c r="B348" t="s">
        <v>2530</v>
      </c>
      <c r="C348" t="s">
        <v>5194</v>
      </c>
      <c r="D348">
        <v>64603925</v>
      </c>
      <c r="E348" s="5">
        <v>45726</v>
      </c>
      <c r="F348" s="5">
        <v>45728.094444444447</v>
      </c>
      <c r="G348" s="4" t="s">
        <v>460</v>
      </c>
      <c r="H348" s="49">
        <v>1400000</v>
      </c>
      <c r="I348" s="49">
        <v>7831</v>
      </c>
      <c r="J348" s="50">
        <v>1392169</v>
      </c>
      <c r="K348" t="s">
        <v>2615</v>
      </c>
      <c r="L348" s="4" t="s">
        <v>461</v>
      </c>
      <c r="M348" t="s">
        <v>351</v>
      </c>
      <c r="N348" s="2">
        <v>1030685664</v>
      </c>
      <c r="O348" t="s">
        <v>2141</v>
      </c>
      <c r="P348" t="s">
        <v>316</v>
      </c>
      <c r="Q348" t="s">
        <v>317</v>
      </c>
      <c r="R348">
        <v>4682035807</v>
      </c>
      <c r="S348" t="s">
        <v>319</v>
      </c>
      <c r="T348">
        <v>860034594</v>
      </c>
      <c r="U348" t="s">
        <v>374</v>
      </c>
      <c r="V348">
        <v>923269</v>
      </c>
      <c r="W348" t="s">
        <v>581</v>
      </c>
      <c r="X348" s="2" t="s">
        <v>582</v>
      </c>
      <c r="Y348" t="s">
        <v>583</v>
      </c>
      <c r="Z348" t="s">
        <v>47</v>
      </c>
      <c r="AA348" t="s">
        <v>76</v>
      </c>
      <c r="AB348" t="s">
        <v>33</v>
      </c>
      <c r="AC348" s="51">
        <v>1400000</v>
      </c>
      <c r="AD348">
        <v>0</v>
      </c>
      <c r="AE348" s="4">
        <v>0</v>
      </c>
      <c r="AF348" s="4">
        <v>0</v>
      </c>
      <c r="AG348" t="s">
        <v>462</v>
      </c>
      <c r="AH348">
        <v>0</v>
      </c>
      <c r="AI348">
        <v>0</v>
      </c>
      <c r="AJ348" s="2" t="s">
        <v>463</v>
      </c>
      <c r="AK348" s="2">
        <v>0</v>
      </c>
      <c r="AL348">
        <v>0</v>
      </c>
      <c r="AM348">
        <v>0</v>
      </c>
      <c r="AN348">
        <v>0</v>
      </c>
      <c r="AO348">
        <v>0</v>
      </c>
      <c r="AP348">
        <v>7025</v>
      </c>
      <c r="AQ348">
        <v>7025</v>
      </c>
      <c r="AR348">
        <v>32625</v>
      </c>
      <c r="AS348">
        <v>0</v>
      </c>
      <c r="AT348">
        <v>0</v>
      </c>
      <c r="AU348">
        <v>35625</v>
      </c>
      <c r="AV348">
        <v>64603925</v>
      </c>
      <c r="AW348">
        <v>0</v>
      </c>
      <c r="AX348" s="5">
        <v>45707</v>
      </c>
      <c r="AY348" t="s">
        <v>356</v>
      </c>
      <c r="AZ348" t="s">
        <v>2144</v>
      </c>
      <c r="BA348" t="s">
        <v>2145</v>
      </c>
    </row>
    <row r="349" spans="1:53" ht="15" customHeight="1" x14ac:dyDescent="0.2">
      <c r="A349" t="s">
        <v>5195</v>
      </c>
      <c r="B349" t="s">
        <v>2533</v>
      </c>
      <c r="C349" t="s">
        <v>5192</v>
      </c>
      <c r="D349">
        <v>64616125</v>
      </c>
      <c r="E349" s="5">
        <v>45726</v>
      </c>
      <c r="F349" s="5">
        <v>45728.089583333334</v>
      </c>
      <c r="G349" s="4" t="s">
        <v>460</v>
      </c>
      <c r="H349" s="49">
        <v>2800000</v>
      </c>
      <c r="I349" s="49">
        <v>14365</v>
      </c>
      <c r="J349" s="50">
        <v>2785635</v>
      </c>
      <c r="K349" t="s">
        <v>2615</v>
      </c>
      <c r="L349" s="4" t="s">
        <v>461</v>
      </c>
      <c r="M349" t="s">
        <v>351</v>
      </c>
      <c r="N349" s="2">
        <v>1121827031</v>
      </c>
      <c r="O349" t="s">
        <v>2151</v>
      </c>
      <c r="P349" t="s">
        <v>316</v>
      </c>
      <c r="Q349" t="s">
        <v>317</v>
      </c>
      <c r="R349">
        <v>36414836903</v>
      </c>
      <c r="S349" t="s">
        <v>319</v>
      </c>
      <c r="T349">
        <v>890903938</v>
      </c>
      <c r="U349" t="s">
        <v>342</v>
      </c>
      <c r="V349">
        <v>923270</v>
      </c>
      <c r="W349" t="s">
        <v>589</v>
      </c>
      <c r="X349" s="2" t="s">
        <v>590</v>
      </c>
      <c r="Y349" t="s">
        <v>591</v>
      </c>
      <c r="Z349" t="s">
        <v>47</v>
      </c>
      <c r="AA349" t="s">
        <v>76</v>
      </c>
      <c r="AB349" t="s">
        <v>33</v>
      </c>
      <c r="AC349" s="51">
        <v>2800000</v>
      </c>
      <c r="AD349">
        <v>0</v>
      </c>
      <c r="AE349" s="4">
        <v>0</v>
      </c>
      <c r="AF349" s="4">
        <v>0</v>
      </c>
      <c r="AG349" t="s">
        <v>462</v>
      </c>
      <c r="AH349">
        <v>0</v>
      </c>
      <c r="AI349">
        <v>0</v>
      </c>
      <c r="AJ349" s="2" t="s">
        <v>463</v>
      </c>
      <c r="AK349" s="2">
        <v>0</v>
      </c>
      <c r="AL349">
        <v>0</v>
      </c>
      <c r="AM349">
        <v>0</v>
      </c>
      <c r="AN349">
        <v>0</v>
      </c>
      <c r="AO349">
        <v>0</v>
      </c>
      <c r="AP349">
        <v>7125</v>
      </c>
      <c r="AQ349">
        <v>7125</v>
      </c>
      <c r="AR349">
        <v>32825</v>
      </c>
      <c r="AS349">
        <v>0</v>
      </c>
      <c r="AT349">
        <v>0</v>
      </c>
      <c r="AU349">
        <v>35825</v>
      </c>
      <c r="AV349">
        <v>64616125</v>
      </c>
      <c r="AW349">
        <v>0</v>
      </c>
      <c r="AX349" s="5">
        <v>45707</v>
      </c>
      <c r="AY349" t="s">
        <v>356</v>
      </c>
      <c r="AZ349" t="s">
        <v>2154</v>
      </c>
      <c r="BA349" t="s">
        <v>2155</v>
      </c>
    </row>
    <row r="350" spans="1:53" ht="15" customHeight="1" x14ac:dyDescent="0.2">
      <c r="A350" t="s">
        <v>5196</v>
      </c>
      <c r="B350" t="s">
        <v>2534</v>
      </c>
      <c r="C350" t="s">
        <v>5192</v>
      </c>
      <c r="D350">
        <v>64616325</v>
      </c>
      <c r="E350" s="5">
        <v>45726</v>
      </c>
      <c r="F350" s="5">
        <v>45728.089583333334</v>
      </c>
      <c r="G350" s="4" t="s">
        <v>460</v>
      </c>
      <c r="H350" s="49">
        <v>2800000</v>
      </c>
      <c r="I350" s="49">
        <v>14365</v>
      </c>
      <c r="J350" s="50">
        <v>2785635</v>
      </c>
      <c r="K350" t="s">
        <v>2615</v>
      </c>
      <c r="L350" s="4" t="s">
        <v>461</v>
      </c>
      <c r="M350" t="s">
        <v>351</v>
      </c>
      <c r="N350" s="2">
        <v>1098740549</v>
      </c>
      <c r="O350" t="s">
        <v>2157</v>
      </c>
      <c r="P350" t="s">
        <v>316</v>
      </c>
      <c r="Q350" t="s">
        <v>317</v>
      </c>
      <c r="R350">
        <v>72682161788</v>
      </c>
      <c r="S350" t="s">
        <v>319</v>
      </c>
      <c r="T350">
        <v>890903938</v>
      </c>
      <c r="U350" t="s">
        <v>342</v>
      </c>
      <c r="V350">
        <v>923270</v>
      </c>
      <c r="W350" t="s">
        <v>589</v>
      </c>
      <c r="X350" s="2" t="s">
        <v>590</v>
      </c>
      <c r="Y350" t="s">
        <v>591</v>
      </c>
      <c r="Z350" t="s">
        <v>47</v>
      </c>
      <c r="AA350" t="s">
        <v>76</v>
      </c>
      <c r="AB350" t="s">
        <v>33</v>
      </c>
      <c r="AC350" s="51">
        <v>2800000</v>
      </c>
      <c r="AD350">
        <v>0</v>
      </c>
      <c r="AE350" s="4">
        <v>0</v>
      </c>
      <c r="AF350" s="4">
        <v>0</v>
      </c>
      <c r="AG350" t="s">
        <v>462</v>
      </c>
      <c r="AH350">
        <v>0</v>
      </c>
      <c r="AI350">
        <v>0</v>
      </c>
      <c r="AJ350" s="2" t="s">
        <v>463</v>
      </c>
      <c r="AK350" s="2">
        <v>0</v>
      </c>
      <c r="AL350">
        <v>0</v>
      </c>
      <c r="AM350">
        <v>0</v>
      </c>
      <c r="AN350">
        <v>0</v>
      </c>
      <c r="AO350">
        <v>0</v>
      </c>
      <c r="AP350">
        <v>7125</v>
      </c>
      <c r="AQ350">
        <v>7125</v>
      </c>
      <c r="AR350">
        <v>32925</v>
      </c>
      <c r="AS350">
        <v>0</v>
      </c>
      <c r="AT350">
        <v>0</v>
      </c>
      <c r="AU350">
        <v>35925</v>
      </c>
      <c r="AV350">
        <v>64616325</v>
      </c>
      <c r="AW350">
        <v>0</v>
      </c>
      <c r="AX350" s="5">
        <v>45707</v>
      </c>
      <c r="AY350" t="s">
        <v>356</v>
      </c>
      <c r="AZ350" t="s">
        <v>2160</v>
      </c>
      <c r="BA350" t="s">
        <v>2155</v>
      </c>
    </row>
    <row r="351" spans="1:53" ht="15" customHeight="1" x14ac:dyDescent="0.2">
      <c r="A351" t="s">
        <v>5197</v>
      </c>
      <c r="B351" t="s">
        <v>2535</v>
      </c>
      <c r="C351" t="s">
        <v>5192</v>
      </c>
      <c r="D351">
        <v>64616425</v>
      </c>
      <c r="E351" s="5">
        <v>45726</v>
      </c>
      <c r="F351" s="5">
        <v>45728.089583333334</v>
      </c>
      <c r="G351" s="4" t="s">
        <v>460</v>
      </c>
      <c r="H351" s="49">
        <v>2800000</v>
      </c>
      <c r="I351" s="49">
        <v>14771</v>
      </c>
      <c r="J351" s="50">
        <v>2785229</v>
      </c>
      <c r="K351" t="s">
        <v>2615</v>
      </c>
      <c r="L351" s="4" t="s">
        <v>461</v>
      </c>
      <c r="M351" t="s">
        <v>351</v>
      </c>
      <c r="N351" s="2">
        <v>1053797721</v>
      </c>
      <c r="O351" t="s">
        <v>2162</v>
      </c>
      <c r="P351" t="s">
        <v>316</v>
      </c>
      <c r="Q351" t="s">
        <v>317</v>
      </c>
      <c r="R351">
        <v>5940624632</v>
      </c>
      <c r="S351" t="s">
        <v>319</v>
      </c>
      <c r="T351">
        <v>890903938</v>
      </c>
      <c r="U351" t="s">
        <v>342</v>
      </c>
      <c r="V351">
        <v>923270</v>
      </c>
      <c r="W351" t="s">
        <v>589</v>
      </c>
      <c r="X351" s="2" t="s">
        <v>590</v>
      </c>
      <c r="Y351" t="s">
        <v>591</v>
      </c>
      <c r="Z351" t="s">
        <v>47</v>
      </c>
      <c r="AA351" t="s">
        <v>76</v>
      </c>
      <c r="AB351" t="s">
        <v>33</v>
      </c>
      <c r="AC351" s="51">
        <v>2800000</v>
      </c>
      <c r="AD351">
        <v>0</v>
      </c>
      <c r="AE351" s="4">
        <v>0</v>
      </c>
      <c r="AF351" s="4">
        <v>0</v>
      </c>
      <c r="AG351" t="s">
        <v>462</v>
      </c>
      <c r="AH351">
        <v>0</v>
      </c>
      <c r="AI351">
        <v>0</v>
      </c>
      <c r="AJ351" s="2" t="s">
        <v>463</v>
      </c>
      <c r="AK351" s="2">
        <v>0</v>
      </c>
      <c r="AL351">
        <v>0</v>
      </c>
      <c r="AM351">
        <v>0</v>
      </c>
      <c r="AN351">
        <v>0</v>
      </c>
      <c r="AO351">
        <v>0</v>
      </c>
      <c r="AP351">
        <v>7125</v>
      </c>
      <c r="AQ351">
        <v>7125</v>
      </c>
      <c r="AR351">
        <v>33025</v>
      </c>
      <c r="AS351">
        <v>0</v>
      </c>
      <c r="AT351">
        <v>0</v>
      </c>
      <c r="AU351">
        <v>36025</v>
      </c>
      <c r="AV351">
        <v>64616425</v>
      </c>
      <c r="AW351">
        <v>0</v>
      </c>
      <c r="AX351" s="5">
        <v>45707</v>
      </c>
      <c r="AY351" t="s">
        <v>356</v>
      </c>
      <c r="AZ351" t="s">
        <v>2165</v>
      </c>
      <c r="BA351" t="s">
        <v>2155</v>
      </c>
    </row>
    <row r="352" spans="1:53" ht="15" customHeight="1" x14ac:dyDescent="0.2">
      <c r="A352" t="s">
        <v>5198</v>
      </c>
      <c r="B352" t="s">
        <v>2536</v>
      </c>
      <c r="C352" t="s">
        <v>5192</v>
      </c>
      <c r="D352">
        <v>64616525</v>
      </c>
      <c r="E352" s="5">
        <v>45726</v>
      </c>
      <c r="F352" s="5">
        <v>45728.089583333334</v>
      </c>
      <c r="G352" s="4" t="s">
        <v>460</v>
      </c>
      <c r="H352" s="49">
        <v>2800000</v>
      </c>
      <c r="I352" s="49">
        <v>14365</v>
      </c>
      <c r="J352" s="50">
        <v>2785635</v>
      </c>
      <c r="K352" t="s">
        <v>2615</v>
      </c>
      <c r="L352" s="4" t="s">
        <v>461</v>
      </c>
      <c r="M352" t="s">
        <v>351</v>
      </c>
      <c r="N352" s="2">
        <v>7179866</v>
      </c>
      <c r="O352" t="s">
        <v>2167</v>
      </c>
      <c r="P352" t="s">
        <v>316</v>
      </c>
      <c r="Q352" t="s">
        <v>317</v>
      </c>
      <c r="R352">
        <v>15900005283</v>
      </c>
      <c r="S352" t="s">
        <v>319</v>
      </c>
      <c r="T352">
        <v>890903938</v>
      </c>
      <c r="U352" t="s">
        <v>342</v>
      </c>
      <c r="V352">
        <v>923270</v>
      </c>
      <c r="W352" t="s">
        <v>589</v>
      </c>
      <c r="X352" s="2" t="s">
        <v>590</v>
      </c>
      <c r="Y352" t="s">
        <v>591</v>
      </c>
      <c r="Z352" t="s">
        <v>47</v>
      </c>
      <c r="AA352" t="s">
        <v>76</v>
      </c>
      <c r="AB352" t="s">
        <v>33</v>
      </c>
      <c r="AC352" s="51">
        <v>2800000</v>
      </c>
      <c r="AD352">
        <v>0</v>
      </c>
      <c r="AE352" s="4">
        <v>0</v>
      </c>
      <c r="AF352" s="4">
        <v>0</v>
      </c>
      <c r="AG352" t="s">
        <v>462</v>
      </c>
      <c r="AH352">
        <v>0</v>
      </c>
      <c r="AI352">
        <v>0</v>
      </c>
      <c r="AJ352" s="2" t="s">
        <v>463</v>
      </c>
      <c r="AK352" s="2">
        <v>0</v>
      </c>
      <c r="AL352">
        <v>0</v>
      </c>
      <c r="AM352">
        <v>0</v>
      </c>
      <c r="AN352">
        <v>0</v>
      </c>
      <c r="AO352">
        <v>0</v>
      </c>
      <c r="AP352">
        <v>7125</v>
      </c>
      <c r="AQ352">
        <v>7125</v>
      </c>
      <c r="AR352">
        <v>33125</v>
      </c>
      <c r="AS352">
        <v>0</v>
      </c>
      <c r="AT352">
        <v>0</v>
      </c>
      <c r="AU352">
        <v>36125</v>
      </c>
      <c r="AV352">
        <v>64616525</v>
      </c>
      <c r="AW352">
        <v>0</v>
      </c>
      <c r="AX352" s="5">
        <v>45707</v>
      </c>
      <c r="AY352" t="s">
        <v>356</v>
      </c>
      <c r="AZ352" t="s">
        <v>2169</v>
      </c>
      <c r="BA352" t="s">
        <v>2155</v>
      </c>
    </row>
    <row r="353" spans="1:53" ht="15" customHeight="1" x14ac:dyDescent="0.2">
      <c r="A353" t="s">
        <v>5199</v>
      </c>
      <c r="B353" t="s">
        <v>2537</v>
      </c>
      <c r="C353" t="s">
        <v>5194</v>
      </c>
      <c r="D353">
        <v>64616625</v>
      </c>
      <c r="E353" s="5">
        <v>45726</v>
      </c>
      <c r="F353" s="5">
        <v>45728.089583333334</v>
      </c>
      <c r="G353" s="4" t="s">
        <v>460</v>
      </c>
      <c r="H353" s="49">
        <v>2800000</v>
      </c>
      <c r="I353" s="49">
        <v>14365</v>
      </c>
      <c r="J353" s="50">
        <v>2785635</v>
      </c>
      <c r="K353" t="s">
        <v>2615</v>
      </c>
      <c r="L353" s="4" t="s">
        <v>461</v>
      </c>
      <c r="M353" t="s">
        <v>351</v>
      </c>
      <c r="N353" s="2">
        <v>11220943</v>
      </c>
      <c r="O353" t="s">
        <v>2171</v>
      </c>
      <c r="P353" t="s">
        <v>316</v>
      </c>
      <c r="Q353" t="s">
        <v>317</v>
      </c>
      <c r="R353">
        <v>29987983432</v>
      </c>
      <c r="S353" t="s">
        <v>319</v>
      </c>
      <c r="T353">
        <v>890903938</v>
      </c>
      <c r="U353" t="s">
        <v>342</v>
      </c>
      <c r="V353">
        <v>923269</v>
      </c>
      <c r="W353" t="s">
        <v>581</v>
      </c>
      <c r="X353" s="2" t="s">
        <v>582</v>
      </c>
      <c r="Y353" t="s">
        <v>583</v>
      </c>
      <c r="Z353" t="s">
        <v>47</v>
      </c>
      <c r="AA353" t="s">
        <v>76</v>
      </c>
      <c r="AB353" t="s">
        <v>33</v>
      </c>
      <c r="AC353" s="51">
        <v>2800000</v>
      </c>
      <c r="AD353">
        <v>0</v>
      </c>
      <c r="AE353" s="4">
        <v>0</v>
      </c>
      <c r="AF353" s="4">
        <v>0</v>
      </c>
      <c r="AG353" t="s">
        <v>462</v>
      </c>
      <c r="AH353">
        <v>0</v>
      </c>
      <c r="AI353">
        <v>0</v>
      </c>
      <c r="AJ353" s="2" t="s">
        <v>463</v>
      </c>
      <c r="AK353" s="2">
        <v>0</v>
      </c>
      <c r="AL353">
        <v>0</v>
      </c>
      <c r="AM353">
        <v>0</v>
      </c>
      <c r="AN353">
        <v>0</v>
      </c>
      <c r="AO353">
        <v>0</v>
      </c>
      <c r="AP353">
        <v>7025</v>
      </c>
      <c r="AQ353">
        <v>7025</v>
      </c>
      <c r="AR353">
        <v>33225</v>
      </c>
      <c r="AS353">
        <v>0</v>
      </c>
      <c r="AT353">
        <v>0</v>
      </c>
      <c r="AU353">
        <v>36225</v>
      </c>
      <c r="AV353">
        <v>64616625</v>
      </c>
      <c r="AW353">
        <v>0</v>
      </c>
      <c r="AX353" s="5">
        <v>45707</v>
      </c>
      <c r="AY353" t="s">
        <v>356</v>
      </c>
      <c r="AZ353" t="s">
        <v>2174</v>
      </c>
      <c r="BA353" t="s">
        <v>2175</v>
      </c>
    </row>
    <row r="354" spans="1:53" ht="15" customHeight="1" x14ac:dyDescent="0.2">
      <c r="A354" t="s">
        <v>5200</v>
      </c>
      <c r="B354" t="s">
        <v>2538</v>
      </c>
      <c r="C354" t="s">
        <v>5194</v>
      </c>
      <c r="D354">
        <v>64616725</v>
      </c>
      <c r="E354" s="5">
        <v>45726</v>
      </c>
      <c r="F354" s="5">
        <v>45728.089583333334</v>
      </c>
      <c r="G354" s="4" t="s">
        <v>460</v>
      </c>
      <c r="H354" s="49">
        <v>2800000</v>
      </c>
      <c r="I354" s="49">
        <v>14365</v>
      </c>
      <c r="J354" s="50">
        <v>2785635</v>
      </c>
      <c r="K354" t="s">
        <v>2615</v>
      </c>
      <c r="L354" s="4" t="s">
        <v>461</v>
      </c>
      <c r="M354" t="s">
        <v>351</v>
      </c>
      <c r="N354" s="2">
        <v>87714602</v>
      </c>
      <c r="O354" t="s">
        <v>2177</v>
      </c>
      <c r="P354" t="s">
        <v>316</v>
      </c>
      <c r="Q354" t="s">
        <v>317</v>
      </c>
      <c r="R354">
        <v>91230569393</v>
      </c>
      <c r="S354" t="s">
        <v>319</v>
      </c>
      <c r="T354">
        <v>890903938</v>
      </c>
      <c r="U354" t="s">
        <v>342</v>
      </c>
      <c r="V354">
        <v>923269</v>
      </c>
      <c r="W354" t="s">
        <v>581</v>
      </c>
      <c r="X354" s="2" t="s">
        <v>582</v>
      </c>
      <c r="Y354" t="s">
        <v>583</v>
      </c>
      <c r="Z354" t="s">
        <v>47</v>
      </c>
      <c r="AA354" t="s">
        <v>76</v>
      </c>
      <c r="AB354" t="s">
        <v>33</v>
      </c>
      <c r="AC354" s="51">
        <v>2800000</v>
      </c>
      <c r="AD354">
        <v>0</v>
      </c>
      <c r="AE354" s="4">
        <v>0</v>
      </c>
      <c r="AF354" s="4">
        <v>0</v>
      </c>
      <c r="AG354" t="s">
        <v>462</v>
      </c>
      <c r="AH354">
        <v>0</v>
      </c>
      <c r="AI354">
        <v>0</v>
      </c>
      <c r="AJ354" s="2" t="s">
        <v>463</v>
      </c>
      <c r="AK354" s="2">
        <v>0</v>
      </c>
      <c r="AL354">
        <v>0</v>
      </c>
      <c r="AM354">
        <v>0</v>
      </c>
      <c r="AN354">
        <v>0</v>
      </c>
      <c r="AO354">
        <v>0</v>
      </c>
      <c r="AP354">
        <v>7025</v>
      </c>
      <c r="AQ354">
        <v>7025</v>
      </c>
      <c r="AR354">
        <v>33325</v>
      </c>
      <c r="AS354">
        <v>0</v>
      </c>
      <c r="AT354">
        <v>0</v>
      </c>
      <c r="AU354">
        <v>36325</v>
      </c>
      <c r="AV354">
        <v>64616725</v>
      </c>
      <c r="AW354">
        <v>0</v>
      </c>
      <c r="AX354" s="5">
        <v>45707</v>
      </c>
      <c r="AY354" t="s">
        <v>356</v>
      </c>
      <c r="AZ354" t="s">
        <v>2179</v>
      </c>
      <c r="BA354" t="s">
        <v>2175</v>
      </c>
    </row>
    <row r="355" spans="1:53" ht="15" customHeight="1" x14ac:dyDescent="0.2">
      <c r="A355" t="s">
        <v>5201</v>
      </c>
      <c r="B355" t="s">
        <v>2539</v>
      </c>
      <c r="C355" t="s">
        <v>5194</v>
      </c>
      <c r="D355">
        <v>64616825</v>
      </c>
      <c r="E355" s="5">
        <v>45726</v>
      </c>
      <c r="F355" s="5">
        <v>45728.089583333334</v>
      </c>
      <c r="G355" s="4" t="s">
        <v>460</v>
      </c>
      <c r="H355" s="49">
        <v>2800000</v>
      </c>
      <c r="I355" s="49">
        <v>14365</v>
      </c>
      <c r="J355" s="50">
        <v>2785635</v>
      </c>
      <c r="K355" t="s">
        <v>2615</v>
      </c>
      <c r="L355" s="4" t="s">
        <v>461</v>
      </c>
      <c r="M355" t="s">
        <v>351</v>
      </c>
      <c r="N355" s="2">
        <v>79564002</v>
      </c>
      <c r="O355" t="s">
        <v>2181</v>
      </c>
      <c r="P355" t="s">
        <v>316</v>
      </c>
      <c r="Q355" t="s">
        <v>317</v>
      </c>
      <c r="R355">
        <v>17712912561</v>
      </c>
      <c r="S355" t="s">
        <v>319</v>
      </c>
      <c r="T355">
        <v>890903938</v>
      </c>
      <c r="U355" t="s">
        <v>342</v>
      </c>
      <c r="V355">
        <v>923269</v>
      </c>
      <c r="W355" t="s">
        <v>581</v>
      </c>
      <c r="X355" s="2" t="s">
        <v>582</v>
      </c>
      <c r="Y355" t="s">
        <v>583</v>
      </c>
      <c r="Z355" t="s">
        <v>47</v>
      </c>
      <c r="AA355" t="s">
        <v>76</v>
      </c>
      <c r="AB355" t="s">
        <v>33</v>
      </c>
      <c r="AC355" s="51">
        <v>2800000</v>
      </c>
      <c r="AD355">
        <v>0</v>
      </c>
      <c r="AE355" s="4">
        <v>0</v>
      </c>
      <c r="AF355" s="4">
        <v>0</v>
      </c>
      <c r="AG355" t="s">
        <v>462</v>
      </c>
      <c r="AH355">
        <v>0</v>
      </c>
      <c r="AI355">
        <v>0</v>
      </c>
      <c r="AJ355" s="2" t="s">
        <v>463</v>
      </c>
      <c r="AK355" s="2">
        <v>0</v>
      </c>
      <c r="AL355">
        <v>0</v>
      </c>
      <c r="AM355">
        <v>0</v>
      </c>
      <c r="AN355">
        <v>0</v>
      </c>
      <c r="AO355">
        <v>0</v>
      </c>
      <c r="AP355">
        <v>7025</v>
      </c>
      <c r="AQ355">
        <v>7025</v>
      </c>
      <c r="AR355">
        <v>33425</v>
      </c>
      <c r="AS355">
        <v>0</v>
      </c>
      <c r="AT355">
        <v>0</v>
      </c>
      <c r="AU355">
        <v>36425</v>
      </c>
      <c r="AV355">
        <v>64616825</v>
      </c>
      <c r="AW355">
        <v>0</v>
      </c>
      <c r="AX355" s="5">
        <v>45707</v>
      </c>
      <c r="AY355" t="s">
        <v>356</v>
      </c>
      <c r="AZ355" t="s">
        <v>2184</v>
      </c>
      <c r="BA355" t="s">
        <v>2175</v>
      </c>
    </row>
    <row r="356" spans="1:53" ht="15" customHeight="1" x14ac:dyDescent="0.2">
      <c r="A356" t="s">
        <v>5202</v>
      </c>
      <c r="B356" t="s">
        <v>2540</v>
      </c>
      <c r="C356" t="s">
        <v>5194</v>
      </c>
      <c r="D356">
        <v>64616925</v>
      </c>
      <c r="E356" s="5">
        <v>45726</v>
      </c>
      <c r="F356" s="5">
        <v>45728.098611111112</v>
      </c>
      <c r="G356" s="4" t="s">
        <v>460</v>
      </c>
      <c r="H356" s="49">
        <v>2800000</v>
      </c>
      <c r="I356" s="49">
        <v>14365</v>
      </c>
      <c r="J356" s="50">
        <v>2785635</v>
      </c>
      <c r="K356" t="s">
        <v>2615</v>
      </c>
      <c r="L356" s="4" t="s">
        <v>461</v>
      </c>
      <c r="M356" t="s">
        <v>351</v>
      </c>
      <c r="N356" s="2">
        <v>5471664</v>
      </c>
      <c r="O356" t="s">
        <v>2186</v>
      </c>
      <c r="P356" t="s">
        <v>316</v>
      </c>
      <c r="Q356" t="s">
        <v>317</v>
      </c>
      <c r="R356">
        <v>7270663490</v>
      </c>
      <c r="S356" t="s">
        <v>319</v>
      </c>
      <c r="T356">
        <v>860034313</v>
      </c>
      <c r="U356" t="s">
        <v>355</v>
      </c>
      <c r="V356">
        <v>923269</v>
      </c>
      <c r="W356" t="s">
        <v>581</v>
      </c>
      <c r="X356" s="2" t="s">
        <v>582</v>
      </c>
      <c r="Y356" t="s">
        <v>583</v>
      </c>
      <c r="Z356" t="s">
        <v>47</v>
      </c>
      <c r="AA356" t="s">
        <v>76</v>
      </c>
      <c r="AB356" t="s">
        <v>33</v>
      </c>
      <c r="AC356" s="51">
        <v>2800000</v>
      </c>
      <c r="AD356">
        <v>0</v>
      </c>
      <c r="AE356" s="4">
        <v>0</v>
      </c>
      <c r="AF356" s="4">
        <v>0</v>
      </c>
      <c r="AG356" t="s">
        <v>462</v>
      </c>
      <c r="AH356">
        <v>0</v>
      </c>
      <c r="AI356">
        <v>0</v>
      </c>
      <c r="AJ356" s="2" t="s">
        <v>463</v>
      </c>
      <c r="AK356" s="2">
        <v>0</v>
      </c>
      <c r="AL356">
        <v>0</v>
      </c>
      <c r="AM356">
        <v>0</v>
      </c>
      <c r="AN356">
        <v>0</v>
      </c>
      <c r="AO356">
        <v>0</v>
      </c>
      <c r="AP356">
        <v>7025</v>
      </c>
      <c r="AQ356">
        <v>7025</v>
      </c>
      <c r="AR356">
        <v>33525</v>
      </c>
      <c r="AS356">
        <v>0</v>
      </c>
      <c r="AT356">
        <v>0</v>
      </c>
      <c r="AU356">
        <v>36525</v>
      </c>
      <c r="AV356">
        <v>64616925</v>
      </c>
      <c r="AW356">
        <v>0</v>
      </c>
      <c r="AX356" s="5">
        <v>45707</v>
      </c>
      <c r="AY356" t="s">
        <v>356</v>
      </c>
      <c r="AZ356" t="s">
        <v>2189</v>
      </c>
      <c r="BA356" t="s">
        <v>2175</v>
      </c>
    </row>
    <row r="357" spans="1:53" ht="15" customHeight="1" x14ac:dyDescent="0.2">
      <c r="A357" t="s">
        <v>5203</v>
      </c>
      <c r="B357" t="s">
        <v>4411</v>
      </c>
      <c r="C357" t="s">
        <v>4859</v>
      </c>
      <c r="D357">
        <v>64617025</v>
      </c>
      <c r="E357" s="5">
        <v>45726</v>
      </c>
      <c r="F357" s="5">
        <v>45728.118055555555</v>
      </c>
      <c r="G357" s="4" t="s">
        <v>460</v>
      </c>
      <c r="H357" s="49">
        <v>927494</v>
      </c>
      <c r="I357" s="49">
        <v>3130</v>
      </c>
      <c r="J357" s="50">
        <v>924364</v>
      </c>
      <c r="K357" t="s">
        <v>2615</v>
      </c>
      <c r="L357" s="4" t="s">
        <v>461</v>
      </c>
      <c r="M357" t="s">
        <v>351</v>
      </c>
      <c r="N357" s="2">
        <v>1010040399</v>
      </c>
      <c r="O357" t="s">
        <v>3324</v>
      </c>
      <c r="P357" t="s">
        <v>316</v>
      </c>
      <c r="Q357" t="s">
        <v>317</v>
      </c>
      <c r="R357">
        <v>7200751175</v>
      </c>
      <c r="S357" t="s">
        <v>319</v>
      </c>
      <c r="T357">
        <v>860034313</v>
      </c>
      <c r="U357" t="s">
        <v>355</v>
      </c>
      <c r="V357">
        <v>923210</v>
      </c>
      <c r="W357" t="s">
        <v>56</v>
      </c>
      <c r="X357" s="2" t="s">
        <v>29</v>
      </c>
      <c r="Y357" t="s">
        <v>30</v>
      </c>
      <c r="Z357" t="s">
        <v>31</v>
      </c>
      <c r="AA357" t="s">
        <v>32</v>
      </c>
      <c r="AB357" t="s">
        <v>33</v>
      </c>
      <c r="AC357" s="51">
        <v>927494</v>
      </c>
      <c r="AD357">
        <v>0</v>
      </c>
      <c r="AE357" s="4">
        <v>0</v>
      </c>
      <c r="AF357" s="4">
        <v>0</v>
      </c>
      <c r="AG357" t="s">
        <v>462</v>
      </c>
      <c r="AH357">
        <v>0</v>
      </c>
      <c r="AI357">
        <v>0</v>
      </c>
      <c r="AJ357" s="2" t="s">
        <v>463</v>
      </c>
      <c r="AK357" s="2">
        <v>0</v>
      </c>
      <c r="AL357">
        <v>0</v>
      </c>
      <c r="AM357">
        <v>0</v>
      </c>
      <c r="AN357">
        <v>0</v>
      </c>
      <c r="AO357">
        <v>0</v>
      </c>
      <c r="AP357">
        <v>1925</v>
      </c>
      <c r="AQ357">
        <v>1925</v>
      </c>
      <c r="AR357">
        <v>33625</v>
      </c>
      <c r="AS357">
        <v>0</v>
      </c>
      <c r="AT357">
        <v>0</v>
      </c>
      <c r="AU357">
        <v>36625</v>
      </c>
      <c r="AV357">
        <v>64617025</v>
      </c>
      <c r="AW357">
        <v>0</v>
      </c>
      <c r="AX357" s="5">
        <v>45708</v>
      </c>
      <c r="AY357" t="s">
        <v>356</v>
      </c>
      <c r="AZ357" t="s">
        <v>3328</v>
      </c>
      <c r="BA357" t="s">
        <v>3329</v>
      </c>
    </row>
    <row r="358" spans="1:53" ht="15" customHeight="1" x14ac:dyDescent="0.2">
      <c r="A358" t="s">
        <v>5204</v>
      </c>
      <c r="B358" t="s">
        <v>4420</v>
      </c>
      <c r="C358" t="s">
        <v>4892</v>
      </c>
      <c r="D358">
        <v>64617125</v>
      </c>
      <c r="E358" s="5">
        <v>45726</v>
      </c>
      <c r="F358" s="5">
        <v>45728.09652777778</v>
      </c>
      <c r="G358" s="4" t="s">
        <v>460</v>
      </c>
      <c r="H358" s="49">
        <v>1839804</v>
      </c>
      <c r="I358" s="49">
        <v>9415</v>
      </c>
      <c r="J358" s="50">
        <v>1830389</v>
      </c>
      <c r="K358" t="s">
        <v>2615</v>
      </c>
      <c r="L358" s="4" t="s">
        <v>461</v>
      </c>
      <c r="M358" t="s">
        <v>351</v>
      </c>
      <c r="N358" s="2">
        <v>80797270</v>
      </c>
      <c r="O358" t="s">
        <v>3332</v>
      </c>
      <c r="P358" t="s">
        <v>316</v>
      </c>
      <c r="Q358" t="s">
        <v>317</v>
      </c>
      <c r="R358">
        <v>4970282465</v>
      </c>
      <c r="S358" t="s">
        <v>319</v>
      </c>
      <c r="T358">
        <v>860034313</v>
      </c>
      <c r="U358" t="s">
        <v>355</v>
      </c>
      <c r="V358">
        <v>923211</v>
      </c>
      <c r="W358" t="s">
        <v>69</v>
      </c>
      <c r="X358" s="2" t="s">
        <v>29</v>
      </c>
      <c r="Y358" t="s">
        <v>30</v>
      </c>
      <c r="Z358" t="s">
        <v>31</v>
      </c>
      <c r="AA358" t="s">
        <v>32</v>
      </c>
      <c r="AB358" t="s">
        <v>33</v>
      </c>
      <c r="AC358" s="51">
        <v>1839804</v>
      </c>
      <c r="AD358">
        <v>0</v>
      </c>
      <c r="AE358" s="4">
        <v>0</v>
      </c>
      <c r="AF358" s="4">
        <v>0</v>
      </c>
      <c r="AG358" t="s">
        <v>462</v>
      </c>
      <c r="AH358">
        <v>0</v>
      </c>
      <c r="AI358">
        <v>0</v>
      </c>
      <c r="AJ358" s="2" t="s">
        <v>463</v>
      </c>
      <c r="AK358" s="2">
        <v>0</v>
      </c>
      <c r="AL358">
        <v>0</v>
      </c>
      <c r="AM358">
        <v>0</v>
      </c>
      <c r="AN358">
        <v>0</v>
      </c>
      <c r="AO358">
        <v>0</v>
      </c>
      <c r="AP358">
        <v>2125</v>
      </c>
      <c r="AQ358">
        <v>2125</v>
      </c>
      <c r="AR358">
        <v>34425</v>
      </c>
      <c r="AS358">
        <v>0</v>
      </c>
      <c r="AT358">
        <v>0</v>
      </c>
      <c r="AU358">
        <v>36725</v>
      </c>
      <c r="AV358">
        <v>64617125</v>
      </c>
      <c r="AW358">
        <v>0</v>
      </c>
      <c r="AX358" s="5">
        <v>45708</v>
      </c>
      <c r="AY358" t="s">
        <v>356</v>
      </c>
      <c r="AZ358" t="s">
        <v>3336</v>
      </c>
      <c r="BA358" t="s">
        <v>1158</v>
      </c>
    </row>
    <row r="359" spans="1:53" ht="15" customHeight="1" x14ac:dyDescent="0.2">
      <c r="A359" t="s">
        <v>5205</v>
      </c>
      <c r="B359" t="s">
        <v>4421</v>
      </c>
      <c r="C359" t="s">
        <v>4892</v>
      </c>
      <c r="D359">
        <v>64617225</v>
      </c>
      <c r="E359" s="5">
        <v>45726</v>
      </c>
      <c r="F359" s="5">
        <v>45728.085416666669</v>
      </c>
      <c r="G359" s="4" t="s">
        <v>460</v>
      </c>
      <c r="H359" s="49">
        <v>1839804</v>
      </c>
      <c r="I359" s="49">
        <v>8604</v>
      </c>
      <c r="J359" s="50">
        <v>1831200</v>
      </c>
      <c r="K359" t="s">
        <v>2615</v>
      </c>
      <c r="L359" s="4" t="s">
        <v>461</v>
      </c>
      <c r="M359" t="s">
        <v>351</v>
      </c>
      <c r="N359" s="2">
        <v>52423278</v>
      </c>
      <c r="O359" t="s">
        <v>3339</v>
      </c>
      <c r="P359" t="s">
        <v>316</v>
      </c>
      <c r="Q359" t="s">
        <v>317</v>
      </c>
      <c r="R359">
        <v>52577329877</v>
      </c>
      <c r="S359" t="s">
        <v>319</v>
      </c>
      <c r="T359">
        <v>890903938</v>
      </c>
      <c r="U359" t="s">
        <v>342</v>
      </c>
      <c r="V359">
        <v>923211</v>
      </c>
      <c r="W359" t="s">
        <v>69</v>
      </c>
      <c r="X359" s="2" t="s">
        <v>29</v>
      </c>
      <c r="Y359" t="s">
        <v>30</v>
      </c>
      <c r="Z359" t="s">
        <v>31</v>
      </c>
      <c r="AA359" t="s">
        <v>32</v>
      </c>
      <c r="AB359" t="s">
        <v>33</v>
      </c>
      <c r="AC359" s="51">
        <v>1839804</v>
      </c>
      <c r="AD359">
        <v>0</v>
      </c>
      <c r="AE359" s="4">
        <v>0</v>
      </c>
      <c r="AF359" s="4">
        <v>0</v>
      </c>
      <c r="AG359" t="s">
        <v>462</v>
      </c>
      <c r="AH359">
        <v>0</v>
      </c>
      <c r="AI359">
        <v>0</v>
      </c>
      <c r="AJ359" s="2" t="s">
        <v>463</v>
      </c>
      <c r="AK359" s="2">
        <v>0</v>
      </c>
      <c r="AL359">
        <v>0</v>
      </c>
      <c r="AM359">
        <v>0</v>
      </c>
      <c r="AN359">
        <v>0</v>
      </c>
      <c r="AO359">
        <v>0</v>
      </c>
      <c r="AP359">
        <v>2125</v>
      </c>
      <c r="AQ359">
        <v>2125</v>
      </c>
      <c r="AR359">
        <v>34525</v>
      </c>
      <c r="AS359">
        <v>0</v>
      </c>
      <c r="AT359">
        <v>0</v>
      </c>
      <c r="AU359">
        <v>36825</v>
      </c>
      <c r="AV359">
        <v>64617225</v>
      </c>
      <c r="AW359">
        <v>0</v>
      </c>
      <c r="AX359" s="5">
        <v>45708</v>
      </c>
      <c r="AY359" t="s">
        <v>356</v>
      </c>
      <c r="AZ359" t="s">
        <v>3342</v>
      </c>
      <c r="BA359" t="s">
        <v>3343</v>
      </c>
    </row>
    <row r="360" spans="1:53" ht="15" customHeight="1" x14ac:dyDescent="0.2">
      <c r="A360" t="s">
        <v>5206</v>
      </c>
      <c r="B360" t="s">
        <v>4422</v>
      </c>
      <c r="C360" t="s">
        <v>4892</v>
      </c>
      <c r="D360">
        <v>64617325</v>
      </c>
      <c r="E360" s="5">
        <v>45726</v>
      </c>
      <c r="F360" s="5">
        <v>45728.095138888886</v>
      </c>
      <c r="G360" s="4" t="s">
        <v>460</v>
      </c>
      <c r="H360" s="49">
        <v>1839804</v>
      </c>
      <c r="I360" s="49">
        <v>8604</v>
      </c>
      <c r="J360" s="50">
        <v>1831200</v>
      </c>
      <c r="K360" t="s">
        <v>2615</v>
      </c>
      <c r="L360" s="4" t="s">
        <v>461</v>
      </c>
      <c r="M360" t="s">
        <v>351</v>
      </c>
      <c r="N360" s="2">
        <v>52121132</v>
      </c>
      <c r="O360" t="s">
        <v>3346</v>
      </c>
      <c r="P360" t="s">
        <v>316</v>
      </c>
      <c r="Q360" t="s">
        <v>317</v>
      </c>
      <c r="R360">
        <v>24136899509</v>
      </c>
      <c r="S360" t="s">
        <v>319</v>
      </c>
      <c r="T360">
        <v>860007335</v>
      </c>
      <c r="U360" t="s">
        <v>381</v>
      </c>
      <c r="V360">
        <v>923211</v>
      </c>
      <c r="W360" t="s">
        <v>69</v>
      </c>
      <c r="X360" s="2" t="s">
        <v>29</v>
      </c>
      <c r="Y360" t="s">
        <v>30</v>
      </c>
      <c r="Z360" t="s">
        <v>31</v>
      </c>
      <c r="AA360" t="s">
        <v>32</v>
      </c>
      <c r="AB360" t="s">
        <v>33</v>
      </c>
      <c r="AC360" s="51">
        <v>1839804</v>
      </c>
      <c r="AD360">
        <v>0</v>
      </c>
      <c r="AE360" s="4">
        <v>0</v>
      </c>
      <c r="AF360" s="4">
        <v>0</v>
      </c>
      <c r="AG360" t="s">
        <v>462</v>
      </c>
      <c r="AH360">
        <v>0</v>
      </c>
      <c r="AI360">
        <v>0</v>
      </c>
      <c r="AJ360" s="2" t="s">
        <v>463</v>
      </c>
      <c r="AK360" s="2">
        <v>0</v>
      </c>
      <c r="AL360">
        <v>0</v>
      </c>
      <c r="AM360">
        <v>0</v>
      </c>
      <c r="AN360">
        <v>0</v>
      </c>
      <c r="AO360">
        <v>0</v>
      </c>
      <c r="AP360">
        <v>2125</v>
      </c>
      <c r="AQ360">
        <v>2125</v>
      </c>
      <c r="AR360">
        <v>34625</v>
      </c>
      <c r="AS360">
        <v>0</v>
      </c>
      <c r="AT360">
        <v>0</v>
      </c>
      <c r="AU360">
        <v>36925</v>
      </c>
      <c r="AV360">
        <v>64617325</v>
      </c>
      <c r="AW360">
        <v>0</v>
      </c>
      <c r="AX360" s="5">
        <v>45708</v>
      </c>
      <c r="AY360" t="s">
        <v>356</v>
      </c>
      <c r="AZ360" t="s">
        <v>3349</v>
      </c>
      <c r="BA360" t="s">
        <v>1158</v>
      </c>
    </row>
    <row r="361" spans="1:53" ht="15" customHeight="1" x14ac:dyDescent="0.2">
      <c r="A361" t="s">
        <v>5207</v>
      </c>
      <c r="B361" t="s">
        <v>4423</v>
      </c>
      <c r="C361" t="s">
        <v>4892</v>
      </c>
      <c r="D361">
        <v>64617425</v>
      </c>
      <c r="E361" s="5">
        <v>45726</v>
      </c>
      <c r="F361" s="5">
        <v>45728.085416666669</v>
      </c>
      <c r="G361" s="4" t="s">
        <v>460</v>
      </c>
      <c r="H361" s="49">
        <v>1839804</v>
      </c>
      <c r="I361" s="49">
        <v>8604</v>
      </c>
      <c r="J361" s="50">
        <v>1831200</v>
      </c>
      <c r="K361" t="s">
        <v>2615</v>
      </c>
      <c r="L361" s="4" t="s">
        <v>461</v>
      </c>
      <c r="M361" t="s">
        <v>351</v>
      </c>
      <c r="N361" s="2">
        <v>1015410686</v>
      </c>
      <c r="O361" t="s">
        <v>3352</v>
      </c>
      <c r="P361" t="s">
        <v>316</v>
      </c>
      <c r="Q361" t="s">
        <v>317</v>
      </c>
      <c r="R361">
        <v>22149677571</v>
      </c>
      <c r="S361" t="s">
        <v>319</v>
      </c>
      <c r="T361">
        <v>890903938</v>
      </c>
      <c r="U361" t="s">
        <v>342</v>
      </c>
      <c r="V361">
        <v>923211</v>
      </c>
      <c r="W361" t="s">
        <v>69</v>
      </c>
      <c r="X361" s="2" t="s">
        <v>29</v>
      </c>
      <c r="Y361" t="s">
        <v>30</v>
      </c>
      <c r="Z361" t="s">
        <v>31</v>
      </c>
      <c r="AA361" t="s">
        <v>32</v>
      </c>
      <c r="AB361" t="s">
        <v>33</v>
      </c>
      <c r="AC361" s="51">
        <v>1839804</v>
      </c>
      <c r="AD361">
        <v>0</v>
      </c>
      <c r="AE361" s="4">
        <v>0</v>
      </c>
      <c r="AF361" s="4">
        <v>0</v>
      </c>
      <c r="AG361" t="s">
        <v>462</v>
      </c>
      <c r="AH361">
        <v>0</v>
      </c>
      <c r="AI361">
        <v>0</v>
      </c>
      <c r="AJ361" s="2" t="s">
        <v>463</v>
      </c>
      <c r="AK361" s="2">
        <v>0</v>
      </c>
      <c r="AL361">
        <v>0</v>
      </c>
      <c r="AM361">
        <v>0</v>
      </c>
      <c r="AN361">
        <v>0</v>
      </c>
      <c r="AO361">
        <v>0</v>
      </c>
      <c r="AP361">
        <v>2125</v>
      </c>
      <c r="AQ361">
        <v>2125</v>
      </c>
      <c r="AR361">
        <v>34725</v>
      </c>
      <c r="AS361">
        <v>0</v>
      </c>
      <c r="AT361">
        <v>0</v>
      </c>
      <c r="AU361">
        <v>37025</v>
      </c>
      <c r="AV361">
        <v>64617425</v>
      </c>
      <c r="AW361">
        <v>0</v>
      </c>
      <c r="AX361" s="5">
        <v>45708</v>
      </c>
      <c r="AY361" t="s">
        <v>356</v>
      </c>
      <c r="AZ361" t="s">
        <v>3355</v>
      </c>
      <c r="BA361" t="s">
        <v>1158</v>
      </c>
    </row>
    <row r="362" spans="1:53" ht="15" customHeight="1" x14ac:dyDescent="0.2">
      <c r="A362" t="s">
        <v>5208</v>
      </c>
      <c r="B362" t="s">
        <v>4424</v>
      </c>
      <c r="C362" t="s">
        <v>4892</v>
      </c>
      <c r="D362">
        <v>64617525</v>
      </c>
      <c r="E362" s="5">
        <v>45726</v>
      </c>
      <c r="F362" s="5">
        <v>45728.09652777778</v>
      </c>
      <c r="G362" s="4" t="s">
        <v>460</v>
      </c>
      <c r="H362" s="49">
        <v>1839804</v>
      </c>
      <c r="I362" s="49">
        <v>8604</v>
      </c>
      <c r="J362" s="50">
        <v>1831200</v>
      </c>
      <c r="K362" t="s">
        <v>2615</v>
      </c>
      <c r="L362" s="4" t="s">
        <v>461</v>
      </c>
      <c r="M362" t="s">
        <v>351</v>
      </c>
      <c r="N362" s="2">
        <v>1032366666</v>
      </c>
      <c r="O362" t="s">
        <v>3358</v>
      </c>
      <c r="P362" t="s">
        <v>316</v>
      </c>
      <c r="Q362" t="s">
        <v>317</v>
      </c>
      <c r="R362">
        <v>488448361656</v>
      </c>
      <c r="S362" t="s">
        <v>319</v>
      </c>
      <c r="T362">
        <v>860034313</v>
      </c>
      <c r="U362" t="s">
        <v>355</v>
      </c>
      <c r="V362">
        <v>923211</v>
      </c>
      <c r="W362" t="s">
        <v>69</v>
      </c>
      <c r="X362" s="2" t="s">
        <v>29</v>
      </c>
      <c r="Y362" t="s">
        <v>30</v>
      </c>
      <c r="Z362" t="s">
        <v>31</v>
      </c>
      <c r="AA362" t="s">
        <v>32</v>
      </c>
      <c r="AB362" t="s">
        <v>33</v>
      </c>
      <c r="AC362" s="51">
        <v>1839804</v>
      </c>
      <c r="AD362">
        <v>0</v>
      </c>
      <c r="AE362" s="4">
        <v>0</v>
      </c>
      <c r="AF362" s="4">
        <v>0</v>
      </c>
      <c r="AG362" t="s">
        <v>462</v>
      </c>
      <c r="AH362">
        <v>0</v>
      </c>
      <c r="AI362">
        <v>0</v>
      </c>
      <c r="AJ362" s="2" t="s">
        <v>463</v>
      </c>
      <c r="AK362" s="2">
        <v>0</v>
      </c>
      <c r="AL362">
        <v>0</v>
      </c>
      <c r="AM362">
        <v>0</v>
      </c>
      <c r="AN362">
        <v>0</v>
      </c>
      <c r="AO362">
        <v>0</v>
      </c>
      <c r="AP362">
        <v>2125</v>
      </c>
      <c r="AQ362">
        <v>2125</v>
      </c>
      <c r="AR362">
        <v>34825</v>
      </c>
      <c r="AS362">
        <v>0</v>
      </c>
      <c r="AT362">
        <v>0</v>
      </c>
      <c r="AU362">
        <v>37125</v>
      </c>
      <c r="AV362">
        <v>64617525</v>
      </c>
      <c r="AW362">
        <v>0</v>
      </c>
      <c r="AX362" s="5">
        <v>45708</v>
      </c>
      <c r="AY362" t="s">
        <v>356</v>
      </c>
      <c r="AZ362" t="s">
        <v>3361</v>
      </c>
      <c r="BA362" t="s">
        <v>1158</v>
      </c>
    </row>
    <row r="363" spans="1:53" ht="15" customHeight="1" x14ac:dyDescent="0.2">
      <c r="A363" t="s">
        <v>5209</v>
      </c>
      <c r="B363" t="s">
        <v>4425</v>
      </c>
      <c r="C363" t="s">
        <v>4892</v>
      </c>
      <c r="D363">
        <v>64617625</v>
      </c>
      <c r="E363" s="5">
        <v>45726</v>
      </c>
      <c r="F363" s="5">
        <v>45728.095138888886</v>
      </c>
      <c r="G363" s="4" t="s">
        <v>460</v>
      </c>
      <c r="H363" s="49">
        <v>1839804</v>
      </c>
      <c r="I363" s="49">
        <v>8604</v>
      </c>
      <c r="J363" s="50">
        <v>1831200</v>
      </c>
      <c r="K363" t="s">
        <v>2615</v>
      </c>
      <c r="L363" s="4" t="s">
        <v>461</v>
      </c>
      <c r="M363" t="s">
        <v>351</v>
      </c>
      <c r="N363" s="2">
        <v>1012364106</v>
      </c>
      <c r="O363" t="s">
        <v>3363</v>
      </c>
      <c r="P363" t="s">
        <v>316</v>
      </c>
      <c r="Q363" t="s">
        <v>317</v>
      </c>
      <c r="R363">
        <v>24096002382</v>
      </c>
      <c r="S363" t="s">
        <v>319</v>
      </c>
      <c r="T363">
        <v>860007335</v>
      </c>
      <c r="U363" t="s">
        <v>381</v>
      </c>
      <c r="V363">
        <v>923211</v>
      </c>
      <c r="W363" t="s">
        <v>69</v>
      </c>
      <c r="X363" s="2" t="s">
        <v>29</v>
      </c>
      <c r="Y363" t="s">
        <v>30</v>
      </c>
      <c r="Z363" t="s">
        <v>31</v>
      </c>
      <c r="AA363" t="s">
        <v>32</v>
      </c>
      <c r="AB363" t="s">
        <v>33</v>
      </c>
      <c r="AC363" s="51">
        <v>1839804</v>
      </c>
      <c r="AD363">
        <v>0</v>
      </c>
      <c r="AE363" s="4">
        <v>0</v>
      </c>
      <c r="AF363" s="4">
        <v>0</v>
      </c>
      <c r="AG363" t="s">
        <v>462</v>
      </c>
      <c r="AH363">
        <v>0</v>
      </c>
      <c r="AI363">
        <v>0</v>
      </c>
      <c r="AJ363" s="2" t="s">
        <v>463</v>
      </c>
      <c r="AK363" s="2">
        <v>0</v>
      </c>
      <c r="AL363">
        <v>0</v>
      </c>
      <c r="AM363">
        <v>0</v>
      </c>
      <c r="AN363">
        <v>0</v>
      </c>
      <c r="AO363">
        <v>0</v>
      </c>
      <c r="AP363">
        <v>2125</v>
      </c>
      <c r="AQ363">
        <v>2125</v>
      </c>
      <c r="AR363">
        <v>34925</v>
      </c>
      <c r="AS363">
        <v>0</v>
      </c>
      <c r="AT363">
        <v>0</v>
      </c>
      <c r="AU363">
        <v>37225</v>
      </c>
      <c r="AV363">
        <v>64617625</v>
      </c>
      <c r="AW363">
        <v>0</v>
      </c>
      <c r="AX363" s="5">
        <v>45708</v>
      </c>
      <c r="AY363" t="s">
        <v>356</v>
      </c>
      <c r="AZ363" t="s">
        <v>3366</v>
      </c>
      <c r="BA363" t="s">
        <v>1158</v>
      </c>
    </row>
    <row r="364" spans="1:53" ht="15" customHeight="1" x14ac:dyDescent="0.2">
      <c r="A364" t="s">
        <v>5210</v>
      </c>
      <c r="B364" t="s">
        <v>4426</v>
      </c>
      <c r="C364" t="s">
        <v>4877</v>
      </c>
      <c r="D364">
        <v>64617725</v>
      </c>
      <c r="E364" s="5">
        <v>45726</v>
      </c>
      <c r="F364" s="5">
        <v>45728.09652777778</v>
      </c>
      <c r="G364" s="4" t="s">
        <v>460</v>
      </c>
      <c r="H364" s="49">
        <v>1839804</v>
      </c>
      <c r="I364" s="49">
        <v>8604</v>
      </c>
      <c r="J364" s="50">
        <v>1831200</v>
      </c>
      <c r="K364" t="s">
        <v>2615</v>
      </c>
      <c r="L364" s="4" t="s">
        <v>461</v>
      </c>
      <c r="M364" t="s">
        <v>351</v>
      </c>
      <c r="N364" s="2">
        <v>79840465</v>
      </c>
      <c r="O364" t="s">
        <v>3368</v>
      </c>
      <c r="P364" t="s">
        <v>316</v>
      </c>
      <c r="Q364" t="s">
        <v>317</v>
      </c>
      <c r="R364">
        <v>488431733127</v>
      </c>
      <c r="S364" t="s">
        <v>319</v>
      </c>
      <c r="T364">
        <v>860034313</v>
      </c>
      <c r="U364" t="s">
        <v>355</v>
      </c>
      <c r="V364">
        <v>923238</v>
      </c>
      <c r="W364" t="s">
        <v>569</v>
      </c>
      <c r="X364" s="2" t="s">
        <v>29</v>
      </c>
      <c r="Y364" t="s">
        <v>30</v>
      </c>
      <c r="Z364" t="s">
        <v>31</v>
      </c>
      <c r="AA364" t="s">
        <v>32</v>
      </c>
      <c r="AB364" t="s">
        <v>33</v>
      </c>
      <c r="AC364" s="51">
        <v>1839804</v>
      </c>
      <c r="AD364">
        <v>0</v>
      </c>
      <c r="AE364" s="4">
        <v>0</v>
      </c>
      <c r="AF364" s="4">
        <v>0</v>
      </c>
      <c r="AG364" t="s">
        <v>462</v>
      </c>
      <c r="AH364">
        <v>0</v>
      </c>
      <c r="AI364">
        <v>0</v>
      </c>
      <c r="AJ364" s="2" t="s">
        <v>463</v>
      </c>
      <c r="AK364" s="2">
        <v>0</v>
      </c>
      <c r="AL364">
        <v>0</v>
      </c>
      <c r="AM364">
        <v>0</v>
      </c>
      <c r="AN364">
        <v>0</v>
      </c>
      <c r="AO364">
        <v>0</v>
      </c>
      <c r="AP364">
        <v>125</v>
      </c>
      <c r="AQ364">
        <v>125</v>
      </c>
      <c r="AR364">
        <v>35025</v>
      </c>
      <c r="AS364">
        <v>0</v>
      </c>
      <c r="AT364">
        <v>0</v>
      </c>
      <c r="AU364">
        <v>37325</v>
      </c>
      <c r="AV364">
        <v>64617725</v>
      </c>
      <c r="AW364">
        <v>0</v>
      </c>
      <c r="AX364" s="5">
        <v>45708</v>
      </c>
      <c r="AY364" t="s">
        <v>356</v>
      </c>
      <c r="AZ364" t="s">
        <v>3371</v>
      </c>
      <c r="BA364" t="s">
        <v>742</v>
      </c>
    </row>
    <row r="365" spans="1:53" ht="15" customHeight="1" x14ac:dyDescent="0.2">
      <c r="A365" t="s">
        <v>5211</v>
      </c>
      <c r="B365" t="s">
        <v>4428</v>
      </c>
      <c r="C365" t="s">
        <v>4917</v>
      </c>
      <c r="D365">
        <v>64617825</v>
      </c>
      <c r="E365" s="5">
        <v>45726</v>
      </c>
      <c r="F365" s="5">
        <v>45728.095138888886</v>
      </c>
      <c r="G365" s="4" t="s">
        <v>460</v>
      </c>
      <c r="H365" s="49">
        <v>1839804</v>
      </c>
      <c r="I365" s="49">
        <v>8604</v>
      </c>
      <c r="J365" s="50">
        <v>1831200</v>
      </c>
      <c r="K365" t="s">
        <v>2615</v>
      </c>
      <c r="L365" s="4" t="s">
        <v>461</v>
      </c>
      <c r="M365" t="s">
        <v>351</v>
      </c>
      <c r="N365" s="2">
        <v>39668402</v>
      </c>
      <c r="O365" t="s">
        <v>3373</v>
      </c>
      <c r="P365" t="s">
        <v>316</v>
      </c>
      <c r="Q365" t="s">
        <v>317</v>
      </c>
      <c r="R365">
        <v>24050999947</v>
      </c>
      <c r="S365" t="s">
        <v>319</v>
      </c>
      <c r="T365">
        <v>860007335</v>
      </c>
      <c r="U365" t="s">
        <v>381</v>
      </c>
      <c r="V365">
        <v>923245</v>
      </c>
      <c r="W365" t="s">
        <v>180</v>
      </c>
      <c r="X365" s="2" t="s">
        <v>29</v>
      </c>
      <c r="Y365" t="s">
        <v>30</v>
      </c>
      <c r="Z365" t="s">
        <v>31</v>
      </c>
      <c r="AA365" t="s">
        <v>32</v>
      </c>
      <c r="AB365" t="s">
        <v>33</v>
      </c>
      <c r="AC365" s="51">
        <v>1839804</v>
      </c>
      <c r="AD365">
        <v>0</v>
      </c>
      <c r="AE365" s="4">
        <v>0</v>
      </c>
      <c r="AF365" s="4">
        <v>0</v>
      </c>
      <c r="AG365" t="s">
        <v>462</v>
      </c>
      <c r="AH365">
        <v>0</v>
      </c>
      <c r="AI365">
        <v>0</v>
      </c>
      <c r="AJ365" s="2" t="s">
        <v>463</v>
      </c>
      <c r="AK365" s="2">
        <v>0</v>
      </c>
      <c r="AL365">
        <v>0</v>
      </c>
      <c r="AM365">
        <v>0</v>
      </c>
      <c r="AN365">
        <v>0</v>
      </c>
      <c r="AO365">
        <v>0</v>
      </c>
      <c r="AP365">
        <v>3825</v>
      </c>
      <c r="AQ365">
        <v>3825</v>
      </c>
      <c r="AR365">
        <v>35225</v>
      </c>
      <c r="AS365">
        <v>0</v>
      </c>
      <c r="AT365">
        <v>0</v>
      </c>
      <c r="AU365">
        <v>37425</v>
      </c>
      <c r="AV365">
        <v>64617825</v>
      </c>
      <c r="AW365">
        <v>0</v>
      </c>
      <c r="AX365" s="5">
        <v>45709</v>
      </c>
      <c r="AY365" t="s">
        <v>356</v>
      </c>
      <c r="AZ365" t="s">
        <v>3376</v>
      </c>
      <c r="BA365" t="s">
        <v>3377</v>
      </c>
    </row>
    <row r="366" spans="1:53" ht="15" customHeight="1" x14ac:dyDescent="0.2">
      <c r="A366" t="s">
        <v>5212</v>
      </c>
      <c r="B366" t="s">
        <v>4429</v>
      </c>
      <c r="C366" t="s">
        <v>4917</v>
      </c>
      <c r="D366">
        <v>64617925</v>
      </c>
      <c r="E366" s="5">
        <v>45726</v>
      </c>
      <c r="F366" s="5">
        <v>45728.082638888889</v>
      </c>
      <c r="G366" s="4" t="s">
        <v>460</v>
      </c>
      <c r="H366" s="49">
        <v>1839804</v>
      </c>
      <c r="I366" s="49">
        <v>8604</v>
      </c>
      <c r="J366" s="50">
        <v>1831200</v>
      </c>
      <c r="K366" t="s">
        <v>2615</v>
      </c>
      <c r="L366" s="4" t="s">
        <v>461</v>
      </c>
      <c r="M366" t="s">
        <v>351</v>
      </c>
      <c r="N366" s="2">
        <v>1010179352</v>
      </c>
      <c r="O366" t="s">
        <v>3380</v>
      </c>
      <c r="P366" t="s">
        <v>316</v>
      </c>
      <c r="Q366" t="s">
        <v>317</v>
      </c>
      <c r="R366">
        <v>123271918</v>
      </c>
      <c r="S366" t="s">
        <v>319</v>
      </c>
      <c r="T366">
        <v>860002964</v>
      </c>
      <c r="U366" t="s">
        <v>419</v>
      </c>
      <c r="V366">
        <v>923245</v>
      </c>
      <c r="W366" t="s">
        <v>180</v>
      </c>
      <c r="X366" s="2" t="s">
        <v>29</v>
      </c>
      <c r="Y366" t="s">
        <v>30</v>
      </c>
      <c r="Z366" t="s">
        <v>31</v>
      </c>
      <c r="AA366" t="s">
        <v>32</v>
      </c>
      <c r="AB366" t="s">
        <v>33</v>
      </c>
      <c r="AC366" s="51">
        <v>1839804</v>
      </c>
      <c r="AD366">
        <v>0</v>
      </c>
      <c r="AE366" s="4">
        <v>0</v>
      </c>
      <c r="AF366" s="4">
        <v>0</v>
      </c>
      <c r="AG366" t="s">
        <v>462</v>
      </c>
      <c r="AH366">
        <v>0</v>
      </c>
      <c r="AI366">
        <v>0</v>
      </c>
      <c r="AJ366" s="2" t="s">
        <v>463</v>
      </c>
      <c r="AK366" s="2">
        <v>0</v>
      </c>
      <c r="AL366">
        <v>0</v>
      </c>
      <c r="AM366">
        <v>0</v>
      </c>
      <c r="AN366">
        <v>0</v>
      </c>
      <c r="AO366">
        <v>0</v>
      </c>
      <c r="AP366">
        <v>3825</v>
      </c>
      <c r="AQ366">
        <v>3825</v>
      </c>
      <c r="AR366">
        <v>35325</v>
      </c>
      <c r="AS366">
        <v>0</v>
      </c>
      <c r="AT366">
        <v>0</v>
      </c>
      <c r="AU366">
        <v>37525</v>
      </c>
      <c r="AV366">
        <v>64617925</v>
      </c>
      <c r="AW366">
        <v>0</v>
      </c>
      <c r="AX366" s="5">
        <v>45709</v>
      </c>
      <c r="AY366" t="s">
        <v>356</v>
      </c>
      <c r="AZ366" t="s">
        <v>3383</v>
      </c>
      <c r="BA366" t="s">
        <v>3377</v>
      </c>
    </row>
    <row r="367" spans="1:53" ht="15" customHeight="1" x14ac:dyDescent="0.2">
      <c r="A367" t="s">
        <v>5213</v>
      </c>
      <c r="B367" t="s">
        <v>4430</v>
      </c>
      <c r="C367" t="s">
        <v>4917</v>
      </c>
      <c r="D367">
        <v>64618025</v>
      </c>
      <c r="E367" s="5">
        <v>45726</v>
      </c>
      <c r="F367" s="5">
        <v>45728.094444444447</v>
      </c>
      <c r="G367" s="4" t="s">
        <v>460</v>
      </c>
      <c r="H367" s="49">
        <v>1839804</v>
      </c>
      <c r="I367" s="49">
        <v>8604</v>
      </c>
      <c r="J367" s="50">
        <v>1831200</v>
      </c>
      <c r="K367" t="s">
        <v>2615</v>
      </c>
      <c r="L367" s="4" t="s">
        <v>461</v>
      </c>
      <c r="M367" t="s">
        <v>351</v>
      </c>
      <c r="N367" s="2">
        <v>80830134</v>
      </c>
      <c r="O367" t="s">
        <v>3386</v>
      </c>
      <c r="P367" t="s">
        <v>316</v>
      </c>
      <c r="Q367" t="s">
        <v>317</v>
      </c>
      <c r="R367">
        <v>4502053365</v>
      </c>
      <c r="S367" t="s">
        <v>319</v>
      </c>
      <c r="T367">
        <v>860034594</v>
      </c>
      <c r="U367" t="s">
        <v>374</v>
      </c>
      <c r="V367">
        <v>923245</v>
      </c>
      <c r="W367" t="s">
        <v>180</v>
      </c>
      <c r="X367" s="2" t="s">
        <v>29</v>
      </c>
      <c r="Y367" t="s">
        <v>30</v>
      </c>
      <c r="Z367" t="s">
        <v>31</v>
      </c>
      <c r="AA367" t="s">
        <v>32</v>
      </c>
      <c r="AB367" t="s">
        <v>33</v>
      </c>
      <c r="AC367" s="51">
        <v>1839804</v>
      </c>
      <c r="AD367">
        <v>0</v>
      </c>
      <c r="AE367" s="4">
        <v>0</v>
      </c>
      <c r="AF367" s="4">
        <v>0</v>
      </c>
      <c r="AG367" t="s">
        <v>462</v>
      </c>
      <c r="AH367">
        <v>0</v>
      </c>
      <c r="AI367">
        <v>0</v>
      </c>
      <c r="AJ367" s="2" t="s">
        <v>463</v>
      </c>
      <c r="AK367" s="2">
        <v>0</v>
      </c>
      <c r="AL367">
        <v>0</v>
      </c>
      <c r="AM367">
        <v>0</v>
      </c>
      <c r="AN367">
        <v>0</v>
      </c>
      <c r="AO367">
        <v>0</v>
      </c>
      <c r="AP367">
        <v>3825</v>
      </c>
      <c r="AQ367">
        <v>3825</v>
      </c>
      <c r="AR367">
        <v>35425</v>
      </c>
      <c r="AS367">
        <v>0</v>
      </c>
      <c r="AT367">
        <v>0</v>
      </c>
      <c r="AU367">
        <v>37625</v>
      </c>
      <c r="AV367">
        <v>64618025</v>
      </c>
      <c r="AW367">
        <v>0</v>
      </c>
      <c r="AX367" s="5">
        <v>45709</v>
      </c>
      <c r="AY367" t="s">
        <v>356</v>
      </c>
      <c r="AZ367" t="s">
        <v>3389</v>
      </c>
      <c r="BA367" t="s">
        <v>3377</v>
      </c>
    </row>
    <row r="368" spans="1:53" ht="15" customHeight="1" x14ac:dyDescent="0.2">
      <c r="A368" t="s">
        <v>5214</v>
      </c>
      <c r="B368" t="s">
        <v>4431</v>
      </c>
      <c r="C368" t="s">
        <v>4917</v>
      </c>
      <c r="D368">
        <v>64618125</v>
      </c>
      <c r="E368" s="5">
        <v>45726</v>
      </c>
      <c r="F368" s="5">
        <v>45728.082638888889</v>
      </c>
      <c r="G368" s="4" t="s">
        <v>460</v>
      </c>
      <c r="H368" s="49">
        <v>1839804</v>
      </c>
      <c r="I368" s="49">
        <v>9821</v>
      </c>
      <c r="J368" s="50">
        <v>1829983</v>
      </c>
      <c r="K368" t="s">
        <v>2615</v>
      </c>
      <c r="L368" s="4" t="s">
        <v>461</v>
      </c>
      <c r="M368" t="s">
        <v>351</v>
      </c>
      <c r="N368" s="2">
        <v>1073708200</v>
      </c>
      <c r="O368" t="s">
        <v>3392</v>
      </c>
      <c r="P368" t="s">
        <v>316</v>
      </c>
      <c r="Q368" t="s">
        <v>317</v>
      </c>
      <c r="R368">
        <v>948055132</v>
      </c>
      <c r="S368" t="s">
        <v>319</v>
      </c>
      <c r="T368">
        <v>860002964</v>
      </c>
      <c r="U368" t="s">
        <v>419</v>
      </c>
      <c r="V368">
        <v>923245</v>
      </c>
      <c r="W368" t="s">
        <v>180</v>
      </c>
      <c r="X368" s="2" t="s">
        <v>29</v>
      </c>
      <c r="Y368" t="s">
        <v>30</v>
      </c>
      <c r="Z368" t="s">
        <v>31</v>
      </c>
      <c r="AA368" t="s">
        <v>32</v>
      </c>
      <c r="AB368" t="s">
        <v>33</v>
      </c>
      <c r="AC368" s="51">
        <v>1839804</v>
      </c>
      <c r="AD368">
        <v>0</v>
      </c>
      <c r="AE368" s="4">
        <v>0</v>
      </c>
      <c r="AF368" s="4">
        <v>0</v>
      </c>
      <c r="AG368" t="s">
        <v>462</v>
      </c>
      <c r="AH368">
        <v>0</v>
      </c>
      <c r="AI368">
        <v>0</v>
      </c>
      <c r="AJ368" s="2" t="s">
        <v>463</v>
      </c>
      <c r="AK368" s="2">
        <v>0</v>
      </c>
      <c r="AL368">
        <v>0</v>
      </c>
      <c r="AM368">
        <v>0</v>
      </c>
      <c r="AN368">
        <v>0</v>
      </c>
      <c r="AO368">
        <v>0</v>
      </c>
      <c r="AP368">
        <v>3825</v>
      </c>
      <c r="AQ368">
        <v>3825</v>
      </c>
      <c r="AR368">
        <v>35525</v>
      </c>
      <c r="AS368">
        <v>0</v>
      </c>
      <c r="AT368">
        <v>0</v>
      </c>
      <c r="AU368">
        <v>37725</v>
      </c>
      <c r="AV368">
        <v>64618125</v>
      </c>
      <c r="AW368">
        <v>0</v>
      </c>
      <c r="AX368" s="5">
        <v>45709</v>
      </c>
      <c r="AY368" t="s">
        <v>356</v>
      </c>
      <c r="AZ368" t="s">
        <v>3395</v>
      </c>
      <c r="BA368" t="s">
        <v>3377</v>
      </c>
    </row>
    <row r="369" spans="1:53" ht="15" customHeight="1" x14ac:dyDescent="0.2">
      <c r="A369" t="s">
        <v>5215</v>
      </c>
      <c r="B369" t="s">
        <v>4432</v>
      </c>
      <c r="C369" t="s">
        <v>4917</v>
      </c>
      <c r="D369">
        <v>64618225</v>
      </c>
      <c r="E369" s="5">
        <v>45726</v>
      </c>
      <c r="F369" s="5">
        <v>45728.085416666669</v>
      </c>
      <c r="G369" s="4" t="s">
        <v>460</v>
      </c>
      <c r="H369" s="49">
        <v>1839804</v>
      </c>
      <c r="I369" s="49">
        <v>8604</v>
      </c>
      <c r="J369" s="50">
        <v>1831200</v>
      </c>
      <c r="K369" t="s">
        <v>2615</v>
      </c>
      <c r="L369" s="4" t="s">
        <v>461</v>
      </c>
      <c r="M369" t="s">
        <v>351</v>
      </c>
      <c r="N369" s="2">
        <v>80357724</v>
      </c>
      <c r="O369" t="s">
        <v>3397</v>
      </c>
      <c r="P369" t="s">
        <v>316</v>
      </c>
      <c r="Q369" t="s">
        <v>317</v>
      </c>
      <c r="R369">
        <v>65994181046</v>
      </c>
      <c r="S369" t="s">
        <v>319</v>
      </c>
      <c r="T369">
        <v>890903938</v>
      </c>
      <c r="U369" t="s">
        <v>342</v>
      </c>
      <c r="V369">
        <v>923245</v>
      </c>
      <c r="W369" t="s">
        <v>180</v>
      </c>
      <c r="X369" s="2" t="s">
        <v>29</v>
      </c>
      <c r="Y369" t="s">
        <v>30</v>
      </c>
      <c r="Z369" t="s">
        <v>31</v>
      </c>
      <c r="AA369" t="s">
        <v>32</v>
      </c>
      <c r="AB369" t="s">
        <v>33</v>
      </c>
      <c r="AC369" s="51">
        <v>1839804</v>
      </c>
      <c r="AD369">
        <v>0</v>
      </c>
      <c r="AE369" s="4">
        <v>0</v>
      </c>
      <c r="AF369" s="4">
        <v>0</v>
      </c>
      <c r="AG369" t="s">
        <v>462</v>
      </c>
      <c r="AH369">
        <v>0</v>
      </c>
      <c r="AI369">
        <v>0</v>
      </c>
      <c r="AJ369" s="2" t="s">
        <v>463</v>
      </c>
      <c r="AK369" s="2">
        <v>0</v>
      </c>
      <c r="AL369">
        <v>0</v>
      </c>
      <c r="AM369">
        <v>0</v>
      </c>
      <c r="AN369">
        <v>0</v>
      </c>
      <c r="AO369">
        <v>0</v>
      </c>
      <c r="AP369">
        <v>3825</v>
      </c>
      <c r="AQ369">
        <v>3825</v>
      </c>
      <c r="AR369">
        <v>35625</v>
      </c>
      <c r="AS369">
        <v>0</v>
      </c>
      <c r="AT369">
        <v>0</v>
      </c>
      <c r="AU369">
        <v>37825</v>
      </c>
      <c r="AV369">
        <v>64618225</v>
      </c>
      <c r="AW369">
        <v>0</v>
      </c>
      <c r="AX369" s="5">
        <v>45709</v>
      </c>
      <c r="AY369" t="s">
        <v>356</v>
      </c>
      <c r="AZ369" t="s">
        <v>3400</v>
      </c>
      <c r="BA369" t="s">
        <v>3377</v>
      </c>
    </row>
    <row r="370" spans="1:53" ht="15" customHeight="1" x14ac:dyDescent="0.2">
      <c r="A370" t="s">
        <v>5216</v>
      </c>
      <c r="B370" t="s">
        <v>4433</v>
      </c>
      <c r="C370" t="s">
        <v>4917</v>
      </c>
      <c r="D370">
        <v>64618325</v>
      </c>
      <c r="E370" s="5">
        <v>45726</v>
      </c>
      <c r="F370" s="5">
        <v>45728.09652777778</v>
      </c>
      <c r="G370" s="4" t="s">
        <v>460</v>
      </c>
      <c r="H370" s="49">
        <v>1839804</v>
      </c>
      <c r="I370" s="49">
        <v>8604</v>
      </c>
      <c r="J370" s="50">
        <v>1831200</v>
      </c>
      <c r="K370" t="s">
        <v>2615</v>
      </c>
      <c r="L370" s="4" t="s">
        <v>461</v>
      </c>
      <c r="M370" t="s">
        <v>351</v>
      </c>
      <c r="N370" s="2">
        <v>7167348</v>
      </c>
      <c r="O370" t="s">
        <v>3402</v>
      </c>
      <c r="P370" t="s">
        <v>316</v>
      </c>
      <c r="Q370" t="s">
        <v>317</v>
      </c>
      <c r="R370">
        <v>176270087206</v>
      </c>
      <c r="S370" t="s">
        <v>319</v>
      </c>
      <c r="T370">
        <v>860034313</v>
      </c>
      <c r="U370" t="s">
        <v>355</v>
      </c>
      <c r="V370">
        <v>923245</v>
      </c>
      <c r="W370" t="s">
        <v>180</v>
      </c>
      <c r="X370" s="2" t="s">
        <v>29</v>
      </c>
      <c r="Y370" t="s">
        <v>30</v>
      </c>
      <c r="Z370" t="s">
        <v>31</v>
      </c>
      <c r="AA370" t="s">
        <v>32</v>
      </c>
      <c r="AB370" t="s">
        <v>33</v>
      </c>
      <c r="AC370" s="51">
        <v>1839804</v>
      </c>
      <c r="AD370">
        <v>0</v>
      </c>
      <c r="AE370" s="4">
        <v>0</v>
      </c>
      <c r="AF370" s="4">
        <v>0</v>
      </c>
      <c r="AG370" t="s">
        <v>462</v>
      </c>
      <c r="AH370">
        <v>0</v>
      </c>
      <c r="AI370">
        <v>0</v>
      </c>
      <c r="AJ370" s="2" t="s">
        <v>463</v>
      </c>
      <c r="AK370" s="2">
        <v>0</v>
      </c>
      <c r="AL370">
        <v>0</v>
      </c>
      <c r="AM370">
        <v>0</v>
      </c>
      <c r="AN370">
        <v>0</v>
      </c>
      <c r="AO370">
        <v>0</v>
      </c>
      <c r="AP370">
        <v>3825</v>
      </c>
      <c r="AQ370">
        <v>3825</v>
      </c>
      <c r="AR370">
        <v>35725</v>
      </c>
      <c r="AS370">
        <v>0</v>
      </c>
      <c r="AT370">
        <v>0</v>
      </c>
      <c r="AU370">
        <v>37925</v>
      </c>
      <c r="AV370">
        <v>64618325</v>
      </c>
      <c r="AW370">
        <v>0</v>
      </c>
      <c r="AX370" s="5">
        <v>45709</v>
      </c>
      <c r="AY370" t="s">
        <v>356</v>
      </c>
      <c r="AZ370" t="s">
        <v>3406</v>
      </c>
      <c r="BA370" t="s">
        <v>3377</v>
      </c>
    </row>
    <row r="371" spans="1:53" ht="15" customHeight="1" x14ac:dyDescent="0.2">
      <c r="A371" t="s">
        <v>5217</v>
      </c>
      <c r="B371" t="s">
        <v>4434</v>
      </c>
      <c r="C371" t="s">
        <v>4917</v>
      </c>
      <c r="D371">
        <v>64618425</v>
      </c>
      <c r="E371" s="5">
        <v>45726</v>
      </c>
      <c r="F371" s="5">
        <v>45728.085416666669</v>
      </c>
      <c r="G371" s="4" t="s">
        <v>460</v>
      </c>
      <c r="H371" s="49">
        <v>1839804</v>
      </c>
      <c r="I371" s="49">
        <v>8604</v>
      </c>
      <c r="J371" s="50">
        <v>1831200</v>
      </c>
      <c r="K371" t="s">
        <v>2615</v>
      </c>
      <c r="L371" s="4" t="s">
        <v>461</v>
      </c>
      <c r="M371" t="s">
        <v>351</v>
      </c>
      <c r="N371" s="2">
        <v>1022374983</v>
      </c>
      <c r="O371" t="s">
        <v>3409</v>
      </c>
      <c r="P371" t="s">
        <v>316</v>
      </c>
      <c r="Q371" t="s">
        <v>317</v>
      </c>
      <c r="R371">
        <v>22128259451</v>
      </c>
      <c r="S371" t="s">
        <v>319</v>
      </c>
      <c r="T371">
        <v>890903938</v>
      </c>
      <c r="U371" t="s">
        <v>342</v>
      </c>
      <c r="V371">
        <v>923245</v>
      </c>
      <c r="W371" t="s">
        <v>180</v>
      </c>
      <c r="X371" s="2" t="s">
        <v>29</v>
      </c>
      <c r="Y371" t="s">
        <v>30</v>
      </c>
      <c r="Z371" t="s">
        <v>31</v>
      </c>
      <c r="AA371" t="s">
        <v>32</v>
      </c>
      <c r="AB371" t="s">
        <v>33</v>
      </c>
      <c r="AC371" s="51">
        <v>1839804</v>
      </c>
      <c r="AD371">
        <v>0</v>
      </c>
      <c r="AE371" s="4">
        <v>0</v>
      </c>
      <c r="AF371" s="4">
        <v>0</v>
      </c>
      <c r="AG371" t="s">
        <v>462</v>
      </c>
      <c r="AH371">
        <v>0</v>
      </c>
      <c r="AI371">
        <v>0</v>
      </c>
      <c r="AJ371" s="2" t="s">
        <v>463</v>
      </c>
      <c r="AK371" s="2">
        <v>0</v>
      </c>
      <c r="AL371">
        <v>0</v>
      </c>
      <c r="AM371">
        <v>0</v>
      </c>
      <c r="AN371">
        <v>0</v>
      </c>
      <c r="AO371">
        <v>0</v>
      </c>
      <c r="AP371">
        <v>3825</v>
      </c>
      <c r="AQ371">
        <v>3825</v>
      </c>
      <c r="AR371">
        <v>35825</v>
      </c>
      <c r="AS371">
        <v>0</v>
      </c>
      <c r="AT371">
        <v>0</v>
      </c>
      <c r="AU371">
        <v>38025</v>
      </c>
      <c r="AV371">
        <v>64618425</v>
      </c>
      <c r="AW371">
        <v>0</v>
      </c>
      <c r="AX371" s="5">
        <v>45709</v>
      </c>
      <c r="AY371" t="s">
        <v>356</v>
      </c>
      <c r="AZ371" t="s">
        <v>3412</v>
      </c>
      <c r="BA371" t="s">
        <v>3413</v>
      </c>
    </row>
    <row r="372" spans="1:53" ht="15" customHeight="1" x14ac:dyDescent="0.2">
      <c r="A372" t="s">
        <v>5218</v>
      </c>
      <c r="B372" t="s">
        <v>4435</v>
      </c>
      <c r="C372" t="s">
        <v>4917</v>
      </c>
      <c r="D372">
        <v>64618525</v>
      </c>
      <c r="E372" s="5">
        <v>45726</v>
      </c>
      <c r="F372" s="5">
        <v>45728.085416666669</v>
      </c>
      <c r="G372" s="4" t="s">
        <v>460</v>
      </c>
      <c r="H372" s="49">
        <v>1839804</v>
      </c>
      <c r="I372" s="49">
        <v>8604</v>
      </c>
      <c r="J372" s="50">
        <v>1831200</v>
      </c>
      <c r="K372" t="s">
        <v>2615</v>
      </c>
      <c r="L372" s="4" t="s">
        <v>461</v>
      </c>
      <c r="M372" t="s">
        <v>351</v>
      </c>
      <c r="N372" s="2">
        <v>79220367</v>
      </c>
      <c r="O372" t="s">
        <v>3415</v>
      </c>
      <c r="P372" t="s">
        <v>316</v>
      </c>
      <c r="Q372" t="s">
        <v>317</v>
      </c>
      <c r="R372">
        <v>22155203092</v>
      </c>
      <c r="S372" t="s">
        <v>319</v>
      </c>
      <c r="T372">
        <v>890903938</v>
      </c>
      <c r="U372" t="s">
        <v>342</v>
      </c>
      <c r="V372">
        <v>923245</v>
      </c>
      <c r="W372" t="s">
        <v>180</v>
      </c>
      <c r="X372" s="2" t="s">
        <v>29</v>
      </c>
      <c r="Y372" t="s">
        <v>30</v>
      </c>
      <c r="Z372" t="s">
        <v>31</v>
      </c>
      <c r="AA372" t="s">
        <v>32</v>
      </c>
      <c r="AB372" t="s">
        <v>33</v>
      </c>
      <c r="AC372" s="51">
        <v>1839804</v>
      </c>
      <c r="AD372">
        <v>0</v>
      </c>
      <c r="AE372" s="4">
        <v>0</v>
      </c>
      <c r="AF372" s="4">
        <v>0</v>
      </c>
      <c r="AG372" t="s">
        <v>462</v>
      </c>
      <c r="AH372">
        <v>0</v>
      </c>
      <c r="AI372">
        <v>0</v>
      </c>
      <c r="AJ372" s="2" t="s">
        <v>463</v>
      </c>
      <c r="AK372" s="2">
        <v>0</v>
      </c>
      <c r="AL372">
        <v>0</v>
      </c>
      <c r="AM372">
        <v>0</v>
      </c>
      <c r="AN372">
        <v>0</v>
      </c>
      <c r="AO372">
        <v>0</v>
      </c>
      <c r="AP372">
        <v>3825</v>
      </c>
      <c r="AQ372">
        <v>3825</v>
      </c>
      <c r="AR372">
        <v>35925</v>
      </c>
      <c r="AS372">
        <v>0</v>
      </c>
      <c r="AT372">
        <v>0</v>
      </c>
      <c r="AU372">
        <v>38125</v>
      </c>
      <c r="AV372">
        <v>64618525</v>
      </c>
      <c r="AW372">
        <v>0</v>
      </c>
      <c r="AX372" s="5">
        <v>45709</v>
      </c>
      <c r="AY372" t="s">
        <v>356</v>
      </c>
      <c r="AZ372" t="s">
        <v>3417</v>
      </c>
      <c r="BA372" t="s">
        <v>3377</v>
      </c>
    </row>
    <row r="373" spans="1:53" ht="15" customHeight="1" x14ac:dyDescent="0.2">
      <c r="A373" t="s">
        <v>5219</v>
      </c>
      <c r="B373" t="s">
        <v>4436</v>
      </c>
      <c r="C373" t="s">
        <v>4917</v>
      </c>
      <c r="D373">
        <v>64618625</v>
      </c>
      <c r="E373" s="5">
        <v>45726</v>
      </c>
      <c r="F373" s="5">
        <v>45728.085416666669</v>
      </c>
      <c r="G373" s="4" t="s">
        <v>460</v>
      </c>
      <c r="H373" s="49">
        <v>1839804</v>
      </c>
      <c r="I373" s="49">
        <v>8604</v>
      </c>
      <c r="J373" s="50">
        <v>1831200</v>
      </c>
      <c r="K373" t="s">
        <v>2615</v>
      </c>
      <c r="L373" s="4" t="s">
        <v>461</v>
      </c>
      <c r="M373" t="s">
        <v>351</v>
      </c>
      <c r="N373" s="2">
        <v>79207730</v>
      </c>
      <c r="O373" t="s">
        <v>3419</v>
      </c>
      <c r="P373" t="s">
        <v>316</v>
      </c>
      <c r="Q373" t="s">
        <v>317</v>
      </c>
      <c r="R373">
        <v>22167966598</v>
      </c>
      <c r="S373" t="s">
        <v>319</v>
      </c>
      <c r="T373">
        <v>890903938</v>
      </c>
      <c r="U373" t="s">
        <v>342</v>
      </c>
      <c r="V373">
        <v>923245</v>
      </c>
      <c r="W373" t="s">
        <v>180</v>
      </c>
      <c r="X373" s="2" t="s">
        <v>29</v>
      </c>
      <c r="Y373" t="s">
        <v>30</v>
      </c>
      <c r="Z373" t="s">
        <v>31</v>
      </c>
      <c r="AA373" t="s">
        <v>32</v>
      </c>
      <c r="AB373" t="s">
        <v>33</v>
      </c>
      <c r="AC373" s="51">
        <v>1839804</v>
      </c>
      <c r="AD373">
        <v>0</v>
      </c>
      <c r="AE373" s="4">
        <v>0</v>
      </c>
      <c r="AF373" s="4">
        <v>0</v>
      </c>
      <c r="AG373" t="s">
        <v>462</v>
      </c>
      <c r="AH373">
        <v>0</v>
      </c>
      <c r="AI373">
        <v>0</v>
      </c>
      <c r="AJ373" s="2" t="s">
        <v>463</v>
      </c>
      <c r="AK373" s="2">
        <v>0</v>
      </c>
      <c r="AL373">
        <v>0</v>
      </c>
      <c r="AM373">
        <v>0</v>
      </c>
      <c r="AN373">
        <v>0</v>
      </c>
      <c r="AO373">
        <v>0</v>
      </c>
      <c r="AP373">
        <v>3825</v>
      </c>
      <c r="AQ373">
        <v>3825</v>
      </c>
      <c r="AR373">
        <v>36025</v>
      </c>
      <c r="AS373">
        <v>0</v>
      </c>
      <c r="AT373">
        <v>0</v>
      </c>
      <c r="AU373">
        <v>38225</v>
      </c>
      <c r="AV373">
        <v>64618625</v>
      </c>
      <c r="AW373">
        <v>0</v>
      </c>
      <c r="AX373" s="5">
        <v>45709</v>
      </c>
      <c r="AY373" t="s">
        <v>356</v>
      </c>
      <c r="AZ373" t="s">
        <v>3421</v>
      </c>
      <c r="BA373" t="s">
        <v>748</v>
      </c>
    </row>
    <row r="374" spans="1:53" ht="15" customHeight="1" x14ac:dyDescent="0.2">
      <c r="A374" t="s">
        <v>5220</v>
      </c>
      <c r="B374" t="s">
        <v>4437</v>
      </c>
      <c r="C374" t="s">
        <v>4917</v>
      </c>
      <c r="D374">
        <v>64618725</v>
      </c>
      <c r="E374" s="5">
        <v>45726</v>
      </c>
      <c r="F374" s="5">
        <v>45728.085416666669</v>
      </c>
      <c r="G374" s="4" t="s">
        <v>460</v>
      </c>
      <c r="H374" s="49">
        <v>1839804</v>
      </c>
      <c r="I374" s="49">
        <v>8604</v>
      </c>
      <c r="J374" s="50">
        <v>1831200</v>
      </c>
      <c r="K374" t="s">
        <v>2615</v>
      </c>
      <c r="L374" s="4" t="s">
        <v>461</v>
      </c>
      <c r="M374" t="s">
        <v>351</v>
      </c>
      <c r="N374" s="2">
        <v>53890046</v>
      </c>
      <c r="O374" t="s">
        <v>3423</v>
      </c>
      <c r="P374" t="s">
        <v>316</v>
      </c>
      <c r="Q374" t="s">
        <v>317</v>
      </c>
      <c r="R374">
        <v>22148706038</v>
      </c>
      <c r="S374" t="s">
        <v>319</v>
      </c>
      <c r="T374">
        <v>890903938</v>
      </c>
      <c r="U374" t="s">
        <v>342</v>
      </c>
      <c r="V374">
        <v>923245</v>
      </c>
      <c r="W374" t="s">
        <v>180</v>
      </c>
      <c r="X374" s="2" t="s">
        <v>29</v>
      </c>
      <c r="Y374" t="s">
        <v>30</v>
      </c>
      <c r="Z374" t="s">
        <v>31</v>
      </c>
      <c r="AA374" t="s">
        <v>32</v>
      </c>
      <c r="AB374" t="s">
        <v>33</v>
      </c>
      <c r="AC374" s="51">
        <v>1839804</v>
      </c>
      <c r="AD374">
        <v>0</v>
      </c>
      <c r="AE374" s="4">
        <v>0</v>
      </c>
      <c r="AF374" s="4">
        <v>0</v>
      </c>
      <c r="AG374" t="s">
        <v>462</v>
      </c>
      <c r="AH374">
        <v>0</v>
      </c>
      <c r="AI374">
        <v>0</v>
      </c>
      <c r="AJ374" s="2" t="s">
        <v>463</v>
      </c>
      <c r="AK374" s="2">
        <v>0</v>
      </c>
      <c r="AL374">
        <v>0</v>
      </c>
      <c r="AM374">
        <v>0</v>
      </c>
      <c r="AN374">
        <v>0</v>
      </c>
      <c r="AO374">
        <v>0</v>
      </c>
      <c r="AP374">
        <v>3825</v>
      </c>
      <c r="AQ374">
        <v>3825</v>
      </c>
      <c r="AR374">
        <v>36125</v>
      </c>
      <c r="AS374">
        <v>0</v>
      </c>
      <c r="AT374">
        <v>0</v>
      </c>
      <c r="AU374">
        <v>38325</v>
      </c>
      <c r="AV374">
        <v>64618725</v>
      </c>
      <c r="AW374">
        <v>0</v>
      </c>
      <c r="AX374" s="5">
        <v>45709</v>
      </c>
      <c r="AY374" t="s">
        <v>356</v>
      </c>
      <c r="AZ374" t="s">
        <v>3425</v>
      </c>
      <c r="BA374" t="s">
        <v>748</v>
      </c>
    </row>
    <row r="375" spans="1:53" ht="15" customHeight="1" x14ac:dyDescent="0.2">
      <c r="A375" t="s">
        <v>5221</v>
      </c>
      <c r="B375" t="s">
        <v>4438</v>
      </c>
      <c r="C375" t="s">
        <v>4917</v>
      </c>
      <c r="D375">
        <v>64618825</v>
      </c>
      <c r="E375" s="5">
        <v>45726</v>
      </c>
      <c r="F375" s="5">
        <v>45728.082638888889</v>
      </c>
      <c r="G375" s="4" t="s">
        <v>460</v>
      </c>
      <c r="H375" s="49">
        <v>1839804</v>
      </c>
      <c r="I375" s="49">
        <v>8604</v>
      </c>
      <c r="J375" s="50">
        <v>1831200</v>
      </c>
      <c r="K375" t="s">
        <v>2615</v>
      </c>
      <c r="L375" s="4" t="s">
        <v>461</v>
      </c>
      <c r="M375" t="s">
        <v>351</v>
      </c>
      <c r="N375" s="2">
        <v>79217310</v>
      </c>
      <c r="O375" t="s">
        <v>3427</v>
      </c>
      <c r="P375" t="s">
        <v>316</v>
      </c>
      <c r="Q375" t="s">
        <v>317</v>
      </c>
      <c r="R375">
        <v>45119765</v>
      </c>
      <c r="S375" t="s">
        <v>319</v>
      </c>
      <c r="T375">
        <v>860002964</v>
      </c>
      <c r="U375" t="s">
        <v>419</v>
      </c>
      <c r="V375">
        <v>923245</v>
      </c>
      <c r="W375" t="s">
        <v>180</v>
      </c>
      <c r="X375" s="2" t="s">
        <v>29</v>
      </c>
      <c r="Y375" t="s">
        <v>30</v>
      </c>
      <c r="Z375" t="s">
        <v>31</v>
      </c>
      <c r="AA375" t="s">
        <v>32</v>
      </c>
      <c r="AB375" t="s">
        <v>33</v>
      </c>
      <c r="AC375" s="51">
        <v>1839804</v>
      </c>
      <c r="AD375">
        <v>0</v>
      </c>
      <c r="AE375" s="4">
        <v>0</v>
      </c>
      <c r="AF375" s="4">
        <v>0</v>
      </c>
      <c r="AG375" t="s">
        <v>462</v>
      </c>
      <c r="AH375">
        <v>0</v>
      </c>
      <c r="AI375">
        <v>0</v>
      </c>
      <c r="AJ375" s="2" t="s">
        <v>463</v>
      </c>
      <c r="AK375" s="2">
        <v>0</v>
      </c>
      <c r="AL375">
        <v>0</v>
      </c>
      <c r="AM375">
        <v>0</v>
      </c>
      <c r="AN375">
        <v>0</v>
      </c>
      <c r="AO375">
        <v>0</v>
      </c>
      <c r="AP375">
        <v>3825</v>
      </c>
      <c r="AQ375">
        <v>3825</v>
      </c>
      <c r="AR375">
        <v>36225</v>
      </c>
      <c r="AS375">
        <v>0</v>
      </c>
      <c r="AT375">
        <v>0</v>
      </c>
      <c r="AU375">
        <v>38425</v>
      </c>
      <c r="AV375">
        <v>64618825</v>
      </c>
      <c r="AW375">
        <v>0</v>
      </c>
      <c r="AX375" s="5">
        <v>45709</v>
      </c>
      <c r="AY375" t="s">
        <v>356</v>
      </c>
      <c r="AZ375" t="s">
        <v>3429</v>
      </c>
      <c r="BA375" t="s">
        <v>3430</v>
      </c>
    </row>
    <row r="376" spans="1:53" ht="15" customHeight="1" x14ac:dyDescent="0.2">
      <c r="A376" t="s">
        <v>5222</v>
      </c>
      <c r="B376" t="s">
        <v>4439</v>
      </c>
      <c r="C376" t="s">
        <v>4917</v>
      </c>
      <c r="D376">
        <v>64618925</v>
      </c>
      <c r="E376" s="5">
        <v>45726</v>
      </c>
      <c r="F376" s="5">
        <v>45728.094444444447</v>
      </c>
      <c r="G376" s="4" t="s">
        <v>460</v>
      </c>
      <c r="H376" s="49">
        <v>1839804</v>
      </c>
      <c r="I376" s="49">
        <v>9971</v>
      </c>
      <c r="J376" s="50">
        <v>1829833</v>
      </c>
      <c r="K376" t="s">
        <v>2615</v>
      </c>
      <c r="L376" s="4" t="s">
        <v>461</v>
      </c>
      <c r="M376" t="s">
        <v>351</v>
      </c>
      <c r="N376" s="2">
        <v>49729347</v>
      </c>
      <c r="O376" t="s">
        <v>3433</v>
      </c>
      <c r="P376" t="s">
        <v>316</v>
      </c>
      <c r="Q376" t="s">
        <v>317</v>
      </c>
      <c r="R376">
        <v>6272000828</v>
      </c>
      <c r="S376" t="s">
        <v>319</v>
      </c>
      <c r="T376">
        <v>860034594</v>
      </c>
      <c r="U376" t="s">
        <v>374</v>
      </c>
      <c r="V376">
        <v>923245</v>
      </c>
      <c r="W376" t="s">
        <v>180</v>
      </c>
      <c r="X376" s="2" t="s">
        <v>29</v>
      </c>
      <c r="Y376" t="s">
        <v>30</v>
      </c>
      <c r="Z376" t="s">
        <v>31</v>
      </c>
      <c r="AA376" t="s">
        <v>32</v>
      </c>
      <c r="AB376" t="s">
        <v>33</v>
      </c>
      <c r="AC376" s="51">
        <v>1839804</v>
      </c>
      <c r="AD376">
        <v>0</v>
      </c>
      <c r="AE376" s="4">
        <v>0</v>
      </c>
      <c r="AF376" s="4">
        <v>0</v>
      </c>
      <c r="AG376" t="s">
        <v>462</v>
      </c>
      <c r="AH376">
        <v>0</v>
      </c>
      <c r="AI376">
        <v>0</v>
      </c>
      <c r="AJ376" s="2" t="s">
        <v>463</v>
      </c>
      <c r="AK376" s="2">
        <v>0</v>
      </c>
      <c r="AL376">
        <v>0</v>
      </c>
      <c r="AM376">
        <v>0</v>
      </c>
      <c r="AN376">
        <v>0</v>
      </c>
      <c r="AO376">
        <v>0</v>
      </c>
      <c r="AP376">
        <v>3825</v>
      </c>
      <c r="AQ376">
        <v>3825</v>
      </c>
      <c r="AR376">
        <v>36325</v>
      </c>
      <c r="AS376">
        <v>0</v>
      </c>
      <c r="AT376">
        <v>0</v>
      </c>
      <c r="AU376">
        <v>38525</v>
      </c>
      <c r="AV376">
        <v>64618925</v>
      </c>
      <c r="AW376">
        <v>0</v>
      </c>
      <c r="AX376" s="5">
        <v>45709</v>
      </c>
      <c r="AY376" t="s">
        <v>356</v>
      </c>
      <c r="AZ376" t="s">
        <v>3435</v>
      </c>
      <c r="BA376" t="s">
        <v>748</v>
      </c>
    </row>
    <row r="377" spans="1:53" ht="15" customHeight="1" x14ac:dyDescent="0.2">
      <c r="A377" t="s">
        <v>5223</v>
      </c>
      <c r="B377" t="s">
        <v>4440</v>
      </c>
      <c r="C377" t="s">
        <v>4882</v>
      </c>
      <c r="D377">
        <v>64619025</v>
      </c>
      <c r="E377" s="5">
        <v>45726</v>
      </c>
      <c r="F377" s="5">
        <v>45728.09652777778</v>
      </c>
      <c r="G377" s="4" t="s">
        <v>460</v>
      </c>
      <c r="H377" s="49">
        <v>1839804</v>
      </c>
      <c r="I377" s="49">
        <v>8604</v>
      </c>
      <c r="J377" s="50">
        <v>1831200</v>
      </c>
      <c r="K377" t="s">
        <v>2615</v>
      </c>
      <c r="L377" s="4" t="s">
        <v>461</v>
      </c>
      <c r="M377" t="s">
        <v>351</v>
      </c>
      <c r="N377" s="2">
        <v>11317827</v>
      </c>
      <c r="O377" t="s">
        <v>3438</v>
      </c>
      <c r="P377" t="s">
        <v>316</v>
      </c>
      <c r="Q377" t="s">
        <v>317</v>
      </c>
      <c r="R377">
        <v>356070058264</v>
      </c>
      <c r="S377" t="s">
        <v>319</v>
      </c>
      <c r="T377">
        <v>860034313</v>
      </c>
      <c r="U377" t="s">
        <v>355</v>
      </c>
      <c r="V377">
        <v>923285</v>
      </c>
      <c r="W377" t="s">
        <v>572</v>
      </c>
      <c r="X377" s="2" t="s">
        <v>29</v>
      </c>
      <c r="Y377" t="s">
        <v>30</v>
      </c>
      <c r="Z377" t="s">
        <v>31</v>
      </c>
      <c r="AA377" t="s">
        <v>32</v>
      </c>
      <c r="AB377" t="s">
        <v>33</v>
      </c>
      <c r="AC377" s="51">
        <v>1839804</v>
      </c>
      <c r="AD377">
        <v>0</v>
      </c>
      <c r="AE377" s="4">
        <v>0</v>
      </c>
      <c r="AF377" s="4">
        <v>0</v>
      </c>
      <c r="AG377" t="s">
        <v>462</v>
      </c>
      <c r="AH377">
        <v>0</v>
      </c>
      <c r="AI377">
        <v>0</v>
      </c>
      <c r="AJ377" s="2" t="s">
        <v>463</v>
      </c>
      <c r="AK377" s="2">
        <v>0</v>
      </c>
      <c r="AL377">
        <v>0</v>
      </c>
      <c r="AM377">
        <v>0</v>
      </c>
      <c r="AN377">
        <v>0</v>
      </c>
      <c r="AO377">
        <v>0</v>
      </c>
      <c r="AP377">
        <v>4225</v>
      </c>
      <c r="AQ377">
        <v>4225</v>
      </c>
      <c r="AR377">
        <v>36425</v>
      </c>
      <c r="AS377">
        <v>0</v>
      </c>
      <c r="AT377">
        <v>0</v>
      </c>
      <c r="AU377">
        <v>38625</v>
      </c>
      <c r="AV377">
        <v>64619025</v>
      </c>
      <c r="AW377">
        <v>0</v>
      </c>
      <c r="AX377" s="5">
        <v>45709</v>
      </c>
      <c r="AY377" t="s">
        <v>356</v>
      </c>
      <c r="AZ377" t="s">
        <v>3440</v>
      </c>
      <c r="BA377" t="s">
        <v>742</v>
      </c>
    </row>
    <row r="378" spans="1:53" ht="15" customHeight="1" x14ac:dyDescent="0.2">
      <c r="A378" t="s">
        <v>5224</v>
      </c>
      <c r="B378" t="s">
        <v>4441</v>
      </c>
      <c r="C378" t="s">
        <v>4882</v>
      </c>
      <c r="D378">
        <v>64619125</v>
      </c>
      <c r="E378" s="5">
        <v>45726</v>
      </c>
      <c r="F378" s="5">
        <v>45728.09652777778</v>
      </c>
      <c r="G378" s="4" t="s">
        <v>460</v>
      </c>
      <c r="H378" s="49">
        <v>1839804</v>
      </c>
      <c r="I378" s="49">
        <v>8604</v>
      </c>
      <c r="J378" s="50">
        <v>1831200</v>
      </c>
      <c r="K378" t="s">
        <v>2615</v>
      </c>
      <c r="L378" s="4" t="s">
        <v>461</v>
      </c>
      <c r="M378" t="s">
        <v>351</v>
      </c>
      <c r="N378" s="2">
        <v>1022328098</v>
      </c>
      <c r="O378" t="s">
        <v>3443</v>
      </c>
      <c r="P378" t="s">
        <v>316</v>
      </c>
      <c r="Q378" t="s">
        <v>317</v>
      </c>
      <c r="R378">
        <v>488445698399</v>
      </c>
      <c r="S378" t="s">
        <v>319</v>
      </c>
      <c r="T378">
        <v>860034313</v>
      </c>
      <c r="U378" t="s">
        <v>355</v>
      </c>
      <c r="V378">
        <v>923285</v>
      </c>
      <c r="W378" t="s">
        <v>572</v>
      </c>
      <c r="X378" s="2" t="s">
        <v>29</v>
      </c>
      <c r="Y378" t="s">
        <v>30</v>
      </c>
      <c r="Z378" t="s">
        <v>31</v>
      </c>
      <c r="AA378" t="s">
        <v>32</v>
      </c>
      <c r="AB378" t="s">
        <v>33</v>
      </c>
      <c r="AC378" s="51">
        <v>1839804</v>
      </c>
      <c r="AD378">
        <v>0</v>
      </c>
      <c r="AE378" s="4">
        <v>0</v>
      </c>
      <c r="AF378" s="4">
        <v>0</v>
      </c>
      <c r="AG378" t="s">
        <v>462</v>
      </c>
      <c r="AH378">
        <v>0</v>
      </c>
      <c r="AI378">
        <v>0</v>
      </c>
      <c r="AJ378" s="2" t="s">
        <v>463</v>
      </c>
      <c r="AK378" s="2">
        <v>0</v>
      </c>
      <c r="AL378">
        <v>0</v>
      </c>
      <c r="AM378">
        <v>0</v>
      </c>
      <c r="AN378">
        <v>0</v>
      </c>
      <c r="AO378">
        <v>0</v>
      </c>
      <c r="AP378">
        <v>4225</v>
      </c>
      <c r="AQ378">
        <v>4225</v>
      </c>
      <c r="AR378">
        <v>36525</v>
      </c>
      <c r="AS378">
        <v>0</v>
      </c>
      <c r="AT378">
        <v>0</v>
      </c>
      <c r="AU378">
        <v>38725</v>
      </c>
      <c r="AV378">
        <v>64619125</v>
      </c>
      <c r="AW378">
        <v>0</v>
      </c>
      <c r="AX378" s="5">
        <v>45709</v>
      </c>
      <c r="AY378" t="s">
        <v>356</v>
      </c>
      <c r="AZ378" t="s">
        <v>3445</v>
      </c>
      <c r="BA378" t="s">
        <v>742</v>
      </c>
    </row>
    <row r="379" spans="1:53" ht="15" customHeight="1" x14ac:dyDescent="0.2">
      <c r="A379" t="s">
        <v>5225</v>
      </c>
      <c r="B379" t="s">
        <v>4442</v>
      </c>
      <c r="C379" t="s">
        <v>4859</v>
      </c>
      <c r="D379">
        <v>64619225</v>
      </c>
      <c r="E379" s="5">
        <v>45726</v>
      </c>
      <c r="F379" s="5">
        <v>45728.082638888889</v>
      </c>
      <c r="G379" s="4" t="s">
        <v>460</v>
      </c>
      <c r="H379" s="49">
        <v>1839804</v>
      </c>
      <c r="I379" s="49">
        <v>10145</v>
      </c>
      <c r="J379" s="50">
        <v>1829659</v>
      </c>
      <c r="K379" t="s">
        <v>2615</v>
      </c>
      <c r="L379" s="4" t="s">
        <v>461</v>
      </c>
      <c r="M379" t="s">
        <v>351</v>
      </c>
      <c r="N379" s="2">
        <v>1032464545</v>
      </c>
      <c r="O379" t="s">
        <v>3448</v>
      </c>
      <c r="P379" t="s">
        <v>316</v>
      </c>
      <c r="Q379" t="s">
        <v>317</v>
      </c>
      <c r="R379">
        <v>272386426</v>
      </c>
      <c r="S379" t="s">
        <v>319</v>
      </c>
      <c r="T379">
        <v>860002964</v>
      </c>
      <c r="U379" t="s">
        <v>419</v>
      </c>
      <c r="V379">
        <v>923210</v>
      </c>
      <c r="W379" t="s">
        <v>56</v>
      </c>
      <c r="X379" s="2" t="s">
        <v>57</v>
      </c>
      <c r="Y379" t="s">
        <v>58</v>
      </c>
      <c r="Z379" t="s">
        <v>31</v>
      </c>
      <c r="AA379" t="s">
        <v>32</v>
      </c>
      <c r="AB379" t="s">
        <v>33</v>
      </c>
      <c r="AC379" s="51">
        <v>1839804</v>
      </c>
      <c r="AD379">
        <v>0</v>
      </c>
      <c r="AE379" s="4">
        <v>0</v>
      </c>
      <c r="AF379" s="4">
        <v>0</v>
      </c>
      <c r="AG379" t="s">
        <v>462</v>
      </c>
      <c r="AH379">
        <v>0</v>
      </c>
      <c r="AI379">
        <v>0</v>
      </c>
      <c r="AJ379" s="2" t="s">
        <v>463</v>
      </c>
      <c r="AK379" s="2">
        <v>0</v>
      </c>
      <c r="AL379">
        <v>0</v>
      </c>
      <c r="AM379">
        <v>0</v>
      </c>
      <c r="AN379">
        <v>0</v>
      </c>
      <c r="AO379">
        <v>0</v>
      </c>
      <c r="AP379">
        <v>825</v>
      </c>
      <c r="AQ379">
        <v>825</v>
      </c>
      <c r="AR379">
        <v>36625</v>
      </c>
      <c r="AS379">
        <v>0</v>
      </c>
      <c r="AT379">
        <v>0</v>
      </c>
      <c r="AU379">
        <v>38825</v>
      </c>
      <c r="AV379">
        <v>64619225</v>
      </c>
      <c r="AW379">
        <v>0</v>
      </c>
      <c r="AX379" s="5">
        <v>45709</v>
      </c>
      <c r="AY379" t="s">
        <v>356</v>
      </c>
      <c r="AZ379" t="s">
        <v>3450</v>
      </c>
      <c r="BA379" t="s">
        <v>1332</v>
      </c>
    </row>
    <row r="380" spans="1:53" ht="15" customHeight="1" x14ac:dyDescent="0.2">
      <c r="A380" t="s">
        <v>5226</v>
      </c>
      <c r="B380" t="s">
        <v>4443</v>
      </c>
      <c r="C380" t="s">
        <v>4917</v>
      </c>
      <c r="D380">
        <v>64619325</v>
      </c>
      <c r="E380" s="5">
        <v>45726</v>
      </c>
      <c r="F380" s="5">
        <v>45728.09652777778</v>
      </c>
      <c r="G380" s="4" t="s">
        <v>460</v>
      </c>
      <c r="H380" s="49">
        <v>1422349</v>
      </c>
      <c r="I380" s="49">
        <v>6099</v>
      </c>
      <c r="J380" s="50">
        <v>1416250</v>
      </c>
      <c r="K380" t="s">
        <v>2615</v>
      </c>
      <c r="L380" s="4" t="s">
        <v>461</v>
      </c>
      <c r="M380" t="s">
        <v>351</v>
      </c>
      <c r="N380" s="2">
        <v>1073699701</v>
      </c>
      <c r="O380" t="s">
        <v>3452</v>
      </c>
      <c r="P380" t="s">
        <v>316</v>
      </c>
      <c r="Q380" t="s">
        <v>317</v>
      </c>
      <c r="R380">
        <v>7929347</v>
      </c>
      <c r="S380" t="s">
        <v>319</v>
      </c>
      <c r="T380">
        <v>860035827</v>
      </c>
      <c r="U380" t="s">
        <v>653</v>
      </c>
      <c r="V380">
        <v>923245</v>
      </c>
      <c r="W380" t="s">
        <v>180</v>
      </c>
      <c r="X380" s="2" t="s">
        <v>29</v>
      </c>
      <c r="Y380" t="s">
        <v>30</v>
      </c>
      <c r="Z380" t="s">
        <v>31</v>
      </c>
      <c r="AA380" t="s">
        <v>32</v>
      </c>
      <c r="AB380" t="s">
        <v>33</v>
      </c>
      <c r="AC380" s="51">
        <v>1422349</v>
      </c>
      <c r="AD380">
        <v>0</v>
      </c>
      <c r="AE380" s="4">
        <v>0</v>
      </c>
      <c r="AF380" s="4">
        <v>0</v>
      </c>
      <c r="AG380" t="s">
        <v>462</v>
      </c>
      <c r="AH380">
        <v>0</v>
      </c>
      <c r="AI380">
        <v>0</v>
      </c>
      <c r="AJ380" s="2" t="s">
        <v>463</v>
      </c>
      <c r="AK380" s="2">
        <v>0</v>
      </c>
      <c r="AL380">
        <v>0</v>
      </c>
      <c r="AM380">
        <v>0</v>
      </c>
      <c r="AN380">
        <v>0</v>
      </c>
      <c r="AO380">
        <v>0</v>
      </c>
      <c r="AP380">
        <v>3825</v>
      </c>
      <c r="AQ380">
        <v>3825</v>
      </c>
      <c r="AR380">
        <v>36725</v>
      </c>
      <c r="AS380">
        <v>0</v>
      </c>
      <c r="AT380">
        <v>0</v>
      </c>
      <c r="AU380">
        <v>38925</v>
      </c>
      <c r="AV380">
        <v>64619325</v>
      </c>
      <c r="AW380">
        <v>0</v>
      </c>
      <c r="AX380" s="5">
        <v>45709</v>
      </c>
      <c r="AY380" t="s">
        <v>356</v>
      </c>
      <c r="AZ380" t="s">
        <v>3455</v>
      </c>
      <c r="BA380" t="s">
        <v>1332</v>
      </c>
    </row>
    <row r="381" spans="1:53" ht="15" customHeight="1" x14ac:dyDescent="0.2">
      <c r="A381" t="s">
        <v>5227</v>
      </c>
      <c r="B381" t="s">
        <v>4444</v>
      </c>
      <c r="C381" t="s">
        <v>5228</v>
      </c>
      <c r="D381">
        <v>64619425</v>
      </c>
      <c r="E381" s="5">
        <v>45726</v>
      </c>
      <c r="F381" s="5">
        <v>45728.09652777778</v>
      </c>
      <c r="G381" s="4" t="s">
        <v>460</v>
      </c>
      <c r="H381" s="49">
        <v>1839804</v>
      </c>
      <c r="I381" s="49">
        <v>8604</v>
      </c>
      <c r="J381" s="50">
        <v>1831200</v>
      </c>
      <c r="K381" t="s">
        <v>2615</v>
      </c>
      <c r="L381" s="4" t="s">
        <v>461</v>
      </c>
      <c r="M381" t="s">
        <v>351</v>
      </c>
      <c r="N381" s="2">
        <v>1016100841</v>
      </c>
      <c r="O381" t="s">
        <v>3457</v>
      </c>
      <c r="P381" t="s">
        <v>316</v>
      </c>
      <c r="Q381" t="s">
        <v>317</v>
      </c>
      <c r="R381">
        <v>9900357626</v>
      </c>
      <c r="S381" t="s">
        <v>319</v>
      </c>
      <c r="T381">
        <v>860034313</v>
      </c>
      <c r="U381" t="s">
        <v>355</v>
      </c>
      <c r="V381">
        <v>923218</v>
      </c>
      <c r="W381" t="s">
        <v>118</v>
      </c>
      <c r="X381" s="2" t="s">
        <v>29</v>
      </c>
      <c r="Y381" t="s">
        <v>30</v>
      </c>
      <c r="Z381" t="s">
        <v>47</v>
      </c>
      <c r="AA381" t="s">
        <v>121</v>
      </c>
      <c r="AB381" t="s">
        <v>33</v>
      </c>
      <c r="AC381" s="51">
        <v>1839804</v>
      </c>
      <c r="AD381">
        <v>0</v>
      </c>
      <c r="AE381" s="4">
        <v>0</v>
      </c>
      <c r="AF381" s="4">
        <v>0</v>
      </c>
      <c r="AG381" t="s">
        <v>462</v>
      </c>
      <c r="AH381">
        <v>0</v>
      </c>
      <c r="AI381">
        <v>0</v>
      </c>
      <c r="AJ381" s="2" t="s">
        <v>463</v>
      </c>
      <c r="AK381" s="2">
        <v>0</v>
      </c>
      <c r="AL381">
        <v>0</v>
      </c>
      <c r="AM381">
        <v>0</v>
      </c>
      <c r="AN381">
        <v>0</v>
      </c>
      <c r="AO381">
        <v>0</v>
      </c>
      <c r="AP381">
        <v>2825</v>
      </c>
      <c r="AQ381">
        <v>2825</v>
      </c>
      <c r="AR381">
        <v>36825</v>
      </c>
      <c r="AS381">
        <v>0</v>
      </c>
      <c r="AT381">
        <v>0</v>
      </c>
      <c r="AU381">
        <v>39025</v>
      </c>
      <c r="AV381">
        <v>64619425</v>
      </c>
      <c r="AW381">
        <v>0</v>
      </c>
      <c r="AX381" s="5">
        <v>45709</v>
      </c>
      <c r="AY381" t="s">
        <v>356</v>
      </c>
      <c r="AZ381" t="s">
        <v>3459</v>
      </c>
      <c r="BA381" t="s">
        <v>1332</v>
      </c>
    </row>
    <row r="382" spans="1:53" ht="15" customHeight="1" x14ac:dyDescent="0.2">
      <c r="A382" t="s">
        <v>5229</v>
      </c>
      <c r="B382" t="s">
        <v>4446</v>
      </c>
      <c r="C382" t="s">
        <v>4917</v>
      </c>
      <c r="D382">
        <v>64619525</v>
      </c>
      <c r="E382" s="5">
        <v>45726</v>
      </c>
      <c r="F382" s="5">
        <v>45728.09652777778</v>
      </c>
      <c r="G382" s="4" t="s">
        <v>460</v>
      </c>
      <c r="H382" s="49">
        <v>1839804</v>
      </c>
      <c r="I382" s="49">
        <v>8604</v>
      </c>
      <c r="J382" s="50">
        <v>1831200</v>
      </c>
      <c r="K382" t="s">
        <v>2615</v>
      </c>
      <c r="L382" s="4" t="s">
        <v>461</v>
      </c>
      <c r="M382" t="s">
        <v>351</v>
      </c>
      <c r="N382" s="2">
        <v>1013615808</v>
      </c>
      <c r="O382" t="s">
        <v>3461</v>
      </c>
      <c r="P382" t="s">
        <v>316</v>
      </c>
      <c r="Q382" t="s">
        <v>317</v>
      </c>
      <c r="R382">
        <v>550488403206870</v>
      </c>
      <c r="S382" t="s">
        <v>319</v>
      </c>
      <c r="T382">
        <v>860034313</v>
      </c>
      <c r="U382" t="s">
        <v>355</v>
      </c>
      <c r="V382">
        <v>923245</v>
      </c>
      <c r="W382" t="s">
        <v>180</v>
      </c>
      <c r="X382" s="2" t="s">
        <v>29</v>
      </c>
      <c r="Y382" t="s">
        <v>30</v>
      </c>
      <c r="Z382" t="s">
        <v>31</v>
      </c>
      <c r="AA382" t="s">
        <v>32</v>
      </c>
      <c r="AB382" t="s">
        <v>33</v>
      </c>
      <c r="AC382" s="51">
        <v>1839804</v>
      </c>
      <c r="AD382">
        <v>0</v>
      </c>
      <c r="AE382" s="4">
        <v>0</v>
      </c>
      <c r="AF382" s="4">
        <v>0</v>
      </c>
      <c r="AG382" t="s">
        <v>462</v>
      </c>
      <c r="AH382">
        <v>0</v>
      </c>
      <c r="AI382">
        <v>0</v>
      </c>
      <c r="AJ382" s="2" t="s">
        <v>463</v>
      </c>
      <c r="AK382" s="2">
        <v>0</v>
      </c>
      <c r="AL382">
        <v>0</v>
      </c>
      <c r="AM382">
        <v>0</v>
      </c>
      <c r="AN382">
        <v>0</v>
      </c>
      <c r="AO382">
        <v>0</v>
      </c>
      <c r="AP382">
        <v>3825</v>
      </c>
      <c r="AQ382">
        <v>3825</v>
      </c>
      <c r="AR382">
        <v>36925</v>
      </c>
      <c r="AS382">
        <v>0</v>
      </c>
      <c r="AT382">
        <v>0</v>
      </c>
      <c r="AU382">
        <v>39125</v>
      </c>
      <c r="AV382">
        <v>64619525</v>
      </c>
      <c r="AW382">
        <v>0</v>
      </c>
      <c r="AX382" s="5">
        <v>45709</v>
      </c>
      <c r="AY382" t="s">
        <v>356</v>
      </c>
      <c r="AZ382" t="s">
        <v>3463</v>
      </c>
      <c r="BA382" t="s">
        <v>748</v>
      </c>
    </row>
    <row r="383" spans="1:53" ht="15" customHeight="1" x14ac:dyDescent="0.2">
      <c r="A383" t="s">
        <v>5230</v>
      </c>
      <c r="B383" t="s">
        <v>4447</v>
      </c>
      <c r="C383" t="s">
        <v>4917</v>
      </c>
      <c r="D383">
        <v>64619625</v>
      </c>
      <c r="E383" s="5">
        <v>45726</v>
      </c>
      <c r="F383" s="5">
        <v>45728.092361111114</v>
      </c>
      <c r="G383" s="4" t="s">
        <v>460</v>
      </c>
      <c r="H383" s="49">
        <v>1422349</v>
      </c>
      <c r="I383" s="49">
        <v>6099</v>
      </c>
      <c r="J383" s="50">
        <v>1416250</v>
      </c>
      <c r="K383" t="s">
        <v>2615</v>
      </c>
      <c r="L383" s="4" t="s">
        <v>461</v>
      </c>
      <c r="M383" t="s">
        <v>351</v>
      </c>
      <c r="N383" s="2">
        <v>36181189</v>
      </c>
      <c r="O383" t="s">
        <v>3466</v>
      </c>
      <c r="P383" t="s">
        <v>316</v>
      </c>
      <c r="Q383" t="s">
        <v>317</v>
      </c>
      <c r="R383">
        <v>90140444310</v>
      </c>
      <c r="S383" t="s">
        <v>319</v>
      </c>
      <c r="T383">
        <v>860050750</v>
      </c>
      <c r="U383" t="s">
        <v>321</v>
      </c>
      <c r="V383">
        <v>923245</v>
      </c>
      <c r="W383" t="s">
        <v>180</v>
      </c>
      <c r="X383" s="2" t="s">
        <v>29</v>
      </c>
      <c r="Y383" t="s">
        <v>30</v>
      </c>
      <c r="Z383" t="s">
        <v>31</v>
      </c>
      <c r="AA383" t="s">
        <v>32</v>
      </c>
      <c r="AB383" t="s">
        <v>33</v>
      </c>
      <c r="AC383" s="51">
        <v>1422349</v>
      </c>
      <c r="AD383">
        <v>0</v>
      </c>
      <c r="AE383" s="4">
        <v>0</v>
      </c>
      <c r="AF383" s="4">
        <v>0</v>
      </c>
      <c r="AG383" t="s">
        <v>462</v>
      </c>
      <c r="AH383">
        <v>0</v>
      </c>
      <c r="AI383">
        <v>0</v>
      </c>
      <c r="AJ383" s="2" t="s">
        <v>463</v>
      </c>
      <c r="AK383" s="2">
        <v>0</v>
      </c>
      <c r="AL383">
        <v>0</v>
      </c>
      <c r="AM383">
        <v>0</v>
      </c>
      <c r="AN383">
        <v>0</v>
      </c>
      <c r="AO383">
        <v>0</v>
      </c>
      <c r="AP383">
        <v>3825</v>
      </c>
      <c r="AQ383">
        <v>3825</v>
      </c>
      <c r="AR383">
        <v>37025</v>
      </c>
      <c r="AS383">
        <v>0</v>
      </c>
      <c r="AT383">
        <v>0</v>
      </c>
      <c r="AU383">
        <v>39225</v>
      </c>
      <c r="AV383">
        <v>64619625</v>
      </c>
      <c r="AW383">
        <v>0</v>
      </c>
      <c r="AX383" s="5">
        <v>45709</v>
      </c>
      <c r="AY383" t="s">
        <v>356</v>
      </c>
      <c r="AZ383" t="s">
        <v>3469</v>
      </c>
      <c r="BA383" t="s">
        <v>748</v>
      </c>
    </row>
    <row r="384" spans="1:53" ht="15" customHeight="1" x14ac:dyDescent="0.2">
      <c r="A384" t="s">
        <v>5231</v>
      </c>
      <c r="B384" t="s">
        <v>4448</v>
      </c>
      <c r="C384" t="s">
        <v>4917</v>
      </c>
      <c r="D384">
        <v>64619725</v>
      </c>
      <c r="E384" s="5">
        <v>45726</v>
      </c>
      <c r="F384" s="5">
        <v>45728.093055555553</v>
      </c>
      <c r="G384" s="4" t="s">
        <v>460</v>
      </c>
      <c r="H384" s="49">
        <v>1839804</v>
      </c>
      <c r="I384" s="49">
        <v>8604</v>
      </c>
      <c r="J384" s="50">
        <v>1831200</v>
      </c>
      <c r="K384" t="s">
        <v>2615</v>
      </c>
      <c r="L384" s="4" t="s">
        <v>461</v>
      </c>
      <c r="M384" t="s">
        <v>351</v>
      </c>
      <c r="N384" s="2">
        <v>51976419</v>
      </c>
      <c r="O384" t="s">
        <v>3472</v>
      </c>
      <c r="P384" t="s">
        <v>316</v>
      </c>
      <c r="Q384" t="s">
        <v>317</v>
      </c>
      <c r="R384">
        <v>233275635</v>
      </c>
      <c r="S384" t="s">
        <v>319</v>
      </c>
      <c r="T384">
        <v>860003020</v>
      </c>
      <c r="U384" t="s">
        <v>393</v>
      </c>
      <c r="V384">
        <v>923245</v>
      </c>
      <c r="W384" t="s">
        <v>180</v>
      </c>
      <c r="X384" s="2" t="s">
        <v>29</v>
      </c>
      <c r="Y384" t="s">
        <v>30</v>
      </c>
      <c r="Z384" t="s">
        <v>31</v>
      </c>
      <c r="AA384" t="s">
        <v>32</v>
      </c>
      <c r="AB384" t="s">
        <v>33</v>
      </c>
      <c r="AC384" s="51">
        <v>1839804</v>
      </c>
      <c r="AD384">
        <v>0</v>
      </c>
      <c r="AE384" s="4">
        <v>0</v>
      </c>
      <c r="AF384" s="4">
        <v>0</v>
      </c>
      <c r="AG384" t="s">
        <v>462</v>
      </c>
      <c r="AH384">
        <v>0</v>
      </c>
      <c r="AI384">
        <v>0</v>
      </c>
      <c r="AJ384" s="2" t="s">
        <v>463</v>
      </c>
      <c r="AK384" s="2">
        <v>0</v>
      </c>
      <c r="AL384">
        <v>0</v>
      </c>
      <c r="AM384">
        <v>0</v>
      </c>
      <c r="AN384">
        <v>0</v>
      </c>
      <c r="AO384">
        <v>0</v>
      </c>
      <c r="AP384">
        <v>3825</v>
      </c>
      <c r="AQ384">
        <v>3825</v>
      </c>
      <c r="AR384">
        <v>37125</v>
      </c>
      <c r="AS384">
        <v>0</v>
      </c>
      <c r="AT384">
        <v>0</v>
      </c>
      <c r="AU384">
        <v>39325</v>
      </c>
      <c r="AV384">
        <v>64619725</v>
      </c>
      <c r="AW384">
        <v>0</v>
      </c>
      <c r="AX384" s="5">
        <v>45709</v>
      </c>
      <c r="AY384" t="s">
        <v>356</v>
      </c>
      <c r="AZ384" t="s">
        <v>3475</v>
      </c>
      <c r="BA384" t="s">
        <v>748</v>
      </c>
    </row>
    <row r="385" spans="1:53" ht="15" customHeight="1" x14ac:dyDescent="0.2">
      <c r="A385" t="s">
        <v>5232</v>
      </c>
      <c r="B385" t="s">
        <v>4449</v>
      </c>
      <c r="C385" t="s">
        <v>4917</v>
      </c>
      <c r="D385">
        <v>64619825</v>
      </c>
      <c r="E385" s="5">
        <v>45726</v>
      </c>
      <c r="F385" s="5">
        <v>45728.09652777778</v>
      </c>
      <c r="G385" s="4" t="s">
        <v>460</v>
      </c>
      <c r="H385" s="49">
        <v>1839804</v>
      </c>
      <c r="I385" s="49">
        <v>8604</v>
      </c>
      <c r="J385" s="50">
        <v>1831200</v>
      </c>
      <c r="K385" t="s">
        <v>2615</v>
      </c>
      <c r="L385" s="4" t="s">
        <v>461</v>
      </c>
      <c r="M385" t="s">
        <v>351</v>
      </c>
      <c r="N385" s="2">
        <v>1001277409</v>
      </c>
      <c r="O385" t="s">
        <v>3478</v>
      </c>
      <c r="P385" t="s">
        <v>316</v>
      </c>
      <c r="Q385" t="s">
        <v>317</v>
      </c>
      <c r="R385">
        <v>87858556</v>
      </c>
      <c r="S385" t="s">
        <v>319</v>
      </c>
      <c r="T385">
        <v>860035827</v>
      </c>
      <c r="U385" t="s">
        <v>653</v>
      </c>
      <c r="V385">
        <v>923245</v>
      </c>
      <c r="W385" t="s">
        <v>180</v>
      </c>
      <c r="X385" s="2" t="s">
        <v>29</v>
      </c>
      <c r="Y385" t="s">
        <v>30</v>
      </c>
      <c r="Z385" t="s">
        <v>31</v>
      </c>
      <c r="AA385" t="s">
        <v>32</v>
      </c>
      <c r="AB385" t="s">
        <v>33</v>
      </c>
      <c r="AC385" s="51">
        <v>1839804</v>
      </c>
      <c r="AD385">
        <v>0</v>
      </c>
      <c r="AE385" s="4">
        <v>0</v>
      </c>
      <c r="AF385" s="4">
        <v>0</v>
      </c>
      <c r="AG385" t="s">
        <v>462</v>
      </c>
      <c r="AH385">
        <v>0</v>
      </c>
      <c r="AI385">
        <v>0</v>
      </c>
      <c r="AJ385" s="2" t="s">
        <v>463</v>
      </c>
      <c r="AK385" s="2">
        <v>0</v>
      </c>
      <c r="AL385">
        <v>0</v>
      </c>
      <c r="AM385">
        <v>0</v>
      </c>
      <c r="AN385">
        <v>0</v>
      </c>
      <c r="AO385">
        <v>0</v>
      </c>
      <c r="AP385">
        <v>3825</v>
      </c>
      <c r="AQ385">
        <v>3825</v>
      </c>
      <c r="AR385">
        <v>37225</v>
      </c>
      <c r="AS385">
        <v>0</v>
      </c>
      <c r="AT385">
        <v>0</v>
      </c>
      <c r="AU385">
        <v>39425</v>
      </c>
      <c r="AV385">
        <v>64619825</v>
      </c>
      <c r="AW385">
        <v>0</v>
      </c>
      <c r="AX385" s="5">
        <v>45709</v>
      </c>
      <c r="AY385" t="s">
        <v>356</v>
      </c>
      <c r="AZ385" t="s">
        <v>3481</v>
      </c>
      <c r="BA385" t="s">
        <v>3482</v>
      </c>
    </row>
    <row r="386" spans="1:53" ht="15" customHeight="1" x14ac:dyDescent="0.2">
      <c r="A386" t="s">
        <v>5233</v>
      </c>
      <c r="B386" t="s">
        <v>4450</v>
      </c>
      <c r="C386" t="s">
        <v>4917</v>
      </c>
      <c r="D386">
        <v>64619925</v>
      </c>
      <c r="E386" s="5">
        <v>45726</v>
      </c>
      <c r="F386" s="5">
        <v>45728.086111111108</v>
      </c>
      <c r="G386" s="4" t="s">
        <v>460</v>
      </c>
      <c r="H386" s="49">
        <v>1839804</v>
      </c>
      <c r="I386" s="49">
        <v>10308</v>
      </c>
      <c r="J386" s="50">
        <v>1829496</v>
      </c>
      <c r="K386" t="s">
        <v>2615</v>
      </c>
      <c r="L386" s="4" t="s">
        <v>461</v>
      </c>
      <c r="M386" t="s">
        <v>351</v>
      </c>
      <c r="N386" s="2">
        <v>37862143</v>
      </c>
      <c r="O386" t="s">
        <v>3485</v>
      </c>
      <c r="P386" t="s">
        <v>316</v>
      </c>
      <c r="Q386" t="s">
        <v>317</v>
      </c>
      <c r="R386">
        <v>22160266493</v>
      </c>
      <c r="S386" t="s">
        <v>319</v>
      </c>
      <c r="T386">
        <v>890903938</v>
      </c>
      <c r="U386" t="s">
        <v>342</v>
      </c>
      <c r="V386">
        <v>923245</v>
      </c>
      <c r="W386" t="s">
        <v>180</v>
      </c>
      <c r="X386" s="2" t="s">
        <v>29</v>
      </c>
      <c r="Y386" t="s">
        <v>30</v>
      </c>
      <c r="Z386" t="s">
        <v>31</v>
      </c>
      <c r="AA386" t="s">
        <v>32</v>
      </c>
      <c r="AB386" t="s">
        <v>33</v>
      </c>
      <c r="AC386" s="51">
        <v>1839804</v>
      </c>
      <c r="AD386">
        <v>0</v>
      </c>
      <c r="AE386" s="4">
        <v>0</v>
      </c>
      <c r="AF386" s="4">
        <v>0</v>
      </c>
      <c r="AG386" t="s">
        <v>462</v>
      </c>
      <c r="AH386">
        <v>0</v>
      </c>
      <c r="AI386">
        <v>0</v>
      </c>
      <c r="AJ386" s="2" t="s">
        <v>463</v>
      </c>
      <c r="AK386" s="2">
        <v>0</v>
      </c>
      <c r="AL386">
        <v>0</v>
      </c>
      <c r="AM386">
        <v>0</v>
      </c>
      <c r="AN386">
        <v>0</v>
      </c>
      <c r="AO386">
        <v>0</v>
      </c>
      <c r="AP386">
        <v>3825</v>
      </c>
      <c r="AQ386">
        <v>3825</v>
      </c>
      <c r="AR386">
        <v>37325</v>
      </c>
      <c r="AS386">
        <v>0</v>
      </c>
      <c r="AT386">
        <v>0</v>
      </c>
      <c r="AU386">
        <v>39525</v>
      </c>
      <c r="AV386">
        <v>64619925</v>
      </c>
      <c r="AW386">
        <v>0</v>
      </c>
      <c r="AX386" s="5">
        <v>45709</v>
      </c>
      <c r="AY386" t="s">
        <v>356</v>
      </c>
      <c r="AZ386" t="s">
        <v>3488</v>
      </c>
      <c r="BA386" t="s">
        <v>3482</v>
      </c>
    </row>
    <row r="387" spans="1:53" ht="15" customHeight="1" x14ac:dyDescent="0.2">
      <c r="A387" t="s">
        <v>5234</v>
      </c>
      <c r="B387" t="s">
        <v>4451</v>
      </c>
      <c r="C387" t="s">
        <v>4917</v>
      </c>
      <c r="D387">
        <v>64620025</v>
      </c>
      <c r="E387" s="5">
        <v>45726</v>
      </c>
      <c r="F387" s="5">
        <v>45728.093055555553</v>
      </c>
      <c r="G387" s="4" t="s">
        <v>460</v>
      </c>
      <c r="H387" s="49">
        <v>1839804</v>
      </c>
      <c r="I387" s="49">
        <v>8604</v>
      </c>
      <c r="J387" s="50">
        <v>1831200</v>
      </c>
      <c r="K387" t="s">
        <v>2615</v>
      </c>
      <c r="L387" s="4" t="s">
        <v>461</v>
      </c>
      <c r="M387" t="s">
        <v>351</v>
      </c>
      <c r="N387" s="2">
        <v>1091667951</v>
      </c>
      <c r="O387" t="s">
        <v>3490</v>
      </c>
      <c r="P387" t="s">
        <v>316</v>
      </c>
      <c r="Q387" t="s">
        <v>317</v>
      </c>
      <c r="R387">
        <v>865144745</v>
      </c>
      <c r="S387" t="s">
        <v>319</v>
      </c>
      <c r="T387">
        <v>860003020</v>
      </c>
      <c r="U387" t="s">
        <v>393</v>
      </c>
      <c r="V387">
        <v>923245</v>
      </c>
      <c r="W387" t="s">
        <v>180</v>
      </c>
      <c r="X387" s="2" t="s">
        <v>29</v>
      </c>
      <c r="Y387" t="s">
        <v>30</v>
      </c>
      <c r="Z387" t="s">
        <v>31</v>
      </c>
      <c r="AA387" t="s">
        <v>32</v>
      </c>
      <c r="AB387" t="s">
        <v>33</v>
      </c>
      <c r="AC387" s="51">
        <v>1839804</v>
      </c>
      <c r="AD387">
        <v>0</v>
      </c>
      <c r="AE387" s="4">
        <v>0</v>
      </c>
      <c r="AF387" s="4">
        <v>0</v>
      </c>
      <c r="AG387" t="s">
        <v>462</v>
      </c>
      <c r="AH387">
        <v>0</v>
      </c>
      <c r="AI387">
        <v>0</v>
      </c>
      <c r="AJ387" s="2" t="s">
        <v>463</v>
      </c>
      <c r="AK387" s="2">
        <v>0</v>
      </c>
      <c r="AL387">
        <v>0</v>
      </c>
      <c r="AM387">
        <v>0</v>
      </c>
      <c r="AN387">
        <v>0</v>
      </c>
      <c r="AO387">
        <v>0</v>
      </c>
      <c r="AP387">
        <v>3825</v>
      </c>
      <c r="AQ387">
        <v>3825</v>
      </c>
      <c r="AR387">
        <v>37425</v>
      </c>
      <c r="AS387">
        <v>0</v>
      </c>
      <c r="AT387">
        <v>0</v>
      </c>
      <c r="AU387">
        <v>39625</v>
      </c>
      <c r="AV387">
        <v>64620025</v>
      </c>
      <c r="AW387">
        <v>0</v>
      </c>
      <c r="AX387" s="5">
        <v>45709</v>
      </c>
      <c r="AY387" t="s">
        <v>356</v>
      </c>
      <c r="AZ387" t="s">
        <v>3493</v>
      </c>
      <c r="BA387" t="s">
        <v>3482</v>
      </c>
    </row>
    <row r="388" spans="1:53" ht="15" customHeight="1" x14ac:dyDescent="0.2">
      <c r="A388" t="s">
        <v>5235</v>
      </c>
      <c r="B388" t="s">
        <v>4452</v>
      </c>
      <c r="C388" t="s">
        <v>4917</v>
      </c>
      <c r="D388">
        <v>64620125</v>
      </c>
      <c r="E388" s="5">
        <v>45726</v>
      </c>
      <c r="F388" s="5">
        <v>45728.085416666669</v>
      </c>
      <c r="G388" s="4" t="s">
        <v>460</v>
      </c>
      <c r="H388" s="49">
        <v>1839804</v>
      </c>
      <c r="I388" s="49">
        <v>8604</v>
      </c>
      <c r="J388" s="50">
        <v>1831200</v>
      </c>
      <c r="K388" t="s">
        <v>2615</v>
      </c>
      <c r="L388" s="4" t="s">
        <v>461</v>
      </c>
      <c r="M388" t="s">
        <v>351</v>
      </c>
      <c r="N388" s="2">
        <v>1032488155</v>
      </c>
      <c r="O388" t="s">
        <v>3495</v>
      </c>
      <c r="P388" t="s">
        <v>316</v>
      </c>
      <c r="Q388" t="s">
        <v>317</v>
      </c>
      <c r="R388">
        <v>91235423117</v>
      </c>
      <c r="S388" t="s">
        <v>319</v>
      </c>
      <c r="T388">
        <v>890903938</v>
      </c>
      <c r="U388" t="s">
        <v>342</v>
      </c>
      <c r="V388">
        <v>923245</v>
      </c>
      <c r="W388" t="s">
        <v>180</v>
      </c>
      <c r="X388" s="2" t="s">
        <v>29</v>
      </c>
      <c r="Y388" t="s">
        <v>30</v>
      </c>
      <c r="Z388" t="s">
        <v>31</v>
      </c>
      <c r="AA388" t="s">
        <v>32</v>
      </c>
      <c r="AB388" t="s">
        <v>33</v>
      </c>
      <c r="AC388" s="51">
        <v>1839804</v>
      </c>
      <c r="AD388">
        <v>0</v>
      </c>
      <c r="AE388" s="4">
        <v>0</v>
      </c>
      <c r="AF388" s="4">
        <v>0</v>
      </c>
      <c r="AG388" t="s">
        <v>462</v>
      </c>
      <c r="AH388">
        <v>0</v>
      </c>
      <c r="AI388">
        <v>0</v>
      </c>
      <c r="AJ388" s="2" t="s">
        <v>463</v>
      </c>
      <c r="AK388" s="2">
        <v>0</v>
      </c>
      <c r="AL388">
        <v>0</v>
      </c>
      <c r="AM388">
        <v>0</v>
      </c>
      <c r="AN388">
        <v>0</v>
      </c>
      <c r="AO388">
        <v>0</v>
      </c>
      <c r="AP388">
        <v>3825</v>
      </c>
      <c r="AQ388">
        <v>3825</v>
      </c>
      <c r="AR388">
        <v>37525</v>
      </c>
      <c r="AS388">
        <v>0</v>
      </c>
      <c r="AT388">
        <v>0</v>
      </c>
      <c r="AU388">
        <v>39725</v>
      </c>
      <c r="AV388">
        <v>64620125</v>
      </c>
      <c r="AW388">
        <v>0</v>
      </c>
      <c r="AX388" s="5">
        <v>45709</v>
      </c>
      <c r="AY388" t="s">
        <v>356</v>
      </c>
      <c r="AZ388" t="s">
        <v>3498</v>
      </c>
      <c r="BA388" t="s">
        <v>748</v>
      </c>
    </row>
    <row r="389" spans="1:53" ht="15" customHeight="1" x14ac:dyDescent="0.2">
      <c r="A389" t="s">
        <v>5236</v>
      </c>
      <c r="B389" t="s">
        <v>4453</v>
      </c>
      <c r="C389" t="s">
        <v>4917</v>
      </c>
      <c r="D389">
        <v>64620225</v>
      </c>
      <c r="E389" s="5">
        <v>45726</v>
      </c>
      <c r="F389" s="5">
        <v>45728.093055555553</v>
      </c>
      <c r="G389" s="4" t="s">
        <v>460</v>
      </c>
      <c r="H389" s="49">
        <v>1839804</v>
      </c>
      <c r="I389" s="49">
        <v>8604</v>
      </c>
      <c r="J389" s="50">
        <v>1831200</v>
      </c>
      <c r="K389" t="s">
        <v>2615</v>
      </c>
      <c r="L389" s="4" t="s">
        <v>461</v>
      </c>
      <c r="M389" t="s">
        <v>351</v>
      </c>
      <c r="N389" s="2">
        <v>1073694768</v>
      </c>
      <c r="O389" t="s">
        <v>3500</v>
      </c>
      <c r="P389" t="s">
        <v>316</v>
      </c>
      <c r="Q389" t="s">
        <v>317</v>
      </c>
      <c r="R389">
        <v>85432995</v>
      </c>
      <c r="S389" t="s">
        <v>319</v>
      </c>
      <c r="T389">
        <v>860003020</v>
      </c>
      <c r="U389" t="s">
        <v>393</v>
      </c>
      <c r="V389">
        <v>923245</v>
      </c>
      <c r="W389" t="s">
        <v>180</v>
      </c>
      <c r="X389" s="2" t="s">
        <v>29</v>
      </c>
      <c r="Y389" t="s">
        <v>30</v>
      </c>
      <c r="Z389" t="s">
        <v>31</v>
      </c>
      <c r="AA389" t="s">
        <v>32</v>
      </c>
      <c r="AB389" t="s">
        <v>33</v>
      </c>
      <c r="AC389" s="51">
        <v>1839804</v>
      </c>
      <c r="AD389">
        <v>0</v>
      </c>
      <c r="AE389" s="4">
        <v>0</v>
      </c>
      <c r="AF389" s="4">
        <v>0</v>
      </c>
      <c r="AG389" t="s">
        <v>462</v>
      </c>
      <c r="AH389">
        <v>0</v>
      </c>
      <c r="AI389">
        <v>0</v>
      </c>
      <c r="AJ389" s="2" t="s">
        <v>463</v>
      </c>
      <c r="AK389" s="2">
        <v>0</v>
      </c>
      <c r="AL389">
        <v>0</v>
      </c>
      <c r="AM389">
        <v>0</v>
      </c>
      <c r="AN389">
        <v>0</v>
      </c>
      <c r="AO389">
        <v>0</v>
      </c>
      <c r="AP389">
        <v>3825</v>
      </c>
      <c r="AQ389">
        <v>3825</v>
      </c>
      <c r="AR389">
        <v>37625</v>
      </c>
      <c r="AS389">
        <v>0</v>
      </c>
      <c r="AT389">
        <v>0</v>
      </c>
      <c r="AU389">
        <v>39825</v>
      </c>
      <c r="AV389">
        <v>64620225</v>
      </c>
      <c r="AW389">
        <v>0</v>
      </c>
      <c r="AX389" s="5">
        <v>45709</v>
      </c>
      <c r="AY389" t="s">
        <v>356</v>
      </c>
      <c r="AZ389" t="s">
        <v>3503</v>
      </c>
      <c r="BA389" t="s">
        <v>3482</v>
      </c>
    </row>
    <row r="390" spans="1:53" ht="15" customHeight="1" x14ac:dyDescent="0.2">
      <c r="A390" t="s">
        <v>5237</v>
      </c>
      <c r="B390" t="s">
        <v>4454</v>
      </c>
      <c r="C390" t="s">
        <v>4892</v>
      </c>
      <c r="D390">
        <v>64620325</v>
      </c>
      <c r="E390" s="5">
        <v>45726</v>
      </c>
      <c r="F390" s="5">
        <v>45728.095138888886</v>
      </c>
      <c r="G390" s="4" t="s">
        <v>460</v>
      </c>
      <c r="H390" s="49">
        <v>1839804</v>
      </c>
      <c r="I390" s="49">
        <v>8604</v>
      </c>
      <c r="J390" s="50">
        <v>1831200</v>
      </c>
      <c r="K390" t="s">
        <v>2615</v>
      </c>
      <c r="L390" s="4" t="s">
        <v>461</v>
      </c>
      <c r="M390" t="s">
        <v>351</v>
      </c>
      <c r="N390" s="2">
        <v>52229277</v>
      </c>
      <c r="O390" t="s">
        <v>3506</v>
      </c>
      <c r="P390" t="s">
        <v>316</v>
      </c>
      <c r="Q390" t="s">
        <v>317</v>
      </c>
      <c r="R390">
        <v>24130892269</v>
      </c>
      <c r="S390" t="s">
        <v>319</v>
      </c>
      <c r="T390">
        <v>860007335</v>
      </c>
      <c r="U390" t="s">
        <v>381</v>
      </c>
      <c r="V390">
        <v>923211</v>
      </c>
      <c r="W390" t="s">
        <v>69</v>
      </c>
      <c r="X390" s="2" t="s">
        <v>29</v>
      </c>
      <c r="Y390" t="s">
        <v>30</v>
      </c>
      <c r="Z390" t="s">
        <v>31</v>
      </c>
      <c r="AA390" t="s">
        <v>32</v>
      </c>
      <c r="AB390" t="s">
        <v>33</v>
      </c>
      <c r="AC390" s="51">
        <v>1839804</v>
      </c>
      <c r="AD390">
        <v>0</v>
      </c>
      <c r="AE390" s="4">
        <v>0</v>
      </c>
      <c r="AF390" s="4">
        <v>0</v>
      </c>
      <c r="AG390" t="s">
        <v>462</v>
      </c>
      <c r="AH390">
        <v>0</v>
      </c>
      <c r="AI390">
        <v>0</v>
      </c>
      <c r="AJ390" s="2" t="s">
        <v>463</v>
      </c>
      <c r="AK390" s="2">
        <v>0</v>
      </c>
      <c r="AL390">
        <v>0</v>
      </c>
      <c r="AM390">
        <v>0</v>
      </c>
      <c r="AN390">
        <v>0</v>
      </c>
      <c r="AO390">
        <v>0</v>
      </c>
      <c r="AP390">
        <v>2125</v>
      </c>
      <c r="AQ390">
        <v>2125</v>
      </c>
      <c r="AR390">
        <v>37725</v>
      </c>
      <c r="AS390">
        <v>0</v>
      </c>
      <c r="AT390">
        <v>0</v>
      </c>
      <c r="AU390">
        <v>39925</v>
      </c>
      <c r="AV390">
        <v>64620325</v>
      </c>
      <c r="AW390">
        <v>0</v>
      </c>
      <c r="AX390" s="5">
        <v>45709</v>
      </c>
      <c r="AY390" t="s">
        <v>356</v>
      </c>
      <c r="AZ390" t="s">
        <v>3509</v>
      </c>
      <c r="BA390" t="s">
        <v>3343</v>
      </c>
    </row>
    <row r="391" spans="1:53" ht="15" customHeight="1" x14ac:dyDescent="0.2">
      <c r="A391" t="s">
        <v>5238</v>
      </c>
      <c r="B391" t="s">
        <v>4455</v>
      </c>
      <c r="C391" t="s">
        <v>4877</v>
      </c>
      <c r="D391">
        <v>64620425</v>
      </c>
      <c r="E391" s="5">
        <v>45726</v>
      </c>
      <c r="F391" s="5">
        <v>45728.086111111108</v>
      </c>
      <c r="G391" s="4" t="s">
        <v>460</v>
      </c>
      <c r="H391" s="49">
        <v>1686487</v>
      </c>
      <c r="I391" s="49">
        <v>7684</v>
      </c>
      <c r="J391" s="50">
        <v>1678803</v>
      </c>
      <c r="K391" t="s">
        <v>2615</v>
      </c>
      <c r="L391" s="4" t="s">
        <v>461</v>
      </c>
      <c r="M391" t="s">
        <v>351</v>
      </c>
      <c r="N391" s="2">
        <v>1024480867</v>
      </c>
      <c r="O391" t="s">
        <v>3512</v>
      </c>
      <c r="P391" t="s">
        <v>316</v>
      </c>
      <c r="Q391" t="s">
        <v>317</v>
      </c>
      <c r="R391">
        <v>22181553085</v>
      </c>
      <c r="S391" t="s">
        <v>319</v>
      </c>
      <c r="T391">
        <v>890903938</v>
      </c>
      <c r="U391" t="s">
        <v>342</v>
      </c>
      <c r="V391">
        <v>923238</v>
      </c>
      <c r="W391" t="s">
        <v>569</v>
      </c>
      <c r="X391" s="2" t="s">
        <v>29</v>
      </c>
      <c r="Y391" t="s">
        <v>30</v>
      </c>
      <c r="Z391" t="s">
        <v>31</v>
      </c>
      <c r="AA391" t="s">
        <v>32</v>
      </c>
      <c r="AB391" t="s">
        <v>33</v>
      </c>
      <c r="AC391" s="51">
        <v>1686487</v>
      </c>
      <c r="AD391">
        <v>0</v>
      </c>
      <c r="AE391" s="4">
        <v>0</v>
      </c>
      <c r="AF391" s="4">
        <v>0</v>
      </c>
      <c r="AG391" t="s">
        <v>462</v>
      </c>
      <c r="AH391">
        <v>0</v>
      </c>
      <c r="AI391">
        <v>0</v>
      </c>
      <c r="AJ391" s="2" t="s">
        <v>463</v>
      </c>
      <c r="AK391" s="2">
        <v>0</v>
      </c>
      <c r="AL391">
        <v>0</v>
      </c>
      <c r="AM391">
        <v>0</v>
      </c>
      <c r="AN391">
        <v>0</v>
      </c>
      <c r="AO391">
        <v>0</v>
      </c>
      <c r="AP391">
        <v>125</v>
      </c>
      <c r="AQ391">
        <v>125</v>
      </c>
      <c r="AR391">
        <v>37825</v>
      </c>
      <c r="AS391">
        <v>0</v>
      </c>
      <c r="AT391">
        <v>0</v>
      </c>
      <c r="AU391">
        <v>40025</v>
      </c>
      <c r="AV391">
        <v>64620425</v>
      </c>
      <c r="AW391">
        <v>0</v>
      </c>
      <c r="AX391" s="5">
        <v>45709</v>
      </c>
      <c r="AY391" t="s">
        <v>356</v>
      </c>
      <c r="AZ391" t="s">
        <v>3516</v>
      </c>
      <c r="BA391" t="s">
        <v>742</v>
      </c>
    </row>
    <row r="392" spans="1:53" ht="15" customHeight="1" x14ac:dyDescent="0.2">
      <c r="A392" t="s">
        <v>5239</v>
      </c>
      <c r="B392" t="s">
        <v>4456</v>
      </c>
      <c r="C392" t="s">
        <v>4859</v>
      </c>
      <c r="D392">
        <v>64620525</v>
      </c>
      <c r="E392" s="5">
        <v>45726</v>
      </c>
      <c r="F392" s="5">
        <v>45728.112500000003</v>
      </c>
      <c r="G392" s="4" t="s">
        <v>460</v>
      </c>
      <c r="H392" s="49">
        <v>944167</v>
      </c>
      <c r="I392" s="49">
        <v>4041</v>
      </c>
      <c r="J392" s="50">
        <v>940126</v>
      </c>
      <c r="K392" t="s">
        <v>2615</v>
      </c>
      <c r="L392" s="4" t="s">
        <v>461</v>
      </c>
      <c r="M392" t="s">
        <v>351</v>
      </c>
      <c r="N392" s="2">
        <v>1012341213</v>
      </c>
      <c r="O392" t="s">
        <v>3519</v>
      </c>
      <c r="P392" t="s">
        <v>316</v>
      </c>
      <c r="Q392" t="s">
        <v>317</v>
      </c>
      <c r="R392">
        <v>693002710</v>
      </c>
      <c r="S392" t="s">
        <v>319</v>
      </c>
      <c r="T392">
        <v>860003020</v>
      </c>
      <c r="U392" t="s">
        <v>393</v>
      </c>
      <c r="V392">
        <v>923210</v>
      </c>
      <c r="W392" t="s">
        <v>56</v>
      </c>
      <c r="X392" s="2" t="s">
        <v>29</v>
      </c>
      <c r="Y392" t="s">
        <v>30</v>
      </c>
      <c r="Z392" t="s">
        <v>31</v>
      </c>
      <c r="AA392" t="s">
        <v>32</v>
      </c>
      <c r="AB392" t="s">
        <v>33</v>
      </c>
      <c r="AC392" s="51">
        <v>944167</v>
      </c>
      <c r="AD392">
        <v>0</v>
      </c>
      <c r="AE392" s="4">
        <v>0</v>
      </c>
      <c r="AF392" s="4">
        <v>0</v>
      </c>
      <c r="AG392" t="s">
        <v>462</v>
      </c>
      <c r="AH392">
        <v>0</v>
      </c>
      <c r="AI392">
        <v>0</v>
      </c>
      <c r="AJ392" s="2" t="s">
        <v>463</v>
      </c>
      <c r="AK392" s="2">
        <v>0</v>
      </c>
      <c r="AL392">
        <v>0</v>
      </c>
      <c r="AM392">
        <v>0</v>
      </c>
      <c r="AN392">
        <v>0</v>
      </c>
      <c r="AO392">
        <v>0</v>
      </c>
      <c r="AP392">
        <v>1925</v>
      </c>
      <c r="AQ392">
        <v>1925</v>
      </c>
      <c r="AR392">
        <v>37925</v>
      </c>
      <c r="AS392">
        <v>0</v>
      </c>
      <c r="AT392">
        <v>0</v>
      </c>
      <c r="AU392">
        <v>40125</v>
      </c>
      <c r="AV392">
        <v>64620525</v>
      </c>
      <c r="AW392">
        <v>0</v>
      </c>
      <c r="AX392" s="5">
        <v>45709</v>
      </c>
      <c r="AY392" t="s">
        <v>356</v>
      </c>
      <c r="AZ392" t="s">
        <v>3523</v>
      </c>
      <c r="BA392" t="s">
        <v>3524</v>
      </c>
    </row>
    <row r="393" spans="1:53" ht="15" customHeight="1" x14ac:dyDescent="0.2">
      <c r="A393" t="s">
        <v>5240</v>
      </c>
      <c r="B393" t="s">
        <v>4457</v>
      </c>
      <c r="C393" t="s">
        <v>4892</v>
      </c>
      <c r="D393">
        <v>64620625</v>
      </c>
      <c r="E393" s="5">
        <v>45726</v>
      </c>
      <c r="F393" s="5">
        <v>45728.09097222222</v>
      </c>
      <c r="G393" s="4" t="s">
        <v>460</v>
      </c>
      <c r="H393" s="49">
        <v>1533170</v>
      </c>
      <c r="I393" s="49">
        <v>6764</v>
      </c>
      <c r="J393" s="50">
        <v>1526406</v>
      </c>
      <c r="K393" t="s">
        <v>2615</v>
      </c>
      <c r="L393" s="4" t="s">
        <v>461</v>
      </c>
      <c r="M393" t="s">
        <v>351</v>
      </c>
      <c r="N393" s="2">
        <v>1022393720</v>
      </c>
      <c r="O393" t="s">
        <v>3527</v>
      </c>
      <c r="P393" t="s">
        <v>316</v>
      </c>
      <c r="Q393" t="s">
        <v>317</v>
      </c>
      <c r="R393">
        <v>22118738385</v>
      </c>
      <c r="S393" t="s">
        <v>319</v>
      </c>
      <c r="T393">
        <v>890903938</v>
      </c>
      <c r="U393" t="s">
        <v>342</v>
      </c>
      <c r="V393">
        <v>923211</v>
      </c>
      <c r="W393" t="s">
        <v>69</v>
      </c>
      <c r="X393" s="2" t="s">
        <v>29</v>
      </c>
      <c r="Y393" t="s">
        <v>30</v>
      </c>
      <c r="Z393" t="s">
        <v>31</v>
      </c>
      <c r="AA393" t="s">
        <v>32</v>
      </c>
      <c r="AB393" t="s">
        <v>33</v>
      </c>
      <c r="AC393" s="51">
        <v>1533170</v>
      </c>
      <c r="AD393">
        <v>0</v>
      </c>
      <c r="AE393" s="4">
        <v>0</v>
      </c>
      <c r="AF393" s="4">
        <v>0</v>
      </c>
      <c r="AG393" t="s">
        <v>462</v>
      </c>
      <c r="AH393">
        <v>0</v>
      </c>
      <c r="AI393">
        <v>0</v>
      </c>
      <c r="AJ393" s="2" t="s">
        <v>463</v>
      </c>
      <c r="AK393" s="2">
        <v>0</v>
      </c>
      <c r="AL393">
        <v>0</v>
      </c>
      <c r="AM393">
        <v>0</v>
      </c>
      <c r="AN393">
        <v>0</v>
      </c>
      <c r="AO393">
        <v>0</v>
      </c>
      <c r="AP393">
        <v>2125</v>
      </c>
      <c r="AQ393">
        <v>2125</v>
      </c>
      <c r="AR393">
        <v>38025</v>
      </c>
      <c r="AS393">
        <v>0</v>
      </c>
      <c r="AT393">
        <v>0</v>
      </c>
      <c r="AU393">
        <v>40225</v>
      </c>
      <c r="AV393">
        <v>64620625</v>
      </c>
      <c r="AW393">
        <v>0</v>
      </c>
      <c r="AX393" s="5">
        <v>45709</v>
      </c>
      <c r="AY393" t="s">
        <v>356</v>
      </c>
      <c r="AZ393" t="s">
        <v>3531</v>
      </c>
      <c r="BA393" t="s">
        <v>1532</v>
      </c>
    </row>
    <row r="394" spans="1:53" ht="15" customHeight="1" x14ac:dyDescent="0.2">
      <c r="A394" t="s">
        <v>5241</v>
      </c>
      <c r="B394" t="s">
        <v>2308</v>
      </c>
      <c r="C394" t="s">
        <v>4917</v>
      </c>
      <c r="D394">
        <v>66430925</v>
      </c>
      <c r="E394" s="5">
        <v>45727</v>
      </c>
      <c r="F394" s="5">
        <v>45729.131944444445</v>
      </c>
      <c r="G394" s="4" t="s">
        <v>460</v>
      </c>
      <c r="H394" s="49">
        <v>1993121</v>
      </c>
      <c r="I394" s="49">
        <v>9524</v>
      </c>
      <c r="J394" s="50">
        <v>1983597</v>
      </c>
      <c r="K394" t="s">
        <v>2615</v>
      </c>
      <c r="L394" s="4" t="s">
        <v>461</v>
      </c>
      <c r="M394" t="s">
        <v>351</v>
      </c>
      <c r="N394" s="2">
        <v>52854030</v>
      </c>
      <c r="O394" t="s">
        <v>973</v>
      </c>
      <c r="P394" t="s">
        <v>316</v>
      </c>
      <c r="Q394" t="s">
        <v>317</v>
      </c>
      <c r="R394">
        <v>24514006868</v>
      </c>
      <c r="S394" t="s">
        <v>319</v>
      </c>
      <c r="T394">
        <v>860007335</v>
      </c>
      <c r="U394" t="s">
        <v>381</v>
      </c>
      <c r="V394">
        <v>923245</v>
      </c>
      <c r="W394" t="s">
        <v>180</v>
      </c>
      <c r="X394" s="2" t="s">
        <v>29</v>
      </c>
      <c r="Y394" t="s">
        <v>30</v>
      </c>
      <c r="Z394" t="s">
        <v>31</v>
      </c>
      <c r="AA394" t="s">
        <v>32</v>
      </c>
      <c r="AB394" t="s">
        <v>33</v>
      </c>
      <c r="AC394" s="51">
        <v>1993121</v>
      </c>
      <c r="AD394">
        <v>0</v>
      </c>
      <c r="AE394" s="4">
        <v>0</v>
      </c>
      <c r="AF394" s="4">
        <v>0</v>
      </c>
      <c r="AG394" t="s">
        <v>462</v>
      </c>
      <c r="AH394">
        <v>0</v>
      </c>
      <c r="AI394">
        <v>0</v>
      </c>
      <c r="AJ394" s="2" t="s">
        <v>463</v>
      </c>
      <c r="AK394" s="2">
        <v>0</v>
      </c>
      <c r="AL394">
        <v>0</v>
      </c>
      <c r="AM394">
        <v>0</v>
      </c>
      <c r="AN394">
        <v>0</v>
      </c>
      <c r="AO394">
        <v>0</v>
      </c>
      <c r="AP394">
        <v>3825</v>
      </c>
      <c r="AQ394">
        <v>3825</v>
      </c>
      <c r="AR394">
        <v>9825</v>
      </c>
      <c r="AS394">
        <v>0</v>
      </c>
      <c r="AT394">
        <v>0</v>
      </c>
      <c r="AU394">
        <v>40325</v>
      </c>
      <c r="AV394">
        <v>66430925</v>
      </c>
      <c r="AW394">
        <v>0</v>
      </c>
      <c r="AX394" s="5">
        <v>45693</v>
      </c>
      <c r="AY394" t="s">
        <v>356</v>
      </c>
      <c r="AZ394" t="s">
        <v>976</v>
      </c>
      <c r="BA394" t="s">
        <v>748</v>
      </c>
    </row>
    <row r="395" spans="1:53" ht="15" customHeight="1" x14ac:dyDescent="0.2">
      <c r="A395" t="s">
        <v>5242</v>
      </c>
      <c r="B395" t="s">
        <v>2404</v>
      </c>
      <c r="C395" t="s">
        <v>4917</v>
      </c>
      <c r="D395">
        <v>66431025</v>
      </c>
      <c r="E395" s="5">
        <v>45727</v>
      </c>
      <c r="F395" s="5">
        <v>45729.101388888892</v>
      </c>
      <c r="G395" s="4" t="s">
        <v>460</v>
      </c>
      <c r="H395" s="49">
        <v>3219658</v>
      </c>
      <c r="I395" s="49">
        <v>16883</v>
      </c>
      <c r="J395" s="50">
        <v>3202775</v>
      </c>
      <c r="K395" t="s">
        <v>2615</v>
      </c>
      <c r="L395" s="4" t="s">
        <v>461</v>
      </c>
      <c r="M395" t="s">
        <v>351</v>
      </c>
      <c r="N395" s="2">
        <v>79443231</v>
      </c>
      <c r="O395" t="s">
        <v>1454</v>
      </c>
      <c r="P395" t="s">
        <v>316</v>
      </c>
      <c r="Q395" t="s">
        <v>328</v>
      </c>
      <c r="R395">
        <v>81425894</v>
      </c>
      <c r="S395" t="s">
        <v>319</v>
      </c>
      <c r="T395">
        <v>860002964</v>
      </c>
      <c r="U395" t="s">
        <v>419</v>
      </c>
      <c r="V395">
        <v>923245</v>
      </c>
      <c r="W395" t="s">
        <v>180</v>
      </c>
      <c r="X395" s="2" t="s">
        <v>29</v>
      </c>
      <c r="Y395" t="s">
        <v>30</v>
      </c>
      <c r="Z395" t="s">
        <v>31</v>
      </c>
      <c r="AA395" t="s">
        <v>32</v>
      </c>
      <c r="AB395" t="s">
        <v>33</v>
      </c>
      <c r="AC395" s="51">
        <v>3219658</v>
      </c>
      <c r="AD395">
        <v>0</v>
      </c>
      <c r="AE395" s="4">
        <v>0</v>
      </c>
      <c r="AF395" s="4">
        <v>0</v>
      </c>
      <c r="AG395" t="s">
        <v>462</v>
      </c>
      <c r="AH395">
        <v>0</v>
      </c>
      <c r="AI395">
        <v>0</v>
      </c>
      <c r="AJ395" s="2" t="s">
        <v>463</v>
      </c>
      <c r="AK395" s="2">
        <v>0</v>
      </c>
      <c r="AL395">
        <v>0</v>
      </c>
      <c r="AM395">
        <v>0</v>
      </c>
      <c r="AN395">
        <v>0</v>
      </c>
      <c r="AO395">
        <v>0</v>
      </c>
      <c r="AP395">
        <v>3825</v>
      </c>
      <c r="AQ395">
        <v>3825</v>
      </c>
      <c r="AR395">
        <v>19625</v>
      </c>
      <c r="AS395">
        <v>0</v>
      </c>
      <c r="AT395">
        <v>0</v>
      </c>
      <c r="AU395">
        <v>40425</v>
      </c>
      <c r="AV395">
        <v>66431025</v>
      </c>
      <c r="AW395">
        <v>0</v>
      </c>
      <c r="AX395" s="5">
        <v>45696</v>
      </c>
      <c r="AY395" t="s">
        <v>356</v>
      </c>
      <c r="AZ395" t="s">
        <v>1457</v>
      </c>
      <c r="BA395" t="s">
        <v>1453</v>
      </c>
    </row>
    <row r="396" spans="1:53" ht="15" customHeight="1" x14ac:dyDescent="0.2">
      <c r="A396" t="s">
        <v>5243</v>
      </c>
      <c r="B396" t="s">
        <v>2416</v>
      </c>
      <c r="C396" t="s">
        <v>4917</v>
      </c>
      <c r="D396">
        <v>66431225</v>
      </c>
      <c r="E396" s="5">
        <v>45727</v>
      </c>
      <c r="F396" s="5">
        <v>45729.116666666669</v>
      </c>
      <c r="G396" s="4" t="s">
        <v>460</v>
      </c>
      <c r="H396" s="49">
        <v>3219658</v>
      </c>
      <c r="I396" s="49">
        <v>16883</v>
      </c>
      <c r="J396" s="50">
        <v>3202775</v>
      </c>
      <c r="K396" t="s">
        <v>2615</v>
      </c>
      <c r="L396" s="4" t="s">
        <v>461</v>
      </c>
      <c r="M396" t="s">
        <v>351</v>
      </c>
      <c r="N396" s="2">
        <v>79054553</v>
      </c>
      <c r="O396" t="s">
        <v>1513</v>
      </c>
      <c r="P396" t="s">
        <v>316</v>
      </c>
      <c r="Q396" t="s">
        <v>317</v>
      </c>
      <c r="R396">
        <v>550002300183437</v>
      </c>
      <c r="S396" t="s">
        <v>319</v>
      </c>
      <c r="T396">
        <v>860034313</v>
      </c>
      <c r="U396" t="s">
        <v>355</v>
      </c>
      <c r="V396">
        <v>923245</v>
      </c>
      <c r="W396" t="s">
        <v>180</v>
      </c>
      <c r="X396" s="2" t="s">
        <v>29</v>
      </c>
      <c r="Y396" t="s">
        <v>30</v>
      </c>
      <c r="Z396" t="s">
        <v>31</v>
      </c>
      <c r="AA396" t="s">
        <v>32</v>
      </c>
      <c r="AB396" t="s">
        <v>33</v>
      </c>
      <c r="AC396" s="51">
        <v>3219658</v>
      </c>
      <c r="AD396">
        <v>0</v>
      </c>
      <c r="AE396" s="4">
        <v>0</v>
      </c>
      <c r="AF396" s="4">
        <v>0</v>
      </c>
      <c r="AG396" t="s">
        <v>462</v>
      </c>
      <c r="AH396">
        <v>0</v>
      </c>
      <c r="AI396">
        <v>0</v>
      </c>
      <c r="AJ396" s="2" t="s">
        <v>463</v>
      </c>
      <c r="AK396" s="2">
        <v>0</v>
      </c>
      <c r="AL396">
        <v>0</v>
      </c>
      <c r="AM396">
        <v>0</v>
      </c>
      <c r="AN396">
        <v>0</v>
      </c>
      <c r="AO396">
        <v>0</v>
      </c>
      <c r="AP396">
        <v>3825</v>
      </c>
      <c r="AQ396">
        <v>3825</v>
      </c>
      <c r="AR396">
        <v>20825</v>
      </c>
      <c r="AS396">
        <v>0</v>
      </c>
      <c r="AT396">
        <v>0</v>
      </c>
      <c r="AU396">
        <v>40525</v>
      </c>
      <c r="AV396">
        <v>66431225</v>
      </c>
      <c r="AW396">
        <v>0</v>
      </c>
      <c r="AX396" s="5">
        <v>45696</v>
      </c>
      <c r="AY396" t="s">
        <v>356</v>
      </c>
      <c r="AZ396" t="s">
        <v>1516</v>
      </c>
      <c r="BA396" t="s">
        <v>1332</v>
      </c>
    </row>
    <row r="397" spans="1:53" ht="15" customHeight="1" x14ac:dyDescent="0.2">
      <c r="A397" t="s">
        <v>5244</v>
      </c>
      <c r="B397" t="s">
        <v>2461</v>
      </c>
      <c r="C397" t="s">
        <v>4877</v>
      </c>
      <c r="D397">
        <v>66431325</v>
      </c>
      <c r="E397" s="5">
        <v>45727</v>
      </c>
      <c r="F397" s="5">
        <v>45729.116666666669</v>
      </c>
      <c r="G397" s="4" t="s">
        <v>460</v>
      </c>
      <c r="H397" s="49">
        <v>3219658</v>
      </c>
      <c r="I397" s="49">
        <v>16883</v>
      </c>
      <c r="J397" s="50">
        <v>3202775</v>
      </c>
      <c r="K397" t="s">
        <v>2615</v>
      </c>
      <c r="L397" s="4" t="s">
        <v>461</v>
      </c>
      <c r="M397" t="s">
        <v>351</v>
      </c>
      <c r="N397" s="2">
        <v>80002216</v>
      </c>
      <c r="O397" t="s">
        <v>1735</v>
      </c>
      <c r="P397" t="s">
        <v>316</v>
      </c>
      <c r="Q397" t="s">
        <v>317</v>
      </c>
      <c r="R397">
        <v>7770234735</v>
      </c>
      <c r="S397" t="s">
        <v>319</v>
      </c>
      <c r="T397">
        <v>860034313</v>
      </c>
      <c r="U397" t="s">
        <v>355</v>
      </c>
      <c r="V397">
        <v>923238</v>
      </c>
      <c r="W397" t="s">
        <v>569</v>
      </c>
      <c r="X397" s="2" t="s">
        <v>29</v>
      </c>
      <c r="Y397" t="s">
        <v>30</v>
      </c>
      <c r="Z397" t="s">
        <v>31</v>
      </c>
      <c r="AA397" t="s">
        <v>32</v>
      </c>
      <c r="AB397" t="s">
        <v>33</v>
      </c>
      <c r="AC397" s="51">
        <v>3219658</v>
      </c>
      <c r="AD397">
        <v>0</v>
      </c>
      <c r="AE397" s="4">
        <v>0</v>
      </c>
      <c r="AF397" s="4">
        <v>0</v>
      </c>
      <c r="AG397" t="s">
        <v>462</v>
      </c>
      <c r="AH397">
        <v>0</v>
      </c>
      <c r="AI397">
        <v>0</v>
      </c>
      <c r="AJ397" s="2" t="s">
        <v>463</v>
      </c>
      <c r="AK397" s="2">
        <v>0</v>
      </c>
      <c r="AL397">
        <v>0</v>
      </c>
      <c r="AM397">
        <v>0</v>
      </c>
      <c r="AN397">
        <v>0</v>
      </c>
      <c r="AO397">
        <v>0</v>
      </c>
      <c r="AP397">
        <v>125</v>
      </c>
      <c r="AQ397">
        <v>125</v>
      </c>
      <c r="AR397">
        <v>25325</v>
      </c>
      <c r="AS397">
        <v>0</v>
      </c>
      <c r="AT397">
        <v>0</v>
      </c>
      <c r="AU397">
        <v>40625</v>
      </c>
      <c r="AV397">
        <v>66431325</v>
      </c>
      <c r="AW397">
        <v>0</v>
      </c>
      <c r="AX397" s="5">
        <v>45697</v>
      </c>
      <c r="AY397" t="s">
        <v>356</v>
      </c>
      <c r="AZ397" t="s">
        <v>1738</v>
      </c>
      <c r="BA397" t="s">
        <v>742</v>
      </c>
    </row>
    <row r="398" spans="1:53" ht="15" customHeight="1" x14ac:dyDescent="0.2">
      <c r="A398" t="s">
        <v>5245</v>
      </c>
      <c r="B398" t="s">
        <v>2462</v>
      </c>
      <c r="C398" t="s">
        <v>4877</v>
      </c>
      <c r="D398">
        <v>66431425</v>
      </c>
      <c r="E398" s="5">
        <v>45727</v>
      </c>
      <c r="F398" s="5">
        <v>45729.113194444442</v>
      </c>
      <c r="G398" s="4" t="s">
        <v>460</v>
      </c>
      <c r="H398" s="49">
        <v>3219658</v>
      </c>
      <c r="I398" s="49">
        <v>16883</v>
      </c>
      <c r="J398" s="50">
        <v>3202775</v>
      </c>
      <c r="K398" t="s">
        <v>2615</v>
      </c>
      <c r="L398" s="4" t="s">
        <v>461</v>
      </c>
      <c r="M398" t="s">
        <v>351</v>
      </c>
      <c r="N398" s="2">
        <v>79977580</v>
      </c>
      <c r="O398" t="s">
        <v>1740</v>
      </c>
      <c r="P398" t="s">
        <v>316</v>
      </c>
      <c r="Q398" t="s">
        <v>317</v>
      </c>
      <c r="R398">
        <v>24043558014</v>
      </c>
      <c r="S398" t="s">
        <v>319</v>
      </c>
      <c r="T398">
        <v>860007335</v>
      </c>
      <c r="U398" t="s">
        <v>381</v>
      </c>
      <c r="V398">
        <v>923238</v>
      </c>
      <c r="W398" t="s">
        <v>569</v>
      </c>
      <c r="X398" s="2" t="s">
        <v>29</v>
      </c>
      <c r="Y398" t="s">
        <v>30</v>
      </c>
      <c r="Z398" t="s">
        <v>31</v>
      </c>
      <c r="AA398" t="s">
        <v>32</v>
      </c>
      <c r="AB398" t="s">
        <v>33</v>
      </c>
      <c r="AC398" s="51">
        <v>3219658</v>
      </c>
      <c r="AD398">
        <v>0</v>
      </c>
      <c r="AE398" s="4">
        <v>0</v>
      </c>
      <c r="AF398" s="4">
        <v>0</v>
      </c>
      <c r="AG398" t="s">
        <v>462</v>
      </c>
      <c r="AH398">
        <v>0</v>
      </c>
      <c r="AI398">
        <v>0</v>
      </c>
      <c r="AJ398" s="2" t="s">
        <v>463</v>
      </c>
      <c r="AK398" s="2">
        <v>0</v>
      </c>
      <c r="AL398">
        <v>0</v>
      </c>
      <c r="AM398">
        <v>0</v>
      </c>
      <c r="AN398">
        <v>0</v>
      </c>
      <c r="AO398">
        <v>0</v>
      </c>
      <c r="AP398">
        <v>125</v>
      </c>
      <c r="AQ398">
        <v>125</v>
      </c>
      <c r="AR398">
        <v>25425</v>
      </c>
      <c r="AS398">
        <v>0</v>
      </c>
      <c r="AT398">
        <v>0</v>
      </c>
      <c r="AU398">
        <v>40725</v>
      </c>
      <c r="AV398">
        <v>66431425</v>
      </c>
      <c r="AW398">
        <v>0</v>
      </c>
      <c r="AX398" s="5">
        <v>45697</v>
      </c>
      <c r="AY398" t="s">
        <v>356</v>
      </c>
      <c r="AZ398" t="s">
        <v>1743</v>
      </c>
      <c r="BA398" t="s">
        <v>742</v>
      </c>
    </row>
    <row r="399" spans="1:53" ht="15" customHeight="1" x14ac:dyDescent="0.2">
      <c r="A399" t="s">
        <v>5246</v>
      </c>
      <c r="B399" t="s">
        <v>2463</v>
      </c>
      <c r="C399" t="s">
        <v>4877</v>
      </c>
      <c r="D399">
        <v>66431525</v>
      </c>
      <c r="E399" s="5">
        <v>45727</v>
      </c>
      <c r="F399" s="5">
        <v>45729.113194444442</v>
      </c>
      <c r="G399" s="4" t="s">
        <v>460</v>
      </c>
      <c r="H399" s="49">
        <v>3219658</v>
      </c>
      <c r="I399" s="49">
        <v>16883</v>
      </c>
      <c r="J399" s="50">
        <v>3202775</v>
      </c>
      <c r="K399" t="s">
        <v>2615</v>
      </c>
      <c r="L399" s="4" t="s">
        <v>461</v>
      </c>
      <c r="M399" t="s">
        <v>351</v>
      </c>
      <c r="N399" s="2">
        <v>1032370727</v>
      </c>
      <c r="O399" t="s">
        <v>1744</v>
      </c>
      <c r="P399" t="s">
        <v>316</v>
      </c>
      <c r="Q399" t="s">
        <v>317</v>
      </c>
      <c r="R399">
        <v>24073845500</v>
      </c>
      <c r="S399" t="s">
        <v>319</v>
      </c>
      <c r="T399">
        <v>860007335</v>
      </c>
      <c r="U399" t="s">
        <v>381</v>
      </c>
      <c r="V399">
        <v>923238</v>
      </c>
      <c r="W399" t="s">
        <v>569</v>
      </c>
      <c r="X399" s="2" t="s">
        <v>29</v>
      </c>
      <c r="Y399" t="s">
        <v>30</v>
      </c>
      <c r="Z399" t="s">
        <v>31</v>
      </c>
      <c r="AA399" t="s">
        <v>32</v>
      </c>
      <c r="AB399" t="s">
        <v>33</v>
      </c>
      <c r="AC399" s="51">
        <v>3219658</v>
      </c>
      <c r="AD399">
        <v>0</v>
      </c>
      <c r="AE399" s="4">
        <v>0</v>
      </c>
      <c r="AF399" s="4">
        <v>0</v>
      </c>
      <c r="AG399" t="s">
        <v>462</v>
      </c>
      <c r="AH399">
        <v>0</v>
      </c>
      <c r="AI399">
        <v>0</v>
      </c>
      <c r="AJ399" s="2" t="s">
        <v>463</v>
      </c>
      <c r="AK399" s="2">
        <v>0</v>
      </c>
      <c r="AL399">
        <v>0</v>
      </c>
      <c r="AM399">
        <v>0</v>
      </c>
      <c r="AN399">
        <v>0</v>
      </c>
      <c r="AO399">
        <v>0</v>
      </c>
      <c r="AP399">
        <v>125</v>
      </c>
      <c r="AQ399">
        <v>125</v>
      </c>
      <c r="AR399">
        <v>25525</v>
      </c>
      <c r="AS399">
        <v>0</v>
      </c>
      <c r="AT399">
        <v>0</v>
      </c>
      <c r="AU399">
        <v>40825</v>
      </c>
      <c r="AV399">
        <v>66431525</v>
      </c>
      <c r="AW399">
        <v>0</v>
      </c>
      <c r="AX399" s="5">
        <v>45697</v>
      </c>
      <c r="AY399" t="s">
        <v>356</v>
      </c>
      <c r="AZ399" t="s">
        <v>1747</v>
      </c>
      <c r="BA399" t="s">
        <v>742</v>
      </c>
    </row>
    <row r="400" spans="1:53" ht="15" customHeight="1" x14ac:dyDescent="0.2">
      <c r="A400" t="s">
        <v>5247</v>
      </c>
      <c r="B400" t="s">
        <v>2464</v>
      </c>
      <c r="C400" t="s">
        <v>4877</v>
      </c>
      <c r="D400">
        <v>66431625</v>
      </c>
      <c r="E400" s="5">
        <v>45727</v>
      </c>
      <c r="F400" s="5">
        <v>45729.11041666667</v>
      </c>
      <c r="G400" s="4" t="s">
        <v>460</v>
      </c>
      <c r="H400" s="49">
        <v>3219658</v>
      </c>
      <c r="I400" s="49">
        <v>16883</v>
      </c>
      <c r="J400" s="50">
        <v>3202775</v>
      </c>
      <c r="K400" t="s">
        <v>2615</v>
      </c>
      <c r="L400" s="4" t="s">
        <v>461</v>
      </c>
      <c r="M400" t="s">
        <v>351</v>
      </c>
      <c r="N400" s="2">
        <v>39671472</v>
      </c>
      <c r="O400" t="s">
        <v>1749</v>
      </c>
      <c r="P400" t="s">
        <v>316</v>
      </c>
      <c r="Q400" t="s">
        <v>317</v>
      </c>
      <c r="R400">
        <v>22100000259</v>
      </c>
      <c r="S400" t="s">
        <v>319</v>
      </c>
      <c r="T400">
        <v>890903938</v>
      </c>
      <c r="U400" t="s">
        <v>342</v>
      </c>
      <c r="V400">
        <v>923238</v>
      </c>
      <c r="W400" t="s">
        <v>569</v>
      </c>
      <c r="X400" s="2" t="s">
        <v>29</v>
      </c>
      <c r="Y400" t="s">
        <v>30</v>
      </c>
      <c r="Z400" t="s">
        <v>31</v>
      </c>
      <c r="AA400" t="s">
        <v>32</v>
      </c>
      <c r="AB400" t="s">
        <v>33</v>
      </c>
      <c r="AC400" s="51">
        <v>3219658</v>
      </c>
      <c r="AD400">
        <v>0</v>
      </c>
      <c r="AE400" s="4">
        <v>0</v>
      </c>
      <c r="AF400" s="4">
        <v>0</v>
      </c>
      <c r="AG400" t="s">
        <v>462</v>
      </c>
      <c r="AH400">
        <v>0</v>
      </c>
      <c r="AI400">
        <v>0</v>
      </c>
      <c r="AJ400" s="2" t="s">
        <v>463</v>
      </c>
      <c r="AK400" s="2">
        <v>0</v>
      </c>
      <c r="AL400">
        <v>0</v>
      </c>
      <c r="AM400">
        <v>0</v>
      </c>
      <c r="AN400">
        <v>0</v>
      </c>
      <c r="AO400">
        <v>0</v>
      </c>
      <c r="AP400">
        <v>125</v>
      </c>
      <c r="AQ400">
        <v>125</v>
      </c>
      <c r="AR400">
        <v>25625</v>
      </c>
      <c r="AS400">
        <v>0</v>
      </c>
      <c r="AT400">
        <v>0</v>
      </c>
      <c r="AU400">
        <v>40925</v>
      </c>
      <c r="AV400">
        <v>66431625</v>
      </c>
      <c r="AW400">
        <v>0</v>
      </c>
      <c r="AX400" s="5">
        <v>45697</v>
      </c>
      <c r="AY400" t="s">
        <v>356</v>
      </c>
      <c r="AZ400" t="s">
        <v>1752</v>
      </c>
      <c r="BA400" t="s">
        <v>742</v>
      </c>
    </row>
    <row r="401" spans="1:53" ht="15" customHeight="1" x14ac:dyDescent="0.2">
      <c r="A401" t="s">
        <v>5248</v>
      </c>
      <c r="B401" t="s">
        <v>2465</v>
      </c>
      <c r="C401" t="s">
        <v>4877</v>
      </c>
      <c r="D401">
        <v>66431725</v>
      </c>
      <c r="E401" s="5">
        <v>45727</v>
      </c>
      <c r="F401" s="5">
        <v>45729.116666666669</v>
      </c>
      <c r="G401" s="4" t="s">
        <v>460</v>
      </c>
      <c r="H401" s="49">
        <v>3219658</v>
      </c>
      <c r="I401" s="49">
        <v>16883</v>
      </c>
      <c r="J401" s="50">
        <v>3202775</v>
      </c>
      <c r="K401" t="s">
        <v>2615</v>
      </c>
      <c r="L401" s="4" t="s">
        <v>461</v>
      </c>
      <c r="M401" t="s">
        <v>351</v>
      </c>
      <c r="N401" s="2">
        <v>55177634</v>
      </c>
      <c r="O401" t="s">
        <v>1754</v>
      </c>
      <c r="P401" t="s">
        <v>316</v>
      </c>
      <c r="Q401" t="s">
        <v>317</v>
      </c>
      <c r="R401">
        <v>488417436331</v>
      </c>
      <c r="S401" t="s">
        <v>319</v>
      </c>
      <c r="T401">
        <v>860034313</v>
      </c>
      <c r="U401" t="s">
        <v>355</v>
      </c>
      <c r="V401">
        <v>923238</v>
      </c>
      <c r="W401" t="s">
        <v>569</v>
      </c>
      <c r="X401" s="2" t="s">
        <v>29</v>
      </c>
      <c r="Y401" t="s">
        <v>30</v>
      </c>
      <c r="Z401" t="s">
        <v>31</v>
      </c>
      <c r="AA401" t="s">
        <v>32</v>
      </c>
      <c r="AB401" t="s">
        <v>33</v>
      </c>
      <c r="AC401" s="51">
        <v>3219658</v>
      </c>
      <c r="AD401">
        <v>0</v>
      </c>
      <c r="AE401" s="4">
        <v>0</v>
      </c>
      <c r="AF401" s="4">
        <v>0</v>
      </c>
      <c r="AG401" t="s">
        <v>462</v>
      </c>
      <c r="AH401">
        <v>0</v>
      </c>
      <c r="AI401">
        <v>0</v>
      </c>
      <c r="AJ401" s="2" t="s">
        <v>463</v>
      </c>
      <c r="AK401" s="2">
        <v>0</v>
      </c>
      <c r="AL401">
        <v>0</v>
      </c>
      <c r="AM401">
        <v>0</v>
      </c>
      <c r="AN401">
        <v>0</v>
      </c>
      <c r="AO401">
        <v>0</v>
      </c>
      <c r="AP401">
        <v>125</v>
      </c>
      <c r="AQ401">
        <v>125</v>
      </c>
      <c r="AR401">
        <v>25725</v>
      </c>
      <c r="AS401">
        <v>0</v>
      </c>
      <c r="AT401">
        <v>0</v>
      </c>
      <c r="AU401">
        <v>41025</v>
      </c>
      <c r="AV401">
        <v>66431725</v>
      </c>
      <c r="AW401">
        <v>0</v>
      </c>
      <c r="AX401" s="5">
        <v>45697</v>
      </c>
      <c r="AY401" t="s">
        <v>356</v>
      </c>
      <c r="AZ401" t="s">
        <v>1757</v>
      </c>
      <c r="BA401" t="s">
        <v>742</v>
      </c>
    </row>
    <row r="402" spans="1:53" ht="15" customHeight="1" x14ac:dyDescent="0.2">
      <c r="A402" t="s">
        <v>5249</v>
      </c>
      <c r="B402" t="s">
        <v>2467</v>
      </c>
      <c r="C402" t="s">
        <v>4877</v>
      </c>
      <c r="D402">
        <v>66431825</v>
      </c>
      <c r="E402" s="5">
        <v>45727</v>
      </c>
      <c r="F402" s="5">
        <v>45729.116666666669</v>
      </c>
      <c r="G402" s="4" t="s">
        <v>460</v>
      </c>
      <c r="H402" s="49">
        <v>3219658</v>
      </c>
      <c r="I402" s="49">
        <v>16883</v>
      </c>
      <c r="J402" s="50">
        <v>3202775</v>
      </c>
      <c r="K402" t="s">
        <v>2615</v>
      </c>
      <c r="L402" s="4" t="s">
        <v>461</v>
      </c>
      <c r="M402" t="s">
        <v>351</v>
      </c>
      <c r="N402" s="2">
        <v>3170948</v>
      </c>
      <c r="O402" t="s">
        <v>1764</v>
      </c>
      <c r="P402" t="s">
        <v>316</v>
      </c>
      <c r="Q402" t="s">
        <v>317</v>
      </c>
      <c r="R402">
        <v>488400443682</v>
      </c>
      <c r="S402" t="s">
        <v>319</v>
      </c>
      <c r="T402">
        <v>860034313</v>
      </c>
      <c r="U402" t="s">
        <v>355</v>
      </c>
      <c r="V402">
        <v>923238</v>
      </c>
      <c r="W402" t="s">
        <v>569</v>
      </c>
      <c r="X402" s="2" t="s">
        <v>29</v>
      </c>
      <c r="Y402" t="s">
        <v>30</v>
      </c>
      <c r="Z402" t="s">
        <v>31</v>
      </c>
      <c r="AA402" t="s">
        <v>32</v>
      </c>
      <c r="AB402" t="s">
        <v>33</v>
      </c>
      <c r="AC402" s="51">
        <v>3219658</v>
      </c>
      <c r="AD402">
        <v>0</v>
      </c>
      <c r="AE402" s="4">
        <v>0</v>
      </c>
      <c r="AF402" s="4">
        <v>0</v>
      </c>
      <c r="AG402" t="s">
        <v>462</v>
      </c>
      <c r="AH402">
        <v>0</v>
      </c>
      <c r="AI402">
        <v>0</v>
      </c>
      <c r="AJ402" s="2" t="s">
        <v>463</v>
      </c>
      <c r="AK402" s="2">
        <v>0</v>
      </c>
      <c r="AL402">
        <v>0</v>
      </c>
      <c r="AM402">
        <v>0</v>
      </c>
      <c r="AN402">
        <v>0</v>
      </c>
      <c r="AO402">
        <v>0</v>
      </c>
      <c r="AP402">
        <v>125</v>
      </c>
      <c r="AQ402">
        <v>125</v>
      </c>
      <c r="AR402">
        <v>25925</v>
      </c>
      <c r="AS402">
        <v>0</v>
      </c>
      <c r="AT402">
        <v>0</v>
      </c>
      <c r="AU402">
        <v>41225</v>
      </c>
      <c r="AV402">
        <v>66431825</v>
      </c>
      <c r="AW402">
        <v>0</v>
      </c>
      <c r="AX402" s="5">
        <v>45697</v>
      </c>
      <c r="AY402" t="s">
        <v>356</v>
      </c>
      <c r="AZ402" t="s">
        <v>1767</v>
      </c>
      <c r="BA402" t="s">
        <v>742</v>
      </c>
    </row>
    <row r="403" spans="1:53" ht="15" customHeight="1" x14ac:dyDescent="0.2">
      <c r="A403" t="s">
        <v>5250</v>
      </c>
      <c r="B403" t="s">
        <v>2468</v>
      </c>
      <c r="C403" t="s">
        <v>4877</v>
      </c>
      <c r="D403">
        <v>66431925</v>
      </c>
      <c r="E403" s="5">
        <v>45727</v>
      </c>
      <c r="F403" s="5">
        <v>45729.134027777778</v>
      </c>
      <c r="G403" s="4" t="s">
        <v>460</v>
      </c>
      <c r="H403" s="49">
        <v>1839804</v>
      </c>
      <c r="I403" s="49">
        <v>9821</v>
      </c>
      <c r="J403" s="50">
        <v>1829983</v>
      </c>
      <c r="K403" t="s">
        <v>2615</v>
      </c>
      <c r="L403" s="4" t="s">
        <v>461</v>
      </c>
      <c r="M403" t="s">
        <v>351</v>
      </c>
      <c r="N403" s="2">
        <v>80496354</v>
      </c>
      <c r="O403" t="s">
        <v>1769</v>
      </c>
      <c r="P403" t="s">
        <v>316</v>
      </c>
      <c r="Q403" t="s">
        <v>317</v>
      </c>
      <c r="R403">
        <v>477900002288</v>
      </c>
      <c r="S403" t="s">
        <v>319</v>
      </c>
      <c r="T403">
        <v>860034313</v>
      </c>
      <c r="U403" t="s">
        <v>355</v>
      </c>
      <c r="V403">
        <v>923238</v>
      </c>
      <c r="W403" t="s">
        <v>569</v>
      </c>
      <c r="X403" s="2" t="s">
        <v>29</v>
      </c>
      <c r="Y403" t="s">
        <v>30</v>
      </c>
      <c r="Z403" t="s">
        <v>31</v>
      </c>
      <c r="AA403" t="s">
        <v>32</v>
      </c>
      <c r="AB403" t="s">
        <v>33</v>
      </c>
      <c r="AC403" s="51">
        <v>1839804</v>
      </c>
      <c r="AD403">
        <v>0</v>
      </c>
      <c r="AE403" s="4">
        <v>0</v>
      </c>
      <c r="AF403" s="4">
        <v>0</v>
      </c>
      <c r="AG403" t="s">
        <v>462</v>
      </c>
      <c r="AH403">
        <v>0</v>
      </c>
      <c r="AI403">
        <v>0</v>
      </c>
      <c r="AJ403" s="2" t="s">
        <v>463</v>
      </c>
      <c r="AK403" s="2">
        <v>0</v>
      </c>
      <c r="AL403">
        <v>0</v>
      </c>
      <c r="AM403">
        <v>0</v>
      </c>
      <c r="AN403">
        <v>0</v>
      </c>
      <c r="AO403">
        <v>0</v>
      </c>
      <c r="AP403">
        <v>125</v>
      </c>
      <c r="AQ403">
        <v>125</v>
      </c>
      <c r="AR403">
        <v>26025</v>
      </c>
      <c r="AS403">
        <v>0</v>
      </c>
      <c r="AT403">
        <v>0</v>
      </c>
      <c r="AU403">
        <v>41325</v>
      </c>
      <c r="AV403">
        <v>66431925</v>
      </c>
      <c r="AW403">
        <v>0</v>
      </c>
      <c r="AX403" s="5">
        <v>45697</v>
      </c>
      <c r="AY403" t="s">
        <v>356</v>
      </c>
      <c r="AZ403" t="s">
        <v>1772</v>
      </c>
      <c r="BA403" t="s">
        <v>742</v>
      </c>
    </row>
    <row r="404" spans="1:53" ht="15" customHeight="1" x14ac:dyDescent="0.2">
      <c r="A404" t="s">
        <v>5251</v>
      </c>
      <c r="B404" t="s">
        <v>2469</v>
      </c>
      <c r="C404" t="s">
        <v>4877</v>
      </c>
      <c r="D404">
        <v>66432025</v>
      </c>
      <c r="E404" s="5">
        <v>45727</v>
      </c>
      <c r="F404" s="5">
        <v>45729.113194444442</v>
      </c>
      <c r="G404" s="4" t="s">
        <v>460</v>
      </c>
      <c r="H404" s="49">
        <v>3219658</v>
      </c>
      <c r="I404" s="49">
        <v>16883</v>
      </c>
      <c r="J404" s="50">
        <v>3202775</v>
      </c>
      <c r="K404" t="s">
        <v>2615</v>
      </c>
      <c r="L404" s="4" t="s">
        <v>461</v>
      </c>
      <c r="M404" t="s">
        <v>351</v>
      </c>
      <c r="N404" s="2">
        <v>1030530318</v>
      </c>
      <c r="O404" t="s">
        <v>1774</v>
      </c>
      <c r="P404" t="s">
        <v>316</v>
      </c>
      <c r="Q404" t="s">
        <v>317</v>
      </c>
      <c r="R404">
        <v>24115083509</v>
      </c>
      <c r="S404" t="s">
        <v>319</v>
      </c>
      <c r="T404">
        <v>860007335</v>
      </c>
      <c r="U404" t="s">
        <v>381</v>
      </c>
      <c r="V404">
        <v>923238</v>
      </c>
      <c r="W404" t="s">
        <v>569</v>
      </c>
      <c r="X404" s="2" t="s">
        <v>29</v>
      </c>
      <c r="Y404" t="s">
        <v>30</v>
      </c>
      <c r="Z404" t="s">
        <v>31</v>
      </c>
      <c r="AA404" t="s">
        <v>32</v>
      </c>
      <c r="AB404" t="s">
        <v>33</v>
      </c>
      <c r="AC404" s="51">
        <v>3219658</v>
      </c>
      <c r="AD404">
        <v>0</v>
      </c>
      <c r="AE404" s="4">
        <v>0</v>
      </c>
      <c r="AF404" s="4">
        <v>0</v>
      </c>
      <c r="AG404" t="s">
        <v>462</v>
      </c>
      <c r="AH404">
        <v>0</v>
      </c>
      <c r="AI404">
        <v>0</v>
      </c>
      <c r="AJ404" s="2" t="s">
        <v>463</v>
      </c>
      <c r="AK404" s="2">
        <v>0</v>
      </c>
      <c r="AL404">
        <v>0</v>
      </c>
      <c r="AM404">
        <v>0</v>
      </c>
      <c r="AN404">
        <v>0</v>
      </c>
      <c r="AO404">
        <v>0</v>
      </c>
      <c r="AP404">
        <v>125</v>
      </c>
      <c r="AQ404">
        <v>125</v>
      </c>
      <c r="AR404">
        <v>26125</v>
      </c>
      <c r="AS404">
        <v>0</v>
      </c>
      <c r="AT404">
        <v>0</v>
      </c>
      <c r="AU404">
        <v>41425</v>
      </c>
      <c r="AV404">
        <v>66432025</v>
      </c>
      <c r="AW404">
        <v>0</v>
      </c>
      <c r="AX404" s="5">
        <v>45697</v>
      </c>
      <c r="AY404" t="s">
        <v>356</v>
      </c>
      <c r="AZ404" t="s">
        <v>1777</v>
      </c>
      <c r="BA404" t="s">
        <v>742</v>
      </c>
    </row>
    <row r="405" spans="1:53" ht="15" customHeight="1" x14ac:dyDescent="0.2">
      <c r="A405" t="s">
        <v>5252</v>
      </c>
      <c r="B405" t="s">
        <v>4427</v>
      </c>
      <c r="C405" t="s">
        <v>4917</v>
      </c>
      <c r="D405">
        <v>66432125</v>
      </c>
      <c r="E405" s="5">
        <v>45727</v>
      </c>
      <c r="F405" s="5">
        <v>45729.136111111111</v>
      </c>
      <c r="G405" s="4" t="s">
        <v>460</v>
      </c>
      <c r="H405" s="49">
        <v>1839804</v>
      </c>
      <c r="I405" s="49">
        <v>10302</v>
      </c>
      <c r="J405" s="50">
        <v>1829502</v>
      </c>
      <c r="K405" t="s">
        <v>2615</v>
      </c>
      <c r="L405" s="4" t="s">
        <v>461</v>
      </c>
      <c r="M405" t="s">
        <v>351</v>
      </c>
      <c r="N405" s="2">
        <v>80737587</v>
      </c>
      <c r="O405" t="s">
        <v>3566</v>
      </c>
      <c r="P405" t="s">
        <v>316</v>
      </c>
      <c r="Q405" t="s">
        <v>317</v>
      </c>
      <c r="R405">
        <v>116200003542</v>
      </c>
      <c r="S405" t="s">
        <v>319</v>
      </c>
      <c r="T405">
        <v>900047981</v>
      </c>
      <c r="U405" t="s">
        <v>399</v>
      </c>
      <c r="V405">
        <v>923245</v>
      </c>
      <c r="W405" t="s">
        <v>180</v>
      </c>
      <c r="X405" s="2" t="s">
        <v>29</v>
      </c>
      <c r="Y405" t="s">
        <v>30</v>
      </c>
      <c r="Z405" t="s">
        <v>31</v>
      </c>
      <c r="AA405" t="s">
        <v>32</v>
      </c>
      <c r="AB405" t="s">
        <v>33</v>
      </c>
      <c r="AC405" s="51">
        <v>1839804</v>
      </c>
      <c r="AD405">
        <v>0</v>
      </c>
      <c r="AE405" s="4">
        <v>0</v>
      </c>
      <c r="AF405" s="4">
        <v>0</v>
      </c>
      <c r="AG405" t="s">
        <v>462</v>
      </c>
      <c r="AH405">
        <v>0</v>
      </c>
      <c r="AI405">
        <v>0</v>
      </c>
      <c r="AJ405" s="2" t="s">
        <v>463</v>
      </c>
      <c r="AK405" s="2">
        <v>0</v>
      </c>
      <c r="AL405">
        <v>0</v>
      </c>
      <c r="AM405">
        <v>0</v>
      </c>
      <c r="AN405">
        <v>0</v>
      </c>
      <c r="AO405">
        <v>0</v>
      </c>
      <c r="AP405">
        <v>3825</v>
      </c>
      <c r="AQ405">
        <v>3825</v>
      </c>
      <c r="AR405">
        <v>35125</v>
      </c>
      <c r="AS405">
        <v>0</v>
      </c>
      <c r="AT405">
        <v>0</v>
      </c>
      <c r="AU405">
        <v>41525</v>
      </c>
      <c r="AV405">
        <v>66432125</v>
      </c>
      <c r="AW405">
        <v>0</v>
      </c>
      <c r="AX405" s="5">
        <v>45708</v>
      </c>
      <c r="AY405" t="s">
        <v>356</v>
      </c>
      <c r="AZ405" t="s">
        <v>3569</v>
      </c>
      <c r="BA405" t="s">
        <v>742</v>
      </c>
    </row>
    <row r="406" spans="1:53" ht="15" customHeight="1" x14ac:dyDescent="0.2">
      <c r="A406" t="s">
        <v>5253</v>
      </c>
      <c r="B406" t="s">
        <v>4524</v>
      </c>
      <c r="C406" t="s">
        <v>5254</v>
      </c>
      <c r="D406">
        <v>66482925</v>
      </c>
      <c r="E406" s="5">
        <v>45727</v>
      </c>
      <c r="F406" s="5">
        <v>45729.079861111109</v>
      </c>
      <c r="G406" s="4" t="s">
        <v>460</v>
      </c>
      <c r="H406" s="49">
        <v>3063140</v>
      </c>
      <c r="I406" s="49">
        <v>0</v>
      </c>
      <c r="J406" s="50">
        <v>3063140</v>
      </c>
      <c r="K406" t="s">
        <v>2615</v>
      </c>
      <c r="L406" s="4" t="s">
        <v>461</v>
      </c>
      <c r="M406" t="s">
        <v>314</v>
      </c>
      <c r="N406" s="2">
        <v>860063875</v>
      </c>
      <c r="O406" t="s">
        <v>315</v>
      </c>
      <c r="P406" t="s">
        <v>316</v>
      </c>
      <c r="Q406" t="s">
        <v>317</v>
      </c>
      <c r="R406">
        <v>90060000410</v>
      </c>
      <c r="S406" t="s">
        <v>319</v>
      </c>
      <c r="T406">
        <v>860050750</v>
      </c>
      <c r="U406" t="s">
        <v>321</v>
      </c>
      <c r="V406">
        <v>923210</v>
      </c>
      <c r="W406" t="s">
        <v>56</v>
      </c>
      <c r="X406" s="2" t="s">
        <v>29</v>
      </c>
      <c r="Y406" t="s">
        <v>30</v>
      </c>
      <c r="Z406" t="s">
        <v>47</v>
      </c>
      <c r="AA406" t="s">
        <v>48</v>
      </c>
      <c r="AB406" t="s">
        <v>33</v>
      </c>
      <c r="AC406" s="51">
        <v>3063140</v>
      </c>
      <c r="AD406">
        <v>0</v>
      </c>
      <c r="AE406" s="4">
        <v>0</v>
      </c>
      <c r="AF406" s="4">
        <v>0</v>
      </c>
      <c r="AG406" t="s">
        <v>462</v>
      </c>
      <c r="AH406">
        <v>0</v>
      </c>
      <c r="AI406">
        <v>0</v>
      </c>
      <c r="AJ406" s="2" t="s">
        <v>463</v>
      </c>
      <c r="AK406" s="2">
        <v>0</v>
      </c>
      <c r="AL406">
        <v>0</v>
      </c>
      <c r="AM406">
        <v>0</v>
      </c>
      <c r="AN406">
        <v>0</v>
      </c>
      <c r="AO406" t="s">
        <v>3573</v>
      </c>
      <c r="AP406">
        <v>1225</v>
      </c>
      <c r="AQ406">
        <v>1225</v>
      </c>
      <c r="AR406">
        <v>44325</v>
      </c>
      <c r="AS406">
        <v>4725</v>
      </c>
      <c r="AT406" s="5">
        <v>45726</v>
      </c>
      <c r="AU406">
        <v>41625</v>
      </c>
      <c r="AV406">
        <v>66482925</v>
      </c>
      <c r="AW406">
        <v>0</v>
      </c>
      <c r="AX406" s="5">
        <v>45721</v>
      </c>
      <c r="AY406" t="s">
        <v>323</v>
      </c>
      <c r="AZ406" t="s">
        <v>3577</v>
      </c>
      <c r="BA406" t="s">
        <v>3578</v>
      </c>
    </row>
    <row r="407" spans="1:53" ht="15" customHeight="1" x14ac:dyDescent="0.2">
      <c r="A407" t="s">
        <v>5255</v>
      </c>
      <c r="B407" t="s">
        <v>2532</v>
      </c>
      <c r="C407" t="s">
        <v>4892</v>
      </c>
      <c r="D407">
        <v>67839925</v>
      </c>
      <c r="E407" s="5">
        <v>45727</v>
      </c>
      <c r="F407" s="5">
        <v>45729.120138888888</v>
      </c>
      <c r="G407" s="4" t="s">
        <v>460</v>
      </c>
      <c r="H407" s="49">
        <v>1839804</v>
      </c>
      <c r="I407" s="49">
        <v>8604</v>
      </c>
      <c r="J407" s="50">
        <v>1831200</v>
      </c>
      <c r="K407" t="s">
        <v>2615</v>
      </c>
      <c r="L407" s="4" t="s">
        <v>461</v>
      </c>
      <c r="M407" t="s">
        <v>351</v>
      </c>
      <c r="N407" s="2">
        <v>1026307427</v>
      </c>
      <c r="O407" t="s">
        <v>2147</v>
      </c>
      <c r="P407" t="s">
        <v>316</v>
      </c>
      <c r="Q407" t="s">
        <v>317</v>
      </c>
      <c r="R407">
        <v>261373302</v>
      </c>
      <c r="S407" t="s">
        <v>319</v>
      </c>
      <c r="T407">
        <v>860002964</v>
      </c>
      <c r="U407" t="s">
        <v>419</v>
      </c>
      <c r="V407">
        <v>923211</v>
      </c>
      <c r="W407" t="s">
        <v>69</v>
      </c>
      <c r="X407" s="2" t="s">
        <v>29</v>
      </c>
      <c r="Y407" t="s">
        <v>30</v>
      </c>
      <c r="Z407" t="s">
        <v>31</v>
      </c>
      <c r="AA407" t="s">
        <v>32</v>
      </c>
      <c r="AB407" t="s">
        <v>33</v>
      </c>
      <c r="AC407" s="51">
        <v>1839804</v>
      </c>
      <c r="AD407">
        <v>0</v>
      </c>
      <c r="AE407" s="4">
        <v>0</v>
      </c>
      <c r="AF407" s="4">
        <v>0</v>
      </c>
      <c r="AG407" t="s">
        <v>462</v>
      </c>
      <c r="AH407">
        <v>0</v>
      </c>
      <c r="AI407">
        <v>0</v>
      </c>
      <c r="AJ407" s="2" t="s">
        <v>463</v>
      </c>
      <c r="AK407" s="2">
        <v>0</v>
      </c>
      <c r="AL407">
        <v>0</v>
      </c>
      <c r="AM407">
        <v>0</v>
      </c>
      <c r="AN407">
        <v>0</v>
      </c>
      <c r="AO407" t="s">
        <v>3582</v>
      </c>
      <c r="AP407">
        <v>2125</v>
      </c>
      <c r="AQ407">
        <v>2125</v>
      </c>
      <c r="AR407">
        <v>32725</v>
      </c>
      <c r="AS407">
        <v>0</v>
      </c>
      <c r="AT407">
        <v>0</v>
      </c>
      <c r="AU407">
        <v>35725</v>
      </c>
      <c r="AV407">
        <v>67839925</v>
      </c>
      <c r="AW407">
        <v>0</v>
      </c>
      <c r="AX407" s="5">
        <v>45707</v>
      </c>
      <c r="AY407" t="s">
        <v>356</v>
      </c>
      <c r="AZ407" t="s">
        <v>2149</v>
      </c>
      <c r="BA407" t="s">
        <v>1886</v>
      </c>
    </row>
    <row r="408" spans="1:53" ht="15" customHeight="1" x14ac:dyDescent="0.2">
      <c r="A408" t="s">
        <v>5256</v>
      </c>
      <c r="B408" t="s">
        <v>2444</v>
      </c>
      <c r="C408" t="s">
        <v>4892</v>
      </c>
      <c r="D408">
        <v>68528925</v>
      </c>
      <c r="E408" s="5">
        <v>45728</v>
      </c>
      <c r="F408" s="5">
        <v>45730.106249999997</v>
      </c>
      <c r="G408" s="4" t="s">
        <v>460</v>
      </c>
      <c r="H408" s="49">
        <v>3219658</v>
      </c>
      <c r="I408" s="49">
        <v>557110</v>
      </c>
      <c r="J408" s="50">
        <v>2662548</v>
      </c>
      <c r="K408" t="s">
        <v>2615</v>
      </c>
      <c r="L408" s="4" t="s">
        <v>461</v>
      </c>
      <c r="M408" t="s">
        <v>351</v>
      </c>
      <c r="N408" s="2">
        <v>88216911</v>
      </c>
      <c r="O408" t="s">
        <v>1651</v>
      </c>
      <c r="P408" t="s">
        <v>316</v>
      </c>
      <c r="Q408" t="s">
        <v>317</v>
      </c>
      <c r="R408">
        <v>24070999136</v>
      </c>
      <c r="S408" t="s">
        <v>319</v>
      </c>
      <c r="T408">
        <v>860007335</v>
      </c>
      <c r="U408" t="s">
        <v>381</v>
      </c>
      <c r="V408">
        <v>923211</v>
      </c>
      <c r="W408" t="s">
        <v>69</v>
      </c>
      <c r="X408" s="2" t="s">
        <v>29</v>
      </c>
      <c r="Y408" t="s">
        <v>30</v>
      </c>
      <c r="Z408" t="s">
        <v>31</v>
      </c>
      <c r="AA408" t="s">
        <v>32</v>
      </c>
      <c r="AB408" t="s">
        <v>33</v>
      </c>
      <c r="AC408" s="51">
        <v>3219658</v>
      </c>
      <c r="AD408">
        <v>0</v>
      </c>
      <c r="AE408" s="4">
        <v>0</v>
      </c>
      <c r="AF408" s="4">
        <v>0</v>
      </c>
      <c r="AG408" t="s">
        <v>462</v>
      </c>
      <c r="AH408">
        <v>0</v>
      </c>
      <c r="AI408">
        <v>0</v>
      </c>
      <c r="AJ408" s="2" t="s">
        <v>463</v>
      </c>
      <c r="AK408" s="2">
        <v>0</v>
      </c>
      <c r="AL408">
        <v>0</v>
      </c>
      <c r="AM408">
        <v>0</v>
      </c>
      <c r="AN408">
        <v>0</v>
      </c>
      <c r="AO408">
        <v>0</v>
      </c>
      <c r="AP408">
        <v>2125</v>
      </c>
      <c r="AQ408">
        <v>2125</v>
      </c>
      <c r="AR408">
        <v>23625</v>
      </c>
      <c r="AS408">
        <v>0</v>
      </c>
      <c r="AT408">
        <v>0</v>
      </c>
      <c r="AU408">
        <v>29725</v>
      </c>
      <c r="AV408">
        <v>68528925</v>
      </c>
      <c r="AW408">
        <v>0</v>
      </c>
      <c r="AX408" s="5">
        <v>45697</v>
      </c>
      <c r="AY408" t="s">
        <v>356</v>
      </c>
      <c r="AZ408" t="s">
        <v>1654</v>
      </c>
      <c r="BA408" t="s">
        <v>1532</v>
      </c>
    </row>
    <row r="409" spans="1:53" ht="15" customHeight="1" x14ac:dyDescent="0.2">
      <c r="A409" t="s">
        <v>5257</v>
      </c>
      <c r="B409" t="s">
        <v>2466</v>
      </c>
      <c r="C409" t="s">
        <v>4877</v>
      </c>
      <c r="D409">
        <v>68529125</v>
      </c>
      <c r="E409" s="5">
        <v>45728</v>
      </c>
      <c r="F409" s="5">
        <v>45730.106249999997</v>
      </c>
      <c r="G409" s="4" t="s">
        <v>460</v>
      </c>
      <c r="H409" s="49">
        <v>3219658</v>
      </c>
      <c r="I409" s="49">
        <v>376115</v>
      </c>
      <c r="J409" s="50">
        <v>2843543</v>
      </c>
      <c r="K409" t="s">
        <v>2615</v>
      </c>
      <c r="L409" s="4" t="s">
        <v>461</v>
      </c>
      <c r="M409" t="s">
        <v>351</v>
      </c>
      <c r="N409" s="2">
        <v>88260450</v>
      </c>
      <c r="O409" t="s">
        <v>1759</v>
      </c>
      <c r="P409" t="s">
        <v>316</v>
      </c>
      <c r="Q409" t="s">
        <v>317</v>
      </c>
      <c r="R409">
        <v>24119909829</v>
      </c>
      <c r="S409" t="s">
        <v>319</v>
      </c>
      <c r="T409">
        <v>860007335</v>
      </c>
      <c r="U409" t="s">
        <v>381</v>
      </c>
      <c r="V409">
        <v>923238</v>
      </c>
      <c r="W409" t="s">
        <v>569</v>
      </c>
      <c r="X409" s="2" t="s">
        <v>29</v>
      </c>
      <c r="Y409" t="s">
        <v>30</v>
      </c>
      <c r="Z409" t="s">
        <v>31</v>
      </c>
      <c r="AA409" t="s">
        <v>32</v>
      </c>
      <c r="AB409" t="s">
        <v>33</v>
      </c>
      <c r="AC409" s="51">
        <v>3219658</v>
      </c>
      <c r="AD409">
        <v>0</v>
      </c>
      <c r="AE409" s="4">
        <v>0</v>
      </c>
      <c r="AF409" s="4">
        <v>0</v>
      </c>
      <c r="AG409" t="s">
        <v>462</v>
      </c>
      <c r="AH409">
        <v>0</v>
      </c>
      <c r="AI409">
        <v>0</v>
      </c>
      <c r="AJ409" s="2" t="s">
        <v>463</v>
      </c>
      <c r="AK409" s="2">
        <v>0</v>
      </c>
      <c r="AL409">
        <v>0</v>
      </c>
      <c r="AM409">
        <v>0</v>
      </c>
      <c r="AN409">
        <v>0</v>
      </c>
      <c r="AO409">
        <v>0</v>
      </c>
      <c r="AP409">
        <v>125</v>
      </c>
      <c r="AQ409">
        <v>125</v>
      </c>
      <c r="AR409">
        <v>25825</v>
      </c>
      <c r="AS409">
        <v>0</v>
      </c>
      <c r="AT409">
        <v>0</v>
      </c>
      <c r="AU409">
        <v>41125</v>
      </c>
      <c r="AV409">
        <v>68529125</v>
      </c>
      <c r="AW409">
        <v>0</v>
      </c>
      <c r="AX409" s="5">
        <v>45697</v>
      </c>
      <c r="AY409" t="s">
        <v>356</v>
      </c>
      <c r="AZ409" t="s">
        <v>1762</v>
      </c>
      <c r="BA409" t="s">
        <v>742</v>
      </c>
    </row>
    <row r="410" spans="1:53" ht="15" customHeight="1" x14ac:dyDescent="0.2">
      <c r="A410" t="s">
        <v>5258</v>
      </c>
      <c r="B410" t="s">
        <v>4472</v>
      </c>
      <c r="C410" t="s">
        <v>5228</v>
      </c>
      <c r="D410">
        <v>68529225</v>
      </c>
      <c r="E410" s="5">
        <v>45728</v>
      </c>
      <c r="F410" s="5">
        <v>45730.125694444447</v>
      </c>
      <c r="G410" s="4" t="s">
        <v>460</v>
      </c>
      <c r="H410" s="49">
        <v>854100</v>
      </c>
      <c r="I410" s="49">
        <v>0</v>
      </c>
      <c r="J410" s="50">
        <v>854100</v>
      </c>
      <c r="K410" t="s">
        <v>2615</v>
      </c>
      <c r="L410" s="4" t="s">
        <v>461</v>
      </c>
      <c r="M410" t="s">
        <v>3589</v>
      </c>
      <c r="N410" s="2">
        <v>1074812614</v>
      </c>
      <c r="O410" t="s">
        <v>3590</v>
      </c>
      <c r="P410" t="s">
        <v>316</v>
      </c>
      <c r="Q410" t="s">
        <v>317</v>
      </c>
      <c r="R410">
        <v>24133360165</v>
      </c>
      <c r="S410" t="s">
        <v>319</v>
      </c>
      <c r="T410">
        <v>860007335</v>
      </c>
      <c r="U410" t="s">
        <v>381</v>
      </c>
      <c r="V410">
        <v>923218</v>
      </c>
      <c r="W410" t="s">
        <v>118</v>
      </c>
      <c r="X410" s="2" t="s">
        <v>119</v>
      </c>
      <c r="Y410" t="s">
        <v>120</v>
      </c>
      <c r="Z410" t="s">
        <v>47</v>
      </c>
      <c r="AA410" t="s">
        <v>121</v>
      </c>
      <c r="AB410" t="s">
        <v>33</v>
      </c>
      <c r="AC410" s="51">
        <v>854100</v>
      </c>
      <c r="AD410">
        <v>0</v>
      </c>
      <c r="AE410" s="4">
        <v>0</v>
      </c>
      <c r="AF410" s="4">
        <v>0</v>
      </c>
      <c r="AG410" t="s">
        <v>462</v>
      </c>
      <c r="AH410">
        <v>0</v>
      </c>
      <c r="AI410">
        <v>0</v>
      </c>
      <c r="AJ410" s="2" t="s">
        <v>463</v>
      </c>
      <c r="AK410" s="2">
        <v>0</v>
      </c>
      <c r="AL410">
        <v>0</v>
      </c>
      <c r="AM410">
        <v>0</v>
      </c>
      <c r="AN410">
        <v>0</v>
      </c>
      <c r="AO410">
        <v>0</v>
      </c>
      <c r="AP410">
        <v>2325</v>
      </c>
      <c r="AQ410">
        <v>2325</v>
      </c>
      <c r="AR410">
        <v>39425</v>
      </c>
      <c r="AS410">
        <v>0</v>
      </c>
      <c r="AT410">
        <v>0</v>
      </c>
      <c r="AU410">
        <v>41725</v>
      </c>
      <c r="AV410">
        <v>68529225</v>
      </c>
      <c r="AW410">
        <v>0</v>
      </c>
      <c r="AX410" s="5">
        <v>45716</v>
      </c>
      <c r="AY410" t="s">
        <v>3595</v>
      </c>
      <c r="AZ410" t="s">
        <v>3596</v>
      </c>
      <c r="BA410" t="s">
        <v>3597</v>
      </c>
    </row>
    <row r="411" spans="1:53" ht="15" customHeight="1" x14ac:dyDescent="0.2">
      <c r="A411" t="s">
        <v>5259</v>
      </c>
      <c r="B411" t="s">
        <v>4474</v>
      </c>
      <c r="C411" t="s">
        <v>5228</v>
      </c>
      <c r="D411">
        <v>68529325</v>
      </c>
      <c r="E411" s="5">
        <v>45728</v>
      </c>
      <c r="F411" s="5">
        <v>45730.125694444447</v>
      </c>
      <c r="G411" s="4" t="s">
        <v>460</v>
      </c>
      <c r="H411" s="49">
        <v>854100</v>
      </c>
      <c r="I411" s="49">
        <v>0</v>
      </c>
      <c r="J411" s="50">
        <v>854100</v>
      </c>
      <c r="K411" t="s">
        <v>2615</v>
      </c>
      <c r="L411" s="4" t="s">
        <v>461</v>
      </c>
      <c r="M411" t="s">
        <v>351</v>
      </c>
      <c r="N411" s="2">
        <v>79859066</v>
      </c>
      <c r="O411" t="s">
        <v>3599</v>
      </c>
      <c r="P411" t="s">
        <v>316</v>
      </c>
      <c r="Q411" t="s">
        <v>317</v>
      </c>
      <c r="R411">
        <v>24045319758</v>
      </c>
      <c r="S411" t="s">
        <v>319</v>
      </c>
      <c r="T411">
        <v>860007335</v>
      </c>
      <c r="U411" t="s">
        <v>381</v>
      </c>
      <c r="V411">
        <v>923218</v>
      </c>
      <c r="W411" t="s">
        <v>118</v>
      </c>
      <c r="X411" s="2" t="s">
        <v>119</v>
      </c>
      <c r="Y411" t="s">
        <v>120</v>
      </c>
      <c r="Z411" t="s">
        <v>47</v>
      </c>
      <c r="AA411" t="s">
        <v>121</v>
      </c>
      <c r="AB411" t="s">
        <v>33</v>
      </c>
      <c r="AC411" s="51">
        <v>854100</v>
      </c>
      <c r="AD411">
        <v>0</v>
      </c>
      <c r="AE411" s="4">
        <v>0</v>
      </c>
      <c r="AF411" s="4">
        <v>0</v>
      </c>
      <c r="AG411" t="s">
        <v>462</v>
      </c>
      <c r="AH411">
        <v>0</v>
      </c>
      <c r="AI411">
        <v>0</v>
      </c>
      <c r="AJ411" s="2" t="s">
        <v>463</v>
      </c>
      <c r="AK411" s="2">
        <v>0</v>
      </c>
      <c r="AL411">
        <v>0</v>
      </c>
      <c r="AM411">
        <v>0</v>
      </c>
      <c r="AN411">
        <v>0</v>
      </c>
      <c r="AO411">
        <v>0</v>
      </c>
      <c r="AP411">
        <v>2325</v>
      </c>
      <c r="AQ411">
        <v>2325</v>
      </c>
      <c r="AR411">
        <v>39525</v>
      </c>
      <c r="AS411">
        <v>0</v>
      </c>
      <c r="AT411">
        <v>0</v>
      </c>
      <c r="AU411">
        <v>41825</v>
      </c>
      <c r="AV411">
        <v>68529325</v>
      </c>
      <c r="AW411">
        <v>0</v>
      </c>
      <c r="AX411" s="5">
        <v>45716</v>
      </c>
      <c r="AY411" t="s">
        <v>3595</v>
      </c>
      <c r="AZ411" t="s">
        <v>3596</v>
      </c>
      <c r="BA411" t="s">
        <v>3597</v>
      </c>
    </row>
    <row r="412" spans="1:53" ht="15" customHeight="1" x14ac:dyDescent="0.2">
      <c r="A412" t="s">
        <v>5260</v>
      </c>
      <c r="B412" t="s">
        <v>4534</v>
      </c>
      <c r="C412" t="s">
        <v>5228</v>
      </c>
      <c r="D412">
        <v>68529425</v>
      </c>
      <c r="E412" s="5">
        <v>45728</v>
      </c>
      <c r="F412" s="5">
        <v>45730.125694444447</v>
      </c>
      <c r="G412" s="4" t="s">
        <v>460</v>
      </c>
      <c r="H412" s="49">
        <v>854100</v>
      </c>
      <c r="I412" s="49">
        <v>0</v>
      </c>
      <c r="J412" s="50">
        <v>854100</v>
      </c>
      <c r="K412" t="s">
        <v>2615</v>
      </c>
      <c r="L412" s="4" t="s">
        <v>461</v>
      </c>
      <c r="M412" t="s">
        <v>3589</v>
      </c>
      <c r="N412" s="2">
        <v>1074812614</v>
      </c>
      <c r="O412" t="s">
        <v>3590</v>
      </c>
      <c r="P412" t="s">
        <v>316</v>
      </c>
      <c r="Q412" t="s">
        <v>317</v>
      </c>
      <c r="R412">
        <v>24133360165</v>
      </c>
      <c r="S412" t="s">
        <v>319</v>
      </c>
      <c r="T412">
        <v>860007335</v>
      </c>
      <c r="U412" t="s">
        <v>381</v>
      </c>
      <c r="V412">
        <v>923218</v>
      </c>
      <c r="W412" t="s">
        <v>118</v>
      </c>
      <c r="X412" s="2" t="s">
        <v>119</v>
      </c>
      <c r="Y412" t="s">
        <v>120</v>
      </c>
      <c r="Z412" t="s">
        <v>47</v>
      </c>
      <c r="AA412" t="s">
        <v>121</v>
      </c>
      <c r="AB412" t="s">
        <v>33</v>
      </c>
      <c r="AC412" s="51">
        <v>854100</v>
      </c>
      <c r="AD412">
        <v>0</v>
      </c>
      <c r="AE412" s="4">
        <v>0</v>
      </c>
      <c r="AF412" s="4">
        <v>0</v>
      </c>
      <c r="AG412" t="s">
        <v>462</v>
      </c>
      <c r="AH412">
        <v>0</v>
      </c>
      <c r="AI412">
        <v>0</v>
      </c>
      <c r="AJ412" s="2" t="s">
        <v>463</v>
      </c>
      <c r="AK412" s="2">
        <v>0</v>
      </c>
      <c r="AL412">
        <v>0</v>
      </c>
      <c r="AM412">
        <v>0</v>
      </c>
      <c r="AN412">
        <v>0</v>
      </c>
      <c r="AO412">
        <v>0</v>
      </c>
      <c r="AP412">
        <v>2325</v>
      </c>
      <c r="AQ412">
        <v>2325</v>
      </c>
      <c r="AR412">
        <v>45325</v>
      </c>
      <c r="AS412">
        <v>0</v>
      </c>
      <c r="AT412">
        <v>0</v>
      </c>
      <c r="AU412">
        <v>41925</v>
      </c>
      <c r="AV412">
        <v>68529425</v>
      </c>
      <c r="AW412">
        <v>0</v>
      </c>
      <c r="AX412" s="5">
        <v>45726</v>
      </c>
      <c r="AY412" t="s">
        <v>3595</v>
      </c>
      <c r="AZ412" t="s">
        <v>3605</v>
      </c>
      <c r="BA412" t="s">
        <v>3606</v>
      </c>
    </row>
    <row r="413" spans="1:53" ht="15" customHeight="1" x14ac:dyDescent="0.2">
      <c r="A413" t="s">
        <v>5261</v>
      </c>
      <c r="B413" t="s">
        <v>4535</v>
      </c>
      <c r="C413" t="s">
        <v>5228</v>
      </c>
      <c r="D413">
        <v>68529525</v>
      </c>
      <c r="E413" s="5">
        <v>45728</v>
      </c>
      <c r="F413" s="5">
        <v>45730.125694444447</v>
      </c>
      <c r="G413" s="4" t="s">
        <v>460</v>
      </c>
      <c r="H413" s="49">
        <v>854100</v>
      </c>
      <c r="I413" s="49">
        <v>0</v>
      </c>
      <c r="J413" s="50">
        <v>854100</v>
      </c>
      <c r="K413" t="s">
        <v>2615</v>
      </c>
      <c r="L413" s="4" t="s">
        <v>461</v>
      </c>
      <c r="M413" t="s">
        <v>351</v>
      </c>
      <c r="N413" s="2">
        <v>79859066</v>
      </c>
      <c r="O413" t="s">
        <v>3599</v>
      </c>
      <c r="P413" t="s">
        <v>316</v>
      </c>
      <c r="Q413" t="s">
        <v>317</v>
      </c>
      <c r="R413">
        <v>24045319758</v>
      </c>
      <c r="S413" t="s">
        <v>319</v>
      </c>
      <c r="T413">
        <v>860007335</v>
      </c>
      <c r="U413" t="s">
        <v>381</v>
      </c>
      <c r="V413">
        <v>923218</v>
      </c>
      <c r="W413" t="s">
        <v>118</v>
      </c>
      <c r="X413" s="2" t="s">
        <v>119</v>
      </c>
      <c r="Y413" t="s">
        <v>120</v>
      </c>
      <c r="Z413" t="s">
        <v>47</v>
      </c>
      <c r="AA413" t="s">
        <v>121</v>
      </c>
      <c r="AB413" t="s">
        <v>33</v>
      </c>
      <c r="AC413" s="51">
        <v>854100</v>
      </c>
      <c r="AD413">
        <v>0</v>
      </c>
      <c r="AE413" s="4">
        <v>0</v>
      </c>
      <c r="AF413" s="4">
        <v>0</v>
      </c>
      <c r="AG413" t="s">
        <v>462</v>
      </c>
      <c r="AH413">
        <v>0</v>
      </c>
      <c r="AI413">
        <v>0</v>
      </c>
      <c r="AJ413" s="2" t="s">
        <v>463</v>
      </c>
      <c r="AK413" s="2">
        <v>0</v>
      </c>
      <c r="AL413">
        <v>0</v>
      </c>
      <c r="AM413">
        <v>0</v>
      </c>
      <c r="AN413">
        <v>0</v>
      </c>
      <c r="AO413">
        <v>0</v>
      </c>
      <c r="AP413">
        <v>2325</v>
      </c>
      <c r="AQ413">
        <v>2325</v>
      </c>
      <c r="AR413">
        <v>45425</v>
      </c>
      <c r="AS413">
        <v>0</v>
      </c>
      <c r="AT413">
        <v>0</v>
      </c>
      <c r="AU413">
        <v>42025</v>
      </c>
      <c r="AV413">
        <v>68529525</v>
      </c>
      <c r="AW413">
        <v>0</v>
      </c>
      <c r="AX413" s="5">
        <v>45726</v>
      </c>
      <c r="AY413" t="s">
        <v>3595</v>
      </c>
      <c r="AZ413" t="s">
        <v>3605</v>
      </c>
      <c r="BA413" t="s">
        <v>3606</v>
      </c>
    </row>
    <row r="414" spans="1:53" ht="15" customHeight="1" x14ac:dyDescent="0.2">
      <c r="A414" t="s">
        <v>5262</v>
      </c>
      <c r="B414" t="s">
        <v>4536</v>
      </c>
      <c r="C414" t="s">
        <v>5228</v>
      </c>
      <c r="D414">
        <v>68529625</v>
      </c>
      <c r="E414" s="5">
        <v>45728</v>
      </c>
      <c r="F414" s="5">
        <v>45730.12777777778</v>
      </c>
      <c r="G414" s="4" t="s">
        <v>460</v>
      </c>
      <c r="H414" s="49">
        <v>854100</v>
      </c>
      <c r="I414" s="49">
        <v>0</v>
      </c>
      <c r="J414" s="50">
        <v>854100</v>
      </c>
      <c r="K414" t="s">
        <v>2615</v>
      </c>
      <c r="L414" s="4" t="s">
        <v>461</v>
      </c>
      <c r="M414" t="s">
        <v>351</v>
      </c>
      <c r="N414" s="2">
        <v>53009124</v>
      </c>
      <c r="O414" t="s">
        <v>3611</v>
      </c>
      <c r="P414" t="s">
        <v>316</v>
      </c>
      <c r="Q414" t="s">
        <v>317</v>
      </c>
      <c r="R414">
        <v>488435957631</v>
      </c>
      <c r="S414" t="s">
        <v>319</v>
      </c>
      <c r="T414">
        <v>860034313</v>
      </c>
      <c r="U414" t="s">
        <v>355</v>
      </c>
      <c r="V414">
        <v>923218</v>
      </c>
      <c r="W414" t="s">
        <v>118</v>
      </c>
      <c r="X414" s="2" t="s">
        <v>119</v>
      </c>
      <c r="Y414" t="s">
        <v>120</v>
      </c>
      <c r="Z414" t="s">
        <v>47</v>
      </c>
      <c r="AA414" t="s">
        <v>121</v>
      </c>
      <c r="AB414" t="s">
        <v>33</v>
      </c>
      <c r="AC414" s="51">
        <v>854100</v>
      </c>
      <c r="AD414">
        <v>0</v>
      </c>
      <c r="AE414" s="4">
        <v>0</v>
      </c>
      <c r="AF414" s="4">
        <v>0</v>
      </c>
      <c r="AG414" t="s">
        <v>462</v>
      </c>
      <c r="AH414">
        <v>0</v>
      </c>
      <c r="AI414">
        <v>0</v>
      </c>
      <c r="AJ414" s="2" t="s">
        <v>463</v>
      </c>
      <c r="AK414" s="2">
        <v>0</v>
      </c>
      <c r="AL414">
        <v>0</v>
      </c>
      <c r="AM414">
        <v>0</v>
      </c>
      <c r="AN414">
        <v>0</v>
      </c>
      <c r="AO414">
        <v>0</v>
      </c>
      <c r="AP414">
        <v>2325</v>
      </c>
      <c r="AQ414">
        <v>2325</v>
      </c>
      <c r="AR414">
        <v>45525</v>
      </c>
      <c r="AS414">
        <v>0</v>
      </c>
      <c r="AT414">
        <v>0</v>
      </c>
      <c r="AU414">
        <v>42125</v>
      </c>
      <c r="AV414">
        <v>68529625</v>
      </c>
      <c r="AW414">
        <v>0</v>
      </c>
      <c r="AX414" s="5">
        <v>45726</v>
      </c>
      <c r="AY414" t="s">
        <v>3595</v>
      </c>
      <c r="AZ414" t="s">
        <v>3605</v>
      </c>
      <c r="BA414" t="s">
        <v>3606</v>
      </c>
    </row>
    <row r="415" spans="1:53" ht="15" customHeight="1" x14ac:dyDescent="0.2">
      <c r="A415" t="s">
        <v>5263</v>
      </c>
      <c r="B415" t="s">
        <v>4537</v>
      </c>
      <c r="C415" t="s">
        <v>5228</v>
      </c>
      <c r="D415">
        <v>68529725</v>
      </c>
      <c r="E415" s="5">
        <v>45728</v>
      </c>
      <c r="F415" s="5">
        <v>45730.12777777778</v>
      </c>
      <c r="G415" s="4" t="s">
        <v>460</v>
      </c>
      <c r="H415" s="49">
        <v>854100</v>
      </c>
      <c r="I415" s="49">
        <v>0</v>
      </c>
      <c r="J415" s="50">
        <v>854100</v>
      </c>
      <c r="K415" t="s">
        <v>2615</v>
      </c>
      <c r="L415" s="4" t="s">
        <v>461</v>
      </c>
      <c r="M415" t="s">
        <v>351</v>
      </c>
      <c r="N415" s="2">
        <v>52875741</v>
      </c>
      <c r="O415" t="s">
        <v>3616</v>
      </c>
      <c r="P415" t="s">
        <v>316</v>
      </c>
      <c r="Q415" t="s">
        <v>317</v>
      </c>
      <c r="R415">
        <v>488446727510</v>
      </c>
      <c r="S415" t="s">
        <v>319</v>
      </c>
      <c r="T415">
        <v>860034313</v>
      </c>
      <c r="U415" t="s">
        <v>355</v>
      </c>
      <c r="V415">
        <v>923218</v>
      </c>
      <c r="W415" t="s">
        <v>118</v>
      </c>
      <c r="X415" s="2" t="s">
        <v>119</v>
      </c>
      <c r="Y415" t="s">
        <v>120</v>
      </c>
      <c r="Z415" t="s">
        <v>47</v>
      </c>
      <c r="AA415" t="s">
        <v>121</v>
      </c>
      <c r="AB415" t="s">
        <v>33</v>
      </c>
      <c r="AC415" s="51">
        <v>854100</v>
      </c>
      <c r="AD415">
        <v>0</v>
      </c>
      <c r="AE415" s="4">
        <v>0</v>
      </c>
      <c r="AF415" s="4">
        <v>0</v>
      </c>
      <c r="AG415" t="s">
        <v>462</v>
      </c>
      <c r="AH415">
        <v>0</v>
      </c>
      <c r="AI415">
        <v>0</v>
      </c>
      <c r="AJ415" s="2" t="s">
        <v>463</v>
      </c>
      <c r="AK415" s="2">
        <v>0</v>
      </c>
      <c r="AL415">
        <v>0</v>
      </c>
      <c r="AM415">
        <v>0</v>
      </c>
      <c r="AN415">
        <v>0</v>
      </c>
      <c r="AO415">
        <v>0</v>
      </c>
      <c r="AP415">
        <v>2325</v>
      </c>
      <c r="AQ415">
        <v>2325</v>
      </c>
      <c r="AR415">
        <v>45625</v>
      </c>
      <c r="AS415">
        <v>0</v>
      </c>
      <c r="AT415">
        <v>0</v>
      </c>
      <c r="AU415">
        <v>42225</v>
      </c>
      <c r="AV415">
        <v>68529725</v>
      </c>
      <c r="AW415">
        <v>0</v>
      </c>
      <c r="AX415" s="5">
        <v>45726</v>
      </c>
      <c r="AY415" t="s">
        <v>3595</v>
      </c>
      <c r="AZ415" t="s">
        <v>3605</v>
      </c>
      <c r="BA415" t="s">
        <v>3606</v>
      </c>
    </row>
    <row r="416" spans="1:53" ht="15" customHeight="1" x14ac:dyDescent="0.2">
      <c r="A416" t="s">
        <v>5264</v>
      </c>
      <c r="B416" t="s">
        <v>4538</v>
      </c>
      <c r="C416" t="s">
        <v>5228</v>
      </c>
      <c r="D416">
        <v>68529825</v>
      </c>
      <c r="E416" s="5">
        <v>45728</v>
      </c>
      <c r="F416" s="5">
        <v>45730.12777777778</v>
      </c>
      <c r="G416" s="4" t="s">
        <v>460</v>
      </c>
      <c r="H416" s="49">
        <v>854100</v>
      </c>
      <c r="I416" s="49">
        <v>0</v>
      </c>
      <c r="J416" s="50">
        <v>854100</v>
      </c>
      <c r="K416" t="s">
        <v>2615</v>
      </c>
      <c r="L416" s="4" t="s">
        <v>461</v>
      </c>
      <c r="M416" t="s">
        <v>351</v>
      </c>
      <c r="N416" s="2">
        <v>39671704</v>
      </c>
      <c r="O416" t="s">
        <v>3621</v>
      </c>
      <c r="P416" t="s">
        <v>316</v>
      </c>
      <c r="Q416" t="s">
        <v>317</v>
      </c>
      <c r="R416">
        <v>488446692508</v>
      </c>
      <c r="S416" t="s">
        <v>319</v>
      </c>
      <c r="T416">
        <v>860034313</v>
      </c>
      <c r="U416" t="s">
        <v>355</v>
      </c>
      <c r="V416">
        <v>923218</v>
      </c>
      <c r="W416" t="s">
        <v>118</v>
      </c>
      <c r="X416" s="2" t="s">
        <v>119</v>
      </c>
      <c r="Y416" t="s">
        <v>120</v>
      </c>
      <c r="Z416" t="s">
        <v>47</v>
      </c>
      <c r="AA416" t="s">
        <v>121</v>
      </c>
      <c r="AB416" t="s">
        <v>33</v>
      </c>
      <c r="AC416" s="51">
        <v>854100</v>
      </c>
      <c r="AD416">
        <v>0</v>
      </c>
      <c r="AE416" s="4">
        <v>0</v>
      </c>
      <c r="AF416" s="4">
        <v>0</v>
      </c>
      <c r="AG416" t="s">
        <v>462</v>
      </c>
      <c r="AH416">
        <v>0</v>
      </c>
      <c r="AI416">
        <v>0</v>
      </c>
      <c r="AJ416" s="2" t="s">
        <v>463</v>
      </c>
      <c r="AK416" s="2">
        <v>0</v>
      </c>
      <c r="AL416">
        <v>0</v>
      </c>
      <c r="AM416">
        <v>0</v>
      </c>
      <c r="AN416">
        <v>0</v>
      </c>
      <c r="AO416">
        <v>0</v>
      </c>
      <c r="AP416">
        <v>2325</v>
      </c>
      <c r="AQ416">
        <v>2325</v>
      </c>
      <c r="AR416">
        <v>45725</v>
      </c>
      <c r="AS416">
        <v>0</v>
      </c>
      <c r="AT416">
        <v>0</v>
      </c>
      <c r="AU416">
        <v>42325</v>
      </c>
      <c r="AV416">
        <v>68529825</v>
      </c>
      <c r="AW416">
        <v>0</v>
      </c>
      <c r="AX416" s="5">
        <v>45726</v>
      </c>
      <c r="AY416" t="s">
        <v>3595</v>
      </c>
      <c r="AZ416" t="s">
        <v>3605</v>
      </c>
      <c r="BA416" t="s">
        <v>3606</v>
      </c>
    </row>
    <row r="417" spans="1:53" ht="15" customHeight="1" x14ac:dyDescent="0.2">
      <c r="A417" t="s">
        <v>5265</v>
      </c>
      <c r="B417" t="s">
        <v>4539</v>
      </c>
      <c r="C417" t="s">
        <v>5228</v>
      </c>
      <c r="D417">
        <v>68529925</v>
      </c>
      <c r="E417" s="5">
        <v>45728</v>
      </c>
      <c r="F417" s="5">
        <v>45730.12777777778</v>
      </c>
      <c r="G417" s="4" t="s">
        <v>460</v>
      </c>
      <c r="H417" s="49">
        <v>854100</v>
      </c>
      <c r="I417" s="49">
        <v>0</v>
      </c>
      <c r="J417" s="50">
        <v>854100</v>
      </c>
      <c r="K417" t="s">
        <v>2615</v>
      </c>
      <c r="L417" s="4" t="s">
        <v>461</v>
      </c>
      <c r="M417" t="s">
        <v>351</v>
      </c>
      <c r="N417" s="2">
        <v>1072194174</v>
      </c>
      <c r="O417" t="s">
        <v>3625</v>
      </c>
      <c r="P417" t="s">
        <v>316</v>
      </c>
      <c r="Q417" t="s">
        <v>317</v>
      </c>
      <c r="R417">
        <v>488446692847</v>
      </c>
      <c r="S417" t="s">
        <v>319</v>
      </c>
      <c r="T417">
        <v>860034313</v>
      </c>
      <c r="U417" t="s">
        <v>355</v>
      </c>
      <c r="V417">
        <v>923218</v>
      </c>
      <c r="W417" t="s">
        <v>118</v>
      </c>
      <c r="X417" s="2" t="s">
        <v>119</v>
      </c>
      <c r="Y417" t="s">
        <v>120</v>
      </c>
      <c r="Z417" t="s">
        <v>47</v>
      </c>
      <c r="AA417" t="s">
        <v>121</v>
      </c>
      <c r="AB417" t="s">
        <v>33</v>
      </c>
      <c r="AC417" s="51">
        <v>854100</v>
      </c>
      <c r="AD417">
        <v>0</v>
      </c>
      <c r="AE417" s="4">
        <v>0</v>
      </c>
      <c r="AF417" s="4">
        <v>0</v>
      </c>
      <c r="AG417" t="s">
        <v>462</v>
      </c>
      <c r="AH417">
        <v>0</v>
      </c>
      <c r="AI417">
        <v>0</v>
      </c>
      <c r="AJ417" s="2" t="s">
        <v>463</v>
      </c>
      <c r="AK417" s="2">
        <v>0</v>
      </c>
      <c r="AL417">
        <v>0</v>
      </c>
      <c r="AM417">
        <v>0</v>
      </c>
      <c r="AN417">
        <v>0</v>
      </c>
      <c r="AO417">
        <v>0</v>
      </c>
      <c r="AP417">
        <v>2325</v>
      </c>
      <c r="AQ417">
        <v>2325</v>
      </c>
      <c r="AR417">
        <v>45825</v>
      </c>
      <c r="AS417">
        <v>0</v>
      </c>
      <c r="AT417">
        <v>0</v>
      </c>
      <c r="AU417">
        <v>42425</v>
      </c>
      <c r="AV417">
        <v>68529925</v>
      </c>
      <c r="AW417">
        <v>0</v>
      </c>
      <c r="AX417" s="5">
        <v>45726</v>
      </c>
      <c r="AY417" t="s">
        <v>3595</v>
      </c>
      <c r="AZ417" t="s">
        <v>3605</v>
      </c>
      <c r="BA417" t="s">
        <v>3606</v>
      </c>
    </row>
    <row r="418" spans="1:53" ht="15" customHeight="1" x14ac:dyDescent="0.2">
      <c r="A418" t="s">
        <v>5266</v>
      </c>
      <c r="B418" t="s">
        <v>4540</v>
      </c>
      <c r="C418" t="s">
        <v>5228</v>
      </c>
      <c r="D418">
        <v>68530025</v>
      </c>
      <c r="E418" s="5">
        <v>45728</v>
      </c>
      <c r="F418" s="5">
        <v>45730.116666666669</v>
      </c>
      <c r="G418" s="4" t="s">
        <v>460</v>
      </c>
      <c r="H418" s="49">
        <v>854100</v>
      </c>
      <c r="I418" s="49">
        <v>0</v>
      </c>
      <c r="J418" s="50">
        <v>854100</v>
      </c>
      <c r="K418" t="s">
        <v>2615</v>
      </c>
      <c r="L418" s="4" t="s">
        <v>461</v>
      </c>
      <c r="M418" t="s">
        <v>351</v>
      </c>
      <c r="N418" s="2">
        <v>1020798098</v>
      </c>
      <c r="O418" t="s">
        <v>3629</v>
      </c>
      <c r="P418" t="s">
        <v>316</v>
      </c>
      <c r="Q418" t="s">
        <v>317</v>
      </c>
      <c r="R418">
        <v>93240918844</v>
      </c>
      <c r="S418" t="s">
        <v>319</v>
      </c>
      <c r="T418">
        <v>890903938</v>
      </c>
      <c r="U418" t="s">
        <v>342</v>
      </c>
      <c r="V418">
        <v>923218</v>
      </c>
      <c r="W418" t="s">
        <v>118</v>
      </c>
      <c r="X418" s="2" t="s">
        <v>119</v>
      </c>
      <c r="Y418" t="s">
        <v>120</v>
      </c>
      <c r="Z418" t="s">
        <v>47</v>
      </c>
      <c r="AA418" t="s">
        <v>121</v>
      </c>
      <c r="AB418" t="s">
        <v>33</v>
      </c>
      <c r="AC418" s="51">
        <v>854100</v>
      </c>
      <c r="AD418">
        <v>0</v>
      </c>
      <c r="AE418" s="4">
        <v>0</v>
      </c>
      <c r="AF418" s="4">
        <v>0</v>
      </c>
      <c r="AG418" t="s">
        <v>462</v>
      </c>
      <c r="AH418">
        <v>0</v>
      </c>
      <c r="AI418">
        <v>0</v>
      </c>
      <c r="AJ418" s="2" t="s">
        <v>463</v>
      </c>
      <c r="AK418" s="2">
        <v>0</v>
      </c>
      <c r="AL418">
        <v>0</v>
      </c>
      <c r="AM418">
        <v>0</v>
      </c>
      <c r="AN418">
        <v>0</v>
      </c>
      <c r="AO418">
        <v>0</v>
      </c>
      <c r="AP418">
        <v>2325</v>
      </c>
      <c r="AQ418">
        <v>2325</v>
      </c>
      <c r="AR418">
        <v>45925</v>
      </c>
      <c r="AS418">
        <v>0</v>
      </c>
      <c r="AT418">
        <v>0</v>
      </c>
      <c r="AU418">
        <v>42525</v>
      </c>
      <c r="AV418">
        <v>68530025</v>
      </c>
      <c r="AW418">
        <v>0</v>
      </c>
      <c r="AX418" s="5">
        <v>45726</v>
      </c>
      <c r="AY418" t="s">
        <v>3595</v>
      </c>
      <c r="AZ418" t="s">
        <v>3605</v>
      </c>
      <c r="BA418" t="s">
        <v>3606</v>
      </c>
    </row>
    <row r="419" spans="1:53" ht="15" customHeight="1" x14ac:dyDescent="0.2">
      <c r="A419" t="s">
        <v>5267</v>
      </c>
      <c r="B419" t="s">
        <v>4541</v>
      </c>
      <c r="C419" t="s">
        <v>5228</v>
      </c>
      <c r="D419">
        <v>68530125</v>
      </c>
      <c r="E419" s="5">
        <v>45728</v>
      </c>
      <c r="F419" s="5">
        <v>45730.12777777778</v>
      </c>
      <c r="G419" s="4" t="s">
        <v>460</v>
      </c>
      <c r="H419" s="49">
        <v>854100</v>
      </c>
      <c r="I419" s="49">
        <v>0</v>
      </c>
      <c r="J419" s="50">
        <v>854100</v>
      </c>
      <c r="K419" t="s">
        <v>2615</v>
      </c>
      <c r="L419" s="4" t="s">
        <v>461</v>
      </c>
      <c r="M419" t="s">
        <v>351</v>
      </c>
      <c r="N419" s="2">
        <v>1024521632</v>
      </c>
      <c r="O419" t="s">
        <v>3634</v>
      </c>
      <c r="P419" t="s">
        <v>316</v>
      </c>
      <c r="Q419" t="s">
        <v>317</v>
      </c>
      <c r="R419">
        <v>456870025545</v>
      </c>
      <c r="S419" t="s">
        <v>319</v>
      </c>
      <c r="T419">
        <v>860034313</v>
      </c>
      <c r="U419" t="s">
        <v>355</v>
      </c>
      <c r="V419">
        <v>923218</v>
      </c>
      <c r="W419" t="s">
        <v>118</v>
      </c>
      <c r="X419" s="2" t="s">
        <v>119</v>
      </c>
      <c r="Y419" t="s">
        <v>120</v>
      </c>
      <c r="Z419" t="s">
        <v>47</v>
      </c>
      <c r="AA419" t="s">
        <v>121</v>
      </c>
      <c r="AB419" t="s">
        <v>33</v>
      </c>
      <c r="AC419" s="51">
        <v>854100</v>
      </c>
      <c r="AD419">
        <v>0</v>
      </c>
      <c r="AE419" s="4">
        <v>0</v>
      </c>
      <c r="AF419" s="4">
        <v>0</v>
      </c>
      <c r="AG419" t="s">
        <v>462</v>
      </c>
      <c r="AH419">
        <v>0</v>
      </c>
      <c r="AI419">
        <v>0</v>
      </c>
      <c r="AJ419" s="2" t="s">
        <v>463</v>
      </c>
      <c r="AK419" s="2">
        <v>0</v>
      </c>
      <c r="AL419">
        <v>0</v>
      </c>
      <c r="AM419">
        <v>0</v>
      </c>
      <c r="AN419">
        <v>0</v>
      </c>
      <c r="AO419">
        <v>0</v>
      </c>
      <c r="AP419">
        <v>2325</v>
      </c>
      <c r="AQ419">
        <v>2325</v>
      </c>
      <c r="AR419">
        <v>46025</v>
      </c>
      <c r="AS419">
        <v>0</v>
      </c>
      <c r="AT419">
        <v>0</v>
      </c>
      <c r="AU419">
        <v>42625</v>
      </c>
      <c r="AV419">
        <v>68530125</v>
      </c>
      <c r="AW419">
        <v>0</v>
      </c>
      <c r="AX419" s="5">
        <v>45726</v>
      </c>
      <c r="AY419" t="s">
        <v>3595</v>
      </c>
      <c r="AZ419" t="s">
        <v>3605</v>
      </c>
      <c r="BA419" t="s">
        <v>3606</v>
      </c>
    </row>
    <row r="420" spans="1:53" ht="15" customHeight="1" x14ac:dyDescent="0.2">
      <c r="A420" t="s">
        <v>5268</v>
      </c>
      <c r="B420" t="s">
        <v>4542</v>
      </c>
      <c r="C420" t="s">
        <v>5228</v>
      </c>
      <c r="D420">
        <v>68530225</v>
      </c>
      <c r="E420" s="5">
        <v>45728</v>
      </c>
      <c r="F420" s="5">
        <v>45730.116666666669</v>
      </c>
      <c r="G420" s="4" t="s">
        <v>460</v>
      </c>
      <c r="H420" s="49">
        <v>854100</v>
      </c>
      <c r="I420" s="49">
        <v>0</v>
      </c>
      <c r="J420" s="50">
        <v>854100</v>
      </c>
      <c r="K420" t="s">
        <v>2615</v>
      </c>
      <c r="L420" s="4" t="s">
        <v>461</v>
      </c>
      <c r="M420" t="s">
        <v>351</v>
      </c>
      <c r="N420" s="2">
        <v>40770881</v>
      </c>
      <c r="O420" t="s">
        <v>3639</v>
      </c>
      <c r="P420" t="s">
        <v>316</v>
      </c>
      <c r="Q420" t="s">
        <v>317</v>
      </c>
      <c r="R420">
        <v>87070415463</v>
      </c>
      <c r="S420" t="s">
        <v>319</v>
      </c>
      <c r="T420">
        <v>890903938</v>
      </c>
      <c r="U420" t="s">
        <v>342</v>
      </c>
      <c r="V420">
        <v>923218</v>
      </c>
      <c r="W420" t="s">
        <v>118</v>
      </c>
      <c r="X420" s="2" t="s">
        <v>119</v>
      </c>
      <c r="Y420" t="s">
        <v>120</v>
      </c>
      <c r="Z420" t="s">
        <v>47</v>
      </c>
      <c r="AA420" t="s">
        <v>121</v>
      </c>
      <c r="AB420" t="s">
        <v>33</v>
      </c>
      <c r="AC420" s="51">
        <v>854100</v>
      </c>
      <c r="AD420">
        <v>0</v>
      </c>
      <c r="AE420" s="4">
        <v>0</v>
      </c>
      <c r="AF420" s="4">
        <v>0</v>
      </c>
      <c r="AG420" t="s">
        <v>462</v>
      </c>
      <c r="AH420">
        <v>0</v>
      </c>
      <c r="AI420">
        <v>0</v>
      </c>
      <c r="AJ420" s="2" t="s">
        <v>463</v>
      </c>
      <c r="AK420" s="2">
        <v>0</v>
      </c>
      <c r="AL420">
        <v>0</v>
      </c>
      <c r="AM420">
        <v>0</v>
      </c>
      <c r="AN420">
        <v>0</v>
      </c>
      <c r="AO420">
        <v>0</v>
      </c>
      <c r="AP420">
        <v>2325</v>
      </c>
      <c r="AQ420">
        <v>2325</v>
      </c>
      <c r="AR420">
        <v>46125</v>
      </c>
      <c r="AS420">
        <v>0</v>
      </c>
      <c r="AT420">
        <v>0</v>
      </c>
      <c r="AU420">
        <v>42725</v>
      </c>
      <c r="AV420">
        <v>68530225</v>
      </c>
      <c r="AW420">
        <v>0</v>
      </c>
      <c r="AX420" s="5">
        <v>45726</v>
      </c>
      <c r="AY420" t="s">
        <v>3595</v>
      </c>
      <c r="AZ420" t="s">
        <v>3605</v>
      </c>
      <c r="BA420" t="s">
        <v>3606</v>
      </c>
    </row>
    <row r="421" spans="1:53" ht="15" customHeight="1" x14ac:dyDescent="0.2">
      <c r="A421" t="s">
        <v>5269</v>
      </c>
      <c r="B421" t="s">
        <v>4543</v>
      </c>
      <c r="C421" t="s">
        <v>5228</v>
      </c>
      <c r="D421">
        <v>68530325</v>
      </c>
      <c r="E421" s="5">
        <v>45728</v>
      </c>
      <c r="F421" s="5">
        <v>45730.12777777778</v>
      </c>
      <c r="G421" s="4" t="s">
        <v>460</v>
      </c>
      <c r="H421" s="49">
        <v>854100</v>
      </c>
      <c r="I421" s="49">
        <v>0</v>
      </c>
      <c r="J421" s="50">
        <v>854100</v>
      </c>
      <c r="K421" t="s">
        <v>2615</v>
      </c>
      <c r="L421" s="4" t="s">
        <v>461</v>
      </c>
      <c r="M421" t="s">
        <v>351</v>
      </c>
      <c r="N421" s="2">
        <v>51720650</v>
      </c>
      <c r="O421" t="s">
        <v>3644</v>
      </c>
      <c r="P421" t="s">
        <v>316</v>
      </c>
      <c r="Q421" t="s">
        <v>317</v>
      </c>
      <c r="R421">
        <v>488446692177</v>
      </c>
      <c r="S421" t="s">
        <v>319</v>
      </c>
      <c r="T421">
        <v>860034313</v>
      </c>
      <c r="U421" t="s">
        <v>355</v>
      </c>
      <c r="V421">
        <v>923218</v>
      </c>
      <c r="W421" t="s">
        <v>118</v>
      </c>
      <c r="X421" s="2" t="s">
        <v>119</v>
      </c>
      <c r="Y421" t="s">
        <v>120</v>
      </c>
      <c r="Z421" t="s">
        <v>47</v>
      </c>
      <c r="AA421" t="s">
        <v>121</v>
      </c>
      <c r="AB421" t="s">
        <v>33</v>
      </c>
      <c r="AC421" s="51">
        <v>854100</v>
      </c>
      <c r="AD421">
        <v>0</v>
      </c>
      <c r="AE421" s="4">
        <v>0</v>
      </c>
      <c r="AF421" s="4">
        <v>0</v>
      </c>
      <c r="AG421" t="s">
        <v>462</v>
      </c>
      <c r="AH421">
        <v>0</v>
      </c>
      <c r="AI421">
        <v>0</v>
      </c>
      <c r="AJ421" s="2" t="s">
        <v>463</v>
      </c>
      <c r="AK421" s="2">
        <v>0</v>
      </c>
      <c r="AL421">
        <v>0</v>
      </c>
      <c r="AM421">
        <v>0</v>
      </c>
      <c r="AN421">
        <v>0</v>
      </c>
      <c r="AO421">
        <v>0</v>
      </c>
      <c r="AP421">
        <v>2325</v>
      </c>
      <c r="AQ421">
        <v>2325</v>
      </c>
      <c r="AR421">
        <v>46225</v>
      </c>
      <c r="AS421">
        <v>0</v>
      </c>
      <c r="AT421">
        <v>0</v>
      </c>
      <c r="AU421">
        <v>42825</v>
      </c>
      <c r="AV421">
        <v>68530325</v>
      </c>
      <c r="AW421">
        <v>0</v>
      </c>
      <c r="AX421" s="5">
        <v>45726</v>
      </c>
      <c r="AY421" t="s">
        <v>3595</v>
      </c>
      <c r="AZ421" t="s">
        <v>3605</v>
      </c>
      <c r="BA421" t="s">
        <v>3606</v>
      </c>
    </row>
    <row r="422" spans="1:53" ht="15" customHeight="1" x14ac:dyDescent="0.2">
      <c r="A422" t="s">
        <v>5270</v>
      </c>
      <c r="B422" t="s">
        <v>4544</v>
      </c>
      <c r="C422" t="s">
        <v>5228</v>
      </c>
      <c r="D422">
        <v>68530425</v>
      </c>
      <c r="E422" s="5">
        <v>45728</v>
      </c>
      <c r="F422" s="5">
        <v>45730.116666666669</v>
      </c>
      <c r="G422" s="4" t="s">
        <v>460</v>
      </c>
      <c r="H422" s="49">
        <v>854100</v>
      </c>
      <c r="I422" s="49">
        <v>0</v>
      </c>
      <c r="J422" s="50">
        <v>854100</v>
      </c>
      <c r="K422" t="s">
        <v>2615</v>
      </c>
      <c r="L422" s="4" t="s">
        <v>461</v>
      </c>
      <c r="M422" t="s">
        <v>3589</v>
      </c>
      <c r="N422" s="2">
        <v>1072190235</v>
      </c>
      <c r="O422" t="s">
        <v>3649</v>
      </c>
      <c r="P422" t="s">
        <v>316</v>
      </c>
      <c r="Q422" t="s">
        <v>317</v>
      </c>
      <c r="R422">
        <v>94570418364</v>
      </c>
      <c r="S422" t="s">
        <v>319</v>
      </c>
      <c r="T422">
        <v>890903938</v>
      </c>
      <c r="U422" t="s">
        <v>342</v>
      </c>
      <c r="V422">
        <v>923218</v>
      </c>
      <c r="W422" t="s">
        <v>118</v>
      </c>
      <c r="X422" s="2" t="s">
        <v>119</v>
      </c>
      <c r="Y422" t="s">
        <v>120</v>
      </c>
      <c r="Z422" t="s">
        <v>47</v>
      </c>
      <c r="AA422" t="s">
        <v>121</v>
      </c>
      <c r="AB422" t="s">
        <v>33</v>
      </c>
      <c r="AC422" s="51">
        <v>854100</v>
      </c>
      <c r="AD422">
        <v>0</v>
      </c>
      <c r="AE422" s="4">
        <v>0</v>
      </c>
      <c r="AF422" s="4">
        <v>0</v>
      </c>
      <c r="AG422" t="s">
        <v>462</v>
      </c>
      <c r="AH422">
        <v>0</v>
      </c>
      <c r="AI422">
        <v>0</v>
      </c>
      <c r="AJ422" s="2" t="s">
        <v>463</v>
      </c>
      <c r="AK422" s="2">
        <v>0</v>
      </c>
      <c r="AL422">
        <v>0</v>
      </c>
      <c r="AM422">
        <v>0</v>
      </c>
      <c r="AN422">
        <v>0</v>
      </c>
      <c r="AO422">
        <v>0</v>
      </c>
      <c r="AP422">
        <v>2325</v>
      </c>
      <c r="AQ422">
        <v>2325</v>
      </c>
      <c r="AR422">
        <v>46325</v>
      </c>
      <c r="AS422">
        <v>0</v>
      </c>
      <c r="AT422">
        <v>0</v>
      </c>
      <c r="AU422">
        <v>42925</v>
      </c>
      <c r="AV422">
        <v>68530425</v>
      </c>
      <c r="AW422">
        <v>0</v>
      </c>
      <c r="AX422" s="5">
        <v>45726</v>
      </c>
      <c r="AY422" t="s">
        <v>3595</v>
      </c>
      <c r="AZ422" t="s">
        <v>3605</v>
      </c>
      <c r="BA422" t="s">
        <v>3606</v>
      </c>
    </row>
    <row r="423" spans="1:53" ht="15" customHeight="1" x14ac:dyDescent="0.2">
      <c r="A423" t="s">
        <v>5271</v>
      </c>
      <c r="B423" t="s">
        <v>4545</v>
      </c>
      <c r="C423" t="s">
        <v>5228</v>
      </c>
      <c r="D423">
        <v>68530525</v>
      </c>
      <c r="E423" s="5">
        <v>45728</v>
      </c>
      <c r="F423" s="5">
        <v>45730.12777777778</v>
      </c>
      <c r="G423" s="4" t="s">
        <v>460</v>
      </c>
      <c r="H423" s="49">
        <v>854100</v>
      </c>
      <c r="I423" s="49">
        <v>0</v>
      </c>
      <c r="J423" s="50">
        <v>854100</v>
      </c>
      <c r="K423" t="s">
        <v>2615</v>
      </c>
      <c r="L423" s="4" t="s">
        <v>461</v>
      </c>
      <c r="M423" t="s">
        <v>351</v>
      </c>
      <c r="N423" s="2">
        <v>53041854</v>
      </c>
      <c r="O423" t="s">
        <v>3654</v>
      </c>
      <c r="P423" t="s">
        <v>316</v>
      </c>
      <c r="Q423" t="s">
        <v>317</v>
      </c>
      <c r="R423">
        <v>8200708934</v>
      </c>
      <c r="S423" t="s">
        <v>319</v>
      </c>
      <c r="T423">
        <v>860034313</v>
      </c>
      <c r="U423" t="s">
        <v>355</v>
      </c>
      <c r="V423">
        <v>923218</v>
      </c>
      <c r="W423" t="s">
        <v>118</v>
      </c>
      <c r="X423" s="2" t="s">
        <v>119</v>
      </c>
      <c r="Y423" t="s">
        <v>120</v>
      </c>
      <c r="Z423" t="s">
        <v>47</v>
      </c>
      <c r="AA423" t="s">
        <v>121</v>
      </c>
      <c r="AB423" t="s">
        <v>33</v>
      </c>
      <c r="AC423" s="51">
        <v>854100</v>
      </c>
      <c r="AD423">
        <v>0</v>
      </c>
      <c r="AE423" s="4">
        <v>0</v>
      </c>
      <c r="AF423" s="4">
        <v>0</v>
      </c>
      <c r="AG423" t="s">
        <v>462</v>
      </c>
      <c r="AH423">
        <v>0</v>
      </c>
      <c r="AI423">
        <v>0</v>
      </c>
      <c r="AJ423" s="2" t="s">
        <v>463</v>
      </c>
      <c r="AK423" s="2">
        <v>0</v>
      </c>
      <c r="AL423">
        <v>0</v>
      </c>
      <c r="AM423">
        <v>0</v>
      </c>
      <c r="AN423">
        <v>0</v>
      </c>
      <c r="AO423">
        <v>0</v>
      </c>
      <c r="AP423">
        <v>2325</v>
      </c>
      <c r="AQ423">
        <v>2325</v>
      </c>
      <c r="AR423">
        <v>46425</v>
      </c>
      <c r="AS423">
        <v>0</v>
      </c>
      <c r="AT423">
        <v>0</v>
      </c>
      <c r="AU423">
        <v>43025</v>
      </c>
      <c r="AV423">
        <v>68530525</v>
      </c>
      <c r="AW423">
        <v>0</v>
      </c>
      <c r="AX423" s="5">
        <v>45726</v>
      </c>
      <c r="AY423" t="s">
        <v>3595</v>
      </c>
      <c r="AZ423" t="s">
        <v>3605</v>
      </c>
      <c r="BA423" t="s">
        <v>3606</v>
      </c>
    </row>
    <row r="424" spans="1:53" ht="15" customHeight="1" x14ac:dyDescent="0.2">
      <c r="A424" t="s">
        <v>5272</v>
      </c>
      <c r="B424" t="s">
        <v>4546</v>
      </c>
      <c r="C424" t="s">
        <v>5228</v>
      </c>
      <c r="D424">
        <v>68530625</v>
      </c>
      <c r="E424" s="5">
        <v>45728</v>
      </c>
      <c r="F424" s="5">
        <v>45730.12777777778</v>
      </c>
      <c r="G424" s="4" t="s">
        <v>460</v>
      </c>
      <c r="H424" s="49">
        <v>854100</v>
      </c>
      <c r="I424" s="49">
        <v>0</v>
      </c>
      <c r="J424" s="50">
        <v>854100</v>
      </c>
      <c r="K424" t="s">
        <v>2615</v>
      </c>
      <c r="L424" s="4" t="s">
        <v>461</v>
      </c>
      <c r="M424" t="s">
        <v>351</v>
      </c>
      <c r="N424" s="2">
        <v>79757881</v>
      </c>
      <c r="O424" t="s">
        <v>3659</v>
      </c>
      <c r="P424" t="s">
        <v>316</v>
      </c>
      <c r="Q424" t="s">
        <v>317</v>
      </c>
      <c r="R424">
        <v>488446694660</v>
      </c>
      <c r="S424" t="s">
        <v>319</v>
      </c>
      <c r="T424">
        <v>860034313</v>
      </c>
      <c r="U424" t="s">
        <v>355</v>
      </c>
      <c r="V424">
        <v>923218</v>
      </c>
      <c r="W424" t="s">
        <v>118</v>
      </c>
      <c r="X424" s="2" t="s">
        <v>119</v>
      </c>
      <c r="Y424" t="s">
        <v>120</v>
      </c>
      <c r="Z424" t="s">
        <v>47</v>
      </c>
      <c r="AA424" t="s">
        <v>121</v>
      </c>
      <c r="AB424" t="s">
        <v>33</v>
      </c>
      <c r="AC424" s="51">
        <v>854100</v>
      </c>
      <c r="AD424">
        <v>0</v>
      </c>
      <c r="AE424" s="4">
        <v>0</v>
      </c>
      <c r="AF424" s="4">
        <v>0</v>
      </c>
      <c r="AG424" t="s">
        <v>462</v>
      </c>
      <c r="AH424">
        <v>0</v>
      </c>
      <c r="AI424">
        <v>0</v>
      </c>
      <c r="AJ424" s="2" t="s">
        <v>463</v>
      </c>
      <c r="AK424" s="2">
        <v>0</v>
      </c>
      <c r="AL424">
        <v>0</v>
      </c>
      <c r="AM424">
        <v>0</v>
      </c>
      <c r="AN424">
        <v>0</v>
      </c>
      <c r="AO424">
        <v>0</v>
      </c>
      <c r="AP424">
        <v>2325</v>
      </c>
      <c r="AQ424">
        <v>2325</v>
      </c>
      <c r="AR424">
        <v>46525</v>
      </c>
      <c r="AS424">
        <v>0</v>
      </c>
      <c r="AT424">
        <v>0</v>
      </c>
      <c r="AU424">
        <v>43125</v>
      </c>
      <c r="AV424">
        <v>68530625</v>
      </c>
      <c r="AW424">
        <v>0</v>
      </c>
      <c r="AX424" s="5">
        <v>45726</v>
      </c>
      <c r="AY424" t="s">
        <v>3595</v>
      </c>
      <c r="AZ424" t="s">
        <v>3605</v>
      </c>
      <c r="BA424" t="s">
        <v>3606</v>
      </c>
    </row>
    <row r="425" spans="1:53" ht="15" customHeight="1" x14ac:dyDescent="0.2">
      <c r="A425" t="s">
        <v>5273</v>
      </c>
      <c r="B425" t="s">
        <v>4547</v>
      </c>
      <c r="C425" t="s">
        <v>5228</v>
      </c>
      <c r="D425">
        <v>68530725</v>
      </c>
      <c r="E425" s="5">
        <v>45728</v>
      </c>
      <c r="F425" s="5">
        <v>45730.12777777778</v>
      </c>
      <c r="G425" s="4" t="s">
        <v>460</v>
      </c>
      <c r="H425" s="49">
        <v>854100</v>
      </c>
      <c r="I425" s="49">
        <v>0</v>
      </c>
      <c r="J425" s="50">
        <v>854100</v>
      </c>
      <c r="K425" t="s">
        <v>2615</v>
      </c>
      <c r="L425" s="4" t="s">
        <v>461</v>
      </c>
      <c r="M425" t="s">
        <v>351</v>
      </c>
      <c r="N425" s="2">
        <v>1007664842</v>
      </c>
      <c r="O425" t="s">
        <v>3664</v>
      </c>
      <c r="P425" t="s">
        <v>316</v>
      </c>
      <c r="Q425" t="s">
        <v>317</v>
      </c>
      <c r="R425">
        <v>488446692748</v>
      </c>
      <c r="S425" t="s">
        <v>319</v>
      </c>
      <c r="T425">
        <v>860034313</v>
      </c>
      <c r="U425" t="s">
        <v>355</v>
      </c>
      <c r="V425">
        <v>923218</v>
      </c>
      <c r="W425" t="s">
        <v>118</v>
      </c>
      <c r="X425" s="2" t="s">
        <v>119</v>
      </c>
      <c r="Y425" t="s">
        <v>120</v>
      </c>
      <c r="Z425" t="s">
        <v>47</v>
      </c>
      <c r="AA425" t="s">
        <v>121</v>
      </c>
      <c r="AB425" t="s">
        <v>33</v>
      </c>
      <c r="AC425" s="51">
        <v>854100</v>
      </c>
      <c r="AD425">
        <v>0</v>
      </c>
      <c r="AE425" s="4">
        <v>0</v>
      </c>
      <c r="AF425" s="4">
        <v>0</v>
      </c>
      <c r="AG425" t="s">
        <v>462</v>
      </c>
      <c r="AH425">
        <v>0</v>
      </c>
      <c r="AI425">
        <v>0</v>
      </c>
      <c r="AJ425" s="2" t="s">
        <v>463</v>
      </c>
      <c r="AK425" s="2">
        <v>0</v>
      </c>
      <c r="AL425">
        <v>0</v>
      </c>
      <c r="AM425">
        <v>0</v>
      </c>
      <c r="AN425">
        <v>0</v>
      </c>
      <c r="AO425">
        <v>0</v>
      </c>
      <c r="AP425">
        <v>2325</v>
      </c>
      <c r="AQ425">
        <v>2325</v>
      </c>
      <c r="AR425">
        <v>46625</v>
      </c>
      <c r="AS425">
        <v>0</v>
      </c>
      <c r="AT425">
        <v>0</v>
      </c>
      <c r="AU425">
        <v>43225</v>
      </c>
      <c r="AV425">
        <v>68530725</v>
      </c>
      <c r="AW425">
        <v>0</v>
      </c>
      <c r="AX425" s="5">
        <v>45726</v>
      </c>
      <c r="AY425" t="s">
        <v>3595</v>
      </c>
      <c r="AZ425" t="s">
        <v>3605</v>
      </c>
      <c r="BA425" t="s">
        <v>3606</v>
      </c>
    </row>
    <row r="426" spans="1:53" ht="15" customHeight="1" x14ac:dyDescent="0.2">
      <c r="A426" t="s">
        <v>5274</v>
      </c>
      <c r="B426" t="s">
        <v>4548</v>
      </c>
      <c r="C426" t="s">
        <v>5228</v>
      </c>
      <c r="D426">
        <v>68530825</v>
      </c>
      <c r="E426" s="5">
        <v>45728</v>
      </c>
      <c r="F426" s="5">
        <v>45730.12777777778</v>
      </c>
      <c r="G426" s="4" t="s">
        <v>460</v>
      </c>
      <c r="H426" s="49">
        <v>854100</v>
      </c>
      <c r="I426" s="49">
        <v>0</v>
      </c>
      <c r="J426" s="50">
        <v>854100</v>
      </c>
      <c r="K426" t="s">
        <v>2615</v>
      </c>
      <c r="L426" s="4" t="s">
        <v>461</v>
      </c>
      <c r="M426" t="s">
        <v>351</v>
      </c>
      <c r="N426" s="2">
        <v>1003642581</v>
      </c>
      <c r="O426" t="s">
        <v>3669</v>
      </c>
      <c r="P426" t="s">
        <v>316</v>
      </c>
      <c r="Q426" t="s">
        <v>317</v>
      </c>
      <c r="R426">
        <v>488435591521</v>
      </c>
      <c r="S426" t="s">
        <v>319</v>
      </c>
      <c r="T426">
        <v>860034313</v>
      </c>
      <c r="U426" t="s">
        <v>355</v>
      </c>
      <c r="V426">
        <v>923218</v>
      </c>
      <c r="W426" t="s">
        <v>118</v>
      </c>
      <c r="X426" s="2" t="s">
        <v>119</v>
      </c>
      <c r="Y426" t="s">
        <v>120</v>
      </c>
      <c r="Z426" t="s">
        <v>47</v>
      </c>
      <c r="AA426" t="s">
        <v>121</v>
      </c>
      <c r="AB426" t="s">
        <v>33</v>
      </c>
      <c r="AC426" s="51">
        <v>854100</v>
      </c>
      <c r="AD426">
        <v>0</v>
      </c>
      <c r="AE426" s="4">
        <v>0</v>
      </c>
      <c r="AF426" s="4">
        <v>0</v>
      </c>
      <c r="AG426" t="s">
        <v>462</v>
      </c>
      <c r="AH426">
        <v>0</v>
      </c>
      <c r="AI426">
        <v>0</v>
      </c>
      <c r="AJ426" s="2" t="s">
        <v>463</v>
      </c>
      <c r="AK426" s="2">
        <v>0</v>
      </c>
      <c r="AL426">
        <v>0</v>
      </c>
      <c r="AM426">
        <v>0</v>
      </c>
      <c r="AN426">
        <v>0</v>
      </c>
      <c r="AO426">
        <v>0</v>
      </c>
      <c r="AP426">
        <v>2325</v>
      </c>
      <c r="AQ426">
        <v>2325</v>
      </c>
      <c r="AR426">
        <v>46725</v>
      </c>
      <c r="AS426">
        <v>0</v>
      </c>
      <c r="AT426">
        <v>0</v>
      </c>
      <c r="AU426">
        <v>43325</v>
      </c>
      <c r="AV426">
        <v>68530825</v>
      </c>
      <c r="AW426">
        <v>0</v>
      </c>
      <c r="AX426" s="5">
        <v>45726</v>
      </c>
      <c r="AY426" t="s">
        <v>3595</v>
      </c>
      <c r="AZ426" t="s">
        <v>3605</v>
      </c>
      <c r="BA426" t="s">
        <v>3606</v>
      </c>
    </row>
    <row r="427" spans="1:53" ht="15" customHeight="1" x14ac:dyDescent="0.2">
      <c r="A427" t="s">
        <v>5275</v>
      </c>
      <c r="B427" t="s">
        <v>4549</v>
      </c>
      <c r="C427" t="s">
        <v>5228</v>
      </c>
      <c r="D427">
        <v>68530925</v>
      </c>
      <c r="E427" s="5">
        <v>45728</v>
      </c>
      <c r="F427" s="5">
        <v>45730.116666666669</v>
      </c>
      <c r="G427" s="4" t="s">
        <v>460</v>
      </c>
      <c r="H427" s="49">
        <v>854100</v>
      </c>
      <c r="I427" s="49">
        <v>0</v>
      </c>
      <c r="J427" s="50">
        <v>854100</v>
      </c>
      <c r="K427" t="s">
        <v>2615</v>
      </c>
      <c r="L427" s="4" t="s">
        <v>461</v>
      </c>
      <c r="M427" t="s">
        <v>351</v>
      </c>
      <c r="N427" s="2">
        <v>53891808</v>
      </c>
      <c r="O427" t="s">
        <v>3674</v>
      </c>
      <c r="P427" t="s">
        <v>316</v>
      </c>
      <c r="Q427" t="s">
        <v>317</v>
      </c>
      <c r="R427">
        <v>94500001668</v>
      </c>
      <c r="S427" t="s">
        <v>319</v>
      </c>
      <c r="T427">
        <v>890903938</v>
      </c>
      <c r="U427" t="s">
        <v>342</v>
      </c>
      <c r="V427">
        <v>923218</v>
      </c>
      <c r="W427" t="s">
        <v>118</v>
      </c>
      <c r="X427" s="2" t="s">
        <v>119</v>
      </c>
      <c r="Y427" t="s">
        <v>120</v>
      </c>
      <c r="Z427" t="s">
        <v>47</v>
      </c>
      <c r="AA427" t="s">
        <v>121</v>
      </c>
      <c r="AB427" t="s">
        <v>33</v>
      </c>
      <c r="AC427" s="51">
        <v>854100</v>
      </c>
      <c r="AD427">
        <v>0</v>
      </c>
      <c r="AE427" s="4">
        <v>0</v>
      </c>
      <c r="AF427" s="4">
        <v>0</v>
      </c>
      <c r="AG427" t="s">
        <v>462</v>
      </c>
      <c r="AH427">
        <v>0</v>
      </c>
      <c r="AI427">
        <v>0</v>
      </c>
      <c r="AJ427" s="2" t="s">
        <v>463</v>
      </c>
      <c r="AK427" s="2">
        <v>0</v>
      </c>
      <c r="AL427">
        <v>0</v>
      </c>
      <c r="AM427">
        <v>0</v>
      </c>
      <c r="AN427">
        <v>0</v>
      </c>
      <c r="AO427">
        <v>0</v>
      </c>
      <c r="AP427">
        <v>2325</v>
      </c>
      <c r="AQ427">
        <v>2325</v>
      </c>
      <c r="AR427">
        <v>46825</v>
      </c>
      <c r="AS427">
        <v>0</v>
      </c>
      <c r="AT427">
        <v>0</v>
      </c>
      <c r="AU427">
        <v>43425</v>
      </c>
      <c r="AV427">
        <v>68530925</v>
      </c>
      <c r="AW427">
        <v>0</v>
      </c>
      <c r="AX427" s="5">
        <v>45726</v>
      </c>
      <c r="AY427" t="s">
        <v>3595</v>
      </c>
      <c r="AZ427" t="s">
        <v>3605</v>
      </c>
      <c r="BA427" t="s">
        <v>3606</v>
      </c>
    </row>
    <row r="428" spans="1:53" ht="15" customHeight="1" x14ac:dyDescent="0.2">
      <c r="A428" t="s">
        <v>5276</v>
      </c>
      <c r="B428" t="s">
        <v>4550</v>
      </c>
      <c r="C428" t="s">
        <v>5228</v>
      </c>
      <c r="D428">
        <v>68531025</v>
      </c>
      <c r="E428" s="5">
        <v>45728</v>
      </c>
      <c r="F428" s="5">
        <v>45730.116666666669</v>
      </c>
      <c r="G428" s="4" t="s">
        <v>460</v>
      </c>
      <c r="H428" s="49">
        <v>854100</v>
      </c>
      <c r="I428" s="49">
        <v>0</v>
      </c>
      <c r="J428" s="50">
        <v>854100</v>
      </c>
      <c r="K428" t="s">
        <v>2615</v>
      </c>
      <c r="L428" s="4" t="s">
        <v>461</v>
      </c>
      <c r="M428" t="s">
        <v>351</v>
      </c>
      <c r="N428" s="2">
        <v>1013681696</v>
      </c>
      <c r="O428" t="s">
        <v>3679</v>
      </c>
      <c r="P428" t="s">
        <v>316</v>
      </c>
      <c r="Q428" t="s">
        <v>317</v>
      </c>
      <c r="R428">
        <v>87047468935</v>
      </c>
      <c r="S428" t="s">
        <v>319</v>
      </c>
      <c r="T428">
        <v>890903938</v>
      </c>
      <c r="U428" t="s">
        <v>342</v>
      </c>
      <c r="V428">
        <v>923218</v>
      </c>
      <c r="W428" t="s">
        <v>118</v>
      </c>
      <c r="X428" s="2" t="s">
        <v>119</v>
      </c>
      <c r="Y428" t="s">
        <v>120</v>
      </c>
      <c r="Z428" t="s">
        <v>47</v>
      </c>
      <c r="AA428" t="s">
        <v>121</v>
      </c>
      <c r="AB428" t="s">
        <v>33</v>
      </c>
      <c r="AC428" s="51">
        <v>854100</v>
      </c>
      <c r="AD428">
        <v>0</v>
      </c>
      <c r="AE428" s="4">
        <v>0</v>
      </c>
      <c r="AF428" s="4">
        <v>0</v>
      </c>
      <c r="AG428" t="s">
        <v>462</v>
      </c>
      <c r="AH428">
        <v>0</v>
      </c>
      <c r="AI428">
        <v>0</v>
      </c>
      <c r="AJ428" s="2" t="s">
        <v>463</v>
      </c>
      <c r="AK428" s="2">
        <v>0</v>
      </c>
      <c r="AL428">
        <v>0</v>
      </c>
      <c r="AM428">
        <v>0</v>
      </c>
      <c r="AN428">
        <v>0</v>
      </c>
      <c r="AO428">
        <v>0</v>
      </c>
      <c r="AP428">
        <v>2325</v>
      </c>
      <c r="AQ428">
        <v>2325</v>
      </c>
      <c r="AR428">
        <v>46925</v>
      </c>
      <c r="AS428">
        <v>0</v>
      </c>
      <c r="AT428">
        <v>0</v>
      </c>
      <c r="AU428">
        <v>43525</v>
      </c>
      <c r="AV428">
        <v>68531025</v>
      </c>
      <c r="AW428">
        <v>0</v>
      </c>
      <c r="AX428" s="5">
        <v>45726</v>
      </c>
      <c r="AY428" t="s">
        <v>3595</v>
      </c>
      <c r="AZ428" t="s">
        <v>3605</v>
      </c>
      <c r="BA428" t="s">
        <v>3606</v>
      </c>
    </row>
    <row r="429" spans="1:53" ht="15" customHeight="1" x14ac:dyDescent="0.2">
      <c r="A429" t="s">
        <v>5277</v>
      </c>
      <c r="B429" t="s">
        <v>4551</v>
      </c>
      <c r="C429" t="s">
        <v>5228</v>
      </c>
      <c r="D429">
        <v>68531125</v>
      </c>
      <c r="E429" s="5">
        <v>45728</v>
      </c>
      <c r="F429" s="5">
        <v>45730.116666666669</v>
      </c>
      <c r="G429" s="4" t="s">
        <v>460</v>
      </c>
      <c r="H429" s="49">
        <v>854100</v>
      </c>
      <c r="I429" s="49">
        <v>0</v>
      </c>
      <c r="J429" s="50">
        <v>854100</v>
      </c>
      <c r="K429" t="s">
        <v>2615</v>
      </c>
      <c r="L429" s="4" t="s">
        <v>461</v>
      </c>
      <c r="M429" t="s">
        <v>351</v>
      </c>
      <c r="N429" s="2">
        <v>39725500</v>
      </c>
      <c r="O429" t="s">
        <v>3684</v>
      </c>
      <c r="P429" t="s">
        <v>316</v>
      </c>
      <c r="Q429" t="s">
        <v>317</v>
      </c>
      <c r="R429">
        <v>4623752599</v>
      </c>
      <c r="S429" t="s">
        <v>319</v>
      </c>
      <c r="T429">
        <v>890903938</v>
      </c>
      <c r="U429" t="s">
        <v>342</v>
      </c>
      <c r="V429">
        <v>923218</v>
      </c>
      <c r="W429" t="s">
        <v>118</v>
      </c>
      <c r="X429" s="2" t="s">
        <v>119</v>
      </c>
      <c r="Y429" t="s">
        <v>120</v>
      </c>
      <c r="Z429" t="s">
        <v>47</v>
      </c>
      <c r="AA429" t="s">
        <v>121</v>
      </c>
      <c r="AB429" t="s">
        <v>33</v>
      </c>
      <c r="AC429" s="51">
        <v>854100</v>
      </c>
      <c r="AD429">
        <v>0</v>
      </c>
      <c r="AE429" s="4">
        <v>0</v>
      </c>
      <c r="AF429" s="4">
        <v>0</v>
      </c>
      <c r="AG429" t="s">
        <v>462</v>
      </c>
      <c r="AH429">
        <v>0</v>
      </c>
      <c r="AI429">
        <v>0</v>
      </c>
      <c r="AJ429" s="2" t="s">
        <v>463</v>
      </c>
      <c r="AK429" s="2">
        <v>0</v>
      </c>
      <c r="AL429">
        <v>0</v>
      </c>
      <c r="AM429">
        <v>0</v>
      </c>
      <c r="AN429">
        <v>0</v>
      </c>
      <c r="AO429">
        <v>0</v>
      </c>
      <c r="AP429">
        <v>2325</v>
      </c>
      <c r="AQ429">
        <v>2325</v>
      </c>
      <c r="AR429">
        <v>47025</v>
      </c>
      <c r="AS429">
        <v>0</v>
      </c>
      <c r="AT429">
        <v>0</v>
      </c>
      <c r="AU429">
        <v>43625</v>
      </c>
      <c r="AV429">
        <v>68531125</v>
      </c>
      <c r="AW429">
        <v>0</v>
      </c>
      <c r="AX429" s="5">
        <v>45726</v>
      </c>
      <c r="AY429" t="s">
        <v>3595</v>
      </c>
      <c r="AZ429" t="s">
        <v>3605</v>
      </c>
      <c r="BA429" t="s">
        <v>3606</v>
      </c>
    </row>
    <row r="430" spans="1:53" ht="15" customHeight="1" x14ac:dyDescent="0.2">
      <c r="A430" t="s">
        <v>5278</v>
      </c>
      <c r="B430" t="s">
        <v>4552</v>
      </c>
      <c r="C430" t="s">
        <v>5228</v>
      </c>
      <c r="D430">
        <v>68531225</v>
      </c>
      <c r="E430" s="5">
        <v>45728</v>
      </c>
      <c r="F430" s="5">
        <v>45730.116666666669</v>
      </c>
      <c r="G430" s="4" t="s">
        <v>460</v>
      </c>
      <c r="H430" s="49">
        <v>854100</v>
      </c>
      <c r="I430" s="49">
        <v>0</v>
      </c>
      <c r="J430" s="50">
        <v>854100</v>
      </c>
      <c r="K430" t="s">
        <v>2615</v>
      </c>
      <c r="L430" s="4" t="s">
        <v>461</v>
      </c>
      <c r="M430" t="s">
        <v>351</v>
      </c>
      <c r="N430" s="2">
        <v>52527470</v>
      </c>
      <c r="O430" t="s">
        <v>3689</v>
      </c>
      <c r="P430" t="s">
        <v>316</v>
      </c>
      <c r="Q430" t="s">
        <v>317</v>
      </c>
      <c r="R430">
        <v>87044310746</v>
      </c>
      <c r="S430" t="s">
        <v>319</v>
      </c>
      <c r="T430">
        <v>890903938</v>
      </c>
      <c r="U430" t="s">
        <v>342</v>
      </c>
      <c r="V430">
        <v>923218</v>
      </c>
      <c r="W430" t="s">
        <v>118</v>
      </c>
      <c r="X430" s="2" t="s">
        <v>119</v>
      </c>
      <c r="Y430" t="s">
        <v>120</v>
      </c>
      <c r="Z430" t="s">
        <v>47</v>
      </c>
      <c r="AA430" t="s">
        <v>121</v>
      </c>
      <c r="AB430" t="s">
        <v>33</v>
      </c>
      <c r="AC430" s="51">
        <v>854100</v>
      </c>
      <c r="AD430">
        <v>0</v>
      </c>
      <c r="AE430" s="4">
        <v>0</v>
      </c>
      <c r="AF430" s="4">
        <v>0</v>
      </c>
      <c r="AG430" t="s">
        <v>462</v>
      </c>
      <c r="AH430">
        <v>0</v>
      </c>
      <c r="AI430">
        <v>0</v>
      </c>
      <c r="AJ430" s="2" t="s">
        <v>463</v>
      </c>
      <c r="AK430" s="2">
        <v>0</v>
      </c>
      <c r="AL430">
        <v>0</v>
      </c>
      <c r="AM430">
        <v>0</v>
      </c>
      <c r="AN430">
        <v>0</v>
      </c>
      <c r="AO430">
        <v>0</v>
      </c>
      <c r="AP430">
        <v>2325</v>
      </c>
      <c r="AQ430">
        <v>2325</v>
      </c>
      <c r="AR430">
        <v>47125</v>
      </c>
      <c r="AS430">
        <v>0</v>
      </c>
      <c r="AT430">
        <v>0</v>
      </c>
      <c r="AU430">
        <v>43725</v>
      </c>
      <c r="AV430">
        <v>68531225</v>
      </c>
      <c r="AW430">
        <v>0</v>
      </c>
      <c r="AX430" s="5">
        <v>45726</v>
      </c>
      <c r="AY430" t="s">
        <v>3595</v>
      </c>
      <c r="AZ430" t="s">
        <v>3605</v>
      </c>
      <c r="BA430" t="s">
        <v>3606</v>
      </c>
    </row>
    <row r="431" spans="1:53" ht="15" customHeight="1" x14ac:dyDescent="0.2">
      <c r="A431" t="s">
        <v>5279</v>
      </c>
      <c r="B431" t="s">
        <v>4553</v>
      </c>
      <c r="C431" t="s">
        <v>5228</v>
      </c>
      <c r="D431">
        <v>68531325</v>
      </c>
      <c r="E431" s="5">
        <v>45728</v>
      </c>
      <c r="F431" s="5">
        <v>45730.12777777778</v>
      </c>
      <c r="G431" s="4" t="s">
        <v>460</v>
      </c>
      <c r="H431" s="49">
        <v>854100</v>
      </c>
      <c r="I431" s="49">
        <v>0</v>
      </c>
      <c r="J431" s="50">
        <v>854100</v>
      </c>
      <c r="K431" t="s">
        <v>2615</v>
      </c>
      <c r="L431" s="4" t="s">
        <v>461</v>
      </c>
      <c r="M431" t="s">
        <v>351</v>
      </c>
      <c r="N431" s="2">
        <v>1024514769</v>
      </c>
      <c r="O431" t="s">
        <v>3694</v>
      </c>
      <c r="P431" t="s">
        <v>316</v>
      </c>
      <c r="Q431" t="s">
        <v>317</v>
      </c>
      <c r="R431">
        <v>488446692235</v>
      </c>
      <c r="S431" t="s">
        <v>319</v>
      </c>
      <c r="T431">
        <v>860034313</v>
      </c>
      <c r="U431" t="s">
        <v>355</v>
      </c>
      <c r="V431">
        <v>923218</v>
      </c>
      <c r="W431" t="s">
        <v>118</v>
      </c>
      <c r="X431" s="2" t="s">
        <v>119</v>
      </c>
      <c r="Y431" t="s">
        <v>120</v>
      </c>
      <c r="Z431" t="s">
        <v>47</v>
      </c>
      <c r="AA431" t="s">
        <v>121</v>
      </c>
      <c r="AB431" t="s">
        <v>33</v>
      </c>
      <c r="AC431" s="51">
        <v>854100</v>
      </c>
      <c r="AD431">
        <v>0</v>
      </c>
      <c r="AE431" s="4">
        <v>0</v>
      </c>
      <c r="AF431" s="4">
        <v>0</v>
      </c>
      <c r="AG431" t="s">
        <v>462</v>
      </c>
      <c r="AH431">
        <v>0</v>
      </c>
      <c r="AI431">
        <v>0</v>
      </c>
      <c r="AJ431" s="2" t="s">
        <v>463</v>
      </c>
      <c r="AK431" s="2">
        <v>0</v>
      </c>
      <c r="AL431">
        <v>0</v>
      </c>
      <c r="AM431">
        <v>0</v>
      </c>
      <c r="AN431">
        <v>0</v>
      </c>
      <c r="AO431">
        <v>0</v>
      </c>
      <c r="AP431">
        <v>2325</v>
      </c>
      <c r="AQ431">
        <v>2325</v>
      </c>
      <c r="AR431">
        <v>47225</v>
      </c>
      <c r="AS431">
        <v>0</v>
      </c>
      <c r="AT431">
        <v>0</v>
      </c>
      <c r="AU431">
        <v>43825</v>
      </c>
      <c r="AV431">
        <v>68531325</v>
      </c>
      <c r="AW431">
        <v>0</v>
      </c>
      <c r="AX431" s="5">
        <v>45726</v>
      </c>
      <c r="AY431" t="s">
        <v>3595</v>
      </c>
      <c r="AZ431" t="s">
        <v>3605</v>
      </c>
      <c r="BA431" t="s">
        <v>3606</v>
      </c>
    </row>
    <row r="432" spans="1:53" ht="15" customHeight="1" x14ac:dyDescent="0.2">
      <c r="A432" t="s">
        <v>5280</v>
      </c>
      <c r="B432" t="s">
        <v>4554</v>
      </c>
      <c r="C432" t="s">
        <v>5228</v>
      </c>
      <c r="D432">
        <v>68531425</v>
      </c>
      <c r="E432" s="5">
        <v>45728</v>
      </c>
      <c r="F432" s="5">
        <v>45730.116666666669</v>
      </c>
      <c r="G432" s="4" t="s">
        <v>460</v>
      </c>
      <c r="H432" s="49">
        <v>854100</v>
      </c>
      <c r="I432" s="49">
        <v>0</v>
      </c>
      <c r="J432" s="50">
        <v>854100</v>
      </c>
      <c r="K432" t="s">
        <v>2615</v>
      </c>
      <c r="L432" s="4" t="s">
        <v>461</v>
      </c>
      <c r="M432" t="s">
        <v>351</v>
      </c>
      <c r="N432" s="2">
        <v>3179291</v>
      </c>
      <c r="O432" t="s">
        <v>3699</v>
      </c>
      <c r="P432" t="s">
        <v>316</v>
      </c>
      <c r="Q432" t="s">
        <v>317</v>
      </c>
      <c r="R432">
        <v>87061839982</v>
      </c>
      <c r="S432" t="s">
        <v>319</v>
      </c>
      <c r="T432">
        <v>890903938</v>
      </c>
      <c r="U432" t="s">
        <v>342</v>
      </c>
      <c r="V432">
        <v>923218</v>
      </c>
      <c r="W432" t="s">
        <v>118</v>
      </c>
      <c r="X432" s="2" t="s">
        <v>119</v>
      </c>
      <c r="Y432" t="s">
        <v>120</v>
      </c>
      <c r="Z432" t="s">
        <v>47</v>
      </c>
      <c r="AA432" t="s">
        <v>121</v>
      </c>
      <c r="AB432" t="s">
        <v>33</v>
      </c>
      <c r="AC432" s="51">
        <v>854100</v>
      </c>
      <c r="AD432">
        <v>0</v>
      </c>
      <c r="AE432" s="4">
        <v>0</v>
      </c>
      <c r="AF432" s="4">
        <v>0</v>
      </c>
      <c r="AG432" t="s">
        <v>462</v>
      </c>
      <c r="AH432">
        <v>0</v>
      </c>
      <c r="AI432">
        <v>0</v>
      </c>
      <c r="AJ432" s="2" t="s">
        <v>463</v>
      </c>
      <c r="AK432" s="2">
        <v>0</v>
      </c>
      <c r="AL432">
        <v>0</v>
      </c>
      <c r="AM432">
        <v>0</v>
      </c>
      <c r="AN432">
        <v>0</v>
      </c>
      <c r="AO432">
        <v>0</v>
      </c>
      <c r="AP432">
        <v>2325</v>
      </c>
      <c r="AQ432">
        <v>2325</v>
      </c>
      <c r="AR432">
        <v>47325</v>
      </c>
      <c r="AS432">
        <v>0</v>
      </c>
      <c r="AT432">
        <v>0</v>
      </c>
      <c r="AU432">
        <v>43925</v>
      </c>
      <c r="AV432">
        <v>68531425</v>
      </c>
      <c r="AW432">
        <v>0</v>
      </c>
      <c r="AX432" s="5">
        <v>45726</v>
      </c>
      <c r="AY432" t="s">
        <v>3595</v>
      </c>
      <c r="AZ432" t="s">
        <v>3605</v>
      </c>
      <c r="BA432" t="s">
        <v>3606</v>
      </c>
    </row>
    <row r="433" spans="1:53" ht="15" customHeight="1" x14ac:dyDescent="0.2">
      <c r="A433" t="s">
        <v>5281</v>
      </c>
      <c r="B433" t="s">
        <v>4555</v>
      </c>
      <c r="C433" t="s">
        <v>5228</v>
      </c>
      <c r="D433">
        <v>68531525</v>
      </c>
      <c r="E433" s="5">
        <v>45728</v>
      </c>
      <c r="F433" s="5">
        <v>45730.126388888886</v>
      </c>
      <c r="G433" s="4" t="s">
        <v>460</v>
      </c>
      <c r="H433" s="49">
        <v>854100</v>
      </c>
      <c r="I433" s="49">
        <v>0</v>
      </c>
      <c r="J433" s="50">
        <v>854100</v>
      </c>
      <c r="K433" t="s">
        <v>2615</v>
      </c>
      <c r="L433" s="4" t="s">
        <v>461</v>
      </c>
      <c r="M433" t="s">
        <v>351</v>
      </c>
      <c r="N433" s="2">
        <v>1007388734</v>
      </c>
      <c r="O433" t="s">
        <v>3704</v>
      </c>
      <c r="P433" t="s">
        <v>316</v>
      </c>
      <c r="Q433" t="s">
        <v>317</v>
      </c>
      <c r="R433">
        <v>545869484</v>
      </c>
      <c r="S433" t="s">
        <v>319</v>
      </c>
      <c r="T433">
        <v>860035827</v>
      </c>
      <c r="U433" t="s">
        <v>653</v>
      </c>
      <c r="V433">
        <v>923218</v>
      </c>
      <c r="W433" t="s">
        <v>118</v>
      </c>
      <c r="X433" s="2" t="s">
        <v>119</v>
      </c>
      <c r="Y433" t="s">
        <v>120</v>
      </c>
      <c r="Z433" t="s">
        <v>47</v>
      </c>
      <c r="AA433" t="s">
        <v>121</v>
      </c>
      <c r="AB433" t="s">
        <v>33</v>
      </c>
      <c r="AC433" s="51">
        <v>854100</v>
      </c>
      <c r="AD433">
        <v>0</v>
      </c>
      <c r="AE433" s="4">
        <v>0</v>
      </c>
      <c r="AF433" s="4">
        <v>0</v>
      </c>
      <c r="AG433" t="s">
        <v>462</v>
      </c>
      <c r="AH433">
        <v>0</v>
      </c>
      <c r="AI433">
        <v>0</v>
      </c>
      <c r="AJ433" s="2" t="s">
        <v>463</v>
      </c>
      <c r="AK433" s="2">
        <v>0</v>
      </c>
      <c r="AL433">
        <v>0</v>
      </c>
      <c r="AM433">
        <v>0</v>
      </c>
      <c r="AN433">
        <v>0</v>
      </c>
      <c r="AO433">
        <v>0</v>
      </c>
      <c r="AP433">
        <v>2325</v>
      </c>
      <c r="AQ433">
        <v>2325</v>
      </c>
      <c r="AR433">
        <v>47425</v>
      </c>
      <c r="AS433">
        <v>0</v>
      </c>
      <c r="AT433">
        <v>0</v>
      </c>
      <c r="AU433">
        <v>44025</v>
      </c>
      <c r="AV433">
        <v>68531525</v>
      </c>
      <c r="AW433">
        <v>0</v>
      </c>
      <c r="AX433" s="5">
        <v>45726</v>
      </c>
      <c r="AY433" t="s">
        <v>3595</v>
      </c>
      <c r="AZ433" t="s">
        <v>3605</v>
      </c>
      <c r="BA433" t="s">
        <v>3606</v>
      </c>
    </row>
    <row r="434" spans="1:53" ht="15" customHeight="1" x14ac:dyDescent="0.2">
      <c r="A434" t="s">
        <v>5282</v>
      </c>
      <c r="B434" t="s">
        <v>4556</v>
      </c>
      <c r="C434" t="s">
        <v>5228</v>
      </c>
      <c r="D434">
        <v>68531625</v>
      </c>
      <c r="E434" s="5">
        <v>45728</v>
      </c>
      <c r="F434" s="5">
        <v>45730.12777777778</v>
      </c>
      <c r="G434" s="4" t="s">
        <v>460</v>
      </c>
      <c r="H434" s="49">
        <v>854100</v>
      </c>
      <c r="I434" s="49">
        <v>0</v>
      </c>
      <c r="J434" s="50">
        <v>854100</v>
      </c>
      <c r="K434" t="s">
        <v>2615</v>
      </c>
      <c r="L434" s="4" t="s">
        <v>461</v>
      </c>
      <c r="M434" t="s">
        <v>351</v>
      </c>
      <c r="N434" s="2">
        <v>1072188338</v>
      </c>
      <c r="O434" t="s">
        <v>3709</v>
      </c>
      <c r="P434" t="s">
        <v>316</v>
      </c>
      <c r="Q434" t="s">
        <v>317</v>
      </c>
      <c r="R434">
        <v>466600055076</v>
      </c>
      <c r="S434" t="s">
        <v>319</v>
      </c>
      <c r="T434">
        <v>860034313</v>
      </c>
      <c r="U434" t="s">
        <v>355</v>
      </c>
      <c r="V434">
        <v>923218</v>
      </c>
      <c r="W434" t="s">
        <v>118</v>
      </c>
      <c r="X434" s="2" t="s">
        <v>119</v>
      </c>
      <c r="Y434" t="s">
        <v>120</v>
      </c>
      <c r="Z434" t="s">
        <v>47</v>
      </c>
      <c r="AA434" t="s">
        <v>121</v>
      </c>
      <c r="AB434" t="s">
        <v>33</v>
      </c>
      <c r="AC434" s="51">
        <v>854100</v>
      </c>
      <c r="AD434">
        <v>0</v>
      </c>
      <c r="AE434" s="4">
        <v>0</v>
      </c>
      <c r="AF434" s="4">
        <v>0</v>
      </c>
      <c r="AG434" t="s">
        <v>462</v>
      </c>
      <c r="AH434">
        <v>0</v>
      </c>
      <c r="AI434">
        <v>0</v>
      </c>
      <c r="AJ434" s="2" t="s">
        <v>463</v>
      </c>
      <c r="AK434" s="2">
        <v>0</v>
      </c>
      <c r="AL434">
        <v>0</v>
      </c>
      <c r="AM434">
        <v>0</v>
      </c>
      <c r="AN434">
        <v>0</v>
      </c>
      <c r="AO434">
        <v>0</v>
      </c>
      <c r="AP434">
        <v>2325</v>
      </c>
      <c r="AQ434">
        <v>2325</v>
      </c>
      <c r="AR434">
        <v>47525</v>
      </c>
      <c r="AS434">
        <v>0</v>
      </c>
      <c r="AT434">
        <v>0</v>
      </c>
      <c r="AU434">
        <v>44125</v>
      </c>
      <c r="AV434">
        <v>68531625</v>
      </c>
      <c r="AW434">
        <v>0</v>
      </c>
      <c r="AX434" s="5">
        <v>45726</v>
      </c>
      <c r="AY434" t="s">
        <v>3595</v>
      </c>
      <c r="AZ434" t="s">
        <v>3605</v>
      </c>
      <c r="BA434" t="s">
        <v>3606</v>
      </c>
    </row>
    <row r="435" spans="1:53" ht="15" customHeight="1" x14ac:dyDescent="0.2">
      <c r="A435" t="s">
        <v>5283</v>
      </c>
      <c r="B435" t="s">
        <v>4557</v>
      </c>
      <c r="C435" t="s">
        <v>5228</v>
      </c>
      <c r="D435">
        <v>68531725</v>
      </c>
      <c r="E435" s="5">
        <v>45728</v>
      </c>
      <c r="F435" s="5">
        <v>45730.116666666669</v>
      </c>
      <c r="G435" s="4" t="s">
        <v>460</v>
      </c>
      <c r="H435" s="49">
        <v>854100</v>
      </c>
      <c r="I435" s="49">
        <v>0</v>
      </c>
      <c r="J435" s="50">
        <v>854100</v>
      </c>
      <c r="K435" t="s">
        <v>2615</v>
      </c>
      <c r="L435" s="4" t="s">
        <v>461</v>
      </c>
      <c r="M435" t="s">
        <v>3714</v>
      </c>
      <c r="N435" s="2">
        <v>5935943</v>
      </c>
      <c r="O435" t="s">
        <v>3715</v>
      </c>
      <c r="P435" t="s">
        <v>316</v>
      </c>
      <c r="Q435" t="s">
        <v>317</v>
      </c>
      <c r="R435">
        <v>87072717151</v>
      </c>
      <c r="S435" t="s">
        <v>319</v>
      </c>
      <c r="T435">
        <v>890903938</v>
      </c>
      <c r="U435" t="s">
        <v>342</v>
      </c>
      <c r="V435">
        <v>923218</v>
      </c>
      <c r="W435" t="s">
        <v>118</v>
      </c>
      <c r="X435" s="2" t="s">
        <v>119</v>
      </c>
      <c r="Y435" t="s">
        <v>120</v>
      </c>
      <c r="Z435" t="s">
        <v>47</v>
      </c>
      <c r="AA435" t="s">
        <v>121</v>
      </c>
      <c r="AB435" t="s">
        <v>33</v>
      </c>
      <c r="AC435" s="51">
        <v>854100</v>
      </c>
      <c r="AD435">
        <v>0</v>
      </c>
      <c r="AE435" s="4">
        <v>0</v>
      </c>
      <c r="AF435" s="4">
        <v>0</v>
      </c>
      <c r="AG435" t="s">
        <v>462</v>
      </c>
      <c r="AH435">
        <v>0</v>
      </c>
      <c r="AI435">
        <v>0</v>
      </c>
      <c r="AJ435" s="2" t="s">
        <v>463</v>
      </c>
      <c r="AK435" s="2">
        <v>0</v>
      </c>
      <c r="AL435">
        <v>0</v>
      </c>
      <c r="AM435">
        <v>0</v>
      </c>
      <c r="AN435">
        <v>0</v>
      </c>
      <c r="AO435">
        <v>0</v>
      </c>
      <c r="AP435">
        <v>2325</v>
      </c>
      <c r="AQ435">
        <v>2325</v>
      </c>
      <c r="AR435">
        <v>47625</v>
      </c>
      <c r="AS435">
        <v>0</v>
      </c>
      <c r="AT435">
        <v>0</v>
      </c>
      <c r="AU435">
        <v>44225</v>
      </c>
      <c r="AV435">
        <v>68531725</v>
      </c>
      <c r="AW435">
        <v>0</v>
      </c>
      <c r="AX435" s="5">
        <v>45726</v>
      </c>
      <c r="AY435" t="s">
        <v>3595</v>
      </c>
      <c r="AZ435" t="s">
        <v>3605</v>
      </c>
      <c r="BA435" t="s">
        <v>3606</v>
      </c>
    </row>
    <row r="436" spans="1:53" ht="15" customHeight="1" x14ac:dyDescent="0.2">
      <c r="A436" t="s">
        <v>5284</v>
      </c>
      <c r="B436" t="s">
        <v>4558</v>
      </c>
      <c r="C436" t="s">
        <v>5228</v>
      </c>
      <c r="D436">
        <v>68531825</v>
      </c>
      <c r="E436" s="5">
        <v>45728</v>
      </c>
      <c r="F436" s="5">
        <v>45730.116666666669</v>
      </c>
      <c r="G436" s="4" t="s">
        <v>460</v>
      </c>
      <c r="H436" s="49">
        <v>854100</v>
      </c>
      <c r="I436" s="49">
        <v>0</v>
      </c>
      <c r="J436" s="50">
        <v>854100</v>
      </c>
      <c r="K436" t="s">
        <v>2615</v>
      </c>
      <c r="L436" s="4" t="s">
        <v>461</v>
      </c>
      <c r="M436" t="s">
        <v>351</v>
      </c>
      <c r="N436" s="2">
        <v>1003642059</v>
      </c>
      <c r="O436" t="s">
        <v>3720</v>
      </c>
      <c r="P436" t="s">
        <v>316</v>
      </c>
      <c r="Q436" t="s">
        <v>317</v>
      </c>
      <c r="R436">
        <v>87049806539</v>
      </c>
      <c r="S436" t="s">
        <v>319</v>
      </c>
      <c r="T436">
        <v>890903938</v>
      </c>
      <c r="U436" t="s">
        <v>342</v>
      </c>
      <c r="V436">
        <v>923218</v>
      </c>
      <c r="W436" t="s">
        <v>118</v>
      </c>
      <c r="X436" s="2" t="s">
        <v>119</v>
      </c>
      <c r="Y436" t="s">
        <v>120</v>
      </c>
      <c r="Z436" t="s">
        <v>47</v>
      </c>
      <c r="AA436" t="s">
        <v>121</v>
      </c>
      <c r="AB436" t="s">
        <v>33</v>
      </c>
      <c r="AC436" s="51">
        <v>854100</v>
      </c>
      <c r="AD436">
        <v>0</v>
      </c>
      <c r="AE436" s="4">
        <v>0</v>
      </c>
      <c r="AF436" s="4">
        <v>0</v>
      </c>
      <c r="AG436" t="s">
        <v>462</v>
      </c>
      <c r="AH436">
        <v>0</v>
      </c>
      <c r="AI436">
        <v>0</v>
      </c>
      <c r="AJ436" s="2" t="s">
        <v>463</v>
      </c>
      <c r="AK436" s="2">
        <v>0</v>
      </c>
      <c r="AL436">
        <v>0</v>
      </c>
      <c r="AM436">
        <v>0</v>
      </c>
      <c r="AN436">
        <v>0</v>
      </c>
      <c r="AO436">
        <v>0</v>
      </c>
      <c r="AP436">
        <v>2325</v>
      </c>
      <c r="AQ436">
        <v>2325</v>
      </c>
      <c r="AR436">
        <v>47725</v>
      </c>
      <c r="AS436">
        <v>0</v>
      </c>
      <c r="AT436">
        <v>0</v>
      </c>
      <c r="AU436">
        <v>44325</v>
      </c>
      <c r="AV436">
        <v>68531825</v>
      </c>
      <c r="AW436">
        <v>0</v>
      </c>
      <c r="AX436" s="5">
        <v>45726</v>
      </c>
      <c r="AY436" t="s">
        <v>3595</v>
      </c>
      <c r="AZ436" t="s">
        <v>3605</v>
      </c>
      <c r="BA436" t="s">
        <v>3606</v>
      </c>
    </row>
    <row r="437" spans="1:53" ht="15" customHeight="1" x14ac:dyDescent="0.2">
      <c r="A437" t="s">
        <v>5285</v>
      </c>
      <c r="B437" t="s">
        <v>4559</v>
      </c>
      <c r="C437" t="s">
        <v>5228</v>
      </c>
      <c r="D437">
        <v>68532025</v>
      </c>
      <c r="E437" s="5">
        <v>45728</v>
      </c>
      <c r="F437" s="5">
        <v>45730.116666666669</v>
      </c>
      <c r="G437" s="4" t="s">
        <v>460</v>
      </c>
      <c r="H437" s="49">
        <v>854100</v>
      </c>
      <c r="I437" s="49">
        <v>0</v>
      </c>
      <c r="J437" s="50">
        <v>854100</v>
      </c>
      <c r="K437" t="s">
        <v>2615</v>
      </c>
      <c r="L437" s="4" t="s">
        <v>461</v>
      </c>
      <c r="M437" t="s">
        <v>351</v>
      </c>
      <c r="N437" s="2">
        <v>1012339622</v>
      </c>
      <c r="O437" t="s">
        <v>3724</v>
      </c>
      <c r="P437" t="s">
        <v>316</v>
      </c>
      <c r="Q437" t="s">
        <v>317</v>
      </c>
      <c r="R437">
        <v>87072707411</v>
      </c>
      <c r="S437" t="s">
        <v>319</v>
      </c>
      <c r="T437">
        <v>890903938</v>
      </c>
      <c r="U437" t="s">
        <v>342</v>
      </c>
      <c r="V437">
        <v>923218</v>
      </c>
      <c r="W437" t="s">
        <v>118</v>
      </c>
      <c r="X437" s="2" t="s">
        <v>119</v>
      </c>
      <c r="Y437" t="s">
        <v>120</v>
      </c>
      <c r="Z437" t="s">
        <v>47</v>
      </c>
      <c r="AA437" t="s">
        <v>121</v>
      </c>
      <c r="AB437" t="s">
        <v>33</v>
      </c>
      <c r="AC437" s="51">
        <v>854100</v>
      </c>
      <c r="AD437">
        <v>0</v>
      </c>
      <c r="AE437" s="4">
        <v>0</v>
      </c>
      <c r="AF437" s="4">
        <v>0</v>
      </c>
      <c r="AG437" t="s">
        <v>462</v>
      </c>
      <c r="AH437">
        <v>0</v>
      </c>
      <c r="AI437">
        <v>0</v>
      </c>
      <c r="AJ437" s="2" t="s">
        <v>463</v>
      </c>
      <c r="AK437" s="2">
        <v>0</v>
      </c>
      <c r="AL437">
        <v>0</v>
      </c>
      <c r="AM437">
        <v>0</v>
      </c>
      <c r="AN437">
        <v>0</v>
      </c>
      <c r="AO437">
        <v>0</v>
      </c>
      <c r="AP437">
        <v>2325</v>
      </c>
      <c r="AQ437">
        <v>2325</v>
      </c>
      <c r="AR437">
        <v>47825</v>
      </c>
      <c r="AS437">
        <v>0</v>
      </c>
      <c r="AT437">
        <v>0</v>
      </c>
      <c r="AU437">
        <v>44425</v>
      </c>
      <c r="AV437">
        <v>68532025</v>
      </c>
      <c r="AW437">
        <v>0</v>
      </c>
      <c r="AX437" s="5">
        <v>45726</v>
      </c>
      <c r="AY437" t="s">
        <v>3595</v>
      </c>
      <c r="AZ437" t="s">
        <v>3605</v>
      </c>
      <c r="BA437" t="s">
        <v>3606</v>
      </c>
    </row>
    <row r="438" spans="1:53" ht="15" customHeight="1" x14ac:dyDescent="0.2">
      <c r="A438" t="s">
        <v>5286</v>
      </c>
      <c r="B438" t="s">
        <v>4560</v>
      </c>
      <c r="C438" t="s">
        <v>5228</v>
      </c>
      <c r="D438">
        <v>68532225</v>
      </c>
      <c r="E438" s="5">
        <v>45728</v>
      </c>
      <c r="F438" s="5">
        <v>45730.116666666669</v>
      </c>
      <c r="G438" s="4" t="s">
        <v>460</v>
      </c>
      <c r="H438" s="49">
        <v>854100</v>
      </c>
      <c r="I438" s="49">
        <v>0</v>
      </c>
      <c r="J438" s="50">
        <v>854100</v>
      </c>
      <c r="K438" t="s">
        <v>2615</v>
      </c>
      <c r="L438" s="4" t="s">
        <v>461</v>
      </c>
      <c r="M438" t="s">
        <v>3589</v>
      </c>
      <c r="N438" s="2">
        <v>1043139348</v>
      </c>
      <c r="O438" t="s">
        <v>3729</v>
      </c>
      <c r="P438" t="s">
        <v>316</v>
      </c>
      <c r="Q438" t="s">
        <v>317</v>
      </c>
      <c r="R438">
        <v>87052354222</v>
      </c>
      <c r="S438" t="s">
        <v>319</v>
      </c>
      <c r="T438">
        <v>890903938</v>
      </c>
      <c r="U438" t="s">
        <v>342</v>
      </c>
      <c r="V438">
        <v>923218</v>
      </c>
      <c r="W438" t="s">
        <v>118</v>
      </c>
      <c r="X438" s="2" t="s">
        <v>119</v>
      </c>
      <c r="Y438" t="s">
        <v>120</v>
      </c>
      <c r="Z438" t="s">
        <v>47</v>
      </c>
      <c r="AA438" t="s">
        <v>121</v>
      </c>
      <c r="AB438" t="s">
        <v>33</v>
      </c>
      <c r="AC438" s="51">
        <v>854100</v>
      </c>
      <c r="AD438">
        <v>0</v>
      </c>
      <c r="AE438" s="4">
        <v>0</v>
      </c>
      <c r="AF438" s="4">
        <v>0</v>
      </c>
      <c r="AG438" t="s">
        <v>462</v>
      </c>
      <c r="AH438">
        <v>0</v>
      </c>
      <c r="AI438">
        <v>0</v>
      </c>
      <c r="AJ438" s="2" t="s">
        <v>463</v>
      </c>
      <c r="AK438" s="2">
        <v>0</v>
      </c>
      <c r="AL438">
        <v>0</v>
      </c>
      <c r="AM438">
        <v>0</v>
      </c>
      <c r="AN438">
        <v>0</v>
      </c>
      <c r="AO438">
        <v>0</v>
      </c>
      <c r="AP438">
        <v>2325</v>
      </c>
      <c r="AQ438">
        <v>2325</v>
      </c>
      <c r="AR438">
        <v>47925</v>
      </c>
      <c r="AS438">
        <v>0</v>
      </c>
      <c r="AT438">
        <v>0</v>
      </c>
      <c r="AU438">
        <v>44525</v>
      </c>
      <c r="AV438">
        <v>68532225</v>
      </c>
      <c r="AW438">
        <v>0</v>
      </c>
      <c r="AX438" s="5">
        <v>45726</v>
      </c>
      <c r="AY438" t="s">
        <v>3595</v>
      </c>
      <c r="AZ438" t="s">
        <v>3605</v>
      </c>
      <c r="BA438" t="s">
        <v>3606</v>
      </c>
    </row>
    <row r="439" spans="1:53" ht="15" customHeight="1" x14ac:dyDescent="0.2">
      <c r="A439" t="s">
        <v>5287</v>
      </c>
      <c r="B439" t="s">
        <v>4561</v>
      </c>
      <c r="C439" t="s">
        <v>5228</v>
      </c>
      <c r="D439">
        <v>68532325</v>
      </c>
      <c r="E439" s="5">
        <v>45728</v>
      </c>
      <c r="F439" s="5">
        <v>45730.116666666669</v>
      </c>
      <c r="G439" s="4" t="s">
        <v>460</v>
      </c>
      <c r="H439" s="49">
        <v>854100</v>
      </c>
      <c r="I439" s="49">
        <v>0</v>
      </c>
      <c r="J439" s="50">
        <v>854100</v>
      </c>
      <c r="K439" t="s">
        <v>2615</v>
      </c>
      <c r="L439" s="4" t="s">
        <v>461</v>
      </c>
      <c r="M439" t="s">
        <v>3589</v>
      </c>
      <c r="N439" s="2">
        <v>1049022400</v>
      </c>
      <c r="O439" t="s">
        <v>3734</v>
      </c>
      <c r="P439" t="s">
        <v>316</v>
      </c>
      <c r="Q439" t="s">
        <v>317</v>
      </c>
      <c r="R439">
        <v>94574632328</v>
      </c>
      <c r="S439" t="s">
        <v>319</v>
      </c>
      <c r="T439">
        <v>890903938</v>
      </c>
      <c r="U439" t="s">
        <v>342</v>
      </c>
      <c r="V439">
        <v>923218</v>
      </c>
      <c r="W439" t="s">
        <v>118</v>
      </c>
      <c r="X439" s="2" t="s">
        <v>119</v>
      </c>
      <c r="Y439" t="s">
        <v>120</v>
      </c>
      <c r="Z439" t="s">
        <v>47</v>
      </c>
      <c r="AA439" t="s">
        <v>121</v>
      </c>
      <c r="AB439" t="s">
        <v>33</v>
      </c>
      <c r="AC439" s="51">
        <v>854100</v>
      </c>
      <c r="AD439">
        <v>0</v>
      </c>
      <c r="AE439" s="4">
        <v>0</v>
      </c>
      <c r="AF439" s="4">
        <v>0</v>
      </c>
      <c r="AG439" t="s">
        <v>462</v>
      </c>
      <c r="AH439">
        <v>0</v>
      </c>
      <c r="AI439">
        <v>0</v>
      </c>
      <c r="AJ439" s="2" t="s">
        <v>463</v>
      </c>
      <c r="AK439" s="2">
        <v>0</v>
      </c>
      <c r="AL439">
        <v>0</v>
      </c>
      <c r="AM439">
        <v>0</v>
      </c>
      <c r="AN439">
        <v>0</v>
      </c>
      <c r="AO439">
        <v>0</v>
      </c>
      <c r="AP439">
        <v>2325</v>
      </c>
      <c r="AQ439">
        <v>2325</v>
      </c>
      <c r="AR439">
        <v>48025</v>
      </c>
      <c r="AS439">
        <v>0</v>
      </c>
      <c r="AT439">
        <v>0</v>
      </c>
      <c r="AU439">
        <v>44625</v>
      </c>
      <c r="AV439">
        <v>68532325</v>
      </c>
      <c r="AW439">
        <v>0</v>
      </c>
      <c r="AX439" s="5">
        <v>45726</v>
      </c>
      <c r="AY439" t="s">
        <v>3595</v>
      </c>
      <c r="AZ439" t="s">
        <v>3605</v>
      </c>
      <c r="BA439" t="s">
        <v>3606</v>
      </c>
    </row>
    <row r="440" spans="1:53" ht="15" customHeight="1" x14ac:dyDescent="0.2">
      <c r="A440" t="s">
        <v>5288</v>
      </c>
      <c r="B440" t="s">
        <v>4562</v>
      </c>
      <c r="C440" t="s">
        <v>5228</v>
      </c>
      <c r="D440">
        <v>68532425</v>
      </c>
      <c r="E440" s="5">
        <v>45728</v>
      </c>
      <c r="F440" s="5">
        <v>45730.113888888889</v>
      </c>
      <c r="G440" s="4" t="s">
        <v>460</v>
      </c>
      <c r="H440" s="49">
        <v>854100</v>
      </c>
      <c r="I440" s="49">
        <v>0</v>
      </c>
      <c r="J440" s="50">
        <v>854100</v>
      </c>
      <c r="K440" t="s">
        <v>2615</v>
      </c>
      <c r="L440" s="4" t="s">
        <v>461</v>
      </c>
      <c r="M440" t="s">
        <v>351</v>
      </c>
      <c r="N440" s="2">
        <v>1030596508</v>
      </c>
      <c r="O440" t="s">
        <v>3739</v>
      </c>
      <c r="P440" t="s">
        <v>316</v>
      </c>
      <c r="Q440" t="s">
        <v>317</v>
      </c>
      <c r="R440">
        <v>500806394296</v>
      </c>
      <c r="S440" t="s">
        <v>319</v>
      </c>
      <c r="T440">
        <v>860007738</v>
      </c>
      <c r="U440" t="s">
        <v>784</v>
      </c>
      <c r="V440">
        <v>923218</v>
      </c>
      <c r="W440" t="s">
        <v>118</v>
      </c>
      <c r="X440" s="2" t="s">
        <v>119</v>
      </c>
      <c r="Y440" t="s">
        <v>120</v>
      </c>
      <c r="Z440" t="s">
        <v>47</v>
      </c>
      <c r="AA440" t="s">
        <v>121</v>
      </c>
      <c r="AB440" t="s">
        <v>33</v>
      </c>
      <c r="AC440" s="51">
        <v>854100</v>
      </c>
      <c r="AD440">
        <v>0</v>
      </c>
      <c r="AE440" s="4">
        <v>0</v>
      </c>
      <c r="AF440" s="4">
        <v>0</v>
      </c>
      <c r="AG440" t="s">
        <v>462</v>
      </c>
      <c r="AH440">
        <v>0</v>
      </c>
      <c r="AI440">
        <v>0</v>
      </c>
      <c r="AJ440" s="2" t="s">
        <v>463</v>
      </c>
      <c r="AK440" s="2">
        <v>0</v>
      </c>
      <c r="AL440">
        <v>0</v>
      </c>
      <c r="AM440">
        <v>0</v>
      </c>
      <c r="AN440">
        <v>0</v>
      </c>
      <c r="AO440">
        <v>0</v>
      </c>
      <c r="AP440">
        <v>2325</v>
      </c>
      <c r="AQ440">
        <v>2325</v>
      </c>
      <c r="AR440">
        <v>48125</v>
      </c>
      <c r="AS440">
        <v>0</v>
      </c>
      <c r="AT440">
        <v>0</v>
      </c>
      <c r="AU440">
        <v>44725</v>
      </c>
      <c r="AV440">
        <v>68532425</v>
      </c>
      <c r="AW440">
        <v>0</v>
      </c>
      <c r="AX440" s="5">
        <v>45726</v>
      </c>
      <c r="AY440" t="s">
        <v>3595</v>
      </c>
      <c r="AZ440" t="s">
        <v>3605</v>
      </c>
      <c r="BA440" t="s">
        <v>3606</v>
      </c>
    </row>
    <row r="441" spans="1:53" ht="15" customHeight="1" x14ac:dyDescent="0.2">
      <c r="A441" t="s">
        <v>5289</v>
      </c>
      <c r="B441" t="s">
        <v>4563</v>
      </c>
      <c r="C441" t="s">
        <v>5228</v>
      </c>
      <c r="D441">
        <v>68532625</v>
      </c>
      <c r="E441" s="5">
        <v>45728</v>
      </c>
      <c r="F441" s="5">
        <v>45730.116666666669</v>
      </c>
      <c r="G441" s="4" t="s">
        <v>460</v>
      </c>
      <c r="H441" s="49">
        <v>854100</v>
      </c>
      <c r="I441" s="49">
        <v>0</v>
      </c>
      <c r="J441" s="50">
        <v>854100</v>
      </c>
      <c r="K441" t="s">
        <v>2615</v>
      </c>
      <c r="L441" s="4" t="s">
        <v>461</v>
      </c>
      <c r="M441" t="s">
        <v>3589</v>
      </c>
      <c r="N441" s="2">
        <v>1116782386</v>
      </c>
      <c r="O441" t="s">
        <v>3744</v>
      </c>
      <c r="P441" t="s">
        <v>316</v>
      </c>
      <c r="Q441" t="s">
        <v>317</v>
      </c>
      <c r="R441">
        <v>87054803438</v>
      </c>
      <c r="S441" t="s">
        <v>319</v>
      </c>
      <c r="T441">
        <v>890903938</v>
      </c>
      <c r="U441" t="s">
        <v>342</v>
      </c>
      <c r="V441">
        <v>923218</v>
      </c>
      <c r="W441" t="s">
        <v>118</v>
      </c>
      <c r="X441" s="2" t="s">
        <v>119</v>
      </c>
      <c r="Y441" t="s">
        <v>120</v>
      </c>
      <c r="Z441" t="s">
        <v>47</v>
      </c>
      <c r="AA441" t="s">
        <v>121</v>
      </c>
      <c r="AB441" t="s">
        <v>33</v>
      </c>
      <c r="AC441" s="51">
        <v>854100</v>
      </c>
      <c r="AD441">
        <v>0</v>
      </c>
      <c r="AE441" s="4">
        <v>0</v>
      </c>
      <c r="AF441" s="4">
        <v>0</v>
      </c>
      <c r="AG441" t="s">
        <v>462</v>
      </c>
      <c r="AH441">
        <v>0</v>
      </c>
      <c r="AI441">
        <v>0</v>
      </c>
      <c r="AJ441" s="2" t="s">
        <v>463</v>
      </c>
      <c r="AK441" s="2">
        <v>0</v>
      </c>
      <c r="AL441">
        <v>0</v>
      </c>
      <c r="AM441">
        <v>0</v>
      </c>
      <c r="AN441">
        <v>0</v>
      </c>
      <c r="AO441">
        <v>0</v>
      </c>
      <c r="AP441">
        <v>2325</v>
      </c>
      <c r="AQ441">
        <v>2325</v>
      </c>
      <c r="AR441">
        <v>48225</v>
      </c>
      <c r="AS441">
        <v>0</v>
      </c>
      <c r="AT441">
        <v>0</v>
      </c>
      <c r="AU441">
        <v>44825</v>
      </c>
      <c r="AV441">
        <v>68532625</v>
      </c>
      <c r="AW441">
        <v>0</v>
      </c>
      <c r="AX441" s="5">
        <v>45726</v>
      </c>
      <c r="AY441" t="s">
        <v>3595</v>
      </c>
      <c r="AZ441" t="s">
        <v>3605</v>
      </c>
      <c r="BA441" t="s">
        <v>3606</v>
      </c>
    </row>
    <row r="442" spans="1:53" ht="15" customHeight="1" x14ac:dyDescent="0.2">
      <c r="A442" t="s">
        <v>5290</v>
      </c>
      <c r="B442" t="s">
        <v>4564</v>
      </c>
      <c r="C442" t="s">
        <v>5228</v>
      </c>
      <c r="D442">
        <v>68532725</v>
      </c>
      <c r="E442" s="5">
        <v>45728</v>
      </c>
      <c r="F442" s="5">
        <v>45730.116666666669</v>
      </c>
      <c r="G442" s="4" t="s">
        <v>460</v>
      </c>
      <c r="H442" s="49">
        <v>854100</v>
      </c>
      <c r="I442" s="49">
        <v>0</v>
      </c>
      <c r="J442" s="50">
        <v>854100</v>
      </c>
      <c r="K442" t="s">
        <v>2615</v>
      </c>
      <c r="L442" s="4" t="s">
        <v>461</v>
      </c>
      <c r="M442" t="s">
        <v>3589</v>
      </c>
      <c r="N442" s="2">
        <v>1025534807</v>
      </c>
      <c r="O442" t="s">
        <v>3749</v>
      </c>
      <c r="P442" t="s">
        <v>316</v>
      </c>
      <c r="Q442" t="s">
        <v>317</v>
      </c>
      <c r="R442">
        <v>94574629106</v>
      </c>
      <c r="S442" t="s">
        <v>319</v>
      </c>
      <c r="T442">
        <v>890903938</v>
      </c>
      <c r="U442" t="s">
        <v>342</v>
      </c>
      <c r="V442">
        <v>923218</v>
      </c>
      <c r="W442" t="s">
        <v>118</v>
      </c>
      <c r="X442" s="2" t="s">
        <v>119</v>
      </c>
      <c r="Y442" t="s">
        <v>120</v>
      </c>
      <c r="Z442" t="s">
        <v>47</v>
      </c>
      <c r="AA442" t="s">
        <v>121</v>
      </c>
      <c r="AB442" t="s">
        <v>33</v>
      </c>
      <c r="AC442" s="51">
        <v>854100</v>
      </c>
      <c r="AD442">
        <v>0</v>
      </c>
      <c r="AE442" s="4">
        <v>0</v>
      </c>
      <c r="AF442" s="4">
        <v>0</v>
      </c>
      <c r="AG442" t="s">
        <v>462</v>
      </c>
      <c r="AH442">
        <v>0</v>
      </c>
      <c r="AI442">
        <v>0</v>
      </c>
      <c r="AJ442" s="2" t="s">
        <v>463</v>
      </c>
      <c r="AK442" s="2">
        <v>0</v>
      </c>
      <c r="AL442">
        <v>0</v>
      </c>
      <c r="AM442">
        <v>0</v>
      </c>
      <c r="AN442">
        <v>0</v>
      </c>
      <c r="AO442">
        <v>0</v>
      </c>
      <c r="AP442">
        <v>2325</v>
      </c>
      <c r="AQ442">
        <v>2325</v>
      </c>
      <c r="AR442">
        <v>48325</v>
      </c>
      <c r="AS442">
        <v>0</v>
      </c>
      <c r="AT442">
        <v>0</v>
      </c>
      <c r="AU442">
        <v>44925</v>
      </c>
      <c r="AV442">
        <v>68532725</v>
      </c>
      <c r="AW442">
        <v>0</v>
      </c>
      <c r="AX442" s="5">
        <v>45726</v>
      </c>
      <c r="AY442" t="s">
        <v>3595</v>
      </c>
      <c r="AZ442" t="s">
        <v>3605</v>
      </c>
      <c r="BA442" t="s">
        <v>3606</v>
      </c>
    </row>
    <row r="443" spans="1:53" ht="15" customHeight="1" x14ac:dyDescent="0.2">
      <c r="A443" t="s">
        <v>5291</v>
      </c>
      <c r="B443" t="s">
        <v>4565</v>
      </c>
      <c r="C443" t="s">
        <v>5228</v>
      </c>
      <c r="D443">
        <v>68532825</v>
      </c>
      <c r="E443" s="5">
        <v>45728</v>
      </c>
      <c r="F443" s="5">
        <v>45730.116666666669</v>
      </c>
      <c r="G443" s="4" t="s">
        <v>460</v>
      </c>
      <c r="H443" s="49">
        <v>854100</v>
      </c>
      <c r="I443" s="49">
        <v>0</v>
      </c>
      <c r="J443" s="50">
        <v>854100</v>
      </c>
      <c r="K443" t="s">
        <v>2615</v>
      </c>
      <c r="L443" s="4" t="s">
        <v>461</v>
      </c>
      <c r="M443" t="s">
        <v>351</v>
      </c>
      <c r="N443" s="2">
        <v>52095819</v>
      </c>
      <c r="O443" t="s">
        <v>3754</v>
      </c>
      <c r="P443" t="s">
        <v>316</v>
      </c>
      <c r="Q443" t="s">
        <v>317</v>
      </c>
      <c r="R443">
        <v>87061723716</v>
      </c>
      <c r="S443" t="s">
        <v>319</v>
      </c>
      <c r="T443">
        <v>890903938</v>
      </c>
      <c r="U443" t="s">
        <v>342</v>
      </c>
      <c r="V443">
        <v>923218</v>
      </c>
      <c r="W443" t="s">
        <v>118</v>
      </c>
      <c r="X443" s="2" t="s">
        <v>119</v>
      </c>
      <c r="Y443" t="s">
        <v>120</v>
      </c>
      <c r="Z443" t="s">
        <v>47</v>
      </c>
      <c r="AA443" t="s">
        <v>121</v>
      </c>
      <c r="AB443" t="s">
        <v>33</v>
      </c>
      <c r="AC443" s="51">
        <v>854100</v>
      </c>
      <c r="AD443">
        <v>0</v>
      </c>
      <c r="AE443" s="4">
        <v>0</v>
      </c>
      <c r="AF443" s="4">
        <v>0</v>
      </c>
      <c r="AG443" t="s">
        <v>462</v>
      </c>
      <c r="AH443">
        <v>0</v>
      </c>
      <c r="AI443">
        <v>0</v>
      </c>
      <c r="AJ443" s="2" t="s">
        <v>463</v>
      </c>
      <c r="AK443" s="2">
        <v>0</v>
      </c>
      <c r="AL443">
        <v>0</v>
      </c>
      <c r="AM443">
        <v>0</v>
      </c>
      <c r="AN443">
        <v>0</v>
      </c>
      <c r="AO443">
        <v>0</v>
      </c>
      <c r="AP443">
        <v>2325</v>
      </c>
      <c r="AQ443">
        <v>2325</v>
      </c>
      <c r="AR443">
        <v>48425</v>
      </c>
      <c r="AS443">
        <v>0</v>
      </c>
      <c r="AT443">
        <v>0</v>
      </c>
      <c r="AU443">
        <v>45025</v>
      </c>
      <c r="AV443">
        <v>68532825</v>
      </c>
      <c r="AW443">
        <v>0</v>
      </c>
      <c r="AX443" s="5">
        <v>45726</v>
      </c>
      <c r="AY443" t="s">
        <v>3595</v>
      </c>
      <c r="AZ443" t="s">
        <v>3605</v>
      </c>
      <c r="BA443" t="s">
        <v>3606</v>
      </c>
    </row>
    <row r="444" spans="1:53" ht="15" customHeight="1" x14ac:dyDescent="0.2">
      <c r="A444" t="s">
        <v>5292</v>
      </c>
      <c r="B444" t="s">
        <v>4566</v>
      </c>
      <c r="C444" t="s">
        <v>5228</v>
      </c>
      <c r="D444">
        <v>68532925</v>
      </c>
      <c r="E444" s="5">
        <v>45728</v>
      </c>
      <c r="F444" s="5">
        <v>45730.12777777778</v>
      </c>
      <c r="G444" s="4" t="s">
        <v>460</v>
      </c>
      <c r="H444" s="49">
        <v>854100</v>
      </c>
      <c r="I444" s="49">
        <v>0</v>
      </c>
      <c r="J444" s="50">
        <v>854100</v>
      </c>
      <c r="K444" t="s">
        <v>2615</v>
      </c>
      <c r="L444" s="4" t="s">
        <v>461</v>
      </c>
      <c r="M444" t="s">
        <v>3589</v>
      </c>
      <c r="N444" s="2">
        <v>1024494407</v>
      </c>
      <c r="O444" t="s">
        <v>3759</v>
      </c>
      <c r="P444" t="s">
        <v>316</v>
      </c>
      <c r="Q444" t="s">
        <v>317</v>
      </c>
      <c r="R444">
        <v>466600063484</v>
      </c>
      <c r="S444" t="s">
        <v>319</v>
      </c>
      <c r="T444">
        <v>860034313</v>
      </c>
      <c r="U444" t="s">
        <v>355</v>
      </c>
      <c r="V444">
        <v>923218</v>
      </c>
      <c r="W444" t="s">
        <v>118</v>
      </c>
      <c r="X444" s="2" t="s">
        <v>119</v>
      </c>
      <c r="Y444" t="s">
        <v>120</v>
      </c>
      <c r="Z444" t="s">
        <v>47</v>
      </c>
      <c r="AA444" t="s">
        <v>121</v>
      </c>
      <c r="AB444" t="s">
        <v>33</v>
      </c>
      <c r="AC444" s="51">
        <v>854100</v>
      </c>
      <c r="AD444">
        <v>0</v>
      </c>
      <c r="AE444" s="4">
        <v>0</v>
      </c>
      <c r="AF444" s="4">
        <v>0</v>
      </c>
      <c r="AG444" t="s">
        <v>462</v>
      </c>
      <c r="AH444">
        <v>0</v>
      </c>
      <c r="AI444">
        <v>0</v>
      </c>
      <c r="AJ444" s="2" t="s">
        <v>463</v>
      </c>
      <c r="AK444" s="2">
        <v>0</v>
      </c>
      <c r="AL444">
        <v>0</v>
      </c>
      <c r="AM444">
        <v>0</v>
      </c>
      <c r="AN444">
        <v>0</v>
      </c>
      <c r="AO444">
        <v>0</v>
      </c>
      <c r="AP444">
        <v>2325</v>
      </c>
      <c r="AQ444">
        <v>2325</v>
      </c>
      <c r="AR444">
        <v>48525</v>
      </c>
      <c r="AS444">
        <v>0</v>
      </c>
      <c r="AT444">
        <v>0</v>
      </c>
      <c r="AU444">
        <v>45125</v>
      </c>
      <c r="AV444">
        <v>68532925</v>
      </c>
      <c r="AW444">
        <v>0</v>
      </c>
      <c r="AX444" s="5">
        <v>45726</v>
      </c>
      <c r="AY444" t="s">
        <v>3595</v>
      </c>
      <c r="AZ444" t="s">
        <v>3605</v>
      </c>
      <c r="BA444" t="s">
        <v>3606</v>
      </c>
    </row>
    <row r="445" spans="1:53" ht="15" customHeight="1" x14ac:dyDescent="0.2">
      <c r="A445" t="s">
        <v>5293</v>
      </c>
      <c r="B445" t="s">
        <v>4567</v>
      </c>
      <c r="C445" t="s">
        <v>5228</v>
      </c>
      <c r="D445">
        <v>68533025</v>
      </c>
      <c r="E445" s="5">
        <v>45728</v>
      </c>
      <c r="F445" s="5">
        <v>45730.116666666669</v>
      </c>
      <c r="G445" s="4" t="s">
        <v>460</v>
      </c>
      <c r="H445" s="49">
        <v>854100</v>
      </c>
      <c r="I445" s="49">
        <v>0</v>
      </c>
      <c r="J445" s="50">
        <v>854100</v>
      </c>
      <c r="K445" t="s">
        <v>2615</v>
      </c>
      <c r="L445" s="4" t="s">
        <v>461</v>
      </c>
      <c r="M445" t="s">
        <v>351</v>
      </c>
      <c r="N445" s="2">
        <v>39671337</v>
      </c>
      <c r="O445" t="s">
        <v>3764</v>
      </c>
      <c r="P445" t="s">
        <v>316</v>
      </c>
      <c r="Q445" t="s">
        <v>317</v>
      </c>
      <c r="R445">
        <v>87048255204</v>
      </c>
      <c r="S445" t="s">
        <v>319</v>
      </c>
      <c r="T445">
        <v>890903938</v>
      </c>
      <c r="U445" t="s">
        <v>342</v>
      </c>
      <c r="V445">
        <v>923218</v>
      </c>
      <c r="W445" t="s">
        <v>118</v>
      </c>
      <c r="X445" s="2" t="s">
        <v>119</v>
      </c>
      <c r="Y445" t="s">
        <v>120</v>
      </c>
      <c r="Z445" t="s">
        <v>47</v>
      </c>
      <c r="AA445" t="s">
        <v>121</v>
      </c>
      <c r="AB445" t="s">
        <v>33</v>
      </c>
      <c r="AC445" s="51">
        <v>854100</v>
      </c>
      <c r="AD445">
        <v>0</v>
      </c>
      <c r="AE445" s="4">
        <v>0</v>
      </c>
      <c r="AF445" s="4">
        <v>0</v>
      </c>
      <c r="AG445" t="s">
        <v>462</v>
      </c>
      <c r="AH445">
        <v>0</v>
      </c>
      <c r="AI445">
        <v>0</v>
      </c>
      <c r="AJ445" s="2" t="s">
        <v>463</v>
      </c>
      <c r="AK445" s="2">
        <v>0</v>
      </c>
      <c r="AL445">
        <v>0</v>
      </c>
      <c r="AM445">
        <v>0</v>
      </c>
      <c r="AN445">
        <v>0</v>
      </c>
      <c r="AO445">
        <v>0</v>
      </c>
      <c r="AP445">
        <v>2325</v>
      </c>
      <c r="AQ445">
        <v>2325</v>
      </c>
      <c r="AR445">
        <v>48625</v>
      </c>
      <c r="AS445">
        <v>0</v>
      </c>
      <c r="AT445">
        <v>0</v>
      </c>
      <c r="AU445">
        <v>45225</v>
      </c>
      <c r="AV445">
        <v>68533025</v>
      </c>
      <c r="AW445">
        <v>0</v>
      </c>
      <c r="AX445" s="5">
        <v>45726</v>
      </c>
      <c r="AY445" t="s">
        <v>3595</v>
      </c>
      <c r="AZ445" t="s">
        <v>3605</v>
      </c>
      <c r="BA445" t="s">
        <v>3606</v>
      </c>
    </row>
    <row r="446" spans="1:53" ht="15" customHeight="1" x14ac:dyDescent="0.2">
      <c r="A446" t="s">
        <v>5294</v>
      </c>
      <c r="B446" t="s">
        <v>4568</v>
      </c>
      <c r="C446" t="s">
        <v>5228</v>
      </c>
      <c r="D446">
        <v>68533125</v>
      </c>
      <c r="E446" s="5">
        <v>45728</v>
      </c>
      <c r="F446" s="5">
        <v>45730.116666666669</v>
      </c>
      <c r="G446" s="4" t="s">
        <v>460</v>
      </c>
      <c r="H446" s="49">
        <v>854100</v>
      </c>
      <c r="I446" s="49">
        <v>0</v>
      </c>
      <c r="J446" s="50">
        <v>854100</v>
      </c>
      <c r="K446" t="s">
        <v>2615</v>
      </c>
      <c r="L446" s="4" t="s">
        <v>461</v>
      </c>
      <c r="M446" t="s">
        <v>351</v>
      </c>
      <c r="N446" s="2">
        <v>1072189988</v>
      </c>
      <c r="O446" t="s">
        <v>3769</v>
      </c>
      <c r="P446" t="s">
        <v>316</v>
      </c>
      <c r="Q446" t="s">
        <v>317</v>
      </c>
      <c r="R446">
        <v>87072722852</v>
      </c>
      <c r="S446" t="s">
        <v>319</v>
      </c>
      <c r="T446">
        <v>890903938</v>
      </c>
      <c r="U446" t="s">
        <v>342</v>
      </c>
      <c r="V446">
        <v>923218</v>
      </c>
      <c r="W446" t="s">
        <v>118</v>
      </c>
      <c r="X446" s="2" t="s">
        <v>119</v>
      </c>
      <c r="Y446" t="s">
        <v>120</v>
      </c>
      <c r="Z446" t="s">
        <v>47</v>
      </c>
      <c r="AA446" t="s">
        <v>121</v>
      </c>
      <c r="AB446" t="s">
        <v>33</v>
      </c>
      <c r="AC446" s="51">
        <v>854100</v>
      </c>
      <c r="AD446">
        <v>0</v>
      </c>
      <c r="AE446" s="4">
        <v>0</v>
      </c>
      <c r="AF446" s="4">
        <v>0</v>
      </c>
      <c r="AG446" t="s">
        <v>462</v>
      </c>
      <c r="AH446">
        <v>0</v>
      </c>
      <c r="AI446">
        <v>0</v>
      </c>
      <c r="AJ446" s="2" t="s">
        <v>463</v>
      </c>
      <c r="AK446" s="2">
        <v>0</v>
      </c>
      <c r="AL446">
        <v>0</v>
      </c>
      <c r="AM446">
        <v>0</v>
      </c>
      <c r="AN446">
        <v>0</v>
      </c>
      <c r="AO446">
        <v>0</v>
      </c>
      <c r="AP446">
        <v>2325</v>
      </c>
      <c r="AQ446">
        <v>2325</v>
      </c>
      <c r="AR446">
        <v>48725</v>
      </c>
      <c r="AS446">
        <v>0</v>
      </c>
      <c r="AT446">
        <v>0</v>
      </c>
      <c r="AU446">
        <v>45325</v>
      </c>
      <c r="AV446">
        <v>68533125</v>
      </c>
      <c r="AW446">
        <v>0</v>
      </c>
      <c r="AX446" s="5">
        <v>45726</v>
      </c>
      <c r="AY446" t="s">
        <v>3595</v>
      </c>
      <c r="AZ446" t="s">
        <v>3605</v>
      </c>
      <c r="BA446" t="s">
        <v>3606</v>
      </c>
    </row>
    <row r="447" spans="1:53" ht="15" customHeight="1" x14ac:dyDescent="0.2">
      <c r="A447" t="s">
        <v>5295</v>
      </c>
      <c r="B447" t="s">
        <v>4569</v>
      </c>
      <c r="C447" t="s">
        <v>5228</v>
      </c>
      <c r="D447">
        <v>68533225</v>
      </c>
      <c r="E447" s="5">
        <v>45728</v>
      </c>
      <c r="F447" s="5">
        <v>45730.116666666669</v>
      </c>
      <c r="G447" s="4" t="s">
        <v>460</v>
      </c>
      <c r="H447" s="49">
        <v>854100</v>
      </c>
      <c r="I447" s="49">
        <v>0</v>
      </c>
      <c r="J447" s="50">
        <v>854100</v>
      </c>
      <c r="K447" t="s">
        <v>2615</v>
      </c>
      <c r="L447" s="4" t="s">
        <v>461</v>
      </c>
      <c r="M447" t="s">
        <v>351</v>
      </c>
      <c r="N447" s="2">
        <v>79183716</v>
      </c>
      <c r="O447" t="s">
        <v>3773</v>
      </c>
      <c r="P447" t="s">
        <v>316</v>
      </c>
      <c r="Q447" t="s">
        <v>317</v>
      </c>
      <c r="R447">
        <v>87072717626</v>
      </c>
      <c r="S447" t="s">
        <v>319</v>
      </c>
      <c r="T447">
        <v>890903938</v>
      </c>
      <c r="U447" t="s">
        <v>342</v>
      </c>
      <c r="V447">
        <v>923218</v>
      </c>
      <c r="W447" t="s">
        <v>118</v>
      </c>
      <c r="X447" s="2" t="s">
        <v>119</v>
      </c>
      <c r="Y447" t="s">
        <v>120</v>
      </c>
      <c r="Z447" t="s">
        <v>47</v>
      </c>
      <c r="AA447" t="s">
        <v>121</v>
      </c>
      <c r="AB447" t="s">
        <v>33</v>
      </c>
      <c r="AC447" s="51">
        <v>854100</v>
      </c>
      <c r="AD447">
        <v>0</v>
      </c>
      <c r="AE447" s="4">
        <v>0</v>
      </c>
      <c r="AF447" s="4">
        <v>0</v>
      </c>
      <c r="AG447" t="s">
        <v>462</v>
      </c>
      <c r="AH447">
        <v>0</v>
      </c>
      <c r="AI447">
        <v>0</v>
      </c>
      <c r="AJ447" s="2" t="s">
        <v>463</v>
      </c>
      <c r="AK447" s="2">
        <v>0</v>
      </c>
      <c r="AL447">
        <v>0</v>
      </c>
      <c r="AM447">
        <v>0</v>
      </c>
      <c r="AN447">
        <v>0</v>
      </c>
      <c r="AO447">
        <v>0</v>
      </c>
      <c r="AP447">
        <v>2325</v>
      </c>
      <c r="AQ447">
        <v>2325</v>
      </c>
      <c r="AR447">
        <v>48825</v>
      </c>
      <c r="AS447">
        <v>0</v>
      </c>
      <c r="AT447">
        <v>0</v>
      </c>
      <c r="AU447">
        <v>45425</v>
      </c>
      <c r="AV447">
        <v>68533225</v>
      </c>
      <c r="AW447">
        <v>0</v>
      </c>
      <c r="AX447" s="5">
        <v>45726</v>
      </c>
      <c r="AY447" t="s">
        <v>3595</v>
      </c>
      <c r="AZ447" t="s">
        <v>3605</v>
      </c>
      <c r="BA447" t="s">
        <v>3606</v>
      </c>
    </row>
    <row r="448" spans="1:53" ht="15" customHeight="1" x14ac:dyDescent="0.2">
      <c r="A448" t="s">
        <v>5296</v>
      </c>
      <c r="B448" t="s">
        <v>4571</v>
      </c>
      <c r="C448" t="s">
        <v>5297</v>
      </c>
      <c r="D448">
        <v>68787025</v>
      </c>
      <c r="E448" s="5">
        <v>45728</v>
      </c>
      <c r="F448" s="5">
        <v>45734.126388888886</v>
      </c>
      <c r="G448" s="4" t="s">
        <v>460</v>
      </c>
      <c r="H448" s="49">
        <v>1330860</v>
      </c>
      <c r="I448" s="49">
        <v>0</v>
      </c>
      <c r="J448" s="50">
        <v>1330860</v>
      </c>
      <c r="K448" t="s">
        <v>2615</v>
      </c>
      <c r="L448" s="4" t="s">
        <v>461</v>
      </c>
      <c r="M448" t="s">
        <v>314</v>
      </c>
      <c r="N448" s="2">
        <v>860063875</v>
      </c>
      <c r="O448" t="s">
        <v>315</v>
      </c>
      <c r="P448" t="s">
        <v>316</v>
      </c>
      <c r="Q448" t="s">
        <v>317</v>
      </c>
      <c r="R448">
        <v>90060000410</v>
      </c>
      <c r="S448" t="s">
        <v>319</v>
      </c>
      <c r="T448">
        <v>860050750</v>
      </c>
      <c r="U448" t="s">
        <v>321</v>
      </c>
      <c r="V448">
        <v>923210</v>
      </c>
      <c r="W448" t="s">
        <v>56</v>
      </c>
      <c r="X448" s="2" t="s">
        <v>29</v>
      </c>
      <c r="Y448" t="s">
        <v>30</v>
      </c>
      <c r="Z448" t="s">
        <v>47</v>
      </c>
      <c r="AA448" t="s">
        <v>48</v>
      </c>
      <c r="AB448" t="s">
        <v>33</v>
      </c>
      <c r="AC448" s="51">
        <v>1330860</v>
      </c>
      <c r="AD448">
        <v>0</v>
      </c>
      <c r="AE448" s="4">
        <v>0</v>
      </c>
      <c r="AF448" s="4">
        <v>0</v>
      </c>
      <c r="AG448" t="s">
        <v>462</v>
      </c>
      <c r="AH448">
        <v>0</v>
      </c>
      <c r="AI448">
        <v>0</v>
      </c>
      <c r="AJ448" s="2" t="s">
        <v>463</v>
      </c>
      <c r="AK448" s="2">
        <v>0</v>
      </c>
      <c r="AL448">
        <v>0</v>
      </c>
      <c r="AM448">
        <v>0</v>
      </c>
      <c r="AN448">
        <v>0</v>
      </c>
      <c r="AO448" t="s">
        <v>3778</v>
      </c>
      <c r="AP448">
        <v>1225</v>
      </c>
      <c r="AQ448">
        <v>1225</v>
      </c>
      <c r="AR448">
        <v>49025</v>
      </c>
      <c r="AS448">
        <v>4825</v>
      </c>
      <c r="AT448" s="5">
        <v>45727</v>
      </c>
      <c r="AU448">
        <v>45525</v>
      </c>
      <c r="AV448">
        <v>68787025</v>
      </c>
      <c r="AW448">
        <v>0</v>
      </c>
      <c r="AX448" s="5">
        <v>45726</v>
      </c>
      <c r="AY448" t="s">
        <v>323</v>
      </c>
      <c r="AZ448" t="s">
        <v>347</v>
      </c>
      <c r="BA448" t="s">
        <v>3780</v>
      </c>
    </row>
    <row r="449" spans="1:53" ht="15" customHeight="1" x14ac:dyDescent="0.2">
      <c r="A449" t="s">
        <v>5298</v>
      </c>
      <c r="B449" t="s">
        <v>4576</v>
      </c>
      <c r="C449" t="s">
        <v>5299</v>
      </c>
      <c r="D449">
        <v>68819625</v>
      </c>
      <c r="E449" s="5">
        <v>45728</v>
      </c>
      <c r="F449" s="5">
        <v>45734.126388888886</v>
      </c>
      <c r="G449" s="4" t="s">
        <v>460</v>
      </c>
      <c r="H449" s="49">
        <v>611970</v>
      </c>
      <c r="I449" s="49">
        <v>0</v>
      </c>
      <c r="J449" s="50">
        <v>611970</v>
      </c>
      <c r="K449" t="s">
        <v>2615</v>
      </c>
      <c r="L449" s="4" t="s">
        <v>461</v>
      </c>
      <c r="M449" t="s">
        <v>314</v>
      </c>
      <c r="N449" s="2">
        <v>860063875</v>
      </c>
      <c r="O449" t="s">
        <v>315</v>
      </c>
      <c r="P449" t="s">
        <v>316</v>
      </c>
      <c r="Q449" t="s">
        <v>317</v>
      </c>
      <c r="R449">
        <v>90060000410</v>
      </c>
      <c r="S449" t="s">
        <v>319</v>
      </c>
      <c r="T449">
        <v>860050750</v>
      </c>
      <c r="U449" t="s">
        <v>321</v>
      </c>
      <c r="V449">
        <v>923210</v>
      </c>
      <c r="W449" t="s">
        <v>56</v>
      </c>
      <c r="X449" s="2" t="s">
        <v>29</v>
      </c>
      <c r="Y449" t="s">
        <v>30</v>
      </c>
      <c r="Z449" t="s">
        <v>47</v>
      </c>
      <c r="AA449" t="s">
        <v>48</v>
      </c>
      <c r="AB449" t="s">
        <v>33</v>
      </c>
      <c r="AC449" s="51">
        <v>611970</v>
      </c>
      <c r="AD449">
        <v>0</v>
      </c>
      <c r="AE449" s="4">
        <v>0</v>
      </c>
      <c r="AF449" s="4">
        <v>0</v>
      </c>
      <c r="AG449" t="s">
        <v>462</v>
      </c>
      <c r="AH449">
        <v>0</v>
      </c>
      <c r="AI449">
        <v>0</v>
      </c>
      <c r="AJ449" s="2" t="s">
        <v>463</v>
      </c>
      <c r="AK449" s="2">
        <v>0</v>
      </c>
      <c r="AL449">
        <v>0</v>
      </c>
      <c r="AM449">
        <v>0</v>
      </c>
      <c r="AN449">
        <v>0</v>
      </c>
      <c r="AO449" t="s">
        <v>3783</v>
      </c>
      <c r="AP449">
        <v>1225</v>
      </c>
      <c r="AQ449">
        <v>1225</v>
      </c>
      <c r="AR449">
        <v>49525</v>
      </c>
      <c r="AS449">
        <v>4925</v>
      </c>
      <c r="AT449" s="5">
        <v>45727</v>
      </c>
      <c r="AU449">
        <v>45625</v>
      </c>
      <c r="AV449">
        <v>68819625</v>
      </c>
      <c r="AW449">
        <v>0</v>
      </c>
      <c r="AX449" s="5">
        <v>45727</v>
      </c>
      <c r="AY449" t="s">
        <v>323</v>
      </c>
      <c r="AZ449" t="s">
        <v>3785</v>
      </c>
      <c r="BA449" t="s">
        <v>3786</v>
      </c>
    </row>
    <row r="450" spans="1:53" ht="15" customHeight="1" x14ac:dyDescent="0.2">
      <c r="A450" t="s">
        <v>5300</v>
      </c>
      <c r="B450" t="s">
        <v>4570</v>
      </c>
      <c r="C450" t="s">
        <v>5301</v>
      </c>
      <c r="D450">
        <v>70407125</v>
      </c>
      <c r="E450" s="5">
        <v>45729</v>
      </c>
      <c r="F450" s="5">
        <v>45733.102083333331</v>
      </c>
      <c r="G450" s="4" t="s">
        <v>460</v>
      </c>
      <c r="H450" s="49">
        <v>122500</v>
      </c>
      <c r="I450" s="49">
        <v>0</v>
      </c>
      <c r="J450" s="50">
        <v>122500</v>
      </c>
      <c r="K450" t="s">
        <v>2625</v>
      </c>
      <c r="L450" s="4" t="s">
        <v>461</v>
      </c>
      <c r="M450" t="s">
        <v>314</v>
      </c>
      <c r="N450" s="2">
        <v>900171710</v>
      </c>
      <c r="O450" t="s">
        <v>634</v>
      </c>
      <c r="P450" t="s">
        <v>316</v>
      </c>
      <c r="Q450" t="s">
        <v>328</v>
      </c>
      <c r="R450">
        <v>12602546076</v>
      </c>
      <c r="S450" t="s">
        <v>319</v>
      </c>
      <c r="T450">
        <v>890903938</v>
      </c>
      <c r="U450" t="s">
        <v>342</v>
      </c>
      <c r="V450">
        <v>923210</v>
      </c>
      <c r="W450" t="s">
        <v>56</v>
      </c>
      <c r="X450" s="2" t="s">
        <v>29</v>
      </c>
      <c r="Y450" t="s">
        <v>30</v>
      </c>
      <c r="Z450" t="s">
        <v>47</v>
      </c>
      <c r="AA450" t="s">
        <v>48</v>
      </c>
      <c r="AB450" t="s">
        <v>33</v>
      </c>
      <c r="AC450" s="51">
        <v>122500</v>
      </c>
      <c r="AD450">
        <v>0</v>
      </c>
      <c r="AE450" s="4">
        <v>0</v>
      </c>
      <c r="AF450" s="4">
        <v>0</v>
      </c>
      <c r="AG450" t="s">
        <v>462</v>
      </c>
      <c r="AH450" t="s">
        <v>2207</v>
      </c>
      <c r="AI450">
        <v>12602546076</v>
      </c>
      <c r="AJ450" s="2" t="s">
        <v>463</v>
      </c>
      <c r="AK450" s="2">
        <v>0</v>
      </c>
      <c r="AL450">
        <v>0</v>
      </c>
      <c r="AM450">
        <v>0</v>
      </c>
      <c r="AN450">
        <v>0</v>
      </c>
      <c r="AO450" t="s">
        <v>4774</v>
      </c>
      <c r="AP450">
        <v>1225</v>
      </c>
      <c r="AQ450">
        <v>1225</v>
      </c>
      <c r="AR450">
        <v>48925</v>
      </c>
      <c r="AS450">
        <v>5125</v>
      </c>
      <c r="AT450" s="5">
        <v>45729</v>
      </c>
      <c r="AU450">
        <v>45825</v>
      </c>
      <c r="AV450">
        <v>70407125</v>
      </c>
      <c r="AW450">
        <v>0</v>
      </c>
      <c r="AX450" s="5">
        <v>45726</v>
      </c>
      <c r="AY450" t="s">
        <v>323</v>
      </c>
      <c r="AZ450">
        <v>1543885</v>
      </c>
      <c r="BA450" t="s">
        <v>4245</v>
      </c>
    </row>
    <row r="451" spans="1:53" ht="15" customHeight="1" x14ac:dyDescent="0.2">
      <c r="A451" t="s">
        <v>5302</v>
      </c>
      <c r="B451" t="s">
        <v>2246</v>
      </c>
      <c r="C451" t="s">
        <v>4892</v>
      </c>
      <c r="D451">
        <v>70461525</v>
      </c>
      <c r="E451" s="5">
        <v>45729</v>
      </c>
      <c r="F451" s="5">
        <v>45733.081944444442</v>
      </c>
      <c r="G451" s="4" t="s">
        <v>460</v>
      </c>
      <c r="H451" s="49">
        <v>4671695</v>
      </c>
      <c r="I451" s="49">
        <v>674474</v>
      </c>
      <c r="J451" s="50">
        <v>3997221</v>
      </c>
      <c r="K451" t="s">
        <v>2615</v>
      </c>
      <c r="L451" s="4" t="s">
        <v>461</v>
      </c>
      <c r="M451" t="s">
        <v>351</v>
      </c>
      <c r="N451" s="2">
        <v>11313776</v>
      </c>
      <c r="O451" t="s">
        <v>676</v>
      </c>
      <c r="P451" t="s">
        <v>316</v>
      </c>
      <c r="Q451" t="s">
        <v>317</v>
      </c>
      <c r="R451">
        <v>52564652261</v>
      </c>
      <c r="S451" t="s">
        <v>319</v>
      </c>
      <c r="T451">
        <v>890903938</v>
      </c>
      <c r="U451" t="s">
        <v>342</v>
      </c>
      <c r="V451">
        <v>923211</v>
      </c>
      <c r="W451" t="s">
        <v>69</v>
      </c>
      <c r="X451" s="2" t="s">
        <v>29</v>
      </c>
      <c r="Y451" t="s">
        <v>30</v>
      </c>
      <c r="Z451" t="s">
        <v>31</v>
      </c>
      <c r="AA451" t="s">
        <v>32</v>
      </c>
      <c r="AB451" t="s">
        <v>33</v>
      </c>
      <c r="AC451" s="51">
        <v>4671695</v>
      </c>
      <c r="AD451">
        <v>0</v>
      </c>
      <c r="AE451" s="4">
        <v>0</v>
      </c>
      <c r="AF451" s="4">
        <v>0</v>
      </c>
      <c r="AG451" t="s">
        <v>462</v>
      </c>
      <c r="AH451">
        <v>0</v>
      </c>
      <c r="AI451">
        <v>0</v>
      </c>
      <c r="AJ451" s="2" t="s">
        <v>463</v>
      </c>
      <c r="AK451" s="2">
        <v>0</v>
      </c>
      <c r="AL451">
        <v>0</v>
      </c>
      <c r="AM451">
        <v>0</v>
      </c>
      <c r="AN451">
        <v>0</v>
      </c>
      <c r="AO451" t="s">
        <v>4776</v>
      </c>
      <c r="AP451">
        <v>1125</v>
      </c>
      <c r="AQ451">
        <v>1025</v>
      </c>
      <c r="AR451">
        <v>3525</v>
      </c>
      <c r="AS451">
        <v>0</v>
      </c>
      <c r="AT451">
        <v>0</v>
      </c>
      <c r="AU451">
        <v>15425</v>
      </c>
      <c r="AV451">
        <v>70461525</v>
      </c>
      <c r="AW451">
        <v>0</v>
      </c>
      <c r="AX451" s="5">
        <v>45688</v>
      </c>
      <c r="AY451" t="s">
        <v>356</v>
      </c>
      <c r="AZ451" t="s">
        <v>677</v>
      </c>
      <c r="BA451" t="s">
        <v>678</v>
      </c>
    </row>
    <row r="452" spans="1:53" ht="15" customHeight="1" x14ac:dyDescent="0.2">
      <c r="A452" t="s">
        <v>5303</v>
      </c>
      <c r="B452" t="s">
        <v>2502</v>
      </c>
      <c r="C452" t="s">
        <v>4859</v>
      </c>
      <c r="D452">
        <v>71227025</v>
      </c>
      <c r="E452" s="5">
        <v>45730</v>
      </c>
      <c r="F452" s="5">
        <v>45734.159722222219</v>
      </c>
      <c r="G452" s="4" t="s">
        <v>460</v>
      </c>
      <c r="H452" s="49">
        <v>1160767</v>
      </c>
      <c r="I452" s="49">
        <v>4530</v>
      </c>
      <c r="J452" s="50">
        <v>1156237</v>
      </c>
      <c r="K452" t="s">
        <v>2615</v>
      </c>
      <c r="L452" s="4" t="s">
        <v>461</v>
      </c>
      <c r="M452" t="s">
        <v>351</v>
      </c>
      <c r="N452" s="2">
        <v>79217930</v>
      </c>
      <c r="O452" t="s">
        <v>1971</v>
      </c>
      <c r="P452" t="s">
        <v>316</v>
      </c>
      <c r="Q452" t="s">
        <v>317</v>
      </c>
      <c r="R452">
        <v>85360725</v>
      </c>
      <c r="S452" t="s">
        <v>319</v>
      </c>
      <c r="T452">
        <v>860003020</v>
      </c>
      <c r="U452" t="s">
        <v>393</v>
      </c>
      <c r="V452">
        <v>923210</v>
      </c>
      <c r="W452" t="s">
        <v>56</v>
      </c>
      <c r="X452" s="2" t="s">
        <v>29</v>
      </c>
      <c r="Y452" t="s">
        <v>30</v>
      </c>
      <c r="Z452" t="s">
        <v>31</v>
      </c>
      <c r="AA452" t="s">
        <v>32</v>
      </c>
      <c r="AB452" t="s">
        <v>33</v>
      </c>
      <c r="AC452" s="51">
        <v>1160767</v>
      </c>
      <c r="AD452">
        <v>0</v>
      </c>
      <c r="AE452" s="4">
        <v>0</v>
      </c>
      <c r="AF452" s="4">
        <v>0</v>
      </c>
      <c r="AG452" t="s">
        <v>462</v>
      </c>
      <c r="AH452">
        <v>0</v>
      </c>
      <c r="AI452">
        <v>0</v>
      </c>
      <c r="AJ452" s="2" t="s">
        <v>463</v>
      </c>
      <c r="AK452" s="2">
        <v>0</v>
      </c>
      <c r="AL452">
        <v>0</v>
      </c>
      <c r="AM452">
        <v>0</v>
      </c>
      <c r="AN452">
        <v>0</v>
      </c>
      <c r="AO452" t="s">
        <v>4779</v>
      </c>
      <c r="AP452">
        <v>1925</v>
      </c>
      <c r="AQ452">
        <v>1925</v>
      </c>
      <c r="AR452">
        <v>29625</v>
      </c>
      <c r="AS452">
        <v>0</v>
      </c>
      <c r="AT452">
        <v>0</v>
      </c>
      <c r="AU452">
        <v>33925</v>
      </c>
      <c r="AV452">
        <v>71227025</v>
      </c>
      <c r="AW452">
        <v>0</v>
      </c>
      <c r="AX452" s="5">
        <v>45700</v>
      </c>
      <c r="AY452" t="s">
        <v>356</v>
      </c>
      <c r="AZ452" t="s">
        <v>1973</v>
      </c>
      <c r="BA452" t="s">
        <v>1974</v>
      </c>
    </row>
    <row r="453" spans="1:53" ht="15" customHeight="1" x14ac:dyDescent="0.2">
      <c r="A453" t="s">
        <v>5304</v>
      </c>
      <c r="B453" t="s">
        <v>2392</v>
      </c>
      <c r="C453" t="s">
        <v>4917</v>
      </c>
      <c r="D453">
        <v>71243425</v>
      </c>
      <c r="E453" s="5">
        <v>45730</v>
      </c>
      <c r="F453" s="5">
        <v>45734.14166666667</v>
      </c>
      <c r="G453" s="4" t="s">
        <v>460</v>
      </c>
      <c r="H453" s="49">
        <v>3219658</v>
      </c>
      <c r="I453" s="49">
        <v>1107065</v>
      </c>
      <c r="J453" s="50">
        <v>2112593</v>
      </c>
      <c r="K453" t="s">
        <v>2615</v>
      </c>
      <c r="L453" s="4" t="s">
        <v>461</v>
      </c>
      <c r="M453" t="s">
        <v>351</v>
      </c>
      <c r="N453" s="2">
        <v>93401524</v>
      </c>
      <c r="O453" t="s">
        <v>1392</v>
      </c>
      <c r="P453" t="s">
        <v>316</v>
      </c>
      <c r="Q453" t="s">
        <v>317</v>
      </c>
      <c r="R453">
        <v>24141811912</v>
      </c>
      <c r="S453" t="s">
        <v>319</v>
      </c>
      <c r="T453">
        <v>860007335</v>
      </c>
      <c r="U453" t="s">
        <v>381</v>
      </c>
      <c r="V453">
        <v>923245</v>
      </c>
      <c r="W453" t="s">
        <v>180</v>
      </c>
      <c r="X453" s="2" t="s">
        <v>29</v>
      </c>
      <c r="Y453" t="s">
        <v>30</v>
      </c>
      <c r="Z453" t="s">
        <v>31</v>
      </c>
      <c r="AA453" t="s">
        <v>32</v>
      </c>
      <c r="AB453" t="s">
        <v>33</v>
      </c>
      <c r="AC453" s="51">
        <v>3219658</v>
      </c>
      <c r="AD453">
        <v>0</v>
      </c>
      <c r="AE453" s="4">
        <v>0</v>
      </c>
      <c r="AF453" s="4">
        <v>0</v>
      </c>
      <c r="AG453" t="s">
        <v>462</v>
      </c>
      <c r="AH453">
        <v>0</v>
      </c>
      <c r="AI453">
        <v>0</v>
      </c>
      <c r="AJ453" s="2" t="s">
        <v>463</v>
      </c>
      <c r="AK453" s="2">
        <v>0</v>
      </c>
      <c r="AL453">
        <v>0</v>
      </c>
      <c r="AM453">
        <v>0</v>
      </c>
      <c r="AN453">
        <v>0</v>
      </c>
      <c r="AO453" t="s">
        <v>4781</v>
      </c>
      <c r="AP453">
        <v>3825</v>
      </c>
      <c r="AQ453">
        <v>3825</v>
      </c>
      <c r="AR453">
        <v>18425</v>
      </c>
      <c r="AS453">
        <v>0</v>
      </c>
      <c r="AT453">
        <v>0</v>
      </c>
      <c r="AU453">
        <v>24725</v>
      </c>
      <c r="AV453">
        <v>71243425</v>
      </c>
      <c r="AW453">
        <v>0</v>
      </c>
      <c r="AX453" s="5">
        <v>45696</v>
      </c>
      <c r="AY453" t="s">
        <v>356</v>
      </c>
      <c r="AZ453" t="s">
        <v>1394</v>
      </c>
      <c r="BA453" t="s">
        <v>1332</v>
      </c>
    </row>
    <row r="454" spans="1:53" ht="15" customHeight="1" x14ac:dyDescent="0.2">
      <c r="A454" t="s">
        <v>5305</v>
      </c>
      <c r="B454" t="s">
        <v>2455</v>
      </c>
      <c r="C454" t="s">
        <v>4877</v>
      </c>
      <c r="D454">
        <v>71247225</v>
      </c>
      <c r="E454" s="5">
        <v>45730</v>
      </c>
      <c r="F454" s="5">
        <v>45734.14166666667</v>
      </c>
      <c r="G454" s="4" t="s">
        <v>460</v>
      </c>
      <c r="H454" s="49">
        <v>3219658</v>
      </c>
      <c r="I454" s="49">
        <v>16883</v>
      </c>
      <c r="J454" s="50">
        <v>3202775</v>
      </c>
      <c r="K454" t="s">
        <v>2615</v>
      </c>
      <c r="L454" s="4" t="s">
        <v>461</v>
      </c>
      <c r="M454" t="s">
        <v>351</v>
      </c>
      <c r="N454" s="2">
        <v>39728459</v>
      </c>
      <c r="O454" t="s">
        <v>1707</v>
      </c>
      <c r="P454" t="s">
        <v>316</v>
      </c>
      <c r="Q454" t="s">
        <v>317</v>
      </c>
      <c r="R454">
        <v>24142267633</v>
      </c>
      <c r="S454" t="s">
        <v>319</v>
      </c>
      <c r="T454">
        <v>860007335</v>
      </c>
      <c r="U454" t="s">
        <v>381</v>
      </c>
      <c r="V454">
        <v>923238</v>
      </c>
      <c r="W454" t="s">
        <v>569</v>
      </c>
      <c r="X454" s="2" t="s">
        <v>29</v>
      </c>
      <c r="Y454" t="s">
        <v>30</v>
      </c>
      <c r="Z454" t="s">
        <v>31</v>
      </c>
      <c r="AA454" t="s">
        <v>32</v>
      </c>
      <c r="AB454" t="s">
        <v>33</v>
      </c>
      <c r="AC454" s="51">
        <v>3219658</v>
      </c>
      <c r="AD454">
        <v>0</v>
      </c>
      <c r="AE454" s="4">
        <v>0</v>
      </c>
      <c r="AF454" s="4">
        <v>0</v>
      </c>
      <c r="AG454" t="s">
        <v>462</v>
      </c>
      <c r="AH454">
        <v>0</v>
      </c>
      <c r="AI454">
        <v>0</v>
      </c>
      <c r="AJ454" s="2" t="s">
        <v>463</v>
      </c>
      <c r="AK454" s="2">
        <v>0</v>
      </c>
      <c r="AL454">
        <v>0</v>
      </c>
      <c r="AM454">
        <v>0</v>
      </c>
      <c r="AN454">
        <v>0</v>
      </c>
      <c r="AO454" t="s">
        <v>4783</v>
      </c>
      <c r="AP454">
        <v>125</v>
      </c>
      <c r="AQ454">
        <v>125</v>
      </c>
      <c r="AR454">
        <v>24725</v>
      </c>
      <c r="AS454">
        <v>0</v>
      </c>
      <c r="AT454">
        <v>0</v>
      </c>
      <c r="AU454">
        <v>30825</v>
      </c>
      <c r="AV454">
        <v>71247225</v>
      </c>
      <c r="AW454">
        <v>0</v>
      </c>
      <c r="AX454" s="5">
        <v>45697</v>
      </c>
      <c r="AY454" t="s">
        <v>356</v>
      </c>
      <c r="AZ454" t="s">
        <v>1709</v>
      </c>
      <c r="BA454" t="s">
        <v>742</v>
      </c>
    </row>
  </sheetData>
  <phoneticPr fontId="8" type="noConversion"/>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037B5-6332-4DD2-82DE-2A04596E09B5}">
  <sheetPr codeName="Hoja2"/>
  <dimension ref="A1:Q80"/>
  <sheetViews>
    <sheetView topLeftCell="A24" workbookViewId="0">
      <selection activeCell="I56" sqref="I56"/>
    </sheetView>
  </sheetViews>
  <sheetFormatPr baseColWidth="10" defaultColWidth="8.6640625" defaultRowHeight="15" x14ac:dyDescent="0.2"/>
  <cols>
    <col min="1" max="2" width="16" customWidth="1"/>
    <col min="3" max="3" width="16" hidden="1" customWidth="1"/>
    <col min="4" max="4" width="19.33203125" style="21" bestFit="1" customWidth="1"/>
    <col min="5" max="5" width="20.5" style="21" bestFit="1" customWidth="1"/>
    <col min="6" max="6" width="9.5" hidden="1" customWidth="1"/>
    <col min="7" max="7" width="14.33203125" style="4" bestFit="1" customWidth="1"/>
    <col min="8" max="8" width="23.1640625" style="4" bestFit="1" customWidth="1"/>
    <col min="9" max="9" width="24.33203125" style="4" bestFit="1" customWidth="1"/>
    <col min="10" max="10" width="26.83203125" style="4" bestFit="1" customWidth="1"/>
    <col min="11" max="11" width="24.83203125" bestFit="1" customWidth="1"/>
    <col min="12" max="12" width="16.6640625" customWidth="1"/>
    <col min="13" max="13" width="11.33203125" customWidth="1"/>
  </cols>
  <sheetData>
    <row r="1" spans="1:17" x14ac:dyDescent="0.2">
      <c r="A1" s="8" t="s">
        <v>468</v>
      </c>
      <c r="B1" s="22" t="s">
        <v>499</v>
      </c>
      <c r="C1" s="24" t="s">
        <v>521</v>
      </c>
      <c r="D1" s="26" t="s">
        <v>1</v>
      </c>
      <c r="E1" s="1" t="s">
        <v>522</v>
      </c>
      <c r="F1" s="25" t="s">
        <v>4</v>
      </c>
      <c r="G1" s="27" t="s">
        <v>523</v>
      </c>
      <c r="H1" s="27" t="s">
        <v>524</v>
      </c>
      <c r="I1" s="27" t="s">
        <v>525</v>
      </c>
      <c r="J1" s="27" t="s">
        <v>526</v>
      </c>
      <c r="K1" s="23" t="s">
        <v>459</v>
      </c>
      <c r="L1" s="33" t="s">
        <v>305</v>
      </c>
      <c r="M1" s="33" t="s">
        <v>527</v>
      </c>
      <c r="N1" s="33" t="s">
        <v>528</v>
      </c>
    </row>
    <row r="2" spans="1:17" x14ac:dyDescent="0.2">
      <c r="A2" t="s">
        <v>478</v>
      </c>
      <c r="B2" t="s">
        <v>509</v>
      </c>
      <c r="D2" s="21" t="s">
        <v>529</v>
      </c>
      <c r="E2" s="21" t="s">
        <v>529</v>
      </c>
      <c r="G2" s="4">
        <v>50000</v>
      </c>
      <c r="H2" s="4">
        <f>_xlfn.XLOOKUP(Tabla_Consumo[[#This Row],[CODIGO CRP]],'CRP-Convertido'!$A$2:$A$22,'CRP-Convertido'!$M$2:$M$22,0,0)</f>
        <v>52298263</v>
      </c>
      <c r="I2" s="28" cm="1">
        <f t="array" aca="1" ref="I2"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52298263</v>
      </c>
      <c r="J2" s="4">
        <f ca="1">Tabla_Consumo[[#This Row],[Saldo Disponible Antes]]-Tabla_Consumo[[#This Row],[Valor Consumo]]</f>
        <v>52248263</v>
      </c>
      <c r="K2" t="str">
        <f>_xlfn.XLOOKUP(Tabla_Consumo[[#This Row],[CODIGO CDP]],'CDP-Convertido'!$A$2:$A$74,'CDP-Convertido'!$N$2:$N$74,"ND",0)</f>
        <v>ND</v>
      </c>
      <c r="N2" s="4" t="s">
        <v>530</v>
      </c>
    </row>
    <row r="3" spans="1:17" x14ac:dyDescent="0.2">
      <c r="A3" t="s">
        <v>478</v>
      </c>
      <c r="B3" t="s">
        <v>509</v>
      </c>
      <c r="D3" s="21" t="s">
        <v>529</v>
      </c>
      <c r="E3" s="21" t="s">
        <v>529</v>
      </c>
      <c r="G3" s="4">
        <v>248263</v>
      </c>
      <c r="H3" s="4">
        <f>_xlfn.XLOOKUP(Tabla_Consumo[[#This Row],[CODIGO CRP]],'CRP-Convertido'!$A$2:$A$22,'CRP-Convertido'!$M$2:$M$22,0,0)</f>
        <v>52298263</v>
      </c>
      <c r="I3" s="4" cm="1">
        <f t="array" aca="1" ref="I3"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52248263</v>
      </c>
      <c r="J3" s="4">
        <f ca="1">Tabla_Consumo[[#This Row],[Saldo Disponible Antes]]-Tabla_Consumo[[#This Row],[Valor Consumo]]</f>
        <v>52000000</v>
      </c>
      <c r="K3" t="str">
        <f>_xlfn.XLOOKUP(Tabla_Consumo[[#This Row],[CODIGO CDP]],'CDP-Convertido'!$A$2:$A$74,'CDP-Convertido'!$N$2:$N$74,"ND",0)</f>
        <v>ND</v>
      </c>
      <c r="N3" s="4" t="s">
        <v>531</v>
      </c>
    </row>
    <row r="4" spans="1:17" x14ac:dyDescent="0.2">
      <c r="A4" t="s">
        <v>476</v>
      </c>
      <c r="B4" t="s">
        <v>500</v>
      </c>
      <c r="D4" s="21" t="s">
        <v>529</v>
      </c>
      <c r="E4" s="21" t="s">
        <v>529</v>
      </c>
      <c r="G4" s="4">
        <v>200000</v>
      </c>
      <c r="H4" s="4">
        <f>_xlfn.XLOOKUP(Tabla_Consumo[[#This Row],[CODIGO CRP]],'CRP-Convertido'!$A$2:$A$22,'CRP-Convertido'!$M$2:$M$22,0,0)</f>
        <v>695250</v>
      </c>
      <c r="I4" s="4" cm="1">
        <f t="array" aca="1" ref="I4"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695250</v>
      </c>
      <c r="J4" s="4">
        <f ca="1">Tabla_Consumo[[#This Row],[Saldo Disponible Antes]]-Tabla_Consumo[[#This Row],[Valor Consumo]]</f>
        <v>495250</v>
      </c>
      <c r="K4" t="str">
        <f>_xlfn.XLOOKUP(Tabla_Consumo[[#This Row],[CODIGO CDP]],'CDP-Convertido'!$A$2:$A$74,'CDP-Convertido'!$N$2:$N$74,"ND",0)</f>
        <v>ND</v>
      </c>
      <c r="L4">
        <v>1225</v>
      </c>
      <c r="M4">
        <v>125</v>
      </c>
      <c r="N4" s="4" t="s">
        <v>532</v>
      </c>
    </row>
    <row r="8" spans="1:17" x14ac:dyDescent="0.2">
      <c r="Q8" s="34" t="s">
        <v>468</v>
      </c>
    </row>
    <row r="9" spans="1:17" x14ac:dyDescent="0.2">
      <c r="Q9" s="22" t="s">
        <v>499</v>
      </c>
    </row>
    <row r="10" spans="1:17" x14ac:dyDescent="0.2">
      <c r="A10" s="29" t="s">
        <v>533</v>
      </c>
      <c r="B10" s="30" t="s">
        <v>533</v>
      </c>
      <c r="C10" s="30"/>
      <c r="D10" s="36" t="s">
        <v>533</v>
      </c>
      <c r="E10" s="21" t="s">
        <v>534</v>
      </c>
      <c r="F10" s="30"/>
      <c r="G10" s="31" t="s">
        <v>534</v>
      </c>
      <c r="H10" s="31" t="s">
        <v>533</v>
      </c>
      <c r="I10" s="31" t="s">
        <v>533</v>
      </c>
      <c r="J10" s="31" t="s">
        <v>533</v>
      </c>
      <c r="K10" s="32" t="s">
        <v>533</v>
      </c>
      <c r="L10" s="35"/>
      <c r="M10" s="35"/>
      <c r="Q10" s="24" t="s">
        <v>521</v>
      </c>
    </row>
    <row r="11" spans="1:17" x14ac:dyDescent="0.2">
      <c r="Q11" s="26" t="s">
        <v>1</v>
      </c>
    </row>
    <row r="12" spans="1:17" x14ac:dyDescent="0.2">
      <c r="Q12" s="26" t="s">
        <v>522</v>
      </c>
    </row>
    <row r="13" spans="1:17" x14ac:dyDescent="0.2">
      <c r="Q13" s="25" t="s">
        <v>4</v>
      </c>
    </row>
    <row r="14" spans="1:17" x14ac:dyDescent="0.2">
      <c r="Q14" s="27" t="s">
        <v>523</v>
      </c>
    </row>
    <row r="15" spans="1:17" x14ac:dyDescent="0.2">
      <c r="Q15" s="27" t="s">
        <v>524</v>
      </c>
    </row>
    <row r="16" spans="1:17" x14ac:dyDescent="0.2">
      <c r="Q16" s="27" t="s">
        <v>525</v>
      </c>
    </row>
    <row r="17" spans="1:17" x14ac:dyDescent="0.2">
      <c r="Q17" s="27" t="s">
        <v>526</v>
      </c>
    </row>
    <row r="18" spans="1:17" x14ac:dyDescent="0.2">
      <c r="Q18" s="23" t="s">
        <v>459</v>
      </c>
    </row>
    <row r="27" spans="1:17" x14ac:dyDescent="0.2">
      <c r="A27" t="s">
        <v>3801</v>
      </c>
      <c r="B27" t="s">
        <v>3802</v>
      </c>
      <c r="D27" s="21" t="s">
        <v>3843</v>
      </c>
    </row>
    <row r="28" spans="1:17" x14ac:dyDescent="0.2">
      <c r="A28" s="40" t="s">
        <v>0</v>
      </c>
      <c r="B28" s="45" t="s">
        <v>521</v>
      </c>
      <c r="D28" s="45" t="s">
        <v>3803</v>
      </c>
    </row>
    <row r="29" spans="1:17" x14ac:dyDescent="0.2">
      <c r="A29" s="40" t="s">
        <v>1</v>
      </c>
      <c r="B29" s="45" t="s">
        <v>499</v>
      </c>
      <c r="D29" s="45" t="s">
        <v>3804</v>
      </c>
    </row>
    <row r="30" spans="1:17" x14ac:dyDescent="0.2">
      <c r="A30" s="40" t="s">
        <v>440</v>
      </c>
      <c r="B30" s="45" t="s">
        <v>468</v>
      </c>
      <c r="D30" s="45" t="s">
        <v>3805</v>
      </c>
    </row>
    <row r="31" spans="1:17" x14ac:dyDescent="0.2">
      <c r="A31" s="40" t="s">
        <v>4</v>
      </c>
      <c r="B31" s="46" t="s">
        <v>0</v>
      </c>
      <c r="D31" s="46" t="s">
        <v>3806</v>
      </c>
    </row>
    <row r="32" spans="1:17" x14ac:dyDescent="0.2">
      <c r="A32" s="40" t="s">
        <v>441</v>
      </c>
      <c r="B32" s="45" t="s">
        <v>440</v>
      </c>
      <c r="D32" s="45" t="s">
        <v>3807</v>
      </c>
    </row>
    <row r="33" spans="1:9" x14ac:dyDescent="0.2">
      <c r="A33" s="40" t="s">
        <v>442</v>
      </c>
      <c r="B33" s="45" t="s">
        <v>4</v>
      </c>
      <c r="D33" s="45" t="s">
        <v>3808</v>
      </c>
    </row>
    <row r="34" spans="1:9" x14ac:dyDescent="0.2">
      <c r="A34" s="40" t="s">
        <v>443</v>
      </c>
      <c r="B34" s="47" t="s">
        <v>441</v>
      </c>
      <c r="D34" s="47" t="s">
        <v>4</v>
      </c>
    </row>
    <row r="35" spans="1:9" x14ac:dyDescent="0.2">
      <c r="A35" s="40" t="s">
        <v>2612</v>
      </c>
      <c r="B35" s="47" t="s">
        <v>442</v>
      </c>
      <c r="D35" s="47" t="s">
        <v>3809</v>
      </c>
    </row>
    <row r="36" spans="1:9" x14ac:dyDescent="0.2">
      <c r="A36" s="40" t="s">
        <v>444</v>
      </c>
      <c r="B36" s="47" t="s">
        <v>443</v>
      </c>
      <c r="D36" s="47" t="s">
        <v>3810</v>
      </c>
    </row>
    <row r="37" spans="1:9" x14ac:dyDescent="0.2">
      <c r="A37" s="40" t="s">
        <v>296</v>
      </c>
      <c r="B37" s="45" t="s">
        <v>296</v>
      </c>
      <c r="D37" s="45" t="s">
        <v>3811</v>
      </c>
    </row>
    <row r="38" spans="1:9" x14ac:dyDescent="0.2">
      <c r="A38" s="40" t="s">
        <v>297</v>
      </c>
      <c r="B38" s="45" t="s">
        <v>297</v>
      </c>
      <c r="D38" s="45" t="s">
        <v>3812</v>
      </c>
    </row>
    <row r="39" spans="1:9" x14ac:dyDescent="0.2">
      <c r="A39" s="40" t="s">
        <v>298</v>
      </c>
      <c r="B39" s="45" t="s">
        <v>298</v>
      </c>
      <c r="D39" s="45" t="s">
        <v>3813</v>
      </c>
    </row>
    <row r="40" spans="1:9" x14ac:dyDescent="0.2">
      <c r="A40" s="40" t="s">
        <v>299</v>
      </c>
      <c r="B40" s="45" t="s">
        <v>299</v>
      </c>
      <c r="D40" s="45" t="s">
        <v>3814</v>
      </c>
    </row>
    <row r="41" spans="1:9" x14ac:dyDescent="0.2">
      <c r="A41" s="40" t="s">
        <v>300</v>
      </c>
      <c r="B41" s="45" t="s">
        <v>300</v>
      </c>
      <c r="D41" s="45" t="s">
        <v>297</v>
      </c>
    </row>
    <row r="42" spans="1:9" x14ac:dyDescent="0.2">
      <c r="A42" s="40" t="s">
        <v>301</v>
      </c>
      <c r="B42" s="45" t="s">
        <v>301</v>
      </c>
      <c r="D42" s="45" t="s">
        <v>3815</v>
      </c>
    </row>
    <row r="43" spans="1:9" x14ac:dyDescent="0.2">
      <c r="A43" s="40" t="s">
        <v>302</v>
      </c>
      <c r="B43" s="45" t="s">
        <v>302</v>
      </c>
      <c r="D43" s="45" t="s">
        <v>3816</v>
      </c>
    </row>
    <row r="44" spans="1:9" x14ac:dyDescent="0.2">
      <c r="A44" s="40" t="s">
        <v>303</v>
      </c>
      <c r="B44" s="45" t="s">
        <v>303</v>
      </c>
      <c r="D44" s="45" t="s">
        <v>3817</v>
      </c>
    </row>
    <row r="45" spans="1:9" x14ac:dyDescent="0.2">
      <c r="A45" s="40" t="s">
        <v>304</v>
      </c>
      <c r="B45" s="45" t="s">
        <v>304</v>
      </c>
      <c r="D45" s="45" t="s">
        <v>3818</v>
      </c>
    </row>
    <row r="46" spans="1:9" x14ac:dyDescent="0.2">
      <c r="A46" s="40" t="s">
        <v>5</v>
      </c>
      <c r="B46" s="46" t="s">
        <v>5</v>
      </c>
      <c r="D46" s="46" t="s">
        <v>3819</v>
      </c>
      <c r="H46" t="s">
        <v>5306</v>
      </c>
      <c r="I46" s="21">
        <f>SUM(CDP!O2:O104)</f>
        <v>33387415871</v>
      </c>
    </row>
    <row r="47" spans="1:9" x14ac:dyDescent="0.2">
      <c r="A47" s="40" t="s">
        <v>6</v>
      </c>
      <c r="B47" s="45" t="s">
        <v>7</v>
      </c>
      <c r="D47" s="45" t="s">
        <v>3820</v>
      </c>
      <c r="H47" t="s">
        <v>5307</v>
      </c>
      <c r="I47" s="21">
        <f>SUM(CDP!P2:P104)</f>
        <v>16556186866.65</v>
      </c>
    </row>
    <row r="48" spans="1:9" x14ac:dyDescent="0.2">
      <c r="A48" s="40" t="s">
        <v>7</v>
      </c>
      <c r="B48" s="45" t="s">
        <v>8</v>
      </c>
      <c r="D48" s="45" t="s">
        <v>3821</v>
      </c>
      <c r="H48" t="s">
        <v>5308</v>
      </c>
      <c r="I48" s="21">
        <f>I46-I47</f>
        <v>16831229004.35</v>
      </c>
    </row>
    <row r="49" spans="1:4" x14ac:dyDescent="0.2">
      <c r="A49" s="40" t="s">
        <v>8</v>
      </c>
      <c r="B49" s="45" t="s">
        <v>10</v>
      </c>
      <c r="D49" s="45" t="s">
        <v>5</v>
      </c>
    </row>
    <row r="50" spans="1:4" x14ac:dyDescent="0.2">
      <c r="A50" s="40" t="s">
        <v>9</v>
      </c>
      <c r="B50" s="45" t="s">
        <v>446</v>
      </c>
      <c r="D50" s="45" t="s">
        <v>3822</v>
      </c>
    </row>
    <row r="51" spans="1:4" x14ac:dyDescent="0.2">
      <c r="A51" s="40" t="s">
        <v>10</v>
      </c>
      <c r="B51" s="45" t="s">
        <v>447</v>
      </c>
      <c r="D51" s="45" t="s">
        <v>7</v>
      </c>
    </row>
    <row r="52" spans="1:4" x14ac:dyDescent="0.2">
      <c r="A52" s="40" t="s">
        <v>11</v>
      </c>
      <c r="B52" s="45" t="s">
        <v>448</v>
      </c>
      <c r="D52" s="45" t="s">
        <v>8</v>
      </c>
    </row>
    <row r="53" spans="1:4" x14ac:dyDescent="0.2">
      <c r="A53" s="40" t="s">
        <v>445</v>
      </c>
      <c r="B53" s="46" t="s">
        <v>9</v>
      </c>
      <c r="D53" s="46" t="s">
        <v>9</v>
      </c>
    </row>
    <row r="54" spans="1:4" x14ac:dyDescent="0.2">
      <c r="A54" s="40" t="s">
        <v>446</v>
      </c>
      <c r="B54" s="45" t="s">
        <v>17</v>
      </c>
      <c r="D54" s="45" t="s">
        <v>10</v>
      </c>
    </row>
    <row r="55" spans="1:4" x14ac:dyDescent="0.2">
      <c r="A55" s="40" t="s">
        <v>447</v>
      </c>
      <c r="B55" s="45" t="s">
        <v>305</v>
      </c>
      <c r="D55" s="45" t="s">
        <v>11</v>
      </c>
    </row>
    <row r="56" spans="1:4" x14ac:dyDescent="0.2">
      <c r="A56" s="40" t="s">
        <v>448</v>
      </c>
      <c r="B56" s="45" t="s">
        <v>18</v>
      </c>
      <c r="D56" s="45" t="s">
        <v>3823</v>
      </c>
    </row>
    <row r="57" spans="1:4" x14ac:dyDescent="0.2">
      <c r="A57" s="40" t="s">
        <v>449</v>
      </c>
      <c r="B57" s="45" t="s">
        <v>19</v>
      </c>
      <c r="D57" s="45" t="s">
        <v>3824</v>
      </c>
    </row>
    <row r="58" spans="1:4" x14ac:dyDescent="0.2">
      <c r="A58" s="40" t="s">
        <v>450</v>
      </c>
      <c r="B58" s="45" t="s">
        <v>455</v>
      </c>
      <c r="D58" s="45" t="s">
        <v>3825</v>
      </c>
    </row>
    <row r="59" spans="1:4" x14ac:dyDescent="0.2">
      <c r="A59" s="40" t="s">
        <v>451</v>
      </c>
      <c r="B59" s="45" t="s">
        <v>20</v>
      </c>
      <c r="D59" s="45" t="s">
        <v>3826</v>
      </c>
    </row>
    <row r="60" spans="1:4" x14ac:dyDescent="0.2">
      <c r="A60" s="40" t="s">
        <v>452</v>
      </c>
      <c r="B60" s="45" t="s">
        <v>21</v>
      </c>
      <c r="D60" s="45" t="s">
        <v>3827</v>
      </c>
    </row>
    <row r="61" spans="1:4" x14ac:dyDescent="0.2">
      <c r="A61" s="40" t="s">
        <v>296</v>
      </c>
      <c r="B61" s="45" t="s">
        <v>22</v>
      </c>
      <c r="D61" s="45" t="s">
        <v>3828</v>
      </c>
    </row>
    <row r="62" spans="1:4" x14ac:dyDescent="0.2">
      <c r="A62" s="40" t="s">
        <v>297</v>
      </c>
      <c r="B62" s="48" t="s">
        <v>456</v>
      </c>
      <c r="D62" s="48" t="s">
        <v>3829</v>
      </c>
    </row>
    <row r="63" spans="1:4" x14ac:dyDescent="0.2">
      <c r="A63" s="40" t="s">
        <v>453</v>
      </c>
      <c r="B63" s="45" t="s">
        <v>457</v>
      </c>
      <c r="D63" s="45" t="s">
        <v>452</v>
      </c>
    </row>
    <row r="64" spans="1:4" x14ac:dyDescent="0.2">
      <c r="A64" s="40" t="s">
        <v>301</v>
      </c>
      <c r="B64" s="45" t="s">
        <v>458</v>
      </c>
      <c r="D64" s="45" t="s">
        <v>3830</v>
      </c>
    </row>
    <row r="65" spans="1:4" x14ac:dyDescent="0.2">
      <c r="A65" s="40" t="s">
        <v>454</v>
      </c>
      <c r="B65" s="45" t="s">
        <v>459</v>
      </c>
      <c r="D65" s="45" t="s">
        <v>3831</v>
      </c>
    </row>
    <row r="66" spans="1:4" x14ac:dyDescent="0.2">
      <c r="A66" s="40" t="s">
        <v>17</v>
      </c>
      <c r="B66" t="s">
        <v>552</v>
      </c>
      <c r="D66" t="s">
        <v>3832</v>
      </c>
    </row>
    <row r="67" spans="1:4" x14ac:dyDescent="0.2">
      <c r="A67" s="40" t="s">
        <v>305</v>
      </c>
      <c r="B67" t="s">
        <v>3787</v>
      </c>
      <c r="D67" t="s">
        <v>3833</v>
      </c>
    </row>
    <row r="68" spans="1:4" x14ac:dyDescent="0.2">
      <c r="A68" s="40" t="s">
        <v>18</v>
      </c>
      <c r="B68" t="s">
        <v>3788</v>
      </c>
      <c r="D68" t="s">
        <v>3834</v>
      </c>
    </row>
    <row r="69" spans="1:4" x14ac:dyDescent="0.2">
      <c r="A69" s="40" t="s">
        <v>19</v>
      </c>
      <c r="B69" t="s">
        <v>3789</v>
      </c>
      <c r="D69" t="s">
        <v>3835</v>
      </c>
    </row>
    <row r="70" spans="1:4" x14ac:dyDescent="0.2">
      <c r="A70" s="40" t="s">
        <v>455</v>
      </c>
      <c r="B70" t="s">
        <v>3790</v>
      </c>
      <c r="D70" t="s">
        <v>305</v>
      </c>
    </row>
    <row r="71" spans="1:4" x14ac:dyDescent="0.2">
      <c r="A71" s="40" t="s">
        <v>20</v>
      </c>
      <c r="B71" t="s">
        <v>3791</v>
      </c>
      <c r="D71" t="s">
        <v>18</v>
      </c>
    </row>
    <row r="72" spans="1:4" x14ac:dyDescent="0.2">
      <c r="A72" s="40" t="s">
        <v>21</v>
      </c>
      <c r="B72" t="s">
        <v>3792</v>
      </c>
      <c r="D72" t="s">
        <v>3836</v>
      </c>
    </row>
    <row r="73" spans="1:4" x14ac:dyDescent="0.2">
      <c r="A73" s="40" t="s">
        <v>22</v>
      </c>
      <c r="B73" t="s">
        <v>3793</v>
      </c>
      <c r="D73" t="s">
        <v>3837</v>
      </c>
    </row>
    <row r="74" spans="1:4" x14ac:dyDescent="0.2">
      <c r="A74" s="40" t="s">
        <v>456</v>
      </c>
      <c r="B74" t="s">
        <v>3794</v>
      </c>
      <c r="D74" t="s">
        <v>20</v>
      </c>
    </row>
    <row r="75" spans="1:4" x14ac:dyDescent="0.2">
      <c r="A75" s="40" t="s">
        <v>457</v>
      </c>
      <c r="B75" t="s">
        <v>3795</v>
      </c>
      <c r="D75" t="s">
        <v>3838</v>
      </c>
    </row>
    <row r="76" spans="1:4" x14ac:dyDescent="0.2">
      <c r="A76" s="40" t="s">
        <v>458</v>
      </c>
      <c r="B76" t="s">
        <v>3796</v>
      </c>
      <c r="D76" t="s">
        <v>22</v>
      </c>
    </row>
    <row r="77" spans="1:4" x14ac:dyDescent="0.2">
      <c r="A77" s="40" t="s">
        <v>459</v>
      </c>
      <c r="B77" t="s">
        <v>3797</v>
      </c>
      <c r="D77" t="s">
        <v>3839</v>
      </c>
    </row>
    <row r="78" spans="1:4" x14ac:dyDescent="0.2">
      <c r="B78" t="s">
        <v>3798</v>
      </c>
      <c r="D78" t="s">
        <v>3840</v>
      </c>
    </row>
    <row r="79" spans="1:4" x14ac:dyDescent="0.2">
      <c r="B79" t="s">
        <v>3799</v>
      </c>
      <c r="D79" t="s">
        <v>3841</v>
      </c>
    </row>
    <row r="80" spans="1:4" x14ac:dyDescent="0.2">
      <c r="B80" t="s">
        <v>3800</v>
      </c>
      <c r="D80" t="s">
        <v>3842</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7F9B9-E3E7-40B9-B9C2-74F438E37F8F}">
  <sheetPr codeName="Hoja4"/>
  <dimension ref="A1:I16"/>
  <sheetViews>
    <sheetView workbookViewId="0"/>
  </sheetViews>
  <sheetFormatPr baseColWidth="10" defaultColWidth="11.5" defaultRowHeight="15" x14ac:dyDescent="0.2"/>
  <cols>
    <col min="2" max="2" width="33.5" customWidth="1"/>
    <col min="3" max="3" width="16" customWidth="1"/>
    <col min="4" max="4" width="15.1640625" customWidth="1"/>
    <col min="5" max="5" width="17" customWidth="1"/>
    <col min="6" max="6" width="16.33203125" customWidth="1"/>
    <col min="8" max="8" width="12.5" bestFit="1" customWidth="1"/>
    <col min="11" max="11" width="13.83203125" customWidth="1"/>
  </cols>
  <sheetData>
    <row r="1" spans="1:9" x14ac:dyDescent="0.2">
      <c r="A1" t="s">
        <v>535</v>
      </c>
      <c r="B1" t="s">
        <v>536</v>
      </c>
      <c r="C1" t="s">
        <v>537</v>
      </c>
    </row>
    <row r="2" spans="1:9" x14ac:dyDescent="0.2">
      <c r="A2" t="s">
        <v>538</v>
      </c>
      <c r="B2" t="s">
        <v>539</v>
      </c>
      <c r="C2" t="s">
        <v>540</v>
      </c>
    </row>
    <row r="3" spans="1:9" x14ac:dyDescent="0.2">
      <c r="A3" t="s">
        <v>541</v>
      </c>
      <c r="B3" t="s">
        <v>542</v>
      </c>
      <c r="C3" t="s">
        <v>543</v>
      </c>
    </row>
    <row r="5" spans="1:9" x14ac:dyDescent="0.2">
      <c r="D5" t="str">
        <f>_xlfn.CONCAT($A$2,": ",$B$2)</f>
        <v>Grafica 2: DISPONIBLE PARA COMPROMETER CDP</v>
      </c>
    </row>
    <row r="6" spans="1:9" x14ac:dyDescent="0.2">
      <c r="C6" s="8" t="s">
        <v>544</v>
      </c>
      <c r="D6" s="8" t="s">
        <v>468</v>
      </c>
      <c r="E6" s="8" t="s">
        <v>469</v>
      </c>
      <c r="F6" s="8" t="s">
        <v>528</v>
      </c>
    </row>
    <row r="7" spans="1:9" x14ac:dyDescent="0.2">
      <c r="B7" t="s">
        <v>545</v>
      </c>
      <c r="C7" t="s">
        <v>546</v>
      </c>
      <c r="D7" t="str" cm="1">
        <f t="array" ref="D7">INDEX(INSERT_CDP[CDP USUARIO], COUNTA(INSERT_CDP[CDP USUARIO]))</f>
        <v>225-923238-N</v>
      </c>
      <c r="E7" s="20">
        <f>_xlfn.XLOOKUP(D7,'CDP-Convertido'!$A$2:$A$74,'CDP-Convertido'!$L$2:$L$74,0,0)</f>
        <v>0</v>
      </c>
      <c r="F7" s="20" t="s">
        <v>547</v>
      </c>
    </row>
    <row r="8" spans="1:9" x14ac:dyDescent="0.2">
      <c r="B8" t="s">
        <v>548</v>
      </c>
      <c r="C8" t="s">
        <v>549</v>
      </c>
      <c r="D8" t="str" cm="1">
        <f t="array" ref="D8">INDEX(INSERT_CDP[CDP USUARIO], COUNTA(INSERT_CDP[CDP USUARIO]))</f>
        <v>225-923238-N</v>
      </c>
      <c r="E8" s="20">
        <f>SUMIF('CRP-Convertido'!$B$2:$B$22, $D$7,'CRP-Convertido'!$M$2:$M$22)</f>
        <v>0</v>
      </c>
      <c r="F8" s="20" t="s">
        <v>550</v>
      </c>
      <c r="I8" s="20"/>
    </row>
    <row r="9" spans="1:9" x14ac:dyDescent="0.2">
      <c r="E9" s="20">
        <f>E7-E8</f>
        <v>0</v>
      </c>
      <c r="F9" t="s">
        <v>551</v>
      </c>
    </row>
    <row r="12" spans="1:9" x14ac:dyDescent="0.2">
      <c r="D12" t="str">
        <f>_xlfn.CONCAT($A$3,": ",$B$3)</f>
        <v>Grafica 3: RESTANTE DE CRP</v>
      </c>
    </row>
    <row r="13" spans="1:9" x14ac:dyDescent="0.2">
      <c r="C13" s="38" t="s">
        <v>552</v>
      </c>
      <c r="D13" s="11" t="s">
        <v>499</v>
      </c>
      <c r="E13" s="8" t="s">
        <v>14</v>
      </c>
      <c r="F13" s="8" t="s">
        <v>528</v>
      </c>
    </row>
    <row r="14" spans="1:9" x14ac:dyDescent="0.2">
      <c r="C14" s="37" t="s">
        <v>553</v>
      </c>
      <c r="D14" cm="1">
        <f t="array" ref="D14">INDEX(INSERT_CRP[CRP USUARIO], COUNTA(INSERT_CRP[CRP USUARIO]))</f>
        <v>0</v>
      </c>
      <c r="E14" s="20">
        <f>_xlfn.XLOOKUP(D14,'CRP-Convertido'!$A$2:$A$22,'CRP-Convertido'!$M$2:$M$22,0,0)</f>
        <v>0</v>
      </c>
      <c r="F14" s="20" t="s">
        <v>554</v>
      </c>
    </row>
    <row r="15" spans="1:9" x14ac:dyDescent="0.2">
      <c r="C15" s="37" t="s">
        <v>555</v>
      </c>
      <c r="D15" cm="1">
        <f t="array" ref="D15">INDEX(INSERT_CRP[CRP USUARIO], COUNTA(INSERT_CRP[CRP USUARIO]))</f>
        <v>0</v>
      </c>
      <c r="E15" s="20">
        <f>SUMIF('Orden_Pago-Convertido'!$B$2:$B$4, $D$14,'Orden_Pago-Convertido'!$I$2:$I$4)</f>
        <v>0</v>
      </c>
      <c r="F15" s="20" t="s">
        <v>556</v>
      </c>
    </row>
    <row r="16" spans="1:9" x14ac:dyDescent="0.2">
      <c r="E16" s="20">
        <f>E14-E15</f>
        <v>0</v>
      </c>
      <c r="F16" t="s">
        <v>551</v>
      </c>
    </row>
  </sheetData>
  <pageMargins left="0.7" right="0.7" top="0.75" bottom="0.75" header="0.3" footer="0.3"/>
  <pageSetup paperSize="9"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E35C8-27CA-469B-9C7E-CB13BDD8A031}">
  <sheetPr codeName="Hoja5"/>
  <dimension ref="A1:H22"/>
  <sheetViews>
    <sheetView workbookViewId="0"/>
  </sheetViews>
  <sheetFormatPr baseColWidth="10" defaultColWidth="8.6640625" defaultRowHeight="15" x14ac:dyDescent="0.2"/>
  <cols>
    <col min="1" max="1" width="22.5" customWidth="1"/>
    <col min="2" max="2" width="15.33203125" style="4" bestFit="1" customWidth="1"/>
    <col min="7" max="7" width="21.5" customWidth="1"/>
  </cols>
  <sheetData>
    <row r="1" spans="1:8" ht="18.75" customHeight="1" x14ac:dyDescent="0.2">
      <c r="A1" s="22" t="s">
        <v>468</v>
      </c>
      <c r="B1" s="8" t="s">
        <v>14</v>
      </c>
      <c r="G1" s="39" t="s">
        <v>468</v>
      </c>
      <c r="H1" s="39" t="s">
        <v>557</v>
      </c>
    </row>
    <row r="2" spans="1:8" x14ac:dyDescent="0.2">
      <c r="A2" t="s">
        <v>476</v>
      </c>
      <c r="B2" s="4">
        <v>695250</v>
      </c>
      <c r="G2" t="e" cm="1" vm="1">
        <f t="array" aca="1" ref="G2" ca="1">_xlfn.UNICODE(Tabla_CRP_Valor_Actual[CODIGO CDP])</f>
        <v>#VALUE!</v>
      </c>
      <c r="H2">
        <f ca="1">COUNTIF(Tabla_CRP_Valor_Actual[Valor Actual],G2=Tabla_CRP_Valor_Actual[[#This Row],[CODIGO CDP]])</f>
        <v>0</v>
      </c>
    </row>
    <row r="3" spans="1:8" x14ac:dyDescent="0.2">
      <c r="A3" t="s">
        <v>476</v>
      </c>
      <c r="B3" s="4">
        <v>173592.35</v>
      </c>
      <c r="H3">
        <f>COUNTIF(Tabla_CRP_Valor_Actual[Valor Actual],G3=Tabla_CRP_Valor_Actual[[#This Row],[CODIGO CDP]])</f>
        <v>0</v>
      </c>
    </row>
    <row r="4" spans="1:8" x14ac:dyDescent="0.2">
      <c r="A4" t="s">
        <v>476</v>
      </c>
      <c r="B4" s="4">
        <v>2722450</v>
      </c>
      <c r="H4">
        <f>COUNTIF(Tabla_CRP_Valor_Actual[Valor Actual],G4=Tabla_CRP_Valor_Actual[[#This Row],[CODIGO CDP]])</f>
        <v>0</v>
      </c>
    </row>
    <row r="5" spans="1:8" x14ac:dyDescent="0.2">
      <c r="A5" t="s">
        <v>476</v>
      </c>
      <c r="B5" s="4">
        <v>4390</v>
      </c>
      <c r="H5">
        <f>COUNTIF(Tabla_CRP_Valor_Actual[Valor Actual],G5=Tabla_CRP_Valor_Actual[[#This Row],[CODIGO CDP]])</f>
        <v>0</v>
      </c>
    </row>
    <row r="6" spans="1:8" x14ac:dyDescent="0.2">
      <c r="A6" t="s">
        <v>476</v>
      </c>
      <c r="B6" s="4">
        <v>2262280</v>
      </c>
      <c r="H6">
        <f>COUNTIF(Tabla_CRP_Valor_Actual[Valor Actual],G6=Tabla_CRP_Valor_Actual[[#This Row],[CODIGO CDP]])</f>
        <v>0</v>
      </c>
    </row>
    <row r="7" spans="1:8" x14ac:dyDescent="0.2">
      <c r="A7" t="s">
        <v>478</v>
      </c>
      <c r="B7" s="4">
        <v>71070000</v>
      </c>
    </row>
    <row r="8" spans="1:8" x14ac:dyDescent="0.2">
      <c r="A8" t="s">
        <v>478</v>
      </c>
      <c r="B8" s="4">
        <v>27243500</v>
      </c>
    </row>
    <row r="9" spans="1:8" x14ac:dyDescent="0.2">
      <c r="A9" t="s">
        <v>491</v>
      </c>
      <c r="B9" s="4">
        <v>57886400</v>
      </c>
    </row>
    <row r="10" spans="1:8" x14ac:dyDescent="0.2">
      <c r="A10" t="s">
        <v>478</v>
      </c>
      <c r="B10" s="4">
        <v>53302500</v>
      </c>
    </row>
    <row r="11" spans="1:8" x14ac:dyDescent="0.2">
      <c r="A11" t="s">
        <v>478</v>
      </c>
      <c r="B11" s="4">
        <v>52298263</v>
      </c>
    </row>
    <row r="12" spans="1:8" x14ac:dyDescent="0.2">
      <c r="A12" t="s">
        <v>491</v>
      </c>
      <c r="B12" s="4">
        <v>34777277</v>
      </c>
    </row>
    <row r="13" spans="1:8" x14ac:dyDescent="0.2">
      <c r="A13" t="s">
        <v>490</v>
      </c>
      <c r="B13" s="4">
        <v>60950000</v>
      </c>
    </row>
    <row r="14" spans="1:8" x14ac:dyDescent="0.2">
      <c r="A14" t="s">
        <v>480</v>
      </c>
      <c r="B14" s="4">
        <v>59225000</v>
      </c>
    </row>
    <row r="15" spans="1:8" x14ac:dyDescent="0.2">
      <c r="A15" t="s">
        <v>491</v>
      </c>
      <c r="B15" s="4">
        <v>57886400</v>
      </c>
    </row>
    <row r="16" spans="1:8" x14ac:dyDescent="0.2">
      <c r="A16" t="s">
        <v>480</v>
      </c>
      <c r="B16" s="4">
        <v>35001975</v>
      </c>
    </row>
    <row r="17" spans="1:2" x14ac:dyDescent="0.2">
      <c r="A17" t="s">
        <v>480</v>
      </c>
      <c r="B17" s="4">
        <v>35001975</v>
      </c>
    </row>
    <row r="18" spans="1:2" x14ac:dyDescent="0.2">
      <c r="A18" t="s">
        <v>480</v>
      </c>
      <c r="B18" s="4">
        <v>35001975</v>
      </c>
    </row>
    <row r="19" spans="1:2" x14ac:dyDescent="0.2">
      <c r="A19" t="s">
        <v>478</v>
      </c>
      <c r="B19" s="4">
        <v>36043264</v>
      </c>
    </row>
    <row r="20" spans="1:2" x14ac:dyDescent="0.2">
      <c r="A20" t="s">
        <v>476</v>
      </c>
      <c r="B20" s="4">
        <v>4390</v>
      </c>
    </row>
    <row r="21" spans="1:2" x14ac:dyDescent="0.2">
      <c r="A21" t="s">
        <v>476</v>
      </c>
      <c r="B21" s="4">
        <v>26070</v>
      </c>
    </row>
    <row r="22" spans="1:2" x14ac:dyDescent="0.2">
      <c r="A22" t="s">
        <v>476</v>
      </c>
      <c r="B22" s="4">
        <v>1327160</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497AA-33E7-467E-901B-9C62E659DF05}">
  <sheetPr codeName="Hoja6"/>
  <dimension ref="A1:B4"/>
  <sheetViews>
    <sheetView workbookViewId="0"/>
  </sheetViews>
  <sheetFormatPr baseColWidth="10" defaultColWidth="8.6640625" defaultRowHeight="15" x14ac:dyDescent="0.2"/>
  <cols>
    <col min="1" max="1" width="16" bestFit="1" customWidth="1"/>
  </cols>
  <sheetData>
    <row r="1" spans="1:2" x14ac:dyDescent="0.2">
      <c r="A1" t="s">
        <v>558</v>
      </c>
      <c r="B1" t="s">
        <v>528</v>
      </c>
    </row>
    <row r="2" spans="1:2" x14ac:dyDescent="0.2">
      <c r="A2" t="s">
        <v>476</v>
      </c>
      <c r="B2" t="s">
        <v>559</v>
      </c>
    </row>
    <row r="3" spans="1:2" x14ac:dyDescent="0.2">
      <c r="A3" t="s">
        <v>478</v>
      </c>
      <c r="B3" t="s">
        <v>560</v>
      </c>
    </row>
    <row r="4" spans="1:2" x14ac:dyDescent="0.2">
      <c r="A4" t="s">
        <v>471</v>
      </c>
      <c r="B4" t="s">
        <v>561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A1A12-B48B-4103-B5C1-DCF98A12CE54}">
  <sheetPr codeName="Hoja7"/>
  <dimension ref="A1:B3"/>
  <sheetViews>
    <sheetView workbookViewId="0"/>
  </sheetViews>
  <sheetFormatPr baseColWidth="10" defaultColWidth="8.6640625" defaultRowHeight="15" x14ac:dyDescent="0.2"/>
  <cols>
    <col min="1" max="1" width="15.83203125" bestFit="1" customWidth="1"/>
  </cols>
  <sheetData>
    <row r="1" spans="1:2" x14ac:dyDescent="0.2">
      <c r="A1" t="s">
        <v>562</v>
      </c>
      <c r="B1" t="s">
        <v>528</v>
      </c>
    </row>
    <row r="2" spans="1:2" x14ac:dyDescent="0.2">
      <c r="A2" t="s">
        <v>500</v>
      </c>
      <c r="B2" t="s">
        <v>563</v>
      </c>
    </row>
    <row r="3" spans="1:2" x14ac:dyDescent="0.2">
      <c r="A3">
        <v>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88068-8CD1-4F72-A640-398521484DBE}">
  <sheetPr codeName="Hoja3"/>
  <dimension ref="A1:E18"/>
  <sheetViews>
    <sheetView workbookViewId="0">
      <selection activeCell="E12" sqref="E12"/>
    </sheetView>
  </sheetViews>
  <sheetFormatPr baseColWidth="10" defaultColWidth="9.1640625" defaultRowHeight="15" x14ac:dyDescent="0.2"/>
  <cols>
    <col min="1" max="1" width="18.33203125" customWidth="1"/>
    <col min="2" max="2" width="32.83203125" customWidth="1"/>
    <col min="5" max="5" width="34.5" customWidth="1"/>
  </cols>
  <sheetData>
    <row r="1" spans="1:5" x14ac:dyDescent="0.2">
      <c r="A1" t="s">
        <v>564</v>
      </c>
      <c r="B1" t="s">
        <v>565</v>
      </c>
      <c r="D1" t="s">
        <v>566</v>
      </c>
      <c r="E1" t="s">
        <v>567</v>
      </c>
    </row>
    <row r="2" spans="1:5" x14ac:dyDescent="0.2">
      <c r="A2" t="str" cm="1">
        <f t="array" ref="A2:B18">_xlfn.UNIQUE(CDP!F1:G72,FALSE)</f>
        <v>Dependencia</v>
      </c>
      <c r="B2" t="str">
        <v>Dependencia Descripcion</v>
      </c>
      <c r="C2" s="3" t="s">
        <v>568</v>
      </c>
      <c r="D2" t="str" cm="1">
        <f t="array" ref="D2:E11">_xlfn.UNIQUE(CDP!H1:I72,FALSE)</f>
        <v>Rubro</v>
      </c>
      <c r="E2" t="str">
        <v>Descripcion</v>
      </c>
    </row>
    <row r="3" spans="1:5" x14ac:dyDescent="0.2">
      <c r="A3" t="str">
        <v>923238</v>
      </c>
      <c r="B3" t="str">
        <v>CENTRO INDUSTRIAL Y DESARROLLO EMPRESARIAL DE SOACHA-CUNDINAMARCA - ECONOMIA CAMPESINA Y SER</v>
      </c>
      <c r="C3" s="3" t="s">
        <v>568</v>
      </c>
      <c r="D3" t="str">
        <v>C-3603-1300-20-20305C-3603025-02</v>
      </c>
      <c r="E3" t="str">
        <v>ADQUIS. DE BYS - SERVICIO DE FORMACIÓN PROFESIONAL INTEGRAL - FORTALECIMIENTO DE LA PRESTACIÓN DEL SERVICIO DE FORMACIÓN PROFESIONAL Y EL RECONOCIMIENTO DE SABERES PREVIOS CON ÉNFASIS EN POBLACIONES CAMPESINAS Y POPULARES EN COLOMBIA NACIONAL</v>
      </c>
    </row>
    <row r="4" spans="1:5" x14ac:dyDescent="0.2">
      <c r="A4" t="str">
        <v>923209</v>
      </c>
      <c r="B4" t="str">
        <v>CENTRO INDUSTRIAL Y DESARROLLO EMPRESARIAL DE SOACHA-CUNDINAMARCA - SALUD OCUPACIONAL.</v>
      </c>
      <c r="C4" s="3" t="s">
        <v>568</v>
      </c>
      <c r="D4" t="str">
        <v>C-3602-1300-11-20305C-3602031-02</v>
      </c>
      <c r="E4" t="str">
        <v>ADQUIS. DE BYS - SERVICIO DE FORMACIÓN PARA EL TRABAJO EN COMPETENCIAS PARA LA INSERCIÓN LABORAL - MEJORAMIENTO DE LAS COMPETENCIAS PARA LA EMPLEABILIDAD DE LA POBLACIÓN VÍCTIMA DEL DESPLAZAMIENTO FORZADO POR EL CONFLICTO ARMADO A NIVEL NACIONAL</v>
      </c>
    </row>
    <row r="5" spans="1:5" x14ac:dyDescent="0.2">
      <c r="A5" t="str">
        <v>923210</v>
      </c>
      <c r="B5" t="str">
        <v>CENTRO INDUSTRIAL Y DESARROLLO DE SOACHA-CUNDINAMRCA</v>
      </c>
      <c r="C5" s="3" t="s">
        <v>568</v>
      </c>
      <c r="D5" t="str">
        <v>C-3603-1300-20-20305C-3603025-08</v>
      </c>
      <c r="E5" t="str">
        <v>GTOS. POR TRIB., MULT., SANC. - SERVICIO DE FORMACIÓN PROFESIONAL INTEGRAL - FORTALECIMIENTO DE LA PRESTACIÓN DEL SERVICIO DE FORMACIÓN PROFESIONAL Y EL RECONOCIMIENTO DE SABERES PREVIOS CON ÉNFASIS EN POBLACIONES CAMPESINAS Y POPULARES EN COLOMBIA</v>
      </c>
    </row>
    <row r="6" spans="1:5" x14ac:dyDescent="0.2">
      <c r="A6" t="str">
        <v>923211</v>
      </c>
      <c r="B6" t="str">
        <v>INTEGRACION CON LA MEDIA-CUND</v>
      </c>
      <c r="C6" s="3" t="s">
        <v>568</v>
      </c>
      <c r="D6" t="str">
        <v>C-3603-1300-20-20305C-3603025-01</v>
      </c>
      <c r="E6" t="str">
        <v>GTOS. DE PERS. - SERVICIO DE FORMACIÓN PROFESIONAL INTEGRAL - FORTALECIMIENTO DE LA PRESTACIÓN DEL SERVICIO DE FORMACIÓN PROFESIONAL Y EL RECONOCIMIENTO DE SABERES PREVIOS CON ÉNFASIS EN POBLACIONES CAMPESINAS Y POPULARES EN COLOMBIA NACIONAL</v>
      </c>
    </row>
    <row r="7" spans="1:5" x14ac:dyDescent="0.2">
      <c r="A7" t="str">
        <v>923218</v>
      </c>
      <c r="B7" t="str">
        <v>FONDO INDTRIA Y DE LA CONSTR FIC-CUND</v>
      </c>
      <c r="C7" s="3" t="s">
        <v>568</v>
      </c>
      <c r="D7" t="str">
        <v>C-3603-1300-20-20305C-3603024-02</v>
      </c>
      <c r="E7" t="str">
        <v>ADQUIS. DE BYS - AMBIENTES DE FORMACIÓN MODERNIZADOS - FORTALECIMIENTO DE LA PRESTACIÓN DEL SERVICIO DE FORMACIÓN PROFESIONAL Y EL RECONOCIMIENTO DE SABERES PREVIOS CON ÉNFASIS EN POBLACIONES CAMPESINAS Y POPULARES EN COLOMBIA NACIONAL</v>
      </c>
    </row>
    <row r="8" spans="1:5" x14ac:dyDescent="0.2">
      <c r="A8" t="str">
        <v>923227</v>
      </c>
      <c r="B8" t="str">
        <v>CENTRO INDUSTRIAL Y DESARROLLO EMPRESARIAL DE SOACHA-CUNDINAMARCA - MODERNIZACION AMBIENTES</v>
      </c>
      <c r="C8" s="3" t="s">
        <v>568</v>
      </c>
      <c r="D8" t="str">
        <v>C-3603-1300-20-20305C-3603033-02</v>
      </c>
      <c r="E8" t="str">
        <v>ADQUIS. DE BYS - SERVICIO DE EVALUACIÓN DE COMPETENCIAS LABORALES - FORTALECIMIENTO DE LA PRESTACIÓN DEL SERVICIO DE FORMACIÓN PROFESIONAL Y EL RECONOCIMIENTO DE SABERES PREVIOS CON ÉNFASIS EN POBLACIONES CAMPESINAS Y POPULARES EN COLOMBIA NACIONA</v>
      </c>
    </row>
    <row r="9" spans="1:5" x14ac:dyDescent="0.2">
      <c r="A9" t="str">
        <v>923228</v>
      </c>
      <c r="B9" t="str">
        <v>CERTIFICACION COMPETENCIAS LABORALES-CENTRO INDUSTRIAL Y DE DESARROLLO EMPRESARIAL SOACHA</v>
      </c>
      <c r="C9" s="3" t="s">
        <v>568</v>
      </c>
      <c r="D9" t="str">
        <v>C-3699-1300-15-53105B-3699009-02</v>
      </c>
      <c r="E9" t="str">
        <v>ADQUIS. DE BYS - SEDES CONSTRUIDAS - FORTALECIMIENTO DE LA INFRAESTRUCTURA FISICA DEL SENA A NIVEL NACIONAL</v>
      </c>
    </row>
    <row r="10" spans="1:5" x14ac:dyDescent="0.2">
      <c r="A10" t="str">
        <v>923286</v>
      </c>
      <c r="B10" t="str">
        <v>CENTRO INDUSTRIAL Y DESARROLLO EMPRESAR DE SOACHA-CUND, CERTIFICAC COMPETENC LABORAL -ECONOM POPULAR</v>
      </c>
      <c r="C10" s="3" t="s">
        <v>568</v>
      </c>
      <c r="D10" t="str">
        <v>C-3699-1300-15-53105B-3699011-02</v>
      </c>
      <c r="E10" t="str">
        <v>ADQUIS. DE BYS - SEDES ADECUADAS - FORTALECIMIENTO DE LA INFRAESTRUCTURA FISICA DEL SENA A NIVEL NACIONAL</v>
      </c>
    </row>
    <row r="11" spans="1:5" x14ac:dyDescent="0.2">
      <c r="A11" t="str">
        <v>923284</v>
      </c>
      <c r="B11" t="str">
        <v>CENTRO INDUSTRIAL Y DESARROLLO EMPRESARIAL DE SOACHA-CUND, SENA EMPRENDE RURAL -ECONOMIA POPULAR</v>
      </c>
      <c r="C11" s="3" t="s">
        <v>568</v>
      </c>
      <c r="D11" t="str">
        <v>C-3699-1300-15-53105B-3699016-02</v>
      </c>
      <c r="E11" t="str">
        <v>ADQUIS. DE BYS - SEDES MANTENIDAS - FORTALECIMIENTO DE LA INFRAESTRUCTURA FISICA DEL SENA A NIVEL NACIONAL</v>
      </c>
    </row>
    <row r="12" spans="1:5" x14ac:dyDescent="0.2">
      <c r="A12" t="str">
        <v>923242</v>
      </c>
      <c r="B12" t="str">
        <v>CENTRO INDUSTRIAL Y DESARROLLO EMPRESARIAL DE SOACHA-CUNDINAMARCA - BIENESTAR APRENDICES</v>
      </c>
      <c r="C12" s="3" t="s">
        <v>568</v>
      </c>
    </row>
    <row r="13" spans="1:5" x14ac:dyDescent="0.2">
      <c r="A13" t="str">
        <v>923245</v>
      </c>
      <c r="B13" t="str">
        <v>CENTRO INDUSTRIAL Y DESARROLLO EMPRESARIAL DE SOACHA-CUNDINAMARCA - SERVICIOS PRESTADOS A LA FORMACI</v>
      </c>
      <c r="C13" s="3" t="s">
        <v>568</v>
      </c>
    </row>
    <row r="14" spans="1:5" x14ac:dyDescent="0.2">
      <c r="A14" t="str">
        <v>923244</v>
      </c>
      <c r="B14" t="str">
        <v>CENTRO INDUSTRIAL Y DESARROLLO EMPRESARIAL DE SOACHA-CUNDINAMARCA - APOYOS DE SOSTENIMIENTO</v>
      </c>
      <c r="C14" s="3" t="s">
        <v>568</v>
      </c>
    </row>
    <row r="15" spans="1:5" x14ac:dyDescent="0.2">
      <c r="A15" t="str">
        <v>923285</v>
      </c>
      <c r="B15" t="str">
        <v>CENTRO INDUSTRIAL Y DESARROLLO EMPRESARIAL DE SOACHA-CUNDINAMARCA -ECONOMIA POPULAR</v>
      </c>
      <c r="C15" s="3" t="s">
        <v>568</v>
      </c>
    </row>
    <row r="16" spans="1:5" x14ac:dyDescent="0.2">
      <c r="A16" t="str">
        <v>923290</v>
      </c>
      <c r="B16" t="str">
        <v>CENTRO INDUSTRIAL Y DESARROLLO EMPRESARIAL DE SOACHA-CUND., ACCIONES REGUL -ECONOM POPUL Y CAMPESINA</v>
      </c>
      <c r="C16" s="3" t="s">
        <v>568</v>
      </c>
    </row>
    <row r="17" spans="1:3" x14ac:dyDescent="0.2">
      <c r="A17" t="str">
        <v>923234</v>
      </c>
      <c r="B17" t="str">
        <v>CENTRO INDUSTRIAL Y DESARROLLO EMPRESARIAL DE SOACHA-CUNDINAMARCA - PRODUCCION CENTROS</v>
      </c>
      <c r="C17" s="3" t="s">
        <v>568</v>
      </c>
    </row>
    <row r="18" spans="1:3" x14ac:dyDescent="0.2">
      <c r="A18" t="str">
        <v>923224</v>
      </c>
      <c r="B18" t="str">
        <v>C INDUSTRIAL Y DESARROLLO EMPRESARIAL DE SOACHA - CONSTRUCCIONES Y ADECUACIONES</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13</vt:i4>
      </vt:variant>
    </vt:vector>
  </HeadingPairs>
  <TitlesOfParts>
    <vt:vector size="13" baseType="lpstr">
      <vt:lpstr>CDP</vt:lpstr>
      <vt:lpstr>CRP</vt:lpstr>
      <vt:lpstr>ORDENES_DE_PAGO</vt:lpstr>
      <vt:lpstr>CDP-Convertido</vt:lpstr>
      <vt:lpstr>TABLA FINAL</vt:lpstr>
      <vt:lpstr>CRP-Convertido</vt:lpstr>
      <vt:lpstr>Orden_Pago-Convertido</vt:lpstr>
      <vt:lpstr>Reporte_Viaticos</vt:lpstr>
      <vt:lpstr>TablasGraficas</vt:lpstr>
      <vt:lpstr>Tabla_Total_CRP</vt:lpstr>
      <vt:lpstr>INSERTCDP</vt:lpstr>
      <vt:lpstr>INSERTCRP</vt:lpstr>
      <vt:lpstr>CATALOGOS</vt:lpstr>
    </vt:vector>
  </TitlesOfParts>
  <Manager/>
  <Company>Este Producto es propiedad del SENA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Melqui romero veru</dc:creator>
  <cp:keywords/>
  <dc:description/>
  <cp:lastModifiedBy>Melqui Alexander Romero Veru</cp:lastModifiedBy>
  <cp:revision/>
  <dcterms:created xsi:type="dcterms:W3CDTF">2025-01-17T15:25:24Z</dcterms:created>
  <dcterms:modified xsi:type="dcterms:W3CDTF">2025-03-25T22:46:11Z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c111285-cafa-4fc9-8a9a-bd902089b24f_Enabled">
    <vt:lpwstr>true</vt:lpwstr>
  </property>
  <property fmtid="{D5CDD505-2E9C-101B-9397-08002B2CF9AE}" pid="3" name="MSIP_Label_fc111285-cafa-4fc9-8a9a-bd902089b24f_SetDate">
    <vt:lpwstr>2025-01-20T00:41:18Z</vt:lpwstr>
  </property>
  <property fmtid="{D5CDD505-2E9C-101B-9397-08002B2CF9AE}" pid="4" name="MSIP_Label_fc111285-cafa-4fc9-8a9a-bd902089b24f_Method">
    <vt:lpwstr>Privileged</vt:lpwstr>
  </property>
  <property fmtid="{D5CDD505-2E9C-101B-9397-08002B2CF9AE}" pid="5" name="MSIP_Label_fc111285-cafa-4fc9-8a9a-bd902089b24f_Name">
    <vt:lpwstr>Public</vt:lpwstr>
  </property>
  <property fmtid="{D5CDD505-2E9C-101B-9397-08002B2CF9AE}" pid="6" name="MSIP_Label_fc111285-cafa-4fc9-8a9a-bd902089b24f_SiteId">
    <vt:lpwstr>cbc2c381-2f2e-4d93-91d1-506c9316ace7</vt:lpwstr>
  </property>
  <property fmtid="{D5CDD505-2E9C-101B-9397-08002B2CF9AE}" pid="7" name="MSIP_Label_fc111285-cafa-4fc9-8a9a-bd902089b24f_ActionId">
    <vt:lpwstr>90035da9-4515-4368-b5a6-aa0d58e5962e</vt:lpwstr>
  </property>
  <property fmtid="{D5CDD505-2E9C-101B-9397-08002B2CF9AE}" pid="8" name="MSIP_Label_fc111285-cafa-4fc9-8a9a-bd902089b24f_ContentBits">
    <vt:lpwstr>0</vt:lpwstr>
  </property>
  <property fmtid="{D5CDD505-2E9C-101B-9397-08002B2CF9AE}" pid="9" name="MSIP_Label_fc111285-cafa-4fc9-8a9a-bd902089b24f_Tag">
    <vt:lpwstr>10, 0, 1, 2</vt:lpwstr>
  </property>
</Properties>
</file>